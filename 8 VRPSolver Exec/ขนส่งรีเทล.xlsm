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SmartTransportation\8 VRPSolver Exec\"/>
    </mc:Choice>
  </mc:AlternateContent>
  <bookViews>
    <workbookView xWindow="-120" yWindow="-120" windowWidth="20730" windowHeight="11160" tabRatio="705" activeTab="1"/>
  </bookViews>
  <sheets>
    <sheet name="VRP" sheetId="242" r:id="rId1"/>
    <sheet name="VRP Solver Console" sheetId="231" r:id="rId2"/>
    <sheet name="1.Locations" sheetId="243" r:id="rId3"/>
    <sheet name="2.Distances" sheetId="244" r:id="rId4"/>
    <sheet name="3.Vehicles" sheetId="254" r:id="rId5"/>
    <sheet name="4.Solution" sheetId="255" r:id="rId6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G3" i="255" l="1"/>
  <c r="CK5" i="255"/>
  <c r="CJ5" i="255"/>
  <c r="CB5" i="255"/>
  <c r="BT3" i="255"/>
  <c r="BX5" i="255"/>
  <c r="BW5" i="255"/>
  <c r="BO5" i="255"/>
  <c r="BG3" i="255"/>
  <c r="BK5" i="255"/>
  <c r="BJ5" i="255"/>
  <c r="BB5" i="255"/>
  <c r="AT3" i="255"/>
  <c r="AX5" i="255"/>
  <c r="AW5" i="255"/>
  <c r="AO5" i="255"/>
  <c r="AG3" i="255"/>
  <c r="AK5" i="255"/>
  <c r="AJ5" i="255"/>
  <c r="AB5" i="255"/>
  <c r="T3" i="255"/>
  <c r="X5" i="255"/>
  <c r="W5" i="255"/>
  <c r="O5" i="255"/>
  <c r="G3" i="255"/>
  <c r="K5" i="255"/>
  <c r="J5" i="255"/>
  <c r="B5" i="255"/>
  <c r="CC100" i="255"/>
  <c r="CC98" i="255"/>
  <c r="CC96" i="255"/>
  <c r="CC94" i="255"/>
  <c r="CC92" i="255"/>
  <c r="CC90" i="255"/>
  <c r="CC88" i="255"/>
  <c r="CC86" i="255"/>
  <c r="CC84" i="255"/>
  <c r="CC82" i="255"/>
  <c r="CC80" i="255"/>
  <c r="CC78" i="255"/>
  <c r="CC76" i="255"/>
  <c r="CC74" i="255"/>
  <c r="CJ3" i="255"/>
  <c r="CC97" i="255"/>
  <c r="CC89" i="255"/>
  <c r="CC81" i="255"/>
  <c r="CC73" i="255"/>
  <c r="CC71" i="255"/>
  <c r="CC95" i="255"/>
  <c r="CC87" i="255"/>
  <c r="CC79" i="255"/>
  <c r="CC69" i="255"/>
  <c r="CC68" i="255"/>
  <c r="CC66" i="255"/>
  <c r="CC64" i="255"/>
  <c r="CC62" i="255"/>
  <c r="CC60" i="255"/>
  <c r="CC58" i="255"/>
  <c r="CC56" i="255"/>
  <c r="CC54" i="255"/>
  <c r="CC52" i="255"/>
  <c r="CC50" i="255"/>
  <c r="CC48" i="255"/>
  <c r="CC46" i="255"/>
  <c r="CC101" i="255"/>
  <c r="CC85" i="255"/>
  <c r="CC91" i="255"/>
  <c r="CC75" i="255"/>
  <c r="CC72" i="255"/>
  <c r="CC65" i="255"/>
  <c r="CC61" i="255"/>
  <c r="CC57" i="255"/>
  <c r="CC53" i="255"/>
  <c r="CC49" i="255"/>
  <c r="CC45" i="255"/>
  <c r="CC43" i="255"/>
  <c r="CC41" i="255"/>
  <c r="CC39" i="255"/>
  <c r="CC37" i="255"/>
  <c r="CC35" i="255"/>
  <c r="CC33" i="255"/>
  <c r="CC31" i="255"/>
  <c r="CC29" i="255"/>
  <c r="CC27" i="255"/>
  <c r="CC25" i="255"/>
  <c r="CC93" i="255"/>
  <c r="CC70" i="255"/>
  <c r="CC5" i="255"/>
  <c r="CC99" i="255"/>
  <c r="CC63" i="255"/>
  <c r="CC55" i="255"/>
  <c r="CC47" i="255"/>
  <c r="CC44" i="255"/>
  <c r="CC40" i="255"/>
  <c r="CC36" i="255"/>
  <c r="CC32" i="255"/>
  <c r="CC28" i="255"/>
  <c r="CC21" i="255"/>
  <c r="CC20" i="255"/>
  <c r="CC18" i="255"/>
  <c r="CC16" i="255"/>
  <c r="CC14" i="255"/>
  <c r="CC12" i="255"/>
  <c r="CC10" i="255"/>
  <c r="CC8" i="255"/>
  <c r="CC6" i="255"/>
  <c r="BP100" i="255"/>
  <c r="BP98" i="255"/>
  <c r="BP96" i="255"/>
  <c r="BP94" i="255"/>
  <c r="BP92" i="255"/>
  <c r="BP90" i="255"/>
  <c r="BP88" i="255"/>
  <c r="BP86" i="255"/>
  <c r="BP84" i="255"/>
  <c r="BP82" i="255"/>
  <c r="CC23" i="255"/>
  <c r="CC22" i="255"/>
  <c r="BW3" i="255"/>
  <c r="BP78" i="255"/>
  <c r="BP77" i="255"/>
  <c r="BP70" i="255"/>
  <c r="BP68" i="255"/>
  <c r="BP66" i="255"/>
  <c r="BP64" i="255"/>
  <c r="BP62" i="255"/>
  <c r="BP60" i="255"/>
  <c r="BP58" i="255"/>
  <c r="BP56" i="255"/>
  <c r="BP54" i="255"/>
  <c r="BP52" i="255"/>
  <c r="BP50" i="255"/>
  <c r="BP48" i="255"/>
  <c r="CC83" i="255"/>
  <c r="CC67" i="255"/>
  <c r="CC51" i="255"/>
  <c r="CC38" i="255"/>
  <c r="CC30" i="255"/>
  <c r="CC24" i="255"/>
  <c r="CC19" i="255"/>
  <c r="CC15" i="255"/>
  <c r="CC11" i="255"/>
  <c r="CC7" i="255"/>
  <c r="BP101" i="255"/>
  <c r="BP97" i="255"/>
  <c r="BP93" i="255"/>
  <c r="BP89" i="255"/>
  <c r="BP85" i="255"/>
  <c r="BP80" i="255"/>
  <c r="BP79" i="255"/>
  <c r="BP72" i="255"/>
  <c r="BP71" i="255"/>
  <c r="BP74" i="255"/>
  <c r="BP73" i="255"/>
  <c r="BP69" i="255"/>
  <c r="BP65" i="255"/>
  <c r="BP61" i="255"/>
  <c r="BP57" i="255"/>
  <c r="BP53" i="255"/>
  <c r="BP49" i="255"/>
  <c r="BP47" i="255"/>
  <c r="BP46" i="255"/>
  <c r="BP39" i="255"/>
  <c r="BP38" i="255"/>
  <c r="CC34" i="255"/>
  <c r="CC17" i="255"/>
  <c r="CC9" i="255"/>
  <c r="BP99" i="255"/>
  <c r="BP91" i="255"/>
  <c r="BP83" i="255"/>
  <c r="BP76" i="255"/>
  <c r="BP75" i="255"/>
  <c r="BP41" i="255"/>
  <c r="BP40" i="255"/>
  <c r="BP35" i="255"/>
  <c r="BP33" i="255"/>
  <c r="BP31" i="255"/>
  <c r="BP29" i="255"/>
  <c r="BP27" i="255"/>
  <c r="BP25" i="255"/>
  <c r="BP23" i="255"/>
  <c r="BP21" i="255"/>
  <c r="BP19" i="255"/>
  <c r="BP17" i="255"/>
  <c r="BP15" i="255"/>
  <c r="BP13" i="255"/>
  <c r="BP11" i="255"/>
  <c r="BP9" i="255"/>
  <c r="BP7" i="255"/>
  <c r="BC101" i="255"/>
  <c r="BC99" i="255"/>
  <c r="BC97" i="255"/>
  <c r="BC95" i="255"/>
  <c r="BC93" i="255"/>
  <c r="BC91" i="255"/>
  <c r="BC89" i="255"/>
  <c r="BC87" i="255"/>
  <c r="BC85" i="255"/>
  <c r="BC83" i="255"/>
  <c r="BC81" i="255"/>
  <c r="BC79" i="255"/>
  <c r="BC77" i="255"/>
  <c r="BC75" i="255"/>
  <c r="BC73" i="255"/>
  <c r="BC71" i="255"/>
  <c r="BC69" i="255"/>
  <c r="BC67" i="255"/>
  <c r="BC65" i="255"/>
  <c r="BC63" i="255"/>
  <c r="BC61" i="255"/>
  <c r="BC59" i="255"/>
  <c r="BC57" i="255"/>
  <c r="BC55" i="255"/>
  <c r="BC53" i="255"/>
  <c r="BC51" i="255"/>
  <c r="BC49" i="255"/>
  <c r="BC47" i="255"/>
  <c r="BC45" i="255"/>
  <c r="BC43" i="255"/>
  <c r="CC77" i="255"/>
  <c r="BP63" i="255"/>
  <c r="BP55" i="255"/>
  <c r="BP43" i="255"/>
  <c r="BP42" i="255"/>
  <c r="BC41" i="255"/>
  <c r="BC40" i="255"/>
  <c r="BC33" i="255"/>
  <c r="BC31" i="255"/>
  <c r="BC29" i="255"/>
  <c r="BC27" i="255"/>
  <c r="BC25" i="255"/>
  <c r="BC23" i="255"/>
  <c r="BC21" i="255"/>
  <c r="BC19" i="255"/>
  <c r="BC17" i="255"/>
  <c r="BC15" i="255"/>
  <c r="BC13" i="255"/>
  <c r="BC11" i="255"/>
  <c r="BC9" i="255"/>
  <c r="BC7" i="255"/>
  <c r="CC59" i="255"/>
  <c r="CC26" i="255"/>
  <c r="BP95" i="255"/>
  <c r="BP45" i="255"/>
  <c r="BP44" i="255"/>
  <c r="BP34" i="255"/>
  <c r="BP30" i="255"/>
  <c r="BP26" i="255"/>
  <c r="BP22" i="255"/>
  <c r="BP18" i="255"/>
  <c r="BP14" i="255"/>
  <c r="BP10" i="255"/>
  <c r="BP6" i="255"/>
  <c r="BC100" i="255"/>
  <c r="BC96" i="255"/>
  <c r="BC92" i="255"/>
  <c r="BC88" i="255"/>
  <c r="BC84" i="255"/>
  <c r="BC80" i="255"/>
  <c r="BC76" i="255"/>
  <c r="BC72" i="255"/>
  <c r="BC68" i="255"/>
  <c r="BC64" i="255"/>
  <c r="BC60" i="255"/>
  <c r="BC56" i="255"/>
  <c r="BC52" i="255"/>
  <c r="BC48" i="255"/>
  <c r="BC44" i="255"/>
  <c r="BC42" i="255"/>
  <c r="BC35" i="255"/>
  <c r="BC34" i="255"/>
  <c r="BC5" i="255"/>
  <c r="BP81" i="255"/>
  <c r="BP67" i="255"/>
  <c r="BP59" i="255"/>
  <c r="BP51" i="255"/>
  <c r="BP5" i="255"/>
  <c r="BC37" i="255"/>
  <c r="CC13" i="255"/>
  <c r="BP32" i="255"/>
  <c r="BP16" i="255"/>
  <c r="BC90" i="255"/>
  <c r="BC74" i="255"/>
  <c r="BC58" i="255"/>
  <c r="BC38" i="255"/>
  <c r="BC36" i="255"/>
  <c r="BC32" i="255"/>
  <c r="BC28" i="255"/>
  <c r="BC24" i="255"/>
  <c r="BC20" i="255"/>
  <c r="BC16" i="255"/>
  <c r="BC12" i="255"/>
  <c r="BC8" i="255"/>
  <c r="AW3" i="255"/>
  <c r="AP100" i="255"/>
  <c r="AP98" i="255"/>
  <c r="AP96" i="255"/>
  <c r="AP94" i="255"/>
  <c r="AP92" i="255"/>
  <c r="AP90" i="255"/>
  <c r="AP88" i="255"/>
  <c r="AP86" i="255"/>
  <c r="AP84" i="255"/>
  <c r="AP82" i="255"/>
  <c r="AP80" i="255"/>
  <c r="AP78" i="255"/>
  <c r="AP76" i="255"/>
  <c r="AP74" i="255"/>
  <c r="AP72" i="255"/>
  <c r="AP70" i="255"/>
  <c r="AP68" i="255"/>
  <c r="AP66" i="255"/>
  <c r="AP64" i="255"/>
  <c r="AP62" i="255"/>
  <c r="AP60" i="255"/>
  <c r="AP58" i="255"/>
  <c r="AP56" i="255"/>
  <c r="AP54" i="255"/>
  <c r="AP52" i="255"/>
  <c r="AP50" i="255"/>
  <c r="AP48" i="255"/>
  <c r="AP46" i="255"/>
  <c r="AP44" i="255"/>
  <c r="AP42" i="255"/>
  <c r="AP40" i="255"/>
  <c r="AP38" i="255"/>
  <c r="BP28" i="255"/>
  <c r="BP12" i="255"/>
  <c r="BJ3" i="255"/>
  <c r="BC86" i="255"/>
  <c r="BC70" i="255"/>
  <c r="BC54" i="255"/>
  <c r="CC42" i="255"/>
  <c r="BP37" i="255"/>
  <c r="BP24" i="255"/>
  <c r="BP8" i="255"/>
  <c r="BC98" i="255"/>
  <c r="BC82" i="255"/>
  <c r="BC66" i="255"/>
  <c r="BC50" i="255"/>
  <c r="BC39" i="255"/>
  <c r="BC30" i="255"/>
  <c r="BC26" i="255"/>
  <c r="BC22" i="255"/>
  <c r="BC18" i="255"/>
  <c r="BC14" i="255"/>
  <c r="BC10" i="255"/>
  <c r="BC6" i="255"/>
  <c r="AP101" i="255"/>
  <c r="AP99" i="255"/>
  <c r="AP97" i="255"/>
  <c r="AP95" i="255"/>
  <c r="AP93" i="255"/>
  <c r="AP91" i="255"/>
  <c r="AP89" i="255"/>
  <c r="AP87" i="255"/>
  <c r="AP85" i="255"/>
  <c r="AP83" i="255"/>
  <c r="AP81" i="255"/>
  <c r="AP79" i="255"/>
  <c r="AP77" i="255"/>
  <c r="AP75" i="255"/>
  <c r="AP73" i="255"/>
  <c r="AP71" i="255"/>
  <c r="AP69" i="255"/>
  <c r="AP67" i="255"/>
  <c r="AP65" i="255"/>
  <c r="AP63" i="255"/>
  <c r="AP61" i="255"/>
  <c r="AP59" i="255"/>
  <c r="AP57" i="255"/>
  <c r="AP55" i="255"/>
  <c r="AP53" i="255"/>
  <c r="AP51" i="255"/>
  <c r="AP49" i="255"/>
  <c r="AP47" i="255"/>
  <c r="AP45" i="255"/>
  <c r="AP43" i="255"/>
  <c r="AP41" i="255"/>
  <c r="AP39" i="255"/>
  <c r="AP37" i="255"/>
  <c r="AP35" i="255"/>
  <c r="AP33" i="255"/>
  <c r="AP31" i="255"/>
  <c r="AP29" i="255"/>
  <c r="AP27" i="255"/>
  <c r="AP25" i="255"/>
  <c r="AP23" i="255"/>
  <c r="AP21" i="255"/>
  <c r="AP19" i="255"/>
  <c r="AP17" i="255"/>
  <c r="AP15" i="255"/>
  <c r="AP13" i="255"/>
  <c r="AP11" i="255"/>
  <c r="AP9" i="255"/>
  <c r="AP7" i="255"/>
  <c r="AC101" i="255"/>
  <c r="AC99" i="255"/>
  <c r="AC97" i="255"/>
  <c r="AC95" i="255"/>
  <c r="AC93" i="255"/>
  <c r="AC91" i="255"/>
  <c r="AC89" i="255"/>
  <c r="BP20" i="255"/>
  <c r="BC78" i="255"/>
  <c r="AP34" i="255"/>
  <c r="AP30" i="255"/>
  <c r="AP26" i="255"/>
  <c r="AP22" i="255"/>
  <c r="AP18" i="255"/>
  <c r="AP14" i="255"/>
  <c r="AP10" i="255"/>
  <c r="AP6" i="255"/>
  <c r="AC100" i="255"/>
  <c r="AC96" i="255"/>
  <c r="BC62" i="255"/>
  <c r="AP5" i="255"/>
  <c r="AC87" i="255"/>
  <c r="AC85" i="255"/>
  <c r="AC83" i="255"/>
  <c r="AC81" i="255"/>
  <c r="AC79" i="255"/>
  <c r="AC77" i="255"/>
  <c r="AC75" i="255"/>
  <c r="AC73" i="255"/>
  <c r="AC71" i="255"/>
  <c r="AC69" i="255"/>
  <c r="AC67" i="255"/>
  <c r="AC65" i="255"/>
  <c r="AC63" i="255"/>
  <c r="AC61" i="255"/>
  <c r="AC59" i="255"/>
  <c r="AC57" i="255"/>
  <c r="AC55" i="255"/>
  <c r="AC53" i="255"/>
  <c r="AC51" i="255"/>
  <c r="AC49" i="255"/>
  <c r="AC47" i="255"/>
  <c r="AC45" i="255"/>
  <c r="AC43" i="255"/>
  <c r="AC41" i="255"/>
  <c r="AC39" i="255"/>
  <c r="AC37" i="255"/>
  <c r="AC35" i="255"/>
  <c r="AC33" i="255"/>
  <c r="AC31" i="255"/>
  <c r="AC29" i="255"/>
  <c r="AC27" i="255"/>
  <c r="AC25" i="255"/>
  <c r="AC23" i="255"/>
  <c r="AC21" i="255"/>
  <c r="AC19" i="255"/>
  <c r="AC17" i="255"/>
  <c r="AC15" i="255"/>
  <c r="AC13" i="255"/>
  <c r="AC11" i="255"/>
  <c r="AC9" i="255"/>
  <c r="AC7" i="255"/>
  <c r="P101" i="255"/>
  <c r="P99" i="255"/>
  <c r="P97" i="255"/>
  <c r="P95" i="255"/>
  <c r="P93" i="255"/>
  <c r="P91" i="255"/>
  <c r="P89" i="255"/>
  <c r="P87" i="255"/>
  <c r="P85" i="255"/>
  <c r="P83" i="255"/>
  <c r="P81" i="255"/>
  <c r="P79" i="255"/>
  <c r="P77" i="255"/>
  <c r="P75" i="255"/>
  <c r="P73" i="255"/>
  <c r="P71" i="255"/>
  <c r="P69" i="255"/>
  <c r="P67" i="255"/>
  <c r="P65" i="255"/>
  <c r="P63" i="255"/>
  <c r="P61" i="255"/>
  <c r="P59" i="255"/>
  <c r="P57" i="255"/>
  <c r="P55" i="255"/>
  <c r="P53" i="255"/>
  <c r="P51" i="255"/>
  <c r="P49" i="255"/>
  <c r="P47" i="255"/>
  <c r="P45" i="255"/>
  <c r="P43" i="255"/>
  <c r="P41" i="255"/>
  <c r="P39" i="255"/>
  <c r="P37" i="255"/>
  <c r="P35" i="255"/>
  <c r="P33" i="255"/>
  <c r="P31" i="255"/>
  <c r="P29" i="255"/>
  <c r="P27" i="255"/>
  <c r="P25" i="255"/>
  <c r="P23" i="255"/>
  <c r="P21" i="255"/>
  <c r="P19" i="255"/>
  <c r="P17" i="255"/>
  <c r="P15" i="255"/>
  <c r="P13" i="255"/>
  <c r="P11" i="255"/>
  <c r="P9" i="255"/>
  <c r="P7" i="255"/>
  <c r="C101" i="255"/>
  <c r="C99" i="255"/>
  <c r="C97" i="255"/>
  <c r="C95" i="255"/>
  <c r="C93" i="255"/>
  <c r="C91" i="255"/>
  <c r="C89" i="255"/>
  <c r="C87" i="255"/>
  <c r="C85" i="255"/>
  <c r="C83" i="255"/>
  <c r="C81" i="255"/>
  <c r="C79" i="255"/>
  <c r="C77" i="255"/>
  <c r="C75" i="255"/>
  <c r="C73" i="255"/>
  <c r="C71" i="255"/>
  <c r="C69" i="255"/>
  <c r="C67" i="255"/>
  <c r="C65" i="255"/>
  <c r="C63" i="255"/>
  <c r="C61" i="255"/>
  <c r="C59" i="255"/>
  <c r="C57" i="255"/>
  <c r="BC46" i="255"/>
  <c r="AP36" i="255"/>
  <c r="AP32" i="255"/>
  <c r="AP28" i="255"/>
  <c r="AP24" i="255"/>
  <c r="AP20" i="255"/>
  <c r="AP16" i="255"/>
  <c r="AP12" i="255"/>
  <c r="AP8" i="255"/>
  <c r="AJ3" i="255"/>
  <c r="AC98" i="255"/>
  <c r="AC94" i="255"/>
  <c r="AC90" i="255"/>
  <c r="BP87" i="255"/>
  <c r="AC92" i="255"/>
  <c r="AC88" i="255"/>
  <c r="AC80" i="255"/>
  <c r="AC72" i="255"/>
  <c r="AC64" i="255"/>
  <c r="AC56" i="255"/>
  <c r="AC48" i="255"/>
  <c r="AC40" i="255"/>
  <c r="AC32" i="255"/>
  <c r="AC24" i="255"/>
  <c r="AC16" i="255"/>
  <c r="P5" i="255"/>
  <c r="C55" i="255"/>
  <c r="C53" i="255"/>
  <c r="C51" i="255"/>
  <c r="C49" i="255"/>
  <c r="C47" i="255"/>
  <c r="C45" i="255"/>
  <c r="C43" i="255"/>
  <c r="C41" i="255"/>
  <c r="C39" i="255"/>
  <c r="C37" i="255"/>
  <c r="C35" i="255"/>
  <c r="C33" i="255"/>
  <c r="C31" i="255"/>
  <c r="C29" i="255"/>
  <c r="C27" i="255"/>
  <c r="C25" i="255"/>
  <c r="C23" i="255"/>
  <c r="C21" i="255"/>
  <c r="C19" i="255"/>
  <c r="C17" i="255"/>
  <c r="C15" i="255"/>
  <c r="C13" i="255"/>
  <c r="C11" i="255"/>
  <c r="C9" i="255"/>
  <c r="C7" i="255"/>
  <c r="C54" i="255"/>
  <c r="C48" i="255"/>
  <c r="C42" i="255"/>
  <c r="C32" i="255"/>
  <c r="C26" i="255"/>
  <c r="C22" i="255"/>
  <c r="C16" i="255"/>
  <c r="C12" i="255"/>
  <c r="AC66" i="255"/>
  <c r="AC50" i="255"/>
  <c r="AC18" i="255"/>
  <c r="W3" i="255"/>
  <c r="P62" i="255"/>
  <c r="P54" i="255"/>
  <c r="P46" i="255"/>
  <c r="P38" i="255"/>
  <c r="P30" i="255"/>
  <c r="P10" i="255"/>
  <c r="C100" i="255"/>
  <c r="C92" i="255"/>
  <c r="C76" i="255"/>
  <c r="C68" i="255"/>
  <c r="C64" i="255"/>
  <c r="C60" i="255"/>
  <c r="BC94" i="255"/>
  <c r="AC86" i="255"/>
  <c r="AC78" i="255"/>
  <c r="AC70" i="255"/>
  <c r="AC62" i="255"/>
  <c r="AC54" i="255"/>
  <c r="AC46" i="255"/>
  <c r="AC38" i="255"/>
  <c r="AC30" i="255"/>
  <c r="AC22" i="255"/>
  <c r="AC14" i="255"/>
  <c r="AC6" i="255"/>
  <c r="P100" i="255"/>
  <c r="P96" i="255"/>
  <c r="P92" i="255"/>
  <c r="P88" i="255"/>
  <c r="P84" i="255"/>
  <c r="P80" i="255"/>
  <c r="P76" i="255"/>
  <c r="P72" i="255"/>
  <c r="P68" i="255"/>
  <c r="P64" i="255"/>
  <c r="P60" i="255"/>
  <c r="P56" i="255"/>
  <c r="P52" i="255"/>
  <c r="P48" i="255"/>
  <c r="P44" i="255"/>
  <c r="P40" i="255"/>
  <c r="P36" i="255"/>
  <c r="P32" i="255"/>
  <c r="P28" i="255"/>
  <c r="P24" i="255"/>
  <c r="P20" i="255"/>
  <c r="P16" i="255"/>
  <c r="P12" i="255"/>
  <c r="P8" i="255"/>
  <c r="J3" i="255"/>
  <c r="C98" i="255"/>
  <c r="C94" i="255"/>
  <c r="C90" i="255"/>
  <c r="C86" i="255"/>
  <c r="C82" i="255"/>
  <c r="C78" i="255"/>
  <c r="C74" i="255"/>
  <c r="C70" i="255"/>
  <c r="C66" i="255"/>
  <c r="C62" i="255"/>
  <c r="C58" i="255"/>
  <c r="C5" i="255"/>
  <c r="C50" i="255"/>
  <c r="C44" i="255"/>
  <c r="C38" i="255"/>
  <c r="C36" i="255"/>
  <c r="C28" i="255"/>
  <c r="C24" i="255"/>
  <c r="C14" i="255"/>
  <c r="C10" i="255"/>
  <c r="C6" i="255"/>
  <c r="AC74" i="255"/>
  <c r="AC58" i="255"/>
  <c r="AC34" i="255"/>
  <c r="AC10" i="255"/>
  <c r="P86" i="255"/>
  <c r="P82" i="255"/>
  <c r="P74" i="255"/>
  <c r="P70" i="255"/>
  <c r="P34" i="255"/>
  <c r="P26" i="255"/>
  <c r="P18" i="255"/>
  <c r="P6" i="255"/>
  <c r="C96" i="255"/>
  <c r="C88" i="255"/>
  <c r="C84" i="255"/>
  <c r="C72" i="255"/>
  <c r="C56" i="255"/>
  <c r="BP36" i="255"/>
  <c r="AC84" i="255"/>
  <c r="AC76" i="255"/>
  <c r="AC68" i="255"/>
  <c r="AC60" i="255"/>
  <c r="AC52" i="255"/>
  <c r="AC44" i="255"/>
  <c r="AC36" i="255"/>
  <c r="AC28" i="255"/>
  <c r="AC20" i="255"/>
  <c r="AC12" i="255"/>
  <c r="AC5" i="255"/>
  <c r="C52" i="255"/>
  <c r="C46" i="255"/>
  <c r="C40" i="255"/>
  <c r="C34" i="255"/>
  <c r="C30" i="255"/>
  <c r="C20" i="255"/>
  <c r="C18" i="255"/>
  <c r="C8" i="255"/>
  <c r="AC82" i="255"/>
  <c r="AC42" i="255"/>
  <c r="AC26" i="255"/>
  <c r="AC8" i="255"/>
  <c r="P98" i="255"/>
  <c r="P94" i="255"/>
  <c r="P90" i="255"/>
  <c r="P78" i="255"/>
  <c r="P66" i="255"/>
  <c r="P58" i="255"/>
  <c r="P50" i="255"/>
  <c r="P42" i="255"/>
  <c r="P22" i="255"/>
  <c r="P14" i="255"/>
  <c r="C80" i="255"/>
  <c r="J80" i="255" l="1"/>
  <c r="K80" i="255" s="1"/>
  <c r="F80" i="255"/>
  <c r="I80" i="255"/>
  <c r="E80" i="255"/>
  <c r="H80" i="255"/>
  <c r="G80" i="255"/>
  <c r="D80" i="255"/>
  <c r="W14" i="255"/>
  <c r="X14" i="255" s="1"/>
  <c r="S14" i="255"/>
  <c r="V14" i="255"/>
  <c r="R14" i="255"/>
  <c r="U14" i="255"/>
  <c r="T14" i="255"/>
  <c r="Q14" i="255"/>
  <c r="W22" i="255"/>
  <c r="X22" i="255" s="1"/>
  <c r="S22" i="255"/>
  <c r="V22" i="255"/>
  <c r="R22" i="255"/>
  <c r="U22" i="255"/>
  <c r="T22" i="255"/>
  <c r="Q22" i="255"/>
  <c r="W42" i="255"/>
  <c r="X42" i="255" s="1"/>
  <c r="S42" i="255"/>
  <c r="V42" i="255"/>
  <c r="R42" i="255"/>
  <c r="U42" i="255"/>
  <c r="T42" i="255"/>
  <c r="Q42" i="255"/>
  <c r="W50" i="255"/>
  <c r="X50" i="255" s="1"/>
  <c r="S50" i="255"/>
  <c r="V50" i="255"/>
  <c r="R50" i="255"/>
  <c r="U50" i="255"/>
  <c r="T50" i="255"/>
  <c r="Q50" i="255"/>
  <c r="W58" i="255"/>
  <c r="X58" i="255" s="1"/>
  <c r="S58" i="255"/>
  <c r="V58" i="255"/>
  <c r="R58" i="255"/>
  <c r="U58" i="255"/>
  <c r="T58" i="255"/>
  <c r="Q58" i="255"/>
  <c r="W66" i="255"/>
  <c r="X66" i="255" s="1"/>
  <c r="S66" i="255"/>
  <c r="V66" i="255"/>
  <c r="R66" i="255"/>
  <c r="U66" i="255"/>
  <c r="T66" i="255"/>
  <c r="Q66" i="255"/>
  <c r="W78" i="255"/>
  <c r="X78" i="255" s="1"/>
  <c r="S78" i="255"/>
  <c r="V78" i="255"/>
  <c r="R78" i="255"/>
  <c r="U78" i="255"/>
  <c r="T78" i="255"/>
  <c r="Q78" i="255"/>
  <c r="W90" i="255"/>
  <c r="X90" i="255" s="1"/>
  <c r="S90" i="255"/>
  <c r="V90" i="255"/>
  <c r="R90" i="255"/>
  <c r="U90" i="255"/>
  <c r="T90" i="255"/>
  <c r="Q90" i="255"/>
  <c r="W94" i="255"/>
  <c r="X94" i="255" s="1"/>
  <c r="S94" i="255"/>
  <c r="V94" i="255"/>
  <c r="R94" i="255"/>
  <c r="U94" i="255"/>
  <c r="T94" i="255"/>
  <c r="Q94" i="255"/>
  <c r="W98" i="255"/>
  <c r="X98" i="255" s="1"/>
  <c r="S98" i="255"/>
  <c r="V98" i="255"/>
  <c r="R98" i="255"/>
  <c r="U98" i="255"/>
  <c r="T98" i="255"/>
  <c r="Q98" i="255"/>
  <c r="AJ8" i="255"/>
  <c r="AK8" i="255" s="1"/>
  <c r="AF8" i="255"/>
  <c r="AI8" i="255"/>
  <c r="AE8" i="255"/>
  <c r="AH8" i="255"/>
  <c r="AG8" i="255"/>
  <c r="AD8" i="255"/>
  <c r="AJ26" i="255"/>
  <c r="AK26" i="255" s="1"/>
  <c r="AF26" i="255"/>
  <c r="AI26" i="255"/>
  <c r="AE26" i="255"/>
  <c r="AH26" i="255"/>
  <c r="AD26" i="255"/>
  <c r="AG26" i="255"/>
  <c r="AJ42" i="255"/>
  <c r="AK42" i="255" s="1"/>
  <c r="AF42" i="255"/>
  <c r="AI42" i="255"/>
  <c r="AE42" i="255"/>
  <c r="AH42" i="255"/>
  <c r="AD42" i="255"/>
  <c r="AG42" i="255"/>
  <c r="AJ82" i="255"/>
  <c r="AK82" i="255" s="1"/>
  <c r="AF82" i="255"/>
  <c r="AI82" i="255"/>
  <c r="AE82" i="255"/>
  <c r="AH82" i="255"/>
  <c r="AD82" i="255"/>
  <c r="AG82" i="255"/>
  <c r="I8" i="255"/>
  <c r="E8" i="255"/>
  <c r="G8" i="255"/>
  <c r="H8" i="255"/>
  <c r="D8" i="255"/>
  <c r="F8" i="255"/>
  <c r="J8" i="255"/>
  <c r="K8" i="255" s="1"/>
  <c r="I18" i="255"/>
  <c r="E18" i="255"/>
  <c r="G18" i="255"/>
  <c r="H18" i="255"/>
  <c r="D18" i="255"/>
  <c r="F18" i="255"/>
  <c r="J18" i="255"/>
  <c r="K18" i="255" s="1"/>
  <c r="I20" i="255"/>
  <c r="E20" i="255"/>
  <c r="H20" i="255"/>
  <c r="D20" i="255"/>
  <c r="G20" i="255"/>
  <c r="J20" i="255"/>
  <c r="K20" i="255" s="1"/>
  <c r="F20" i="255"/>
  <c r="I30" i="255"/>
  <c r="E30" i="255"/>
  <c r="H30" i="255"/>
  <c r="D30" i="255"/>
  <c r="G30" i="255"/>
  <c r="J30" i="255"/>
  <c r="K30" i="255" s="1"/>
  <c r="F30" i="255"/>
  <c r="I34" i="255"/>
  <c r="E34" i="255"/>
  <c r="F34" i="255"/>
  <c r="H34" i="255"/>
  <c r="D34" i="255"/>
  <c r="G34" i="255"/>
  <c r="J34" i="255"/>
  <c r="K34" i="255" s="1"/>
  <c r="I40" i="255"/>
  <c r="E40" i="255"/>
  <c r="G40" i="255"/>
  <c r="F40" i="255"/>
  <c r="H40" i="255"/>
  <c r="D40" i="255"/>
  <c r="J40" i="255"/>
  <c r="K40" i="255" s="1"/>
  <c r="I46" i="255"/>
  <c r="E46" i="255"/>
  <c r="G46" i="255"/>
  <c r="F46" i="255"/>
  <c r="H46" i="255"/>
  <c r="D46" i="255"/>
  <c r="J46" i="255"/>
  <c r="K46" i="255" s="1"/>
  <c r="I52" i="255"/>
  <c r="E52" i="255"/>
  <c r="G52" i="255"/>
  <c r="F52" i="255"/>
  <c r="H52" i="255"/>
  <c r="D52" i="255"/>
  <c r="J52" i="255"/>
  <c r="K52" i="255" s="1"/>
  <c r="AE5" i="255"/>
  <c r="AD5" i="255"/>
  <c r="AL6" i="255"/>
  <c r="AL7" i="255" s="1"/>
  <c r="AL8" i="255" s="1"/>
  <c r="AL9" i="255" s="1"/>
  <c r="AL10" i="255" s="1"/>
  <c r="AL11" i="255" s="1"/>
  <c r="AL12" i="255" s="1"/>
  <c r="AL13" i="255" s="1"/>
  <c r="AL14" i="255" s="1"/>
  <c r="AL15" i="255" s="1"/>
  <c r="AL16" i="255" s="1"/>
  <c r="AL17" i="255" s="1"/>
  <c r="AL18" i="255" s="1"/>
  <c r="AL19" i="255" s="1"/>
  <c r="AL20" i="255" s="1"/>
  <c r="AL21" i="255" s="1"/>
  <c r="AL22" i="255" s="1"/>
  <c r="AL23" i="255" s="1"/>
  <c r="AL24" i="255" s="1"/>
  <c r="AL25" i="255" s="1"/>
  <c r="AL26" i="255" s="1"/>
  <c r="AL27" i="255" s="1"/>
  <c r="AL28" i="255" s="1"/>
  <c r="AL29" i="255" s="1"/>
  <c r="AL30" i="255" s="1"/>
  <c r="AL31" i="255" s="1"/>
  <c r="AL32" i="255" s="1"/>
  <c r="AL33" i="255" s="1"/>
  <c r="AL34" i="255" s="1"/>
  <c r="AL35" i="255" s="1"/>
  <c r="AL36" i="255" s="1"/>
  <c r="AL37" i="255" s="1"/>
  <c r="AL38" i="255" s="1"/>
  <c r="AL39" i="255" s="1"/>
  <c r="AL40" i="255" s="1"/>
  <c r="AL41" i="255" s="1"/>
  <c r="AL42" i="255" s="1"/>
  <c r="AL43" i="255" s="1"/>
  <c r="AL44" i="255" s="1"/>
  <c r="AL45" i="255" s="1"/>
  <c r="AL46" i="255" s="1"/>
  <c r="AL47" i="255" s="1"/>
  <c r="AL48" i="255" s="1"/>
  <c r="AL49" i="255" s="1"/>
  <c r="AL50" i="255" s="1"/>
  <c r="AL51" i="255" s="1"/>
  <c r="AL52" i="255" s="1"/>
  <c r="AL53" i="255" s="1"/>
  <c r="AL54" i="255" s="1"/>
  <c r="AL55" i="255" s="1"/>
  <c r="AL56" i="255" s="1"/>
  <c r="AL57" i="255" s="1"/>
  <c r="AL58" i="255" s="1"/>
  <c r="AL59" i="255" s="1"/>
  <c r="AL60" i="255" s="1"/>
  <c r="AL61" i="255" s="1"/>
  <c r="AL62" i="255" s="1"/>
  <c r="AL63" i="255" s="1"/>
  <c r="AL64" i="255" s="1"/>
  <c r="AL65" i="255" s="1"/>
  <c r="AL66" i="255" s="1"/>
  <c r="AL67" i="255" s="1"/>
  <c r="AL68" i="255" s="1"/>
  <c r="AL69" i="255" s="1"/>
  <c r="AL70" i="255" s="1"/>
  <c r="AL71" i="255" s="1"/>
  <c r="AL72" i="255" s="1"/>
  <c r="AL73" i="255" s="1"/>
  <c r="AL74" i="255" s="1"/>
  <c r="AL75" i="255" s="1"/>
  <c r="AL76" i="255" s="1"/>
  <c r="AL77" i="255" s="1"/>
  <c r="AL78" i="255" s="1"/>
  <c r="AL79" i="255" s="1"/>
  <c r="AL80" i="255" s="1"/>
  <c r="AL81" i="255" s="1"/>
  <c r="AL82" i="255" s="1"/>
  <c r="AL83" i="255" s="1"/>
  <c r="AL84" i="255" s="1"/>
  <c r="AL85" i="255" s="1"/>
  <c r="AL86" i="255" s="1"/>
  <c r="AL87" i="255" s="1"/>
  <c r="AL88" i="255" s="1"/>
  <c r="AL89" i="255" s="1"/>
  <c r="AL90" i="255" s="1"/>
  <c r="AL91" i="255" s="1"/>
  <c r="AL92" i="255" s="1"/>
  <c r="AL93" i="255" s="1"/>
  <c r="AL94" i="255" s="1"/>
  <c r="AL95" i="255" s="1"/>
  <c r="AL96" i="255" s="1"/>
  <c r="AL97" i="255" s="1"/>
  <c r="AL98" i="255" s="1"/>
  <c r="AL99" i="255" s="1"/>
  <c r="AL100" i="255" s="1"/>
  <c r="AL101" i="255" s="1"/>
  <c r="AJ12" i="255"/>
  <c r="AK12" i="255" s="1"/>
  <c r="AF12" i="255"/>
  <c r="AI12" i="255"/>
  <c r="AE12" i="255"/>
  <c r="AH12" i="255"/>
  <c r="AD12" i="255"/>
  <c r="AG12" i="255"/>
  <c r="AJ20" i="255"/>
  <c r="AK20" i="255" s="1"/>
  <c r="AF20" i="255"/>
  <c r="AI20" i="255"/>
  <c r="AE20" i="255"/>
  <c r="AH20" i="255"/>
  <c r="AD20" i="255"/>
  <c r="AG20" i="255"/>
  <c r="AJ28" i="255"/>
  <c r="AK28" i="255" s="1"/>
  <c r="AF28" i="255"/>
  <c r="AI28" i="255"/>
  <c r="AE28" i="255"/>
  <c r="AH28" i="255"/>
  <c r="AD28" i="255"/>
  <c r="AG28" i="255"/>
  <c r="AJ36" i="255"/>
  <c r="AK36" i="255" s="1"/>
  <c r="AF36" i="255"/>
  <c r="AI36" i="255"/>
  <c r="AE36" i="255"/>
  <c r="AH36" i="255"/>
  <c r="AD36" i="255"/>
  <c r="AG36" i="255"/>
  <c r="AJ44" i="255"/>
  <c r="AK44" i="255" s="1"/>
  <c r="AF44" i="255"/>
  <c r="AI44" i="255"/>
  <c r="AE44" i="255"/>
  <c r="AH44" i="255"/>
  <c r="AD44" i="255"/>
  <c r="AG44" i="255"/>
  <c r="AJ52" i="255"/>
  <c r="AK52" i="255" s="1"/>
  <c r="AF52" i="255"/>
  <c r="AI52" i="255"/>
  <c r="AE52" i="255"/>
  <c r="AH52" i="255"/>
  <c r="AD52" i="255"/>
  <c r="AG52" i="255"/>
  <c r="AJ60" i="255"/>
  <c r="AK60" i="255" s="1"/>
  <c r="AF60" i="255"/>
  <c r="AI60" i="255"/>
  <c r="AE60" i="255"/>
  <c r="AH60" i="255"/>
  <c r="AD60" i="255"/>
  <c r="AG60" i="255"/>
  <c r="AJ68" i="255"/>
  <c r="AK68" i="255" s="1"/>
  <c r="AF68" i="255"/>
  <c r="AI68" i="255"/>
  <c r="AE68" i="255"/>
  <c r="AH68" i="255"/>
  <c r="AD68" i="255"/>
  <c r="AG68" i="255"/>
  <c r="AJ76" i="255"/>
  <c r="AK76" i="255" s="1"/>
  <c r="AF76" i="255"/>
  <c r="AI76" i="255"/>
  <c r="AE76" i="255"/>
  <c r="AH76" i="255"/>
  <c r="AD76" i="255"/>
  <c r="AG76" i="255"/>
  <c r="AJ84" i="255"/>
  <c r="AK84" i="255" s="1"/>
  <c r="AF84" i="255"/>
  <c r="AI84" i="255"/>
  <c r="AE84" i="255"/>
  <c r="AH84" i="255"/>
  <c r="AD84" i="255"/>
  <c r="AG84" i="255"/>
  <c r="BW36" i="255"/>
  <c r="BX36" i="255" s="1"/>
  <c r="BS36" i="255"/>
  <c r="BT36" i="255"/>
  <c r="BR36" i="255"/>
  <c r="BV36" i="255"/>
  <c r="BU36" i="255"/>
  <c r="BQ36" i="255"/>
  <c r="J56" i="255"/>
  <c r="K56" i="255" s="1"/>
  <c r="F56" i="255"/>
  <c r="I56" i="255"/>
  <c r="E56" i="255"/>
  <c r="H56" i="255"/>
  <c r="D56" i="255"/>
  <c r="G56" i="255"/>
  <c r="J72" i="255"/>
  <c r="K72" i="255" s="1"/>
  <c r="F72" i="255"/>
  <c r="I72" i="255"/>
  <c r="E72" i="255"/>
  <c r="H72" i="255"/>
  <c r="G72" i="255"/>
  <c r="D72" i="255"/>
  <c r="J84" i="255"/>
  <c r="K84" i="255" s="1"/>
  <c r="F84" i="255"/>
  <c r="I84" i="255"/>
  <c r="E84" i="255"/>
  <c r="H84" i="255"/>
  <c r="G84" i="255"/>
  <c r="D84" i="255"/>
  <c r="J88" i="255"/>
  <c r="K88" i="255" s="1"/>
  <c r="F88" i="255"/>
  <c r="I88" i="255"/>
  <c r="E88" i="255"/>
  <c r="H88" i="255"/>
  <c r="G88" i="255"/>
  <c r="D88" i="255"/>
  <c r="J96" i="255"/>
  <c r="K96" i="255" s="1"/>
  <c r="F96" i="255"/>
  <c r="I96" i="255"/>
  <c r="E96" i="255"/>
  <c r="H96" i="255"/>
  <c r="G96" i="255"/>
  <c r="D96" i="255"/>
  <c r="W6" i="255"/>
  <c r="X6" i="255" s="1"/>
  <c r="S6" i="255"/>
  <c r="V6" i="255"/>
  <c r="R6" i="255"/>
  <c r="U6" i="255"/>
  <c r="T6" i="255"/>
  <c r="Q6" i="255"/>
  <c r="W18" i="255"/>
  <c r="X18" i="255" s="1"/>
  <c r="S18" i="255"/>
  <c r="V18" i="255"/>
  <c r="R18" i="255"/>
  <c r="U18" i="255"/>
  <c r="T18" i="255"/>
  <c r="Q18" i="255"/>
  <c r="W26" i="255"/>
  <c r="X26" i="255" s="1"/>
  <c r="S26" i="255"/>
  <c r="V26" i="255"/>
  <c r="R26" i="255"/>
  <c r="U26" i="255"/>
  <c r="T26" i="255"/>
  <c r="Q26" i="255"/>
  <c r="W34" i="255"/>
  <c r="X34" i="255" s="1"/>
  <c r="S34" i="255"/>
  <c r="V34" i="255"/>
  <c r="R34" i="255"/>
  <c r="U34" i="255"/>
  <c r="T34" i="255"/>
  <c r="Q34" i="255"/>
  <c r="W70" i="255"/>
  <c r="X70" i="255" s="1"/>
  <c r="S70" i="255"/>
  <c r="V70" i="255"/>
  <c r="R70" i="255"/>
  <c r="U70" i="255"/>
  <c r="T70" i="255"/>
  <c r="Q70" i="255"/>
  <c r="W74" i="255"/>
  <c r="X74" i="255" s="1"/>
  <c r="S74" i="255"/>
  <c r="V74" i="255"/>
  <c r="R74" i="255"/>
  <c r="U74" i="255"/>
  <c r="T74" i="255"/>
  <c r="Q74" i="255"/>
  <c r="W82" i="255"/>
  <c r="X82" i="255" s="1"/>
  <c r="S82" i="255"/>
  <c r="V82" i="255"/>
  <c r="R82" i="255"/>
  <c r="U82" i="255"/>
  <c r="T82" i="255"/>
  <c r="Q82" i="255"/>
  <c r="W86" i="255"/>
  <c r="X86" i="255" s="1"/>
  <c r="S86" i="255"/>
  <c r="V86" i="255"/>
  <c r="R86" i="255"/>
  <c r="U86" i="255"/>
  <c r="T86" i="255"/>
  <c r="Q86" i="255"/>
  <c r="AJ10" i="255"/>
  <c r="AK10" i="255" s="1"/>
  <c r="AF10" i="255"/>
  <c r="AI10" i="255"/>
  <c r="AE10" i="255"/>
  <c r="AH10" i="255"/>
  <c r="AD10" i="255"/>
  <c r="AG10" i="255"/>
  <c r="AJ34" i="255"/>
  <c r="AK34" i="255" s="1"/>
  <c r="AF34" i="255"/>
  <c r="AI34" i="255"/>
  <c r="AE34" i="255"/>
  <c r="AH34" i="255"/>
  <c r="AD34" i="255"/>
  <c r="AG34" i="255"/>
  <c r="AJ58" i="255"/>
  <c r="AK58" i="255" s="1"/>
  <c r="AF58" i="255"/>
  <c r="AI58" i="255"/>
  <c r="AE58" i="255"/>
  <c r="AH58" i="255"/>
  <c r="AD58" i="255"/>
  <c r="AG58" i="255"/>
  <c r="AJ74" i="255"/>
  <c r="AK74" i="255" s="1"/>
  <c r="AF74" i="255"/>
  <c r="AI74" i="255"/>
  <c r="AE74" i="255"/>
  <c r="AH74" i="255"/>
  <c r="AD74" i="255"/>
  <c r="AG74" i="255"/>
  <c r="I6" i="255"/>
  <c r="E6" i="255"/>
  <c r="G6" i="255"/>
  <c r="H6" i="255"/>
  <c r="D6" i="255"/>
  <c r="J6" i="255"/>
  <c r="K6" i="255" s="1"/>
  <c r="F6" i="255"/>
  <c r="I10" i="255"/>
  <c r="E10" i="255"/>
  <c r="G10" i="255"/>
  <c r="H10" i="255"/>
  <c r="D10" i="255"/>
  <c r="J10" i="255"/>
  <c r="K10" i="255" s="1"/>
  <c r="F10" i="255"/>
  <c r="I14" i="255"/>
  <c r="E14" i="255"/>
  <c r="G14" i="255"/>
  <c r="H14" i="255"/>
  <c r="D14" i="255"/>
  <c r="J14" i="255"/>
  <c r="K14" i="255" s="1"/>
  <c r="F14" i="255"/>
  <c r="I24" i="255"/>
  <c r="E24" i="255"/>
  <c r="H24" i="255"/>
  <c r="D24" i="255"/>
  <c r="G24" i="255"/>
  <c r="F24" i="255"/>
  <c r="J24" i="255"/>
  <c r="K24" i="255" s="1"/>
  <c r="I28" i="255"/>
  <c r="E28" i="255"/>
  <c r="G28" i="255"/>
  <c r="J28" i="255"/>
  <c r="K28" i="255" s="1"/>
  <c r="H28" i="255"/>
  <c r="D28" i="255"/>
  <c r="F28" i="255"/>
  <c r="I36" i="255"/>
  <c r="E36" i="255"/>
  <c r="G36" i="255"/>
  <c r="F36" i="255"/>
  <c r="H36" i="255"/>
  <c r="D36" i="255"/>
  <c r="J36" i="255"/>
  <c r="K36" i="255" s="1"/>
  <c r="I38" i="255"/>
  <c r="E38" i="255"/>
  <c r="G38" i="255"/>
  <c r="H38" i="255"/>
  <c r="D38" i="255"/>
  <c r="J38" i="255"/>
  <c r="K38" i="255" s="1"/>
  <c r="F38" i="255"/>
  <c r="I44" i="255"/>
  <c r="E44" i="255"/>
  <c r="G44" i="255"/>
  <c r="J44" i="255"/>
  <c r="K44" i="255" s="1"/>
  <c r="H44" i="255"/>
  <c r="D44" i="255"/>
  <c r="F44" i="255"/>
  <c r="I50" i="255"/>
  <c r="E50" i="255"/>
  <c r="G50" i="255"/>
  <c r="J50" i="255"/>
  <c r="K50" i="255" s="1"/>
  <c r="H50" i="255"/>
  <c r="D50" i="255"/>
  <c r="F50" i="255"/>
  <c r="D5" i="255"/>
  <c r="L6" i="255"/>
  <c r="L7" i="255" s="1"/>
  <c r="L8" i="255" s="1"/>
  <c r="L9" i="255" s="1"/>
  <c r="L10" i="255" s="1"/>
  <c r="L11" i="255" s="1"/>
  <c r="L12" i="255" s="1"/>
  <c r="L13" i="255" s="1"/>
  <c r="L14" i="255" s="1"/>
  <c r="L15" i="255" s="1"/>
  <c r="L16" i="255" s="1"/>
  <c r="L17" i="255" s="1"/>
  <c r="L18" i="255" s="1"/>
  <c r="L19" i="255" s="1"/>
  <c r="L20" i="255" s="1"/>
  <c r="L21" i="255" s="1"/>
  <c r="L22" i="255" s="1"/>
  <c r="L23" i="255" s="1"/>
  <c r="L24" i="255" s="1"/>
  <c r="L25" i="255" s="1"/>
  <c r="L26" i="255" s="1"/>
  <c r="L27" i="255" s="1"/>
  <c r="L28" i="255" s="1"/>
  <c r="L29" i="255" s="1"/>
  <c r="L30" i="255" s="1"/>
  <c r="L31" i="255" s="1"/>
  <c r="L32" i="255" s="1"/>
  <c r="L33" i="255" s="1"/>
  <c r="L34" i="255" s="1"/>
  <c r="L35" i="255" s="1"/>
  <c r="L36" i="255" s="1"/>
  <c r="L37" i="255" s="1"/>
  <c r="L38" i="255" s="1"/>
  <c r="L39" i="255" s="1"/>
  <c r="L40" i="255" s="1"/>
  <c r="L41" i="255" s="1"/>
  <c r="L42" i="255" s="1"/>
  <c r="L43" i="255" s="1"/>
  <c r="L44" i="255" s="1"/>
  <c r="L45" i="255" s="1"/>
  <c r="L46" i="255" s="1"/>
  <c r="L47" i="255" s="1"/>
  <c r="L48" i="255" s="1"/>
  <c r="L49" i="255" s="1"/>
  <c r="L50" i="255" s="1"/>
  <c r="L51" i="255" s="1"/>
  <c r="L52" i="255" s="1"/>
  <c r="L53" i="255" s="1"/>
  <c r="L54" i="255" s="1"/>
  <c r="L55" i="255" s="1"/>
  <c r="L56" i="255" s="1"/>
  <c r="L57" i="255" s="1"/>
  <c r="L58" i="255" s="1"/>
  <c r="L59" i="255" s="1"/>
  <c r="L60" i="255" s="1"/>
  <c r="L61" i="255" s="1"/>
  <c r="L62" i="255" s="1"/>
  <c r="L63" i="255" s="1"/>
  <c r="L64" i="255" s="1"/>
  <c r="L65" i="255" s="1"/>
  <c r="L66" i="255" s="1"/>
  <c r="L67" i="255" s="1"/>
  <c r="L68" i="255" s="1"/>
  <c r="L69" i="255" s="1"/>
  <c r="L70" i="255" s="1"/>
  <c r="L71" i="255" s="1"/>
  <c r="L72" i="255" s="1"/>
  <c r="L73" i="255" s="1"/>
  <c r="L74" i="255" s="1"/>
  <c r="L75" i="255" s="1"/>
  <c r="L76" i="255" s="1"/>
  <c r="L77" i="255" s="1"/>
  <c r="L78" i="255" s="1"/>
  <c r="L79" i="255" s="1"/>
  <c r="L80" i="255" s="1"/>
  <c r="L81" i="255" s="1"/>
  <c r="L82" i="255" s="1"/>
  <c r="L83" i="255" s="1"/>
  <c r="L84" i="255" s="1"/>
  <c r="L85" i="255" s="1"/>
  <c r="L86" i="255" s="1"/>
  <c r="L87" i="255" s="1"/>
  <c r="L88" i="255" s="1"/>
  <c r="L89" i="255" s="1"/>
  <c r="L90" i="255" s="1"/>
  <c r="L91" i="255" s="1"/>
  <c r="L92" i="255" s="1"/>
  <c r="L93" i="255" s="1"/>
  <c r="L94" i="255" s="1"/>
  <c r="L95" i="255" s="1"/>
  <c r="L96" i="255" s="1"/>
  <c r="L97" i="255" s="1"/>
  <c r="L98" i="255" s="1"/>
  <c r="L99" i="255" s="1"/>
  <c r="L100" i="255" s="1"/>
  <c r="L101" i="255" s="1"/>
  <c r="E5" i="255"/>
  <c r="J58" i="255"/>
  <c r="K58" i="255" s="1"/>
  <c r="F58" i="255"/>
  <c r="I58" i="255"/>
  <c r="E58" i="255"/>
  <c r="D58" i="255"/>
  <c r="H58" i="255"/>
  <c r="G58" i="255"/>
  <c r="J62" i="255"/>
  <c r="K62" i="255" s="1"/>
  <c r="F62" i="255"/>
  <c r="I62" i="255"/>
  <c r="E62" i="255"/>
  <c r="D62" i="255"/>
  <c r="H62" i="255"/>
  <c r="G62" i="255"/>
  <c r="J66" i="255"/>
  <c r="K66" i="255" s="1"/>
  <c r="F66" i="255"/>
  <c r="I66" i="255"/>
  <c r="E66" i="255"/>
  <c r="D66" i="255"/>
  <c r="H66" i="255"/>
  <c r="G66" i="255"/>
  <c r="J70" i="255"/>
  <c r="K70" i="255" s="1"/>
  <c r="F70" i="255"/>
  <c r="I70" i="255"/>
  <c r="E70" i="255"/>
  <c r="D70" i="255"/>
  <c r="H70" i="255"/>
  <c r="G70" i="255"/>
  <c r="J74" i="255"/>
  <c r="K74" i="255" s="1"/>
  <c r="F74" i="255"/>
  <c r="I74" i="255"/>
  <c r="E74" i="255"/>
  <c r="D74" i="255"/>
  <c r="H74" i="255"/>
  <c r="G74" i="255"/>
  <c r="J78" i="255"/>
  <c r="K78" i="255" s="1"/>
  <c r="F78" i="255"/>
  <c r="I78" i="255"/>
  <c r="E78" i="255"/>
  <c r="D78" i="255"/>
  <c r="G78" i="255"/>
  <c r="H78" i="255"/>
  <c r="J82" i="255"/>
  <c r="K82" i="255" s="1"/>
  <c r="F82" i="255"/>
  <c r="I82" i="255"/>
  <c r="E82" i="255"/>
  <c r="D82" i="255"/>
  <c r="H82" i="255"/>
  <c r="G82" i="255"/>
  <c r="J86" i="255"/>
  <c r="K86" i="255" s="1"/>
  <c r="F86" i="255"/>
  <c r="I86" i="255"/>
  <c r="E86" i="255"/>
  <c r="D86" i="255"/>
  <c r="H86" i="255"/>
  <c r="G86" i="255"/>
  <c r="J90" i="255"/>
  <c r="K90" i="255" s="1"/>
  <c r="F90" i="255"/>
  <c r="I90" i="255"/>
  <c r="E90" i="255"/>
  <c r="D90" i="255"/>
  <c r="G90" i="255"/>
  <c r="H90" i="255"/>
  <c r="J94" i="255"/>
  <c r="K94" i="255" s="1"/>
  <c r="F94" i="255"/>
  <c r="I94" i="255"/>
  <c r="E94" i="255"/>
  <c r="D94" i="255"/>
  <c r="G94" i="255"/>
  <c r="H94" i="255"/>
  <c r="J98" i="255"/>
  <c r="K98" i="255" s="1"/>
  <c r="F98" i="255"/>
  <c r="I98" i="255"/>
  <c r="E98" i="255"/>
  <c r="D98" i="255"/>
  <c r="H98" i="255"/>
  <c r="G98" i="255"/>
  <c r="B1" i="255"/>
  <c r="W8" i="255"/>
  <c r="X8" i="255" s="1"/>
  <c r="S8" i="255"/>
  <c r="V8" i="255"/>
  <c r="R8" i="255"/>
  <c r="Q8" i="255"/>
  <c r="T8" i="255"/>
  <c r="U8" i="255"/>
  <c r="W12" i="255"/>
  <c r="X12" i="255" s="1"/>
  <c r="S12" i="255"/>
  <c r="V12" i="255"/>
  <c r="R12" i="255"/>
  <c r="Q12" i="255"/>
  <c r="T12" i="255"/>
  <c r="U12" i="255"/>
  <c r="W16" i="255"/>
  <c r="X16" i="255" s="1"/>
  <c r="S16" i="255"/>
  <c r="V16" i="255"/>
  <c r="R16" i="255"/>
  <c r="Q16" i="255"/>
  <c r="T16" i="255"/>
  <c r="U16" i="255"/>
  <c r="W20" i="255"/>
  <c r="X20" i="255" s="1"/>
  <c r="S20" i="255"/>
  <c r="V20" i="255"/>
  <c r="R20" i="255"/>
  <c r="Q20" i="255"/>
  <c r="T20" i="255"/>
  <c r="U20" i="255"/>
  <c r="W24" i="255"/>
  <c r="X24" i="255" s="1"/>
  <c r="S24" i="255"/>
  <c r="V24" i="255"/>
  <c r="R24" i="255"/>
  <c r="Q24" i="255"/>
  <c r="U24" i="255"/>
  <c r="T24" i="255"/>
  <c r="W28" i="255"/>
  <c r="X28" i="255" s="1"/>
  <c r="S28" i="255"/>
  <c r="V28" i="255"/>
  <c r="R28" i="255"/>
  <c r="Q28" i="255"/>
  <c r="U28" i="255"/>
  <c r="T28" i="255"/>
  <c r="W32" i="255"/>
  <c r="X32" i="255" s="1"/>
  <c r="S32" i="255"/>
  <c r="V32" i="255"/>
  <c r="R32" i="255"/>
  <c r="Q32" i="255"/>
  <c r="U32" i="255"/>
  <c r="T32" i="255"/>
  <c r="W36" i="255"/>
  <c r="X36" i="255" s="1"/>
  <c r="S36" i="255"/>
  <c r="V36" i="255"/>
  <c r="R36" i="255"/>
  <c r="Q36" i="255"/>
  <c r="U36" i="255"/>
  <c r="T36" i="255"/>
  <c r="W40" i="255"/>
  <c r="X40" i="255" s="1"/>
  <c r="S40" i="255"/>
  <c r="V40" i="255"/>
  <c r="R40" i="255"/>
  <c r="Q40" i="255"/>
  <c r="T40" i="255"/>
  <c r="U40" i="255"/>
  <c r="W44" i="255"/>
  <c r="X44" i="255" s="1"/>
  <c r="S44" i="255"/>
  <c r="V44" i="255"/>
  <c r="R44" i="255"/>
  <c r="Q44" i="255"/>
  <c r="T44" i="255"/>
  <c r="U44" i="255"/>
  <c r="W48" i="255"/>
  <c r="X48" i="255" s="1"/>
  <c r="S48" i="255"/>
  <c r="V48" i="255"/>
  <c r="R48" i="255"/>
  <c r="Q48" i="255"/>
  <c r="T48" i="255"/>
  <c r="U48" i="255"/>
  <c r="W52" i="255"/>
  <c r="X52" i="255" s="1"/>
  <c r="S52" i="255"/>
  <c r="V52" i="255"/>
  <c r="R52" i="255"/>
  <c r="Q52" i="255"/>
  <c r="T52" i="255"/>
  <c r="U52" i="255"/>
  <c r="W56" i="255"/>
  <c r="X56" i="255" s="1"/>
  <c r="S56" i="255"/>
  <c r="V56" i="255"/>
  <c r="R56" i="255"/>
  <c r="Q56" i="255"/>
  <c r="T56" i="255"/>
  <c r="U56" i="255"/>
  <c r="W60" i="255"/>
  <c r="X60" i="255" s="1"/>
  <c r="S60" i="255"/>
  <c r="V60" i="255"/>
  <c r="R60" i="255"/>
  <c r="Q60" i="255"/>
  <c r="T60" i="255"/>
  <c r="U60" i="255"/>
  <c r="W64" i="255"/>
  <c r="X64" i="255" s="1"/>
  <c r="S64" i="255"/>
  <c r="V64" i="255"/>
  <c r="R64" i="255"/>
  <c r="Q64" i="255"/>
  <c r="T64" i="255"/>
  <c r="U64" i="255"/>
  <c r="W68" i="255"/>
  <c r="X68" i="255" s="1"/>
  <c r="S68" i="255"/>
  <c r="V68" i="255"/>
  <c r="R68" i="255"/>
  <c r="Q68" i="255"/>
  <c r="U68" i="255"/>
  <c r="T68" i="255"/>
  <c r="W72" i="255"/>
  <c r="X72" i="255" s="1"/>
  <c r="S72" i="255"/>
  <c r="V72" i="255"/>
  <c r="R72" i="255"/>
  <c r="Q72" i="255"/>
  <c r="U72" i="255"/>
  <c r="T72" i="255"/>
  <c r="W76" i="255"/>
  <c r="X76" i="255" s="1"/>
  <c r="S76" i="255"/>
  <c r="V76" i="255"/>
  <c r="R76" i="255"/>
  <c r="Q76" i="255"/>
  <c r="T76" i="255"/>
  <c r="U76" i="255"/>
  <c r="W80" i="255"/>
  <c r="X80" i="255" s="1"/>
  <c r="S80" i="255"/>
  <c r="V80" i="255"/>
  <c r="R80" i="255"/>
  <c r="Q80" i="255"/>
  <c r="T80" i="255"/>
  <c r="U80" i="255"/>
  <c r="W84" i="255"/>
  <c r="X84" i="255" s="1"/>
  <c r="S84" i="255"/>
  <c r="V84" i="255"/>
  <c r="R84" i="255"/>
  <c r="Q84" i="255"/>
  <c r="T84" i="255"/>
  <c r="U84" i="255"/>
  <c r="W88" i="255"/>
  <c r="X88" i="255" s="1"/>
  <c r="S88" i="255"/>
  <c r="V88" i="255"/>
  <c r="R88" i="255"/>
  <c r="Q88" i="255"/>
  <c r="T88" i="255"/>
  <c r="U88" i="255"/>
  <c r="W92" i="255"/>
  <c r="X92" i="255" s="1"/>
  <c r="S92" i="255"/>
  <c r="V92" i="255"/>
  <c r="R92" i="255"/>
  <c r="Q92" i="255"/>
  <c r="T92" i="255"/>
  <c r="U92" i="255"/>
  <c r="W96" i="255"/>
  <c r="X96" i="255" s="1"/>
  <c r="S96" i="255"/>
  <c r="V96" i="255"/>
  <c r="R96" i="255"/>
  <c r="Q96" i="255"/>
  <c r="T96" i="255"/>
  <c r="U96" i="255"/>
  <c r="W100" i="255"/>
  <c r="X100" i="255" s="1"/>
  <c r="S100" i="255"/>
  <c r="V100" i="255"/>
  <c r="R100" i="255"/>
  <c r="Q100" i="255"/>
  <c r="U100" i="255"/>
  <c r="T100" i="255"/>
  <c r="AJ6" i="255"/>
  <c r="AK6" i="255" s="1"/>
  <c r="AF6" i="255"/>
  <c r="AI6" i="255"/>
  <c r="AE6" i="255"/>
  <c r="AD6" i="255"/>
  <c r="AG6" i="255"/>
  <c r="AH6" i="255"/>
  <c r="AJ14" i="255"/>
  <c r="AK14" i="255" s="1"/>
  <c r="AF14" i="255"/>
  <c r="AI14" i="255"/>
  <c r="AE14" i="255"/>
  <c r="AH14" i="255"/>
  <c r="AD14" i="255"/>
  <c r="AG14" i="255"/>
  <c r="AJ22" i="255"/>
  <c r="AK22" i="255" s="1"/>
  <c r="AF22" i="255"/>
  <c r="AI22" i="255"/>
  <c r="AE22" i="255"/>
  <c r="AH22" i="255"/>
  <c r="AD22" i="255"/>
  <c r="AG22" i="255"/>
  <c r="AJ30" i="255"/>
  <c r="AK30" i="255" s="1"/>
  <c r="AF30" i="255"/>
  <c r="AI30" i="255"/>
  <c r="AE30" i="255"/>
  <c r="AH30" i="255"/>
  <c r="AD30" i="255"/>
  <c r="AG30" i="255"/>
  <c r="AJ38" i="255"/>
  <c r="AK38" i="255" s="1"/>
  <c r="AF38" i="255"/>
  <c r="AI38" i="255"/>
  <c r="AE38" i="255"/>
  <c r="AH38" i="255"/>
  <c r="AD38" i="255"/>
  <c r="AG38" i="255"/>
  <c r="AJ46" i="255"/>
  <c r="AK46" i="255" s="1"/>
  <c r="AF46" i="255"/>
  <c r="AI46" i="255"/>
  <c r="AE46" i="255"/>
  <c r="AH46" i="255"/>
  <c r="AD46" i="255"/>
  <c r="AG46" i="255"/>
  <c r="AJ54" i="255"/>
  <c r="AK54" i="255" s="1"/>
  <c r="AF54" i="255"/>
  <c r="AI54" i="255"/>
  <c r="AE54" i="255"/>
  <c r="AH54" i="255"/>
  <c r="AD54" i="255"/>
  <c r="AG54" i="255"/>
  <c r="AJ62" i="255"/>
  <c r="AK62" i="255" s="1"/>
  <c r="AF62" i="255"/>
  <c r="AI62" i="255"/>
  <c r="AE62" i="255"/>
  <c r="AH62" i="255"/>
  <c r="AD62" i="255"/>
  <c r="AG62" i="255"/>
  <c r="AJ70" i="255"/>
  <c r="AK70" i="255" s="1"/>
  <c r="AF70" i="255"/>
  <c r="AI70" i="255"/>
  <c r="AE70" i="255"/>
  <c r="AH70" i="255"/>
  <c r="AD70" i="255"/>
  <c r="AG70" i="255"/>
  <c r="AJ78" i="255"/>
  <c r="AK78" i="255" s="1"/>
  <c r="AF78" i="255"/>
  <c r="AI78" i="255"/>
  <c r="AE78" i="255"/>
  <c r="AH78" i="255"/>
  <c r="AD78" i="255"/>
  <c r="AG78" i="255"/>
  <c r="AJ86" i="255"/>
  <c r="AK86" i="255" s="1"/>
  <c r="AF86" i="255"/>
  <c r="AI86" i="255"/>
  <c r="AE86" i="255"/>
  <c r="AH86" i="255"/>
  <c r="AD86" i="255"/>
  <c r="AG86" i="255"/>
  <c r="BJ94" i="255"/>
  <c r="BK94" i="255" s="1"/>
  <c r="BF94" i="255"/>
  <c r="BI94" i="255"/>
  <c r="BE94" i="255"/>
  <c r="BH94" i="255"/>
  <c r="BG94" i="255"/>
  <c r="BD94" i="255"/>
  <c r="J60" i="255"/>
  <c r="K60" i="255" s="1"/>
  <c r="F60" i="255"/>
  <c r="I60" i="255"/>
  <c r="E60" i="255"/>
  <c r="H60" i="255"/>
  <c r="G60" i="255"/>
  <c r="D60" i="255"/>
  <c r="J64" i="255"/>
  <c r="K64" i="255" s="1"/>
  <c r="F64" i="255"/>
  <c r="I64" i="255"/>
  <c r="E64" i="255"/>
  <c r="H64" i="255"/>
  <c r="D64" i="255"/>
  <c r="G64" i="255"/>
  <c r="J68" i="255"/>
  <c r="K68" i="255" s="1"/>
  <c r="F68" i="255"/>
  <c r="I68" i="255"/>
  <c r="E68" i="255"/>
  <c r="H68" i="255"/>
  <c r="G68" i="255"/>
  <c r="D68" i="255"/>
  <c r="J76" i="255"/>
  <c r="K76" i="255" s="1"/>
  <c r="F76" i="255"/>
  <c r="I76" i="255"/>
  <c r="E76" i="255"/>
  <c r="H76" i="255"/>
  <c r="D76" i="255"/>
  <c r="G76" i="255"/>
  <c r="J92" i="255"/>
  <c r="K92" i="255" s="1"/>
  <c r="F92" i="255"/>
  <c r="I92" i="255"/>
  <c r="E92" i="255"/>
  <c r="H92" i="255"/>
  <c r="G92" i="255"/>
  <c r="D92" i="255"/>
  <c r="J100" i="255"/>
  <c r="K100" i="255" s="1"/>
  <c r="F100" i="255"/>
  <c r="I100" i="255"/>
  <c r="E100" i="255"/>
  <c r="H100" i="255"/>
  <c r="G100" i="255"/>
  <c r="D100" i="255"/>
  <c r="W10" i="255"/>
  <c r="X10" i="255" s="1"/>
  <c r="S10" i="255"/>
  <c r="V10" i="255"/>
  <c r="R10" i="255"/>
  <c r="U10" i="255"/>
  <c r="T10" i="255"/>
  <c r="Q10" i="255"/>
  <c r="W30" i="255"/>
  <c r="X30" i="255" s="1"/>
  <c r="S30" i="255"/>
  <c r="V30" i="255"/>
  <c r="R30" i="255"/>
  <c r="U30" i="255"/>
  <c r="T30" i="255"/>
  <c r="Q30" i="255"/>
  <c r="W38" i="255"/>
  <c r="X38" i="255" s="1"/>
  <c r="S38" i="255"/>
  <c r="V38" i="255"/>
  <c r="R38" i="255"/>
  <c r="U38" i="255"/>
  <c r="T38" i="255"/>
  <c r="Q38" i="255"/>
  <c r="W46" i="255"/>
  <c r="X46" i="255" s="1"/>
  <c r="S46" i="255"/>
  <c r="V46" i="255"/>
  <c r="R46" i="255"/>
  <c r="U46" i="255"/>
  <c r="T46" i="255"/>
  <c r="Q46" i="255"/>
  <c r="W54" i="255"/>
  <c r="X54" i="255" s="1"/>
  <c r="S54" i="255"/>
  <c r="V54" i="255"/>
  <c r="R54" i="255"/>
  <c r="U54" i="255"/>
  <c r="T54" i="255"/>
  <c r="Q54" i="255"/>
  <c r="W62" i="255"/>
  <c r="X62" i="255" s="1"/>
  <c r="S62" i="255"/>
  <c r="V62" i="255"/>
  <c r="R62" i="255"/>
  <c r="U62" i="255"/>
  <c r="T62" i="255"/>
  <c r="Q62" i="255"/>
  <c r="AJ18" i="255"/>
  <c r="AK18" i="255" s="1"/>
  <c r="AF18" i="255"/>
  <c r="AI18" i="255"/>
  <c r="AE18" i="255"/>
  <c r="AH18" i="255"/>
  <c r="AD18" i="255"/>
  <c r="AG18" i="255"/>
  <c r="AJ50" i="255"/>
  <c r="AK50" i="255" s="1"/>
  <c r="AF50" i="255"/>
  <c r="AI50" i="255"/>
  <c r="AE50" i="255"/>
  <c r="AH50" i="255"/>
  <c r="AD50" i="255"/>
  <c r="AG50" i="255"/>
  <c r="AJ66" i="255"/>
  <c r="AK66" i="255" s="1"/>
  <c r="AF66" i="255"/>
  <c r="AI66" i="255"/>
  <c r="AE66" i="255"/>
  <c r="AH66" i="255"/>
  <c r="AD66" i="255"/>
  <c r="AG66" i="255"/>
  <c r="I12" i="255"/>
  <c r="E12" i="255"/>
  <c r="G12" i="255"/>
  <c r="H12" i="255"/>
  <c r="D12" i="255"/>
  <c r="J12" i="255"/>
  <c r="K12" i="255" s="1"/>
  <c r="F12" i="255"/>
  <c r="I16" i="255"/>
  <c r="E16" i="255"/>
  <c r="H16" i="255"/>
  <c r="D16" i="255"/>
  <c r="G16" i="255"/>
  <c r="F16" i="255"/>
  <c r="J16" i="255"/>
  <c r="K16" i="255" s="1"/>
  <c r="I22" i="255"/>
  <c r="E22" i="255"/>
  <c r="J22" i="255"/>
  <c r="K22" i="255" s="1"/>
  <c r="H22" i="255"/>
  <c r="D22" i="255"/>
  <c r="G22" i="255"/>
  <c r="F22" i="255"/>
  <c r="I26" i="255"/>
  <c r="E26" i="255"/>
  <c r="J26" i="255"/>
  <c r="K26" i="255" s="1"/>
  <c r="H26" i="255"/>
  <c r="D26" i="255"/>
  <c r="G26" i="255"/>
  <c r="F26" i="255"/>
  <c r="I32" i="255"/>
  <c r="E32" i="255"/>
  <c r="G32" i="255"/>
  <c r="H32" i="255"/>
  <c r="D32" i="255"/>
  <c r="J32" i="255"/>
  <c r="K32" i="255" s="1"/>
  <c r="F32" i="255"/>
  <c r="I42" i="255"/>
  <c r="E42" i="255"/>
  <c r="F42" i="255"/>
  <c r="H42" i="255"/>
  <c r="D42" i="255"/>
  <c r="G42" i="255"/>
  <c r="J42" i="255"/>
  <c r="K42" i="255" s="1"/>
  <c r="I48" i="255"/>
  <c r="E48" i="255"/>
  <c r="G48" i="255"/>
  <c r="J48" i="255"/>
  <c r="K48" i="255" s="1"/>
  <c r="H48" i="255"/>
  <c r="D48" i="255"/>
  <c r="F48" i="255"/>
  <c r="I54" i="255"/>
  <c r="E54" i="255"/>
  <c r="G54" i="255"/>
  <c r="F54" i="255"/>
  <c r="H54" i="255"/>
  <c r="D54" i="255"/>
  <c r="J54" i="255"/>
  <c r="K54" i="255" s="1"/>
  <c r="G7" i="255"/>
  <c r="E7" i="255"/>
  <c r="J7" i="255"/>
  <c r="K7" i="255" s="1"/>
  <c r="F7" i="255"/>
  <c r="I7" i="255"/>
  <c r="D7" i="255"/>
  <c r="H7" i="255"/>
  <c r="G9" i="255"/>
  <c r="E9" i="255"/>
  <c r="J9" i="255"/>
  <c r="K9" i="255" s="1"/>
  <c r="F9" i="255"/>
  <c r="I9" i="255"/>
  <c r="H9" i="255"/>
  <c r="D9" i="255"/>
  <c r="G11" i="255"/>
  <c r="J11" i="255"/>
  <c r="K11" i="255" s="1"/>
  <c r="F11" i="255"/>
  <c r="I11" i="255"/>
  <c r="E11" i="255"/>
  <c r="H11" i="255"/>
  <c r="D11" i="255"/>
  <c r="G13" i="255"/>
  <c r="I13" i="255"/>
  <c r="J13" i="255"/>
  <c r="K13" i="255" s="1"/>
  <c r="F13" i="255"/>
  <c r="E13" i="255"/>
  <c r="D13" i="255"/>
  <c r="H13" i="255"/>
  <c r="G15" i="255"/>
  <c r="J15" i="255"/>
  <c r="K15" i="255" s="1"/>
  <c r="F15" i="255"/>
  <c r="I15" i="255"/>
  <c r="E15" i="255"/>
  <c r="H15" i="255"/>
  <c r="D15" i="255"/>
  <c r="G17" i="255"/>
  <c r="E17" i="255"/>
  <c r="J17" i="255"/>
  <c r="K17" i="255" s="1"/>
  <c r="F17" i="255"/>
  <c r="I17" i="255"/>
  <c r="D17" i="255"/>
  <c r="H17" i="255"/>
  <c r="G19" i="255"/>
  <c r="E19" i="255"/>
  <c r="J19" i="255"/>
  <c r="K19" i="255" s="1"/>
  <c r="F19" i="255"/>
  <c r="I19" i="255"/>
  <c r="H19" i="255"/>
  <c r="D19" i="255"/>
  <c r="G21" i="255"/>
  <c r="H21" i="255"/>
  <c r="J21" i="255"/>
  <c r="K21" i="255" s="1"/>
  <c r="F21" i="255"/>
  <c r="E21" i="255"/>
  <c r="I21" i="255"/>
  <c r="D21" i="255"/>
  <c r="G23" i="255"/>
  <c r="I23" i="255"/>
  <c r="J23" i="255"/>
  <c r="K23" i="255" s="1"/>
  <c r="F23" i="255"/>
  <c r="D23" i="255"/>
  <c r="E23" i="255"/>
  <c r="H23" i="255"/>
  <c r="G25" i="255"/>
  <c r="H25" i="255"/>
  <c r="J25" i="255"/>
  <c r="K25" i="255" s="1"/>
  <c r="F25" i="255"/>
  <c r="I25" i="255"/>
  <c r="D25" i="255"/>
  <c r="E25" i="255"/>
  <c r="G27" i="255"/>
  <c r="I27" i="255"/>
  <c r="H27" i="255"/>
  <c r="J27" i="255"/>
  <c r="K27" i="255" s="1"/>
  <c r="F27" i="255"/>
  <c r="D27" i="255"/>
  <c r="E27" i="255"/>
  <c r="G29" i="255"/>
  <c r="E29" i="255"/>
  <c r="J29" i="255"/>
  <c r="K29" i="255" s="1"/>
  <c r="F29" i="255"/>
  <c r="I29" i="255"/>
  <c r="H29" i="255"/>
  <c r="D29" i="255"/>
  <c r="G31" i="255"/>
  <c r="D31" i="255"/>
  <c r="J31" i="255"/>
  <c r="K31" i="255" s="1"/>
  <c r="F31" i="255"/>
  <c r="I31" i="255"/>
  <c r="H31" i="255"/>
  <c r="E31" i="255"/>
  <c r="G33" i="255"/>
  <c r="I33" i="255"/>
  <c r="D33" i="255"/>
  <c r="J33" i="255"/>
  <c r="K33" i="255" s="1"/>
  <c r="F33" i="255"/>
  <c r="E33" i="255"/>
  <c r="H33" i="255"/>
  <c r="G35" i="255"/>
  <c r="E35" i="255"/>
  <c r="D35" i="255"/>
  <c r="J35" i="255"/>
  <c r="K35" i="255" s="1"/>
  <c r="F35" i="255"/>
  <c r="I35" i="255"/>
  <c r="H35" i="255"/>
  <c r="G37" i="255"/>
  <c r="E37" i="255"/>
  <c r="D37" i="255"/>
  <c r="J37" i="255"/>
  <c r="K37" i="255" s="1"/>
  <c r="F37" i="255"/>
  <c r="H37" i="255"/>
  <c r="I37" i="255"/>
  <c r="G39" i="255"/>
  <c r="E39" i="255"/>
  <c r="D39" i="255"/>
  <c r="J39" i="255"/>
  <c r="K39" i="255" s="1"/>
  <c r="F39" i="255"/>
  <c r="I39" i="255"/>
  <c r="H39" i="255"/>
  <c r="G41" i="255"/>
  <c r="H41" i="255"/>
  <c r="J41" i="255"/>
  <c r="K41" i="255" s="1"/>
  <c r="F41" i="255"/>
  <c r="E41" i="255"/>
  <c r="I41" i="255"/>
  <c r="D41" i="255"/>
  <c r="G43" i="255"/>
  <c r="I43" i="255"/>
  <c r="H43" i="255"/>
  <c r="J43" i="255"/>
  <c r="K43" i="255" s="1"/>
  <c r="F43" i="255"/>
  <c r="D43" i="255"/>
  <c r="E43" i="255"/>
  <c r="G45" i="255"/>
  <c r="E45" i="255"/>
  <c r="H45" i="255"/>
  <c r="J45" i="255"/>
  <c r="K45" i="255" s="1"/>
  <c r="F45" i="255"/>
  <c r="I45" i="255"/>
  <c r="D45" i="255"/>
  <c r="G47" i="255"/>
  <c r="H47" i="255"/>
  <c r="J47" i="255"/>
  <c r="K47" i="255" s="1"/>
  <c r="F47" i="255"/>
  <c r="I47" i="255"/>
  <c r="E47" i="255"/>
  <c r="D47" i="255"/>
  <c r="G49" i="255"/>
  <c r="I49" i="255"/>
  <c r="J49" i="255"/>
  <c r="K49" i="255" s="1"/>
  <c r="F49" i="255"/>
  <c r="D49" i="255"/>
  <c r="E49" i="255"/>
  <c r="H49" i="255"/>
  <c r="G51" i="255"/>
  <c r="E51" i="255"/>
  <c r="J51" i="255"/>
  <c r="K51" i="255" s="1"/>
  <c r="F51" i="255"/>
  <c r="I51" i="255"/>
  <c r="D51" i="255"/>
  <c r="H51" i="255"/>
  <c r="G53" i="255"/>
  <c r="D53" i="255"/>
  <c r="J53" i="255"/>
  <c r="K53" i="255" s="1"/>
  <c r="F53" i="255"/>
  <c r="I53" i="255"/>
  <c r="H53" i="255"/>
  <c r="E53" i="255"/>
  <c r="H55" i="255"/>
  <c r="D55" i="255"/>
  <c r="G55" i="255"/>
  <c r="J55" i="255"/>
  <c r="K55" i="255" s="1"/>
  <c r="E55" i="255"/>
  <c r="I55" i="255"/>
  <c r="F55" i="255"/>
  <c r="R5" i="255"/>
  <c r="Q5" i="255"/>
  <c r="Y6" i="255"/>
  <c r="Y7" i="255" s="1"/>
  <c r="Y8" i="255" s="1"/>
  <c r="Y9" i="255" s="1"/>
  <c r="Y10" i="255" s="1"/>
  <c r="Y11" i="255" s="1"/>
  <c r="Y12" i="255" s="1"/>
  <c r="Y13" i="255" s="1"/>
  <c r="Y14" i="255" s="1"/>
  <c r="Y15" i="255" s="1"/>
  <c r="Y16" i="255" s="1"/>
  <c r="Y17" i="255" s="1"/>
  <c r="Y18" i="255" s="1"/>
  <c r="Y19" i="255" s="1"/>
  <c r="Y20" i="255" s="1"/>
  <c r="Y21" i="255" s="1"/>
  <c r="Y22" i="255" s="1"/>
  <c r="Y23" i="255" s="1"/>
  <c r="Y24" i="255" s="1"/>
  <c r="Y25" i="255" s="1"/>
  <c r="Y26" i="255" s="1"/>
  <c r="Y27" i="255" s="1"/>
  <c r="Y28" i="255" s="1"/>
  <c r="Y29" i="255" s="1"/>
  <c r="Y30" i="255" s="1"/>
  <c r="Y31" i="255" s="1"/>
  <c r="Y32" i="255" s="1"/>
  <c r="Y33" i="255" s="1"/>
  <c r="Y34" i="255" s="1"/>
  <c r="Y35" i="255" s="1"/>
  <c r="Y36" i="255" s="1"/>
  <c r="Y37" i="255" s="1"/>
  <c r="Y38" i="255" s="1"/>
  <c r="Y39" i="255" s="1"/>
  <c r="Y40" i="255" s="1"/>
  <c r="Y41" i="255" s="1"/>
  <c r="Y42" i="255" s="1"/>
  <c r="Y43" i="255" s="1"/>
  <c r="Y44" i="255" s="1"/>
  <c r="Y45" i="255" s="1"/>
  <c r="Y46" i="255" s="1"/>
  <c r="Y47" i="255" s="1"/>
  <c r="Y48" i="255" s="1"/>
  <c r="Y49" i="255" s="1"/>
  <c r="Y50" i="255" s="1"/>
  <c r="Y51" i="255" s="1"/>
  <c r="Y52" i="255" s="1"/>
  <c r="Y53" i="255" s="1"/>
  <c r="Y54" i="255" s="1"/>
  <c r="Y55" i="255" s="1"/>
  <c r="Y56" i="255" s="1"/>
  <c r="Y57" i="255" s="1"/>
  <c r="Y58" i="255" s="1"/>
  <c r="Y59" i="255" s="1"/>
  <c r="Y60" i="255" s="1"/>
  <c r="Y61" i="255" s="1"/>
  <c r="Y62" i="255" s="1"/>
  <c r="Y63" i="255" s="1"/>
  <c r="Y64" i="255" s="1"/>
  <c r="Y65" i="255" s="1"/>
  <c r="Y66" i="255" s="1"/>
  <c r="Y67" i="255" s="1"/>
  <c r="Y68" i="255" s="1"/>
  <c r="Y69" i="255" s="1"/>
  <c r="Y70" i="255" s="1"/>
  <c r="Y71" i="255" s="1"/>
  <c r="Y72" i="255" s="1"/>
  <c r="Y73" i="255" s="1"/>
  <c r="Y74" i="255" s="1"/>
  <c r="Y75" i="255" s="1"/>
  <c r="Y76" i="255" s="1"/>
  <c r="Y77" i="255" s="1"/>
  <c r="Y78" i="255" s="1"/>
  <c r="Y79" i="255" s="1"/>
  <c r="Y80" i="255" s="1"/>
  <c r="Y81" i="255" s="1"/>
  <c r="Y82" i="255" s="1"/>
  <c r="Y83" i="255" s="1"/>
  <c r="Y84" i="255" s="1"/>
  <c r="Y85" i="255" s="1"/>
  <c r="Y86" i="255" s="1"/>
  <c r="Y87" i="255" s="1"/>
  <c r="Y88" i="255" s="1"/>
  <c r="Y89" i="255" s="1"/>
  <c r="Y90" i="255" s="1"/>
  <c r="Y91" i="255" s="1"/>
  <c r="Y92" i="255" s="1"/>
  <c r="Y93" i="255" s="1"/>
  <c r="Y94" i="255" s="1"/>
  <c r="Y95" i="255" s="1"/>
  <c r="Y96" i="255" s="1"/>
  <c r="Y97" i="255" s="1"/>
  <c r="Y98" i="255" s="1"/>
  <c r="Y99" i="255" s="1"/>
  <c r="Y100" i="255" s="1"/>
  <c r="Y101" i="255" s="1"/>
  <c r="AJ16" i="255"/>
  <c r="AK16" i="255" s="1"/>
  <c r="AF16" i="255"/>
  <c r="AI16" i="255"/>
  <c r="AE16" i="255"/>
  <c r="AH16" i="255"/>
  <c r="AD16" i="255"/>
  <c r="AG16" i="255"/>
  <c r="AJ24" i="255"/>
  <c r="AK24" i="255" s="1"/>
  <c r="AF24" i="255"/>
  <c r="AI24" i="255"/>
  <c r="AE24" i="255"/>
  <c r="AH24" i="255"/>
  <c r="AD24" i="255"/>
  <c r="AG24" i="255"/>
  <c r="AJ32" i="255"/>
  <c r="AK32" i="255" s="1"/>
  <c r="AF32" i="255"/>
  <c r="AI32" i="255"/>
  <c r="AE32" i="255"/>
  <c r="AH32" i="255"/>
  <c r="AD32" i="255"/>
  <c r="AG32" i="255"/>
  <c r="AJ40" i="255"/>
  <c r="AK40" i="255" s="1"/>
  <c r="AF40" i="255"/>
  <c r="AI40" i="255"/>
  <c r="AE40" i="255"/>
  <c r="AH40" i="255"/>
  <c r="AD40" i="255"/>
  <c r="AG40" i="255"/>
  <c r="AJ48" i="255"/>
  <c r="AK48" i="255" s="1"/>
  <c r="AF48" i="255"/>
  <c r="AI48" i="255"/>
  <c r="AE48" i="255"/>
  <c r="AH48" i="255"/>
  <c r="AD48" i="255"/>
  <c r="AG48" i="255"/>
  <c r="AJ56" i="255"/>
  <c r="AK56" i="255" s="1"/>
  <c r="AF56" i="255"/>
  <c r="AI56" i="255"/>
  <c r="AE56" i="255"/>
  <c r="AH56" i="255"/>
  <c r="AD56" i="255"/>
  <c r="AG56" i="255"/>
  <c r="AJ64" i="255"/>
  <c r="AK64" i="255" s="1"/>
  <c r="AF64" i="255"/>
  <c r="AI64" i="255"/>
  <c r="AE64" i="255"/>
  <c r="AH64" i="255"/>
  <c r="AD64" i="255"/>
  <c r="AG64" i="255"/>
  <c r="AJ72" i="255"/>
  <c r="AK72" i="255" s="1"/>
  <c r="AF72" i="255"/>
  <c r="AI72" i="255"/>
  <c r="AE72" i="255"/>
  <c r="AH72" i="255"/>
  <c r="AD72" i="255"/>
  <c r="AG72" i="255"/>
  <c r="AJ80" i="255"/>
  <c r="AK80" i="255" s="1"/>
  <c r="AF80" i="255"/>
  <c r="AI80" i="255"/>
  <c r="AE80" i="255"/>
  <c r="AH80" i="255"/>
  <c r="AD80" i="255"/>
  <c r="AG80" i="255"/>
  <c r="AJ88" i="255"/>
  <c r="AK88" i="255" s="1"/>
  <c r="AF88" i="255"/>
  <c r="AI88" i="255"/>
  <c r="AE88" i="255"/>
  <c r="AH88" i="255"/>
  <c r="AD88" i="255"/>
  <c r="AG88" i="255"/>
  <c r="AI92" i="255"/>
  <c r="AE92" i="255"/>
  <c r="AG92" i="255"/>
  <c r="AF92" i="255"/>
  <c r="AJ92" i="255"/>
  <c r="AK92" i="255" s="1"/>
  <c r="AD92" i="255"/>
  <c r="AH92" i="255"/>
  <c r="BW87" i="255"/>
  <c r="BX87" i="255" s="1"/>
  <c r="BS87" i="255"/>
  <c r="BV87" i="255"/>
  <c r="BR87" i="255"/>
  <c r="BU87" i="255"/>
  <c r="BT87" i="255"/>
  <c r="BQ87" i="255"/>
  <c r="AI90" i="255"/>
  <c r="AE90" i="255"/>
  <c r="AF90" i="255"/>
  <c r="AJ90" i="255"/>
  <c r="AK90" i="255" s="1"/>
  <c r="AD90" i="255"/>
  <c r="AH90" i="255"/>
  <c r="AG90" i="255"/>
  <c r="AJ94" i="255"/>
  <c r="AK94" i="255" s="1"/>
  <c r="AF94" i="255"/>
  <c r="AI94" i="255"/>
  <c r="AE94" i="255"/>
  <c r="AG94" i="255"/>
  <c r="AD94" i="255"/>
  <c r="AH94" i="255"/>
  <c r="AJ98" i="255"/>
  <c r="AK98" i="255" s="1"/>
  <c r="AF98" i="255"/>
  <c r="AI98" i="255"/>
  <c r="AE98" i="255"/>
  <c r="AG98" i="255"/>
  <c r="AD98" i="255"/>
  <c r="AH98" i="255"/>
  <c r="AW8" i="255"/>
  <c r="AX8" i="255" s="1"/>
  <c r="AS8" i="255"/>
  <c r="AV8" i="255"/>
  <c r="AR8" i="255"/>
  <c r="AT8" i="255"/>
  <c r="AQ8" i="255"/>
  <c r="AU8" i="255"/>
  <c r="AW12" i="255"/>
  <c r="AX12" i="255" s="1"/>
  <c r="AS12" i="255"/>
  <c r="AV12" i="255"/>
  <c r="AR12" i="255"/>
  <c r="AT12" i="255"/>
  <c r="AQ12" i="255"/>
  <c r="AU12" i="255"/>
  <c r="AW16" i="255"/>
  <c r="AX16" i="255" s="1"/>
  <c r="AS16" i="255"/>
  <c r="AV16" i="255"/>
  <c r="AR16" i="255"/>
  <c r="AT16" i="255"/>
  <c r="AQ16" i="255"/>
  <c r="AU16" i="255"/>
  <c r="AW20" i="255"/>
  <c r="AX20" i="255" s="1"/>
  <c r="AS20" i="255"/>
  <c r="AV20" i="255"/>
  <c r="AR20" i="255"/>
  <c r="AT20" i="255"/>
  <c r="AQ20" i="255"/>
  <c r="AU20" i="255"/>
  <c r="AW24" i="255"/>
  <c r="AX24" i="255" s="1"/>
  <c r="AS24" i="255"/>
  <c r="AV24" i="255"/>
  <c r="AR24" i="255"/>
  <c r="AT24" i="255"/>
  <c r="AQ24" i="255"/>
  <c r="AU24" i="255"/>
  <c r="AW28" i="255"/>
  <c r="AX28" i="255" s="1"/>
  <c r="AS28" i="255"/>
  <c r="AV28" i="255"/>
  <c r="AR28" i="255"/>
  <c r="AT28" i="255"/>
  <c r="AQ28" i="255"/>
  <c r="AU28" i="255"/>
  <c r="AW32" i="255"/>
  <c r="AX32" i="255" s="1"/>
  <c r="AS32" i="255"/>
  <c r="AV32" i="255"/>
  <c r="AR32" i="255"/>
  <c r="AT32" i="255"/>
  <c r="AQ32" i="255"/>
  <c r="AU32" i="255"/>
  <c r="AW36" i="255"/>
  <c r="AX36" i="255" s="1"/>
  <c r="AS36" i="255"/>
  <c r="AV36" i="255"/>
  <c r="AR36" i="255"/>
  <c r="AT36" i="255"/>
  <c r="AQ36" i="255"/>
  <c r="AU36" i="255"/>
  <c r="BJ46" i="255"/>
  <c r="BK46" i="255" s="1"/>
  <c r="BF46" i="255"/>
  <c r="BI46" i="255"/>
  <c r="BE46" i="255"/>
  <c r="BH46" i="255"/>
  <c r="BG46" i="255"/>
  <c r="BD46" i="255"/>
  <c r="H57" i="255"/>
  <c r="D57" i="255"/>
  <c r="G57" i="255"/>
  <c r="F57" i="255"/>
  <c r="J57" i="255"/>
  <c r="K57" i="255" s="1"/>
  <c r="E57" i="255"/>
  <c r="I57" i="255"/>
  <c r="H59" i="255"/>
  <c r="D59" i="255"/>
  <c r="G59" i="255"/>
  <c r="J59" i="255"/>
  <c r="K59" i="255" s="1"/>
  <c r="I59" i="255"/>
  <c r="F59" i="255"/>
  <c r="E59" i="255"/>
  <c r="H61" i="255"/>
  <c r="D61" i="255"/>
  <c r="G61" i="255"/>
  <c r="F61" i="255"/>
  <c r="J61" i="255"/>
  <c r="K61" i="255" s="1"/>
  <c r="I61" i="255"/>
  <c r="E61" i="255"/>
  <c r="H63" i="255"/>
  <c r="D63" i="255"/>
  <c r="G63" i="255"/>
  <c r="J63" i="255"/>
  <c r="K63" i="255" s="1"/>
  <c r="I63" i="255"/>
  <c r="E63" i="255"/>
  <c r="F63" i="255"/>
  <c r="H65" i="255"/>
  <c r="D65" i="255"/>
  <c r="G65" i="255"/>
  <c r="F65" i="255"/>
  <c r="E65" i="255"/>
  <c r="I65" i="255"/>
  <c r="J65" i="255"/>
  <c r="K65" i="255" s="1"/>
  <c r="H67" i="255"/>
  <c r="D67" i="255"/>
  <c r="G67" i="255"/>
  <c r="J67" i="255"/>
  <c r="K67" i="255" s="1"/>
  <c r="F67" i="255"/>
  <c r="I67" i="255"/>
  <c r="E67" i="255"/>
  <c r="H69" i="255"/>
  <c r="D69" i="255"/>
  <c r="G69" i="255"/>
  <c r="F69" i="255"/>
  <c r="J69" i="255"/>
  <c r="K69" i="255" s="1"/>
  <c r="I69" i="255"/>
  <c r="E69" i="255"/>
  <c r="H71" i="255"/>
  <c r="D71" i="255"/>
  <c r="G71" i="255"/>
  <c r="J71" i="255"/>
  <c r="K71" i="255" s="1"/>
  <c r="E71" i="255"/>
  <c r="I71" i="255"/>
  <c r="F71" i="255"/>
  <c r="H73" i="255"/>
  <c r="D73" i="255"/>
  <c r="G73" i="255"/>
  <c r="F73" i="255"/>
  <c r="I73" i="255"/>
  <c r="E73" i="255"/>
  <c r="J73" i="255"/>
  <c r="K73" i="255" s="1"/>
  <c r="H75" i="255"/>
  <c r="D75" i="255"/>
  <c r="G75" i="255"/>
  <c r="J75" i="255"/>
  <c r="K75" i="255" s="1"/>
  <c r="I75" i="255"/>
  <c r="F75" i="255"/>
  <c r="E75" i="255"/>
  <c r="H77" i="255"/>
  <c r="D77" i="255"/>
  <c r="G77" i="255"/>
  <c r="F77" i="255"/>
  <c r="I77" i="255"/>
  <c r="E77" i="255"/>
  <c r="J77" i="255"/>
  <c r="K77" i="255" s="1"/>
  <c r="H79" i="255"/>
  <c r="D79" i="255"/>
  <c r="G79" i="255"/>
  <c r="J79" i="255"/>
  <c r="K79" i="255" s="1"/>
  <c r="E79" i="255"/>
  <c r="I79" i="255"/>
  <c r="F79" i="255"/>
  <c r="H81" i="255"/>
  <c r="D81" i="255"/>
  <c r="G81" i="255"/>
  <c r="F81" i="255"/>
  <c r="I81" i="255"/>
  <c r="E81" i="255"/>
  <c r="J81" i="255"/>
  <c r="K81" i="255" s="1"/>
  <c r="H83" i="255"/>
  <c r="D83" i="255"/>
  <c r="G83" i="255"/>
  <c r="J83" i="255"/>
  <c r="K83" i="255" s="1"/>
  <c r="E83" i="255"/>
  <c r="I83" i="255"/>
  <c r="F83" i="255"/>
  <c r="H85" i="255"/>
  <c r="D85" i="255"/>
  <c r="G85" i="255"/>
  <c r="F85" i="255"/>
  <c r="J85" i="255"/>
  <c r="K85" i="255" s="1"/>
  <c r="I85" i="255"/>
  <c r="E85" i="255"/>
  <c r="H87" i="255"/>
  <c r="D87" i="255"/>
  <c r="G87" i="255"/>
  <c r="J87" i="255"/>
  <c r="K87" i="255" s="1"/>
  <c r="E87" i="255"/>
  <c r="I87" i="255"/>
  <c r="F87" i="255"/>
  <c r="H89" i="255"/>
  <c r="D89" i="255"/>
  <c r="G89" i="255"/>
  <c r="F89" i="255"/>
  <c r="I89" i="255"/>
  <c r="E89" i="255"/>
  <c r="J89" i="255"/>
  <c r="K89" i="255" s="1"/>
  <c r="H91" i="255"/>
  <c r="D91" i="255"/>
  <c r="G91" i="255"/>
  <c r="J91" i="255"/>
  <c r="K91" i="255" s="1"/>
  <c r="I91" i="255"/>
  <c r="F91" i="255"/>
  <c r="E91" i="255"/>
  <c r="H93" i="255"/>
  <c r="D93" i="255"/>
  <c r="G93" i="255"/>
  <c r="F93" i="255"/>
  <c r="E93" i="255"/>
  <c r="J93" i="255"/>
  <c r="K93" i="255" s="1"/>
  <c r="I93" i="255"/>
  <c r="H95" i="255"/>
  <c r="D95" i="255"/>
  <c r="G95" i="255"/>
  <c r="J95" i="255"/>
  <c r="K95" i="255" s="1"/>
  <c r="I95" i="255"/>
  <c r="F95" i="255"/>
  <c r="E95" i="255"/>
  <c r="H97" i="255"/>
  <c r="D97" i="255"/>
  <c r="G97" i="255"/>
  <c r="F97" i="255"/>
  <c r="E97" i="255"/>
  <c r="I97" i="255"/>
  <c r="J97" i="255"/>
  <c r="K97" i="255" s="1"/>
  <c r="H99" i="255"/>
  <c r="D99" i="255"/>
  <c r="G99" i="255"/>
  <c r="J99" i="255"/>
  <c r="K99" i="255" s="1"/>
  <c r="I99" i="255"/>
  <c r="E99" i="255"/>
  <c r="F99" i="255"/>
  <c r="H101" i="255"/>
  <c r="D101" i="255"/>
  <c r="G101" i="255"/>
  <c r="F101" i="255"/>
  <c r="I101" i="255"/>
  <c r="E101" i="255"/>
  <c r="J101" i="255"/>
  <c r="K101" i="255" s="1"/>
  <c r="U7" i="255"/>
  <c r="Q7" i="255"/>
  <c r="T7" i="255"/>
  <c r="S7" i="255"/>
  <c r="R7" i="255"/>
  <c r="V7" i="255"/>
  <c r="W7" i="255"/>
  <c r="X7" i="255" s="1"/>
  <c r="U9" i="255"/>
  <c r="Q9" i="255"/>
  <c r="T9" i="255"/>
  <c r="W9" i="255"/>
  <c r="X9" i="255" s="1"/>
  <c r="V9" i="255"/>
  <c r="S9" i="255"/>
  <c r="R9" i="255"/>
  <c r="U11" i="255"/>
  <c r="Q11" i="255"/>
  <c r="T11" i="255"/>
  <c r="S11" i="255"/>
  <c r="V11" i="255"/>
  <c r="R11" i="255"/>
  <c r="W11" i="255"/>
  <c r="X11" i="255" s="1"/>
  <c r="U13" i="255"/>
  <c r="Q13" i="255"/>
  <c r="T13" i="255"/>
  <c r="W13" i="255"/>
  <c r="X13" i="255" s="1"/>
  <c r="R13" i="255"/>
  <c r="V13" i="255"/>
  <c r="S13" i="255"/>
  <c r="U15" i="255"/>
  <c r="Q15" i="255"/>
  <c r="T15" i="255"/>
  <c r="S15" i="255"/>
  <c r="R15" i="255"/>
  <c r="V15" i="255"/>
  <c r="W15" i="255"/>
  <c r="X15" i="255" s="1"/>
  <c r="U17" i="255"/>
  <c r="Q17" i="255"/>
  <c r="T17" i="255"/>
  <c r="W17" i="255"/>
  <c r="X17" i="255" s="1"/>
  <c r="V17" i="255"/>
  <c r="S17" i="255"/>
  <c r="R17" i="255"/>
  <c r="U19" i="255"/>
  <c r="Q19" i="255"/>
  <c r="T19" i="255"/>
  <c r="S19" i="255"/>
  <c r="R19" i="255"/>
  <c r="V19" i="255"/>
  <c r="W19" i="255"/>
  <c r="X19" i="255" s="1"/>
  <c r="U21" i="255"/>
  <c r="Q21" i="255"/>
  <c r="T21" i="255"/>
  <c r="W21" i="255"/>
  <c r="X21" i="255" s="1"/>
  <c r="V21" i="255"/>
  <c r="R21" i="255"/>
  <c r="S21" i="255"/>
  <c r="U23" i="255"/>
  <c r="Q23" i="255"/>
  <c r="T23" i="255"/>
  <c r="S23" i="255"/>
  <c r="R23" i="255"/>
  <c r="V23" i="255"/>
  <c r="W23" i="255"/>
  <c r="X23" i="255" s="1"/>
  <c r="U25" i="255"/>
  <c r="Q25" i="255"/>
  <c r="T25" i="255"/>
  <c r="W25" i="255"/>
  <c r="X25" i="255" s="1"/>
  <c r="R25" i="255"/>
  <c r="V25" i="255"/>
  <c r="S25" i="255"/>
  <c r="U27" i="255"/>
  <c r="Q27" i="255"/>
  <c r="T27" i="255"/>
  <c r="S27" i="255"/>
  <c r="R27" i="255"/>
  <c r="V27" i="255"/>
  <c r="W27" i="255"/>
  <c r="X27" i="255" s="1"/>
  <c r="U29" i="255"/>
  <c r="Q29" i="255"/>
  <c r="T29" i="255"/>
  <c r="W29" i="255"/>
  <c r="X29" i="255" s="1"/>
  <c r="V29" i="255"/>
  <c r="R29" i="255"/>
  <c r="S29" i="255"/>
  <c r="U31" i="255"/>
  <c r="Q31" i="255"/>
  <c r="T31" i="255"/>
  <c r="S31" i="255"/>
  <c r="R31" i="255"/>
  <c r="V31" i="255"/>
  <c r="W31" i="255"/>
  <c r="X31" i="255" s="1"/>
  <c r="U33" i="255"/>
  <c r="Q33" i="255"/>
  <c r="T33" i="255"/>
  <c r="W33" i="255"/>
  <c r="X33" i="255" s="1"/>
  <c r="R33" i="255"/>
  <c r="V33" i="255"/>
  <c r="S33" i="255"/>
  <c r="U35" i="255"/>
  <c r="Q35" i="255"/>
  <c r="T35" i="255"/>
  <c r="S35" i="255"/>
  <c r="R35" i="255"/>
  <c r="V35" i="255"/>
  <c r="W35" i="255"/>
  <c r="X35" i="255" s="1"/>
  <c r="U37" i="255"/>
  <c r="Q37" i="255"/>
  <c r="T37" i="255"/>
  <c r="W37" i="255"/>
  <c r="X37" i="255" s="1"/>
  <c r="V37" i="255"/>
  <c r="R37" i="255"/>
  <c r="S37" i="255"/>
  <c r="U39" i="255"/>
  <c r="Q39" i="255"/>
  <c r="T39" i="255"/>
  <c r="S39" i="255"/>
  <c r="V39" i="255"/>
  <c r="R39" i="255"/>
  <c r="W39" i="255"/>
  <c r="X39" i="255" s="1"/>
  <c r="U41" i="255"/>
  <c r="Q41" i="255"/>
  <c r="T41" i="255"/>
  <c r="W41" i="255"/>
  <c r="X41" i="255" s="1"/>
  <c r="R41" i="255"/>
  <c r="V41" i="255"/>
  <c r="S41" i="255"/>
  <c r="U43" i="255"/>
  <c r="Q43" i="255"/>
  <c r="T43" i="255"/>
  <c r="S43" i="255"/>
  <c r="V43" i="255"/>
  <c r="R43" i="255"/>
  <c r="W43" i="255"/>
  <c r="X43" i="255" s="1"/>
  <c r="U45" i="255"/>
  <c r="Q45" i="255"/>
  <c r="T45" i="255"/>
  <c r="W45" i="255"/>
  <c r="X45" i="255" s="1"/>
  <c r="V45" i="255"/>
  <c r="S45" i="255"/>
  <c r="R45" i="255"/>
  <c r="U47" i="255"/>
  <c r="Q47" i="255"/>
  <c r="T47" i="255"/>
  <c r="S47" i="255"/>
  <c r="V47" i="255"/>
  <c r="R47" i="255"/>
  <c r="W47" i="255"/>
  <c r="X47" i="255" s="1"/>
  <c r="U49" i="255"/>
  <c r="Q49" i="255"/>
  <c r="T49" i="255"/>
  <c r="W49" i="255"/>
  <c r="X49" i="255" s="1"/>
  <c r="R49" i="255"/>
  <c r="V49" i="255"/>
  <c r="S49" i="255"/>
  <c r="U51" i="255"/>
  <c r="Q51" i="255"/>
  <c r="T51" i="255"/>
  <c r="S51" i="255"/>
  <c r="V51" i="255"/>
  <c r="R51" i="255"/>
  <c r="W51" i="255"/>
  <c r="X51" i="255" s="1"/>
  <c r="U53" i="255"/>
  <c r="Q53" i="255"/>
  <c r="T53" i="255"/>
  <c r="W53" i="255"/>
  <c r="X53" i="255" s="1"/>
  <c r="V53" i="255"/>
  <c r="S53" i="255"/>
  <c r="R53" i="255"/>
  <c r="U55" i="255"/>
  <c r="Q55" i="255"/>
  <c r="T55" i="255"/>
  <c r="S55" i="255"/>
  <c r="V55" i="255"/>
  <c r="R55" i="255"/>
  <c r="W55" i="255"/>
  <c r="X55" i="255" s="1"/>
  <c r="U57" i="255"/>
  <c r="Q57" i="255"/>
  <c r="T57" i="255"/>
  <c r="W57" i="255"/>
  <c r="X57" i="255" s="1"/>
  <c r="R57" i="255"/>
  <c r="V57" i="255"/>
  <c r="S57" i="255"/>
  <c r="U59" i="255"/>
  <c r="Q59" i="255"/>
  <c r="T59" i="255"/>
  <c r="S59" i="255"/>
  <c r="V59" i="255"/>
  <c r="R59" i="255"/>
  <c r="W59" i="255"/>
  <c r="X59" i="255" s="1"/>
  <c r="U61" i="255"/>
  <c r="Q61" i="255"/>
  <c r="T61" i="255"/>
  <c r="W61" i="255"/>
  <c r="X61" i="255" s="1"/>
  <c r="V61" i="255"/>
  <c r="S61" i="255"/>
  <c r="R61" i="255"/>
  <c r="U63" i="255"/>
  <c r="Q63" i="255"/>
  <c r="T63" i="255"/>
  <c r="S63" i="255"/>
  <c r="V63" i="255"/>
  <c r="R63" i="255"/>
  <c r="W63" i="255"/>
  <c r="X63" i="255" s="1"/>
  <c r="U65" i="255"/>
  <c r="Q65" i="255"/>
  <c r="T65" i="255"/>
  <c r="W65" i="255"/>
  <c r="X65" i="255" s="1"/>
  <c r="R65" i="255"/>
  <c r="V65" i="255"/>
  <c r="S65" i="255"/>
  <c r="U67" i="255"/>
  <c r="Q67" i="255"/>
  <c r="T67" i="255"/>
  <c r="S67" i="255"/>
  <c r="V67" i="255"/>
  <c r="R67" i="255"/>
  <c r="W67" i="255"/>
  <c r="X67" i="255" s="1"/>
  <c r="U69" i="255"/>
  <c r="Q69" i="255"/>
  <c r="T69" i="255"/>
  <c r="W69" i="255"/>
  <c r="X69" i="255" s="1"/>
  <c r="R69" i="255"/>
  <c r="V69" i="255"/>
  <c r="S69" i="255"/>
  <c r="U71" i="255"/>
  <c r="Q71" i="255"/>
  <c r="T71" i="255"/>
  <c r="S71" i="255"/>
  <c r="R71" i="255"/>
  <c r="V71" i="255"/>
  <c r="W71" i="255"/>
  <c r="X71" i="255" s="1"/>
  <c r="U73" i="255"/>
  <c r="Q73" i="255"/>
  <c r="T73" i="255"/>
  <c r="W73" i="255"/>
  <c r="X73" i="255" s="1"/>
  <c r="R73" i="255"/>
  <c r="V73" i="255"/>
  <c r="S73" i="255"/>
  <c r="U75" i="255"/>
  <c r="Q75" i="255"/>
  <c r="T75" i="255"/>
  <c r="S75" i="255"/>
  <c r="R75" i="255"/>
  <c r="V75" i="255"/>
  <c r="W75" i="255"/>
  <c r="X75" i="255" s="1"/>
  <c r="U77" i="255"/>
  <c r="Q77" i="255"/>
  <c r="T77" i="255"/>
  <c r="W77" i="255"/>
  <c r="X77" i="255" s="1"/>
  <c r="V77" i="255"/>
  <c r="R77" i="255"/>
  <c r="S77" i="255"/>
  <c r="U79" i="255"/>
  <c r="Q79" i="255"/>
  <c r="T79" i="255"/>
  <c r="S79" i="255"/>
  <c r="R79" i="255"/>
  <c r="V79" i="255"/>
  <c r="W79" i="255"/>
  <c r="X79" i="255" s="1"/>
  <c r="U81" i="255"/>
  <c r="Q81" i="255"/>
  <c r="T81" i="255"/>
  <c r="W81" i="255"/>
  <c r="X81" i="255" s="1"/>
  <c r="V81" i="255"/>
  <c r="S81" i="255"/>
  <c r="R81" i="255"/>
  <c r="U83" i="255"/>
  <c r="Q83" i="255"/>
  <c r="T83" i="255"/>
  <c r="S83" i="255"/>
  <c r="R83" i="255"/>
  <c r="V83" i="255"/>
  <c r="W83" i="255"/>
  <c r="X83" i="255" s="1"/>
  <c r="U85" i="255"/>
  <c r="Q85" i="255"/>
  <c r="T85" i="255"/>
  <c r="W85" i="255"/>
  <c r="X85" i="255" s="1"/>
  <c r="V85" i="255"/>
  <c r="S85" i="255"/>
  <c r="R85" i="255"/>
  <c r="U87" i="255"/>
  <c r="Q87" i="255"/>
  <c r="T87" i="255"/>
  <c r="S87" i="255"/>
  <c r="R87" i="255"/>
  <c r="V87" i="255"/>
  <c r="W87" i="255"/>
  <c r="X87" i="255" s="1"/>
  <c r="U89" i="255"/>
  <c r="Q89" i="255"/>
  <c r="T89" i="255"/>
  <c r="W89" i="255"/>
  <c r="X89" i="255" s="1"/>
  <c r="V89" i="255"/>
  <c r="R89" i="255"/>
  <c r="S89" i="255"/>
  <c r="U91" i="255"/>
  <c r="Q91" i="255"/>
  <c r="T91" i="255"/>
  <c r="S91" i="255"/>
  <c r="R91" i="255"/>
  <c r="V91" i="255"/>
  <c r="W91" i="255"/>
  <c r="X91" i="255" s="1"/>
  <c r="U93" i="255"/>
  <c r="Q93" i="255"/>
  <c r="T93" i="255"/>
  <c r="W93" i="255"/>
  <c r="X93" i="255" s="1"/>
  <c r="R93" i="255"/>
  <c r="V93" i="255"/>
  <c r="S93" i="255"/>
  <c r="U95" i="255"/>
  <c r="Q95" i="255"/>
  <c r="T95" i="255"/>
  <c r="S95" i="255"/>
  <c r="R95" i="255"/>
  <c r="W95" i="255"/>
  <c r="X95" i="255" s="1"/>
  <c r="V95" i="255"/>
  <c r="U97" i="255"/>
  <c r="Q97" i="255"/>
  <c r="T97" i="255"/>
  <c r="W97" i="255"/>
  <c r="X97" i="255" s="1"/>
  <c r="V97" i="255"/>
  <c r="R97" i="255"/>
  <c r="S97" i="255"/>
  <c r="U99" i="255"/>
  <c r="Q99" i="255"/>
  <c r="T99" i="255"/>
  <c r="S99" i="255"/>
  <c r="R99" i="255"/>
  <c r="W99" i="255"/>
  <c r="X99" i="255" s="1"/>
  <c r="V99" i="255"/>
  <c r="U101" i="255"/>
  <c r="Q101" i="255"/>
  <c r="T101" i="255"/>
  <c r="W101" i="255"/>
  <c r="X101" i="255" s="1"/>
  <c r="V101" i="255"/>
  <c r="S101" i="255"/>
  <c r="R101" i="255"/>
  <c r="AH7" i="255"/>
  <c r="AD7" i="255"/>
  <c r="AG7" i="255"/>
  <c r="AJ7" i="255"/>
  <c r="AK7" i="255" s="1"/>
  <c r="AI7" i="255"/>
  <c r="AE7" i="255"/>
  <c r="AF7" i="255"/>
  <c r="AH9" i="255"/>
  <c r="AD9" i="255"/>
  <c r="AG9" i="255"/>
  <c r="AJ9" i="255"/>
  <c r="AK9" i="255" s="1"/>
  <c r="AF9" i="255"/>
  <c r="AI9" i="255"/>
  <c r="AE9" i="255"/>
  <c r="AH11" i="255"/>
  <c r="AD11" i="255"/>
  <c r="AG11" i="255"/>
  <c r="AJ11" i="255"/>
  <c r="AK11" i="255" s="1"/>
  <c r="AF11" i="255"/>
  <c r="AE11" i="255"/>
  <c r="AI11" i="255"/>
  <c r="AH13" i="255"/>
  <c r="AD13" i="255"/>
  <c r="AG13" i="255"/>
  <c r="AJ13" i="255"/>
  <c r="AK13" i="255" s="1"/>
  <c r="AF13" i="255"/>
  <c r="AE13" i="255"/>
  <c r="AI13" i="255"/>
  <c r="AH15" i="255"/>
  <c r="AD15" i="255"/>
  <c r="AG15" i="255"/>
  <c r="AJ15" i="255"/>
  <c r="AK15" i="255" s="1"/>
  <c r="AF15" i="255"/>
  <c r="AI15" i="255"/>
  <c r="AE15" i="255"/>
  <c r="AH17" i="255"/>
  <c r="AD17" i="255"/>
  <c r="AG17" i="255"/>
  <c r="AJ17" i="255"/>
  <c r="AK17" i="255" s="1"/>
  <c r="AF17" i="255"/>
  <c r="AI17" i="255"/>
  <c r="AE17" i="255"/>
  <c r="AH19" i="255"/>
  <c r="AD19" i="255"/>
  <c r="AG19" i="255"/>
  <c r="AJ19" i="255"/>
  <c r="AK19" i="255" s="1"/>
  <c r="AF19" i="255"/>
  <c r="AE19" i="255"/>
  <c r="AI19" i="255"/>
  <c r="AH21" i="255"/>
  <c r="AD21" i="255"/>
  <c r="AG21" i="255"/>
  <c r="AJ21" i="255"/>
  <c r="AK21" i="255" s="1"/>
  <c r="AF21" i="255"/>
  <c r="AE21" i="255"/>
  <c r="AI21" i="255"/>
  <c r="AH23" i="255"/>
  <c r="AD23" i="255"/>
  <c r="AG23" i="255"/>
  <c r="AJ23" i="255"/>
  <c r="AK23" i="255" s="1"/>
  <c r="AF23" i="255"/>
  <c r="AI23" i="255"/>
  <c r="AE23" i="255"/>
  <c r="AH25" i="255"/>
  <c r="AD25" i="255"/>
  <c r="AG25" i="255"/>
  <c r="AJ25" i="255"/>
  <c r="AK25" i="255" s="1"/>
  <c r="AF25" i="255"/>
  <c r="AI25" i="255"/>
  <c r="AE25" i="255"/>
  <c r="AH27" i="255"/>
  <c r="AD27" i="255"/>
  <c r="AG27" i="255"/>
  <c r="AJ27" i="255"/>
  <c r="AK27" i="255" s="1"/>
  <c r="AF27" i="255"/>
  <c r="AE27" i="255"/>
  <c r="AI27" i="255"/>
  <c r="AH29" i="255"/>
  <c r="AD29" i="255"/>
  <c r="AG29" i="255"/>
  <c r="AJ29" i="255"/>
  <c r="AK29" i="255" s="1"/>
  <c r="AF29" i="255"/>
  <c r="AE29" i="255"/>
  <c r="AI29" i="255"/>
  <c r="AH31" i="255"/>
  <c r="AD31" i="255"/>
  <c r="AG31" i="255"/>
  <c r="AJ31" i="255"/>
  <c r="AK31" i="255" s="1"/>
  <c r="AF31" i="255"/>
  <c r="AI31" i="255"/>
  <c r="AE31" i="255"/>
  <c r="AH33" i="255"/>
  <c r="AD33" i="255"/>
  <c r="AG33" i="255"/>
  <c r="AJ33" i="255"/>
  <c r="AK33" i="255" s="1"/>
  <c r="AF33" i="255"/>
  <c r="AI33" i="255"/>
  <c r="AE33" i="255"/>
  <c r="AH35" i="255"/>
  <c r="AD35" i="255"/>
  <c r="AG35" i="255"/>
  <c r="AJ35" i="255"/>
  <c r="AK35" i="255" s="1"/>
  <c r="AF35" i="255"/>
  <c r="AE35" i="255"/>
  <c r="AI35" i="255"/>
  <c r="AH37" i="255"/>
  <c r="AD37" i="255"/>
  <c r="AG37" i="255"/>
  <c r="AJ37" i="255"/>
  <c r="AK37" i="255" s="1"/>
  <c r="AF37" i="255"/>
  <c r="AE37" i="255"/>
  <c r="AI37" i="255"/>
  <c r="AH39" i="255"/>
  <c r="AD39" i="255"/>
  <c r="AG39" i="255"/>
  <c r="AJ39" i="255"/>
  <c r="AK39" i="255" s="1"/>
  <c r="AF39" i="255"/>
  <c r="AI39" i="255"/>
  <c r="AE39" i="255"/>
  <c r="AH41" i="255"/>
  <c r="AD41" i="255"/>
  <c r="AG41" i="255"/>
  <c r="AJ41" i="255"/>
  <c r="AK41" i="255" s="1"/>
  <c r="AF41" i="255"/>
  <c r="AI41" i="255"/>
  <c r="AE41" i="255"/>
  <c r="AH43" i="255"/>
  <c r="AD43" i="255"/>
  <c r="AG43" i="255"/>
  <c r="AJ43" i="255"/>
  <c r="AK43" i="255" s="1"/>
  <c r="AF43" i="255"/>
  <c r="AE43" i="255"/>
  <c r="AI43" i="255"/>
  <c r="AH45" i="255"/>
  <c r="AD45" i="255"/>
  <c r="AG45" i="255"/>
  <c r="AJ45" i="255"/>
  <c r="AK45" i="255" s="1"/>
  <c r="AF45" i="255"/>
  <c r="AE45" i="255"/>
  <c r="AI45" i="255"/>
  <c r="AH47" i="255"/>
  <c r="AD47" i="255"/>
  <c r="AG47" i="255"/>
  <c r="AJ47" i="255"/>
  <c r="AK47" i="255" s="1"/>
  <c r="AF47" i="255"/>
  <c r="AI47" i="255"/>
  <c r="AE47" i="255"/>
  <c r="AH49" i="255"/>
  <c r="AD49" i="255"/>
  <c r="AG49" i="255"/>
  <c r="AJ49" i="255"/>
  <c r="AK49" i="255" s="1"/>
  <c r="AF49" i="255"/>
  <c r="AI49" i="255"/>
  <c r="AE49" i="255"/>
  <c r="AH51" i="255"/>
  <c r="AD51" i="255"/>
  <c r="AG51" i="255"/>
  <c r="AJ51" i="255"/>
  <c r="AK51" i="255" s="1"/>
  <c r="AF51" i="255"/>
  <c r="AE51" i="255"/>
  <c r="AI51" i="255"/>
  <c r="AH53" i="255"/>
  <c r="AD53" i="255"/>
  <c r="AG53" i="255"/>
  <c r="AJ53" i="255"/>
  <c r="AK53" i="255" s="1"/>
  <c r="AF53" i="255"/>
  <c r="AE53" i="255"/>
  <c r="AI53" i="255"/>
  <c r="AH55" i="255"/>
  <c r="AD55" i="255"/>
  <c r="AG55" i="255"/>
  <c r="AJ55" i="255"/>
  <c r="AK55" i="255" s="1"/>
  <c r="AF55" i="255"/>
  <c r="AI55" i="255"/>
  <c r="AE55" i="255"/>
  <c r="AH57" i="255"/>
  <c r="AD57" i="255"/>
  <c r="AG57" i="255"/>
  <c r="AJ57" i="255"/>
  <c r="AK57" i="255" s="1"/>
  <c r="AF57" i="255"/>
  <c r="AI57" i="255"/>
  <c r="AE57" i="255"/>
  <c r="AH59" i="255"/>
  <c r="AD59" i="255"/>
  <c r="AG59" i="255"/>
  <c r="AJ59" i="255"/>
  <c r="AK59" i="255" s="1"/>
  <c r="AF59" i="255"/>
  <c r="AE59" i="255"/>
  <c r="AI59" i="255"/>
  <c r="AH61" i="255"/>
  <c r="AD61" i="255"/>
  <c r="AG61" i="255"/>
  <c r="AJ61" i="255"/>
  <c r="AK61" i="255" s="1"/>
  <c r="AF61" i="255"/>
  <c r="AE61" i="255"/>
  <c r="AI61" i="255"/>
  <c r="AH63" i="255"/>
  <c r="AD63" i="255"/>
  <c r="AG63" i="255"/>
  <c r="AJ63" i="255"/>
  <c r="AK63" i="255" s="1"/>
  <c r="AF63" i="255"/>
  <c r="AI63" i="255"/>
  <c r="AE63" i="255"/>
  <c r="AH65" i="255"/>
  <c r="AD65" i="255"/>
  <c r="AG65" i="255"/>
  <c r="AJ65" i="255"/>
  <c r="AK65" i="255" s="1"/>
  <c r="AF65" i="255"/>
  <c r="AI65" i="255"/>
  <c r="AE65" i="255"/>
  <c r="AH67" i="255"/>
  <c r="AD67" i="255"/>
  <c r="AG67" i="255"/>
  <c r="AJ67" i="255"/>
  <c r="AK67" i="255" s="1"/>
  <c r="AF67" i="255"/>
  <c r="AE67" i="255"/>
  <c r="AI67" i="255"/>
  <c r="AH69" i="255"/>
  <c r="AD69" i="255"/>
  <c r="AG69" i="255"/>
  <c r="AJ69" i="255"/>
  <c r="AK69" i="255" s="1"/>
  <c r="AF69" i="255"/>
  <c r="AE69" i="255"/>
  <c r="AI69" i="255"/>
  <c r="AH71" i="255"/>
  <c r="AD71" i="255"/>
  <c r="AG71" i="255"/>
  <c r="AJ71" i="255"/>
  <c r="AK71" i="255" s="1"/>
  <c r="AF71" i="255"/>
  <c r="AI71" i="255"/>
  <c r="AE71" i="255"/>
  <c r="AH73" i="255"/>
  <c r="AD73" i="255"/>
  <c r="AG73" i="255"/>
  <c r="AJ73" i="255"/>
  <c r="AK73" i="255" s="1"/>
  <c r="AF73" i="255"/>
  <c r="AI73" i="255"/>
  <c r="AE73" i="255"/>
  <c r="AH75" i="255"/>
  <c r="AD75" i="255"/>
  <c r="AG75" i="255"/>
  <c r="AJ75" i="255"/>
  <c r="AK75" i="255" s="1"/>
  <c r="AF75" i="255"/>
  <c r="AE75" i="255"/>
  <c r="AI75" i="255"/>
  <c r="AH77" i="255"/>
  <c r="AD77" i="255"/>
  <c r="AG77" i="255"/>
  <c r="AJ77" i="255"/>
  <c r="AK77" i="255" s="1"/>
  <c r="AF77" i="255"/>
  <c r="AE77" i="255"/>
  <c r="AI77" i="255"/>
  <c r="AH79" i="255"/>
  <c r="AD79" i="255"/>
  <c r="AG79" i="255"/>
  <c r="AJ79" i="255"/>
  <c r="AK79" i="255" s="1"/>
  <c r="AF79" i="255"/>
  <c r="AI79" i="255"/>
  <c r="AE79" i="255"/>
  <c r="AH81" i="255"/>
  <c r="AD81" i="255"/>
  <c r="AG81" i="255"/>
  <c r="AJ81" i="255"/>
  <c r="AK81" i="255" s="1"/>
  <c r="AF81" i="255"/>
  <c r="AI81" i="255"/>
  <c r="AE81" i="255"/>
  <c r="AH83" i="255"/>
  <c r="AD83" i="255"/>
  <c r="AG83" i="255"/>
  <c r="AJ83" i="255"/>
  <c r="AK83" i="255" s="1"/>
  <c r="AF83" i="255"/>
  <c r="AE83" i="255"/>
  <c r="AI83" i="255"/>
  <c r="AH85" i="255"/>
  <c r="AD85" i="255"/>
  <c r="AG85" i="255"/>
  <c r="AJ85" i="255"/>
  <c r="AK85" i="255" s="1"/>
  <c r="AF85" i="255"/>
  <c r="AE85" i="255"/>
  <c r="AI85" i="255"/>
  <c r="AH87" i="255"/>
  <c r="AD87" i="255"/>
  <c r="AG87" i="255"/>
  <c r="AJ87" i="255"/>
  <c r="AK87" i="255" s="1"/>
  <c r="AF87" i="255"/>
  <c r="AI87" i="255"/>
  <c r="AE87" i="255"/>
  <c r="AR5" i="255"/>
  <c r="AQ5" i="255"/>
  <c r="AY6" i="255"/>
  <c r="AY7" i="255" s="1"/>
  <c r="AY8" i="255" s="1"/>
  <c r="AY9" i="255" s="1"/>
  <c r="AY10" i="255" s="1"/>
  <c r="AY11" i="255" s="1"/>
  <c r="AY12" i="255" s="1"/>
  <c r="AY13" i="255" s="1"/>
  <c r="AY14" i="255" s="1"/>
  <c r="AY15" i="255" s="1"/>
  <c r="AY16" i="255" s="1"/>
  <c r="AY17" i="255" s="1"/>
  <c r="AY18" i="255" s="1"/>
  <c r="AY19" i="255" s="1"/>
  <c r="AY20" i="255" s="1"/>
  <c r="AY21" i="255" s="1"/>
  <c r="AY22" i="255" s="1"/>
  <c r="AY23" i="255" s="1"/>
  <c r="AY24" i="255" s="1"/>
  <c r="AY25" i="255" s="1"/>
  <c r="AY26" i="255" s="1"/>
  <c r="AY27" i="255" s="1"/>
  <c r="AY28" i="255" s="1"/>
  <c r="AY29" i="255" s="1"/>
  <c r="AY30" i="255" s="1"/>
  <c r="AY31" i="255" s="1"/>
  <c r="AY32" i="255" s="1"/>
  <c r="AY33" i="255" s="1"/>
  <c r="AY34" i="255" s="1"/>
  <c r="AY35" i="255" s="1"/>
  <c r="AY36" i="255" s="1"/>
  <c r="AY37" i="255" s="1"/>
  <c r="AY38" i="255" s="1"/>
  <c r="AY39" i="255" s="1"/>
  <c r="AY40" i="255" s="1"/>
  <c r="AY41" i="255" s="1"/>
  <c r="AY42" i="255" s="1"/>
  <c r="AY43" i="255" s="1"/>
  <c r="AY44" i="255" s="1"/>
  <c r="AY45" i="255" s="1"/>
  <c r="AY46" i="255" s="1"/>
  <c r="AY47" i="255" s="1"/>
  <c r="AY48" i="255" s="1"/>
  <c r="AY49" i="255" s="1"/>
  <c r="AY50" i="255" s="1"/>
  <c r="AY51" i="255" s="1"/>
  <c r="AY52" i="255" s="1"/>
  <c r="AY53" i="255" s="1"/>
  <c r="AY54" i="255" s="1"/>
  <c r="AY55" i="255" s="1"/>
  <c r="AY56" i="255" s="1"/>
  <c r="AY57" i="255" s="1"/>
  <c r="AY58" i="255" s="1"/>
  <c r="AY59" i="255" s="1"/>
  <c r="AY60" i="255" s="1"/>
  <c r="AY61" i="255" s="1"/>
  <c r="AY62" i="255" s="1"/>
  <c r="AY63" i="255" s="1"/>
  <c r="AY64" i="255" s="1"/>
  <c r="AY65" i="255" s="1"/>
  <c r="AY66" i="255" s="1"/>
  <c r="AY67" i="255" s="1"/>
  <c r="AY68" i="255" s="1"/>
  <c r="AY69" i="255" s="1"/>
  <c r="AY70" i="255" s="1"/>
  <c r="AY71" i="255" s="1"/>
  <c r="AY72" i="255" s="1"/>
  <c r="AY73" i="255" s="1"/>
  <c r="AY74" i="255" s="1"/>
  <c r="AY75" i="255" s="1"/>
  <c r="AY76" i="255" s="1"/>
  <c r="AY77" i="255" s="1"/>
  <c r="AY78" i="255" s="1"/>
  <c r="AY79" i="255" s="1"/>
  <c r="AY80" i="255" s="1"/>
  <c r="AY81" i="255" s="1"/>
  <c r="AY82" i="255" s="1"/>
  <c r="AY83" i="255" s="1"/>
  <c r="AY84" i="255" s="1"/>
  <c r="AY85" i="255" s="1"/>
  <c r="AY86" i="255" s="1"/>
  <c r="AY87" i="255" s="1"/>
  <c r="AY88" i="255" s="1"/>
  <c r="AY89" i="255" s="1"/>
  <c r="AY90" i="255" s="1"/>
  <c r="AY91" i="255" s="1"/>
  <c r="AY92" i="255" s="1"/>
  <c r="AY93" i="255" s="1"/>
  <c r="AY94" i="255" s="1"/>
  <c r="AY95" i="255" s="1"/>
  <c r="AY96" i="255" s="1"/>
  <c r="AY97" i="255" s="1"/>
  <c r="AY98" i="255" s="1"/>
  <c r="AY99" i="255" s="1"/>
  <c r="AY100" i="255" s="1"/>
  <c r="AY101" i="255" s="1"/>
  <c r="BJ62" i="255"/>
  <c r="BK62" i="255" s="1"/>
  <c r="BF62" i="255"/>
  <c r="BI62" i="255"/>
  <c r="BE62" i="255"/>
  <c r="BH62" i="255"/>
  <c r="BG62" i="255"/>
  <c r="BD62" i="255"/>
  <c r="AJ96" i="255"/>
  <c r="AK96" i="255" s="1"/>
  <c r="AF96" i="255"/>
  <c r="AI96" i="255"/>
  <c r="AE96" i="255"/>
  <c r="AH96" i="255"/>
  <c r="AG96" i="255"/>
  <c r="AD96" i="255"/>
  <c r="AJ100" i="255"/>
  <c r="AK100" i="255" s="1"/>
  <c r="AF100" i="255"/>
  <c r="AI100" i="255"/>
  <c r="AE100" i="255"/>
  <c r="AH100" i="255"/>
  <c r="AG100" i="255"/>
  <c r="AD100" i="255"/>
  <c r="AW6" i="255"/>
  <c r="AX6" i="255" s="1"/>
  <c r="AS6" i="255"/>
  <c r="AV6" i="255"/>
  <c r="AR6" i="255"/>
  <c r="AU6" i="255"/>
  <c r="AT6" i="255"/>
  <c r="AQ6" i="255"/>
  <c r="AW10" i="255"/>
  <c r="AX10" i="255" s="1"/>
  <c r="AS10" i="255"/>
  <c r="AV10" i="255"/>
  <c r="AR10" i="255"/>
  <c r="AU10" i="255"/>
  <c r="AT10" i="255"/>
  <c r="AQ10" i="255"/>
  <c r="AW14" i="255"/>
  <c r="AX14" i="255" s="1"/>
  <c r="AS14" i="255"/>
  <c r="AV14" i="255"/>
  <c r="AR14" i="255"/>
  <c r="AU14" i="255"/>
  <c r="AT14" i="255"/>
  <c r="AQ14" i="255"/>
  <c r="AW18" i="255"/>
  <c r="AX18" i="255" s="1"/>
  <c r="AS18" i="255"/>
  <c r="AV18" i="255"/>
  <c r="AR18" i="255"/>
  <c r="AU18" i="255"/>
  <c r="AT18" i="255"/>
  <c r="AQ18" i="255"/>
  <c r="AW22" i="255"/>
  <c r="AX22" i="255" s="1"/>
  <c r="AS22" i="255"/>
  <c r="AV22" i="255"/>
  <c r="AR22" i="255"/>
  <c r="AU22" i="255"/>
  <c r="AT22" i="255"/>
  <c r="AQ22" i="255"/>
  <c r="AW26" i="255"/>
  <c r="AX26" i="255" s="1"/>
  <c r="AS26" i="255"/>
  <c r="AV26" i="255"/>
  <c r="AR26" i="255"/>
  <c r="AU26" i="255"/>
  <c r="AT26" i="255"/>
  <c r="AQ26" i="255"/>
  <c r="AW30" i="255"/>
  <c r="AX30" i="255" s="1"/>
  <c r="AS30" i="255"/>
  <c r="AV30" i="255"/>
  <c r="AR30" i="255"/>
  <c r="AU30" i="255"/>
  <c r="AT30" i="255"/>
  <c r="AQ30" i="255"/>
  <c r="AW34" i="255"/>
  <c r="AX34" i="255" s="1"/>
  <c r="AS34" i="255"/>
  <c r="AV34" i="255"/>
  <c r="AR34" i="255"/>
  <c r="AU34" i="255"/>
  <c r="AT34" i="255"/>
  <c r="AQ34" i="255"/>
  <c r="BJ78" i="255"/>
  <c r="BK78" i="255" s="1"/>
  <c r="BF78" i="255"/>
  <c r="BI78" i="255"/>
  <c r="BE78" i="255"/>
  <c r="BH78" i="255"/>
  <c r="BG78" i="255"/>
  <c r="BD78" i="255"/>
  <c r="BW20" i="255"/>
  <c r="BX20" i="255" s="1"/>
  <c r="BS20" i="255"/>
  <c r="BV20" i="255"/>
  <c r="BR20" i="255"/>
  <c r="BU20" i="255"/>
  <c r="BT20" i="255"/>
  <c r="BQ20" i="255"/>
  <c r="AG89" i="255"/>
  <c r="AJ89" i="255"/>
  <c r="AK89" i="255" s="1"/>
  <c r="AE89" i="255"/>
  <c r="AI89" i="255"/>
  <c r="AD89" i="255"/>
  <c r="AH89" i="255"/>
  <c r="AF89" i="255"/>
  <c r="AG91" i="255"/>
  <c r="AF91" i="255"/>
  <c r="AJ91" i="255"/>
  <c r="AK91" i="255" s="1"/>
  <c r="AE91" i="255"/>
  <c r="AI91" i="255"/>
  <c r="AD91" i="255"/>
  <c r="AH91" i="255"/>
  <c r="AH93" i="255"/>
  <c r="AG93" i="255"/>
  <c r="AI93" i="255"/>
  <c r="AF93" i="255"/>
  <c r="AE93" i="255"/>
  <c r="AJ93" i="255"/>
  <c r="AK93" i="255" s="1"/>
  <c r="AD93" i="255"/>
  <c r="AH95" i="255"/>
  <c r="AD95" i="255"/>
  <c r="AG95" i="255"/>
  <c r="AE95" i="255"/>
  <c r="AJ95" i="255"/>
  <c r="AK95" i="255" s="1"/>
  <c r="AI95" i="255"/>
  <c r="AF95" i="255"/>
  <c r="AH97" i="255"/>
  <c r="AD97" i="255"/>
  <c r="AG97" i="255"/>
  <c r="AI97" i="255"/>
  <c r="AF97" i="255"/>
  <c r="AE97" i="255"/>
  <c r="AJ97" i="255"/>
  <c r="AK97" i="255" s="1"/>
  <c r="AH99" i="255"/>
  <c r="AD99" i="255"/>
  <c r="AG99" i="255"/>
  <c r="AE99" i="255"/>
  <c r="AJ99" i="255"/>
  <c r="AK99" i="255" s="1"/>
  <c r="AI99" i="255"/>
  <c r="AF99" i="255"/>
  <c r="AH101" i="255"/>
  <c r="AD101" i="255"/>
  <c r="AG101" i="255"/>
  <c r="AI101" i="255"/>
  <c r="AF101" i="255"/>
  <c r="AE101" i="255"/>
  <c r="AJ101" i="255"/>
  <c r="AK101" i="255" s="1"/>
  <c r="AU7" i="255"/>
  <c r="AQ7" i="255"/>
  <c r="AT7" i="255"/>
  <c r="AV7" i="255"/>
  <c r="AS7" i="255"/>
  <c r="AR7" i="255"/>
  <c r="AW7" i="255"/>
  <c r="AX7" i="255" s="1"/>
  <c r="AU9" i="255"/>
  <c r="AQ9" i="255"/>
  <c r="AT9" i="255"/>
  <c r="AR9" i="255"/>
  <c r="AW9" i="255"/>
  <c r="AX9" i="255" s="1"/>
  <c r="AV9" i="255"/>
  <c r="AS9" i="255"/>
  <c r="AU11" i="255"/>
  <c r="AQ11" i="255"/>
  <c r="AT11" i="255"/>
  <c r="AV11" i="255"/>
  <c r="AS11" i="255"/>
  <c r="AR11" i="255"/>
  <c r="AW11" i="255"/>
  <c r="AX11" i="255" s="1"/>
  <c r="AU13" i="255"/>
  <c r="AQ13" i="255"/>
  <c r="AT13" i="255"/>
  <c r="AR13" i="255"/>
  <c r="AW13" i="255"/>
  <c r="AX13" i="255" s="1"/>
  <c r="AV13" i="255"/>
  <c r="AS13" i="255"/>
  <c r="AU15" i="255"/>
  <c r="AQ15" i="255"/>
  <c r="AT15" i="255"/>
  <c r="AV15" i="255"/>
  <c r="AS15" i="255"/>
  <c r="AR15" i="255"/>
  <c r="AW15" i="255"/>
  <c r="AX15" i="255" s="1"/>
  <c r="AU17" i="255"/>
  <c r="AQ17" i="255"/>
  <c r="AT17" i="255"/>
  <c r="AR17" i="255"/>
  <c r="AW17" i="255"/>
  <c r="AX17" i="255" s="1"/>
  <c r="AV17" i="255"/>
  <c r="AS17" i="255"/>
  <c r="AU19" i="255"/>
  <c r="AQ19" i="255"/>
  <c r="AT19" i="255"/>
  <c r="AV19" i="255"/>
  <c r="AS19" i="255"/>
  <c r="AR19" i="255"/>
  <c r="AW19" i="255"/>
  <c r="AX19" i="255" s="1"/>
  <c r="AU21" i="255"/>
  <c r="AQ21" i="255"/>
  <c r="AT21" i="255"/>
  <c r="AR21" i="255"/>
  <c r="AW21" i="255"/>
  <c r="AX21" i="255" s="1"/>
  <c r="AV21" i="255"/>
  <c r="AS21" i="255"/>
  <c r="AU23" i="255"/>
  <c r="AQ23" i="255"/>
  <c r="AT23" i="255"/>
  <c r="AV23" i="255"/>
  <c r="AS23" i="255"/>
  <c r="AR23" i="255"/>
  <c r="AW23" i="255"/>
  <c r="AX23" i="255" s="1"/>
  <c r="AU25" i="255"/>
  <c r="AQ25" i="255"/>
  <c r="AT25" i="255"/>
  <c r="AR25" i="255"/>
  <c r="AW25" i="255"/>
  <c r="AX25" i="255" s="1"/>
  <c r="AV25" i="255"/>
  <c r="AS25" i="255"/>
  <c r="AU27" i="255"/>
  <c r="AQ27" i="255"/>
  <c r="AT27" i="255"/>
  <c r="AV27" i="255"/>
  <c r="AS27" i="255"/>
  <c r="AR27" i="255"/>
  <c r="AW27" i="255"/>
  <c r="AX27" i="255" s="1"/>
  <c r="AU29" i="255"/>
  <c r="AQ29" i="255"/>
  <c r="AT29" i="255"/>
  <c r="AR29" i="255"/>
  <c r="AW29" i="255"/>
  <c r="AX29" i="255" s="1"/>
  <c r="AV29" i="255"/>
  <c r="AS29" i="255"/>
  <c r="AU31" i="255"/>
  <c r="AQ31" i="255"/>
  <c r="AT31" i="255"/>
  <c r="AV31" i="255"/>
  <c r="AS31" i="255"/>
  <c r="AR31" i="255"/>
  <c r="AW31" i="255"/>
  <c r="AX31" i="255" s="1"/>
  <c r="AU33" i="255"/>
  <c r="AQ33" i="255"/>
  <c r="AT33" i="255"/>
  <c r="AR33" i="255"/>
  <c r="AW33" i="255"/>
  <c r="AX33" i="255" s="1"/>
  <c r="AV33" i="255"/>
  <c r="AS33" i="255"/>
  <c r="AU35" i="255"/>
  <c r="AQ35" i="255"/>
  <c r="AT35" i="255"/>
  <c r="AV35" i="255"/>
  <c r="AS35" i="255"/>
  <c r="AR35" i="255"/>
  <c r="AW35" i="255"/>
  <c r="AX35" i="255" s="1"/>
  <c r="AV37" i="255"/>
  <c r="AR37" i="255"/>
  <c r="AU37" i="255"/>
  <c r="AQ37" i="255"/>
  <c r="AT37" i="255"/>
  <c r="AW37" i="255"/>
  <c r="AX37" i="255" s="1"/>
  <c r="AS37" i="255"/>
  <c r="AV39" i="255"/>
  <c r="AR39" i="255"/>
  <c r="AU39" i="255"/>
  <c r="AQ39" i="255"/>
  <c r="AT39" i="255"/>
  <c r="AS39" i="255"/>
  <c r="AW39" i="255"/>
  <c r="AX39" i="255" s="1"/>
  <c r="AV41" i="255"/>
  <c r="AR41" i="255"/>
  <c r="AU41" i="255"/>
  <c r="AQ41" i="255"/>
  <c r="AT41" i="255"/>
  <c r="AW41" i="255"/>
  <c r="AX41" i="255" s="1"/>
  <c r="AS41" i="255"/>
  <c r="AV43" i="255"/>
  <c r="AR43" i="255"/>
  <c r="AU43" i="255"/>
  <c r="AQ43" i="255"/>
  <c r="AT43" i="255"/>
  <c r="AW43" i="255"/>
  <c r="AX43" i="255" s="1"/>
  <c r="AS43" i="255"/>
  <c r="AV45" i="255"/>
  <c r="AR45" i="255"/>
  <c r="AU45" i="255"/>
  <c r="AQ45" i="255"/>
  <c r="AT45" i="255"/>
  <c r="AW45" i="255"/>
  <c r="AX45" i="255" s="1"/>
  <c r="AS45" i="255"/>
  <c r="AV47" i="255"/>
  <c r="AR47" i="255"/>
  <c r="AU47" i="255"/>
  <c r="AQ47" i="255"/>
  <c r="AT47" i="255"/>
  <c r="AS47" i="255"/>
  <c r="AW47" i="255"/>
  <c r="AX47" i="255" s="1"/>
  <c r="AV49" i="255"/>
  <c r="AR49" i="255"/>
  <c r="AU49" i="255"/>
  <c r="AQ49" i="255"/>
  <c r="AT49" i="255"/>
  <c r="AW49" i="255"/>
  <c r="AX49" i="255" s="1"/>
  <c r="AS49" i="255"/>
  <c r="AV51" i="255"/>
  <c r="AR51" i="255"/>
  <c r="AU51" i="255"/>
  <c r="AQ51" i="255"/>
  <c r="AT51" i="255"/>
  <c r="AW51" i="255"/>
  <c r="AX51" i="255" s="1"/>
  <c r="AS51" i="255"/>
  <c r="AV53" i="255"/>
  <c r="AR53" i="255"/>
  <c r="AU53" i="255"/>
  <c r="AQ53" i="255"/>
  <c r="AT53" i="255"/>
  <c r="AW53" i="255"/>
  <c r="AX53" i="255" s="1"/>
  <c r="AS53" i="255"/>
  <c r="AV55" i="255"/>
  <c r="AR55" i="255"/>
  <c r="AU55" i="255"/>
  <c r="AQ55" i="255"/>
  <c r="AT55" i="255"/>
  <c r="AS55" i="255"/>
  <c r="AW55" i="255"/>
  <c r="AX55" i="255" s="1"/>
  <c r="AV57" i="255"/>
  <c r="AR57" i="255"/>
  <c r="AU57" i="255"/>
  <c r="AQ57" i="255"/>
  <c r="AT57" i="255"/>
  <c r="AW57" i="255"/>
  <c r="AX57" i="255" s="1"/>
  <c r="AS57" i="255"/>
  <c r="AV59" i="255"/>
  <c r="AR59" i="255"/>
  <c r="AU59" i="255"/>
  <c r="AQ59" i="255"/>
  <c r="AT59" i="255"/>
  <c r="AW59" i="255"/>
  <c r="AX59" i="255" s="1"/>
  <c r="AS59" i="255"/>
  <c r="AV61" i="255"/>
  <c r="AR61" i="255"/>
  <c r="AU61" i="255"/>
  <c r="AQ61" i="255"/>
  <c r="AT61" i="255"/>
  <c r="AW61" i="255"/>
  <c r="AX61" i="255" s="1"/>
  <c r="AS61" i="255"/>
  <c r="AV63" i="255"/>
  <c r="AR63" i="255"/>
  <c r="AU63" i="255"/>
  <c r="AQ63" i="255"/>
  <c r="AT63" i="255"/>
  <c r="AS63" i="255"/>
  <c r="AW63" i="255"/>
  <c r="AX63" i="255" s="1"/>
  <c r="AV65" i="255"/>
  <c r="AR65" i="255"/>
  <c r="AU65" i="255"/>
  <c r="AQ65" i="255"/>
  <c r="AT65" i="255"/>
  <c r="AW65" i="255"/>
  <c r="AX65" i="255" s="1"/>
  <c r="AS65" i="255"/>
  <c r="AV67" i="255"/>
  <c r="AR67" i="255"/>
  <c r="AU67" i="255"/>
  <c r="AQ67" i="255"/>
  <c r="AT67" i="255"/>
  <c r="AW67" i="255"/>
  <c r="AX67" i="255" s="1"/>
  <c r="AS67" i="255"/>
  <c r="AV69" i="255"/>
  <c r="AR69" i="255"/>
  <c r="AU69" i="255"/>
  <c r="AQ69" i="255"/>
  <c r="AT69" i="255"/>
  <c r="AW69" i="255"/>
  <c r="AX69" i="255" s="1"/>
  <c r="AS69" i="255"/>
  <c r="AV71" i="255"/>
  <c r="AR71" i="255"/>
  <c r="AU71" i="255"/>
  <c r="AQ71" i="255"/>
  <c r="AT71" i="255"/>
  <c r="AS71" i="255"/>
  <c r="AW71" i="255"/>
  <c r="AX71" i="255" s="1"/>
  <c r="AV73" i="255"/>
  <c r="AR73" i="255"/>
  <c r="AU73" i="255"/>
  <c r="AQ73" i="255"/>
  <c r="AT73" i="255"/>
  <c r="AW73" i="255"/>
  <c r="AX73" i="255" s="1"/>
  <c r="AS73" i="255"/>
  <c r="AV75" i="255"/>
  <c r="AR75" i="255"/>
  <c r="AU75" i="255"/>
  <c r="AQ75" i="255"/>
  <c r="AT75" i="255"/>
  <c r="AW75" i="255"/>
  <c r="AX75" i="255" s="1"/>
  <c r="AS75" i="255"/>
  <c r="AV77" i="255"/>
  <c r="AR77" i="255"/>
  <c r="AU77" i="255"/>
  <c r="AQ77" i="255"/>
  <c r="AT77" i="255"/>
  <c r="AW77" i="255"/>
  <c r="AX77" i="255" s="1"/>
  <c r="AS77" i="255"/>
  <c r="AV79" i="255"/>
  <c r="AR79" i="255"/>
  <c r="AU79" i="255"/>
  <c r="AQ79" i="255"/>
  <c r="AT79" i="255"/>
  <c r="AS79" i="255"/>
  <c r="AW79" i="255"/>
  <c r="AX79" i="255" s="1"/>
  <c r="AV81" i="255"/>
  <c r="AR81" i="255"/>
  <c r="AU81" i="255"/>
  <c r="AQ81" i="255"/>
  <c r="AT81" i="255"/>
  <c r="AW81" i="255"/>
  <c r="AX81" i="255" s="1"/>
  <c r="AS81" i="255"/>
  <c r="AV83" i="255"/>
  <c r="AR83" i="255"/>
  <c r="AU83" i="255"/>
  <c r="AQ83" i="255"/>
  <c r="AT83" i="255"/>
  <c r="AW83" i="255"/>
  <c r="AX83" i="255" s="1"/>
  <c r="AS83" i="255"/>
  <c r="AV85" i="255"/>
  <c r="AR85" i="255"/>
  <c r="AU85" i="255"/>
  <c r="AQ85" i="255"/>
  <c r="AT85" i="255"/>
  <c r="AW85" i="255"/>
  <c r="AX85" i="255" s="1"/>
  <c r="AS85" i="255"/>
  <c r="AV87" i="255"/>
  <c r="AR87" i="255"/>
  <c r="AU87" i="255"/>
  <c r="AQ87" i="255"/>
  <c r="AT87" i="255"/>
  <c r="AS87" i="255"/>
  <c r="AW87" i="255"/>
  <c r="AX87" i="255" s="1"/>
  <c r="AV89" i="255"/>
  <c r="AR89" i="255"/>
  <c r="AU89" i="255"/>
  <c r="AQ89" i="255"/>
  <c r="AT89" i="255"/>
  <c r="AW89" i="255"/>
  <c r="AX89" i="255" s="1"/>
  <c r="AS89" i="255"/>
  <c r="AV91" i="255"/>
  <c r="AR91" i="255"/>
  <c r="AU91" i="255"/>
  <c r="AQ91" i="255"/>
  <c r="AT91" i="255"/>
  <c r="AW91" i="255"/>
  <c r="AX91" i="255" s="1"/>
  <c r="AS91" i="255"/>
  <c r="AV93" i="255"/>
  <c r="AR93" i="255"/>
  <c r="AU93" i="255"/>
  <c r="AQ93" i="255"/>
  <c r="AT93" i="255"/>
  <c r="AW93" i="255"/>
  <c r="AX93" i="255" s="1"/>
  <c r="AS93" i="255"/>
  <c r="AV95" i="255"/>
  <c r="AR95" i="255"/>
  <c r="AU95" i="255"/>
  <c r="AQ95" i="255"/>
  <c r="AT95" i="255"/>
  <c r="AS95" i="255"/>
  <c r="AW95" i="255"/>
  <c r="AX95" i="255" s="1"/>
  <c r="AV97" i="255"/>
  <c r="AR97" i="255"/>
  <c r="AU97" i="255"/>
  <c r="AQ97" i="255"/>
  <c r="AT97" i="255"/>
  <c r="AW97" i="255"/>
  <c r="AX97" i="255" s="1"/>
  <c r="AS97" i="255"/>
  <c r="AV99" i="255"/>
  <c r="AR99" i="255"/>
  <c r="AU99" i="255"/>
  <c r="AQ99" i="255"/>
  <c r="AT99" i="255"/>
  <c r="AW99" i="255"/>
  <c r="AX99" i="255" s="1"/>
  <c r="AS99" i="255"/>
  <c r="AV101" i="255"/>
  <c r="AR101" i="255"/>
  <c r="AU101" i="255"/>
  <c r="AQ101" i="255"/>
  <c r="AT101" i="255"/>
  <c r="AW101" i="255"/>
  <c r="AX101" i="255" s="1"/>
  <c r="AS101" i="255"/>
  <c r="BI6" i="255"/>
  <c r="BE6" i="255"/>
  <c r="BH6" i="255"/>
  <c r="BD6" i="255"/>
  <c r="BG6" i="255"/>
  <c r="BF6" i="255"/>
  <c r="BJ6" i="255"/>
  <c r="BK6" i="255" s="1"/>
  <c r="BI10" i="255"/>
  <c r="BE10" i="255"/>
  <c r="BH10" i="255"/>
  <c r="BD10" i="255"/>
  <c r="BG10" i="255"/>
  <c r="BF10" i="255"/>
  <c r="BJ10" i="255"/>
  <c r="BK10" i="255" s="1"/>
  <c r="BI14" i="255"/>
  <c r="BE14" i="255"/>
  <c r="BH14" i="255"/>
  <c r="BD14" i="255"/>
  <c r="BG14" i="255"/>
  <c r="BF14" i="255"/>
  <c r="BJ14" i="255"/>
  <c r="BK14" i="255" s="1"/>
  <c r="BI18" i="255"/>
  <c r="BE18" i="255"/>
  <c r="BH18" i="255"/>
  <c r="BD18" i="255"/>
  <c r="BG18" i="255"/>
  <c r="BF18" i="255"/>
  <c r="BJ18" i="255"/>
  <c r="BK18" i="255" s="1"/>
  <c r="BI22" i="255"/>
  <c r="BE22" i="255"/>
  <c r="BH22" i="255"/>
  <c r="BD22" i="255"/>
  <c r="BG22" i="255"/>
  <c r="BF22" i="255"/>
  <c r="BJ22" i="255"/>
  <c r="BK22" i="255" s="1"/>
  <c r="BI26" i="255"/>
  <c r="BE26" i="255"/>
  <c r="BH26" i="255"/>
  <c r="BD26" i="255"/>
  <c r="BG26" i="255"/>
  <c r="BF26" i="255"/>
  <c r="BJ26" i="255"/>
  <c r="BK26" i="255" s="1"/>
  <c r="BI30" i="255"/>
  <c r="BE30" i="255"/>
  <c r="BH30" i="255"/>
  <c r="BD30" i="255"/>
  <c r="BG30" i="255"/>
  <c r="BF30" i="255"/>
  <c r="BJ30" i="255"/>
  <c r="BK30" i="255" s="1"/>
  <c r="BH39" i="255"/>
  <c r="BD39" i="255"/>
  <c r="BG39" i="255"/>
  <c r="BF39" i="255"/>
  <c r="BJ39" i="255"/>
  <c r="BK39" i="255" s="1"/>
  <c r="BE39" i="255"/>
  <c r="BI39" i="255"/>
  <c r="BJ50" i="255"/>
  <c r="BK50" i="255" s="1"/>
  <c r="BF50" i="255"/>
  <c r="BI50" i="255"/>
  <c r="BE50" i="255"/>
  <c r="BH50" i="255"/>
  <c r="BG50" i="255"/>
  <c r="BD50" i="255"/>
  <c r="BJ66" i="255"/>
  <c r="BK66" i="255" s="1"/>
  <c r="BF66" i="255"/>
  <c r="BI66" i="255"/>
  <c r="BE66" i="255"/>
  <c r="BH66" i="255"/>
  <c r="BG66" i="255"/>
  <c r="BD66" i="255"/>
  <c r="BJ82" i="255"/>
  <c r="BK82" i="255" s="1"/>
  <c r="BF82" i="255"/>
  <c r="BI82" i="255"/>
  <c r="BE82" i="255"/>
  <c r="BH82" i="255"/>
  <c r="BG82" i="255"/>
  <c r="BD82" i="255"/>
  <c r="BJ98" i="255"/>
  <c r="BK98" i="255" s="1"/>
  <c r="BF98" i="255"/>
  <c r="BI98" i="255"/>
  <c r="BE98" i="255"/>
  <c r="BH98" i="255"/>
  <c r="BG98" i="255"/>
  <c r="BD98" i="255"/>
  <c r="BW8" i="255"/>
  <c r="BX8" i="255" s="1"/>
  <c r="BS8" i="255"/>
  <c r="BV8" i="255"/>
  <c r="BR8" i="255"/>
  <c r="BU8" i="255"/>
  <c r="BT8" i="255"/>
  <c r="BQ8" i="255"/>
  <c r="BW24" i="255"/>
  <c r="BX24" i="255" s="1"/>
  <c r="BS24" i="255"/>
  <c r="BV24" i="255"/>
  <c r="BR24" i="255"/>
  <c r="BU24" i="255"/>
  <c r="BT24" i="255"/>
  <c r="BQ24" i="255"/>
  <c r="BU37" i="255"/>
  <c r="BQ37" i="255"/>
  <c r="BT37" i="255"/>
  <c r="BS37" i="255"/>
  <c r="BW37" i="255"/>
  <c r="BX37" i="255" s="1"/>
  <c r="BV37" i="255"/>
  <c r="BR37" i="255"/>
  <c r="CJ42" i="255"/>
  <c r="CK42" i="255" s="1"/>
  <c r="CF42" i="255"/>
  <c r="CI42" i="255"/>
  <c r="CE42" i="255"/>
  <c r="CH42" i="255"/>
  <c r="CG42" i="255"/>
  <c r="CD42" i="255"/>
  <c r="BJ54" i="255"/>
  <c r="BK54" i="255" s="1"/>
  <c r="BF54" i="255"/>
  <c r="BI54" i="255"/>
  <c r="BE54" i="255"/>
  <c r="BH54" i="255"/>
  <c r="BG54" i="255"/>
  <c r="BD54" i="255"/>
  <c r="BJ70" i="255"/>
  <c r="BK70" i="255" s="1"/>
  <c r="BF70" i="255"/>
  <c r="BI70" i="255"/>
  <c r="BE70" i="255"/>
  <c r="BH70" i="255"/>
  <c r="BG70" i="255"/>
  <c r="BD70" i="255"/>
  <c r="BJ86" i="255"/>
  <c r="BK86" i="255" s="1"/>
  <c r="BF86" i="255"/>
  <c r="BI86" i="255"/>
  <c r="BE86" i="255"/>
  <c r="BH86" i="255"/>
  <c r="BG86" i="255"/>
  <c r="BD86" i="255"/>
  <c r="BW12" i="255"/>
  <c r="BX12" i="255" s="1"/>
  <c r="BS12" i="255"/>
  <c r="BV12" i="255"/>
  <c r="BR12" i="255"/>
  <c r="BU12" i="255"/>
  <c r="BT12" i="255"/>
  <c r="BQ12" i="255"/>
  <c r="BW28" i="255"/>
  <c r="BX28" i="255" s="1"/>
  <c r="BS28" i="255"/>
  <c r="BV28" i="255"/>
  <c r="BR28" i="255"/>
  <c r="BU28" i="255"/>
  <c r="BT28" i="255"/>
  <c r="BQ28" i="255"/>
  <c r="AT38" i="255"/>
  <c r="AW38" i="255"/>
  <c r="AX38" i="255" s="1"/>
  <c r="AS38" i="255"/>
  <c r="AV38" i="255"/>
  <c r="AR38" i="255"/>
  <c r="AU38" i="255"/>
  <c r="AQ38" i="255"/>
  <c r="AT40" i="255"/>
  <c r="AW40" i="255"/>
  <c r="AX40" i="255" s="1"/>
  <c r="AS40" i="255"/>
  <c r="AV40" i="255"/>
  <c r="AR40" i="255"/>
  <c r="AU40" i="255"/>
  <c r="AQ40" i="255"/>
  <c r="AT42" i="255"/>
  <c r="AW42" i="255"/>
  <c r="AX42" i="255" s="1"/>
  <c r="AS42" i="255"/>
  <c r="AV42" i="255"/>
  <c r="AR42" i="255"/>
  <c r="AU42" i="255"/>
  <c r="AQ42" i="255"/>
  <c r="AT44" i="255"/>
  <c r="AW44" i="255"/>
  <c r="AX44" i="255" s="1"/>
  <c r="AS44" i="255"/>
  <c r="AV44" i="255"/>
  <c r="AR44" i="255"/>
  <c r="AQ44" i="255"/>
  <c r="AU44" i="255"/>
  <c r="AT46" i="255"/>
  <c r="AW46" i="255"/>
  <c r="AX46" i="255" s="1"/>
  <c r="AS46" i="255"/>
  <c r="AV46" i="255"/>
  <c r="AR46" i="255"/>
  <c r="AU46" i="255"/>
  <c r="AQ46" i="255"/>
  <c r="AT48" i="255"/>
  <c r="AW48" i="255"/>
  <c r="AX48" i="255" s="1"/>
  <c r="AS48" i="255"/>
  <c r="AV48" i="255"/>
  <c r="AR48" i="255"/>
  <c r="AU48" i="255"/>
  <c r="AQ48" i="255"/>
  <c r="AT50" i="255"/>
  <c r="AW50" i="255"/>
  <c r="AX50" i="255" s="1"/>
  <c r="AS50" i="255"/>
  <c r="AV50" i="255"/>
  <c r="AR50" i="255"/>
  <c r="AU50" i="255"/>
  <c r="AQ50" i="255"/>
  <c r="AT52" i="255"/>
  <c r="AW52" i="255"/>
  <c r="AX52" i="255" s="1"/>
  <c r="AS52" i="255"/>
  <c r="AV52" i="255"/>
  <c r="AR52" i="255"/>
  <c r="AQ52" i="255"/>
  <c r="AU52" i="255"/>
  <c r="AT54" i="255"/>
  <c r="AW54" i="255"/>
  <c r="AX54" i="255" s="1"/>
  <c r="AS54" i="255"/>
  <c r="AV54" i="255"/>
  <c r="AR54" i="255"/>
  <c r="AU54" i="255"/>
  <c r="AQ54" i="255"/>
  <c r="AT56" i="255"/>
  <c r="AW56" i="255"/>
  <c r="AX56" i="255" s="1"/>
  <c r="AS56" i="255"/>
  <c r="AV56" i="255"/>
  <c r="AR56" i="255"/>
  <c r="AU56" i="255"/>
  <c r="AQ56" i="255"/>
  <c r="AT58" i="255"/>
  <c r="AW58" i="255"/>
  <c r="AX58" i="255" s="1"/>
  <c r="AS58" i="255"/>
  <c r="AV58" i="255"/>
  <c r="AR58" i="255"/>
  <c r="AU58" i="255"/>
  <c r="AQ58" i="255"/>
  <c r="AT60" i="255"/>
  <c r="AW60" i="255"/>
  <c r="AX60" i="255" s="1"/>
  <c r="AS60" i="255"/>
  <c r="AV60" i="255"/>
  <c r="AR60" i="255"/>
  <c r="AQ60" i="255"/>
  <c r="AU60" i="255"/>
  <c r="AT62" i="255"/>
  <c r="AW62" i="255"/>
  <c r="AX62" i="255" s="1"/>
  <c r="AS62" i="255"/>
  <c r="AV62" i="255"/>
  <c r="AR62" i="255"/>
  <c r="AU62" i="255"/>
  <c r="AQ62" i="255"/>
  <c r="AT64" i="255"/>
  <c r="AW64" i="255"/>
  <c r="AX64" i="255" s="1"/>
  <c r="AS64" i="255"/>
  <c r="AV64" i="255"/>
  <c r="AR64" i="255"/>
  <c r="AU64" i="255"/>
  <c r="AQ64" i="255"/>
  <c r="AT66" i="255"/>
  <c r="AW66" i="255"/>
  <c r="AX66" i="255" s="1"/>
  <c r="AS66" i="255"/>
  <c r="AV66" i="255"/>
  <c r="AR66" i="255"/>
  <c r="AU66" i="255"/>
  <c r="AQ66" i="255"/>
  <c r="AT68" i="255"/>
  <c r="AW68" i="255"/>
  <c r="AX68" i="255" s="1"/>
  <c r="AS68" i="255"/>
  <c r="AV68" i="255"/>
  <c r="AR68" i="255"/>
  <c r="AQ68" i="255"/>
  <c r="AU68" i="255"/>
  <c r="AT70" i="255"/>
  <c r="AW70" i="255"/>
  <c r="AX70" i="255" s="1"/>
  <c r="AS70" i="255"/>
  <c r="AV70" i="255"/>
  <c r="AR70" i="255"/>
  <c r="AU70" i="255"/>
  <c r="AQ70" i="255"/>
  <c r="AT72" i="255"/>
  <c r="AW72" i="255"/>
  <c r="AX72" i="255" s="1"/>
  <c r="AS72" i="255"/>
  <c r="AV72" i="255"/>
  <c r="AR72" i="255"/>
  <c r="AU72" i="255"/>
  <c r="AQ72" i="255"/>
  <c r="AT74" i="255"/>
  <c r="AW74" i="255"/>
  <c r="AX74" i="255" s="1"/>
  <c r="AS74" i="255"/>
  <c r="AV74" i="255"/>
  <c r="AR74" i="255"/>
  <c r="AU74" i="255"/>
  <c r="AQ74" i="255"/>
  <c r="AT76" i="255"/>
  <c r="AW76" i="255"/>
  <c r="AX76" i="255" s="1"/>
  <c r="AS76" i="255"/>
  <c r="AV76" i="255"/>
  <c r="AR76" i="255"/>
  <c r="AQ76" i="255"/>
  <c r="AU76" i="255"/>
  <c r="AT78" i="255"/>
  <c r="AW78" i="255"/>
  <c r="AX78" i="255" s="1"/>
  <c r="AS78" i="255"/>
  <c r="AV78" i="255"/>
  <c r="AR78" i="255"/>
  <c r="AU78" i="255"/>
  <c r="AQ78" i="255"/>
  <c r="AT80" i="255"/>
  <c r="AW80" i="255"/>
  <c r="AX80" i="255" s="1"/>
  <c r="AS80" i="255"/>
  <c r="AV80" i="255"/>
  <c r="AR80" i="255"/>
  <c r="AU80" i="255"/>
  <c r="AQ80" i="255"/>
  <c r="AT82" i="255"/>
  <c r="AW82" i="255"/>
  <c r="AX82" i="255" s="1"/>
  <c r="AS82" i="255"/>
  <c r="AV82" i="255"/>
  <c r="AR82" i="255"/>
  <c r="AU82" i="255"/>
  <c r="AQ82" i="255"/>
  <c r="AT84" i="255"/>
  <c r="AW84" i="255"/>
  <c r="AX84" i="255" s="1"/>
  <c r="AS84" i="255"/>
  <c r="AV84" i="255"/>
  <c r="AR84" i="255"/>
  <c r="AQ84" i="255"/>
  <c r="AU84" i="255"/>
  <c r="AT86" i="255"/>
  <c r="AW86" i="255"/>
  <c r="AX86" i="255" s="1"/>
  <c r="AS86" i="255"/>
  <c r="AV86" i="255"/>
  <c r="AR86" i="255"/>
  <c r="AU86" i="255"/>
  <c r="AQ86" i="255"/>
  <c r="AT88" i="255"/>
  <c r="AW88" i="255"/>
  <c r="AX88" i="255" s="1"/>
  <c r="AS88" i="255"/>
  <c r="AV88" i="255"/>
  <c r="AR88" i="255"/>
  <c r="AU88" i="255"/>
  <c r="AQ88" i="255"/>
  <c r="AT90" i="255"/>
  <c r="AW90" i="255"/>
  <c r="AX90" i="255" s="1"/>
  <c r="AS90" i="255"/>
  <c r="AV90" i="255"/>
  <c r="AR90" i="255"/>
  <c r="AU90" i="255"/>
  <c r="AQ90" i="255"/>
  <c r="AT92" i="255"/>
  <c r="AW92" i="255"/>
  <c r="AX92" i="255" s="1"/>
  <c r="AS92" i="255"/>
  <c r="AV92" i="255"/>
  <c r="AR92" i="255"/>
  <c r="AQ92" i="255"/>
  <c r="AU92" i="255"/>
  <c r="AT94" i="255"/>
  <c r="AW94" i="255"/>
  <c r="AX94" i="255" s="1"/>
  <c r="AS94" i="255"/>
  <c r="AV94" i="255"/>
  <c r="AR94" i="255"/>
  <c r="AU94" i="255"/>
  <c r="AQ94" i="255"/>
  <c r="AT96" i="255"/>
  <c r="AW96" i="255"/>
  <c r="AX96" i="255" s="1"/>
  <c r="AS96" i="255"/>
  <c r="AV96" i="255"/>
  <c r="AR96" i="255"/>
  <c r="AU96" i="255"/>
  <c r="AQ96" i="255"/>
  <c r="AT98" i="255"/>
  <c r="AW98" i="255"/>
  <c r="AX98" i="255" s="1"/>
  <c r="AS98" i="255"/>
  <c r="AV98" i="255"/>
  <c r="AR98" i="255"/>
  <c r="AU98" i="255"/>
  <c r="AQ98" i="255"/>
  <c r="AT100" i="255"/>
  <c r="AW100" i="255"/>
  <c r="AX100" i="255" s="1"/>
  <c r="AS100" i="255"/>
  <c r="AV100" i="255"/>
  <c r="AR100" i="255"/>
  <c r="AQ100" i="255"/>
  <c r="AU100" i="255"/>
  <c r="BI8" i="255"/>
  <c r="BE8" i="255"/>
  <c r="BH8" i="255"/>
  <c r="BD8" i="255"/>
  <c r="BJ8" i="255"/>
  <c r="BK8" i="255" s="1"/>
  <c r="BG8" i="255"/>
  <c r="BF8" i="255"/>
  <c r="BI12" i="255"/>
  <c r="BE12" i="255"/>
  <c r="BH12" i="255"/>
  <c r="BD12" i="255"/>
  <c r="BJ12" i="255"/>
  <c r="BK12" i="255" s="1"/>
  <c r="BG12" i="255"/>
  <c r="BF12" i="255"/>
  <c r="BI16" i="255"/>
  <c r="BE16" i="255"/>
  <c r="BH16" i="255"/>
  <c r="BD16" i="255"/>
  <c r="BJ16" i="255"/>
  <c r="BK16" i="255" s="1"/>
  <c r="BG16" i="255"/>
  <c r="BF16" i="255"/>
  <c r="BI20" i="255"/>
  <c r="BE20" i="255"/>
  <c r="BH20" i="255"/>
  <c r="BD20" i="255"/>
  <c r="BJ20" i="255"/>
  <c r="BK20" i="255" s="1"/>
  <c r="BG20" i="255"/>
  <c r="BF20" i="255"/>
  <c r="BI24" i="255"/>
  <c r="BE24" i="255"/>
  <c r="BH24" i="255"/>
  <c r="BD24" i="255"/>
  <c r="BJ24" i="255"/>
  <c r="BK24" i="255" s="1"/>
  <c r="BG24" i="255"/>
  <c r="BF24" i="255"/>
  <c r="BI28" i="255"/>
  <c r="BE28" i="255"/>
  <c r="BH28" i="255"/>
  <c r="BD28" i="255"/>
  <c r="BJ28" i="255"/>
  <c r="BK28" i="255" s="1"/>
  <c r="BG28" i="255"/>
  <c r="BF28" i="255"/>
  <c r="BI32" i="255"/>
  <c r="BE32" i="255"/>
  <c r="BH32" i="255"/>
  <c r="BD32" i="255"/>
  <c r="BJ32" i="255"/>
  <c r="BK32" i="255" s="1"/>
  <c r="BG32" i="255"/>
  <c r="BF32" i="255"/>
  <c r="BJ36" i="255"/>
  <c r="BK36" i="255" s="1"/>
  <c r="BF36" i="255"/>
  <c r="BE36" i="255"/>
  <c r="BI36" i="255"/>
  <c r="BD36" i="255"/>
  <c r="BH36" i="255"/>
  <c r="BG36" i="255"/>
  <c r="BJ38" i="255"/>
  <c r="BK38" i="255" s="1"/>
  <c r="BF38" i="255"/>
  <c r="BG38" i="255"/>
  <c r="BE38" i="255"/>
  <c r="BI38" i="255"/>
  <c r="BD38" i="255"/>
  <c r="BH38" i="255"/>
  <c r="BJ58" i="255"/>
  <c r="BK58" i="255" s="1"/>
  <c r="BF58" i="255"/>
  <c r="BI58" i="255"/>
  <c r="BE58" i="255"/>
  <c r="BH58" i="255"/>
  <c r="BG58" i="255"/>
  <c r="BD58" i="255"/>
  <c r="BJ74" i="255"/>
  <c r="BK74" i="255" s="1"/>
  <c r="BF74" i="255"/>
  <c r="BI74" i="255"/>
  <c r="BE74" i="255"/>
  <c r="BH74" i="255"/>
  <c r="BG74" i="255"/>
  <c r="BD74" i="255"/>
  <c r="BJ90" i="255"/>
  <c r="BK90" i="255" s="1"/>
  <c r="BF90" i="255"/>
  <c r="BI90" i="255"/>
  <c r="BE90" i="255"/>
  <c r="BH90" i="255"/>
  <c r="BG90" i="255"/>
  <c r="BD90" i="255"/>
  <c r="BW16" i="255"/>
  <c r="BX16" i="255" s="1"/>
  <c r="BS16" i="255"/>
  <c r="BV16" i="255"/>
  <c r="BR16" i="255"/>
  <c r="BU16" i="255"/>
  <c r="BT16" i="255"/>
  <c r="BQ16" i="255"/>
  <c r="BW32" i="255"/>
  <c r="BX32" i="255" s="1"/>
  <c r="BS32" i="255"/>
  <c r="BV32" i="255"/>
  <c r="BR32" i="255"/>
  <c r="BU32" i="255"/>
  <c r="BT32" i="255"/>
  <c r="BQ32" i="255"/>
  <c r="CJ13" i="255"/>
  <c r="CK13" i="255" s="1"/>
  <c r="CF13" i="255"/>
  <c r="CI13" i="255"/>
  <c r="CE13" i="255"/>
  <c r="CH13" i="255"/>
  <c r="CG13" i="255"/>
  <c r="CD13" i="255"/>
  <c r="BH37" i="255"/>
  <c r="BD37" i="255"/>
  <c r="BF37" i="255"/>
  <c r="BJ37" i="255"/>
  <c r="BK37" i="255" s="1"/>
  <c r="BE37" i="255"/>
  <c r="BI37" i="255"/>
  <c r="BG37" i="255"/>
  <c r="BR5" i="255"/>
  <c r="BQ5" i="255"/>
  <c r="BY6" i="255"/>
  <c r="BY7" i="255" s="1"/>
  <c r="BY8" i="255" s="1"/>
  <c r="BY9" i="255" s="1"/>
  <c r="BY10" i="255" s="1"/>
  <c r="BY11" i="255" s="1"/>
  <c r="BY12" i="255" s="1"/>
  <c r="BY13" i="255" s="1"/>
  <c r="BY14" i="255" s="1"/>
  <c r="BY15" i="255" s="1"/>
  <c r="BY16" i="255" s="1"/>
  <c r="BY17" i="255" s="1"/>
  <c r="BY18" i="255" s="1"/>
  <c r="BY19" i="255" s="1"/>
  <c r="BY20" i="255" s="1"/>
  <c r="BY21" i="255" s="1"/>
  <c r="BY22" i="255" s="1"/>
  <c r="BY23" i="255" s="1"/>
  <c r="BY24" i="255" s="1"/>
  <c r="BY25" i="255" s="1"/>
  <c r="BY26" i="255" s="1"/>
  <c r="BY27" i="255" s="1"/>
  <c r="BY28" i="255" s="1"/>
  <c r="BY29" i="255" s="1"/>
  <c r="BY30" i="255" s="1"/>
  <c r="BY31" i="255" s="1"/>
  <c r="BY32" i="255" s="1"/>
  <c r="BY33" i="255" s="1"/>
  <c r="BY34" i="255" s="1"/>
  <c r="BY35" i="255" s="1"/>
  <c r="BY36" i="255" s="1"/>
  <c r="BY37" i="255" s="1"/>
  <c r="BY38" i="255" s="1"/>
  <c r="BY39" i="255" s="1"/>
  <c r="BY40" i="255" s="1"/>
  <c r="BY41" i="255" s="1"/>
  <c r="BY42" i="255" s="1"/>
  <c r="BY43" i="255" s="1"/>
  <c r="BY44" i="255" s="1"/>
  <c r="BY45" i="255" s="1"/>
  <c r="BY46" i="255" s="1"/>
  <c r="BY47" i="255" s="1"/>
  <c r="BY48" i="255" s="1"/>
  <c r="BY49" i="255" s="1"/>
  <c r="BY50" i="255" s="1"/>
  <c r="BY51" i="255" s="1"/>
  <c r="BY52" i="255" s="1"/>
  <c r="BY53" i="255" s="1"/>
  <c r="BY54" i="255" s="1"/>
  <c r="BY55" i="255" s="1"/>
  <c r="BY56" i="255" s="1"/>
  <c r="BY57" i="255" s="1"/>
  <c r="BY58" i="255" s="1"/>
  <c r="BY59" i="255" s="1"/>
  <c r="BY60" i="255" s="1"/>
  <c r="BY61" i="255" s="1"/>
  <c r="BY62" i="255" s="1"/>
  <c r="BY63" i="255" s="1"/>
  <c r="BY64" i="255" s="1"/>
  <c r="BY65" i="255" s="1"/>
  <c r="BY66" i="255" s="1"/>
  <c r="BY67" i="255" s="1"/>
  <c r="BY68" i="255" s="1"/>
  <c r="BY69" i="255" s="1"/>
  <c r="BY70" i="255" s="1"/>
  <c r="BY71" i="255" s="1"/>
  <c r="BY72" i="255" s="1"/>
  <c r="BY73" i="255" s="1"/>
  <c r="BY74" i="255" s="1"/>
  <c r="BY75" i="255" s="1"/>
  <c r="BY76" i="255" s="1"/>
  <c r="BY77" i="255" s="1"/>
  <c r="BY78" i="255" s="1"/>
  <c r="BY79" i="255" s="1"/>
  <c r="BY80" i="255" s="1"/>
  <c r="BY81" i="255" s="1"/>
  <c r="BY82" i="255" s="1"/>
  <c r="BY83" i="255" s="1"/>
  <c r="BY84" i="255" s="1"/>
  <c r="BY85" i="255" s="1"/>
  <c r="BY86" i="255" s="1"/>
  <c r="BY87" i="255" s="1"/>
  <c r="BY88" i="255" s="1"/>
  <c r="BY89" i="255" s="1"/>
  <c r="BY90" i="255" s="1"/>
  <c r="BY91" i="255" s="1"/>
  <c r="BY92" i="255" s="1"/>
  <c r="BY93" i="255" s="1"/>
  <c r="BY94" i="255" s="1"/>
  <c r="BY95" i="255" s="1"/>
  <c r="BY96" i="255" s="1"/>
  <c r="BY97" i="255" s="1"/>
  <c r="BY98" i="255" s="1"/>
  <c r="BY99" i="255" s="1"/>
  <c r="BY100" i="255" s="1"/>
  <c r="BY101" i="255" s="1"/>
  <c r="BV51" i="255"/>
  <c r="BR51" i="255"/>
  <c r="BU51" i="255"/>
  <c r="BQ51" i="255"/>
  <c r="BT51" i="255"/>
  <c r="BS51" i="255"/>
  <c r="BW51" i="255"/>
  <c r="BX51" i="255" s="1"/>
  <c r="BV59" i="255"/>
  <c r="BR59" i="255"/>
  <c r="BU59" i="255"/>
  <c r="BQ59" i="255"/>
  <c r="BT59" i="255"/>
  <c r="BS59" i="255"/>
  <c r="BW59" i="255"/>
  <c r="BX59" i="255" s="1"/>
  <c r="BV67" i="255"/>
  <c r="BR67" i="255"/>
  <c r="BU67" i="255"/>
  <c r="BQ67" i="255"/>
  <c r="BT67" i="255"/>
  <c r="BS67" i="255"/>
  <c r="BW67" i="255"/>
  <c r="BX67" i="255" s="1"/>
  <c r="BW81" i="255"/>
  <c r="BX81" i="255" s="1"/>
  <c r="BS81" i="255"/>
  <c r="BV81" i="255"/>
  <c r="BR81" i="255"/>
  <c r="BQ81" i="255"/>
  <c r="BU81" i="255"/>
  <c r="BT81" i="255"/>
  <c r="BD5" i="255"/>
  <c r="BL6" i="255"/>
  <c r="BL7" i="255" s="1"/>
  <c r="BL8" i="255" s="1"/>
  <c r="BL9" i="255" s="1"/>
  <c r="BL10" i="255" s="1"/>
  <c r="BL11" i="255" s="1"/>
  <c r="BL12" i="255" s="1"/>
  <c r="BL13" i="255" s="1"/>
  <c r="BL14" i="255" s="1"/>
  <c r="BL15" i="255" s="1"/>
  <c r="BL16" i="255" s="1"/>
  <c r="BL17" i="255" s="1"/>
  <c r="BL18" i="255" s="1"/>
  <c r="BL19" i="255" s="1"/>
  <c r="BL20" i="255" s="1"/>
  <c r="BL21" i="255" s="1"/>
  <c r="BL22" i="255" s="1"/>
  <c r="BL23" i="255" s="1"/>
  <c r="BL24" i="255" s="1"/>
  <c r="BL25" i="255" s="1"/>
  <c r="BL26" i="255" s="1"/>
  <c r="BL27" i="255" s="1"/>
  <c r="BL28" i="255" s="1"/>
  <c r="BL29" i="255" s="1"/>
  <c r="BL30" i="255" s="1"/>
  <c r="BL31" i="255" s="1"/>
  <c r="BL32" i="255" s="1"/>
  <c r="BL33" i="255" s="1"/>
  <c r="BL34" i="255" s="1"/>
  <c r="BL35" i="255" s="1"/>
  <c r="BL36" i="255" s="1"/>
  <c r="BL37" i="255" s="1"/>
  <c r="BL38" i="255" s="1"/>
  <c r="BL39" i="255" s="1"/>
  <c r="BL40" i="255" s="1"/>
  <c r="BL41" i="255" s="1"/>
  <c r="BL42" i="255" s="1"/>
  <c r="BL43" i="255" s="1"/>
  <c r="BL44" i="255" s="1"/>
  <c r="BL45" i="255" s="1"/>
  <c r="BL46" i="255" s="1"/>
  <c r="BL47" i="255" s="1"/>
  <c r="BL48" i="255" s="1"/>
  <c r="BL49" i="255" s="1"/>
  <c r="BL50" i="255" s="1"/>
  <c r="BL51" i="255" s="1"/>
  <c r="BL52" i="255" s="1"/>
  <c r="BL53" i="255" s="1"/>
  <c r="BL54" i="255" s="1"/>
  <c r="BL55" i="255" s="1"/>
  <c r="BL56" i="255" s="1"/>
  <c r="BL57" i="255" s="1"/>
  <c r="BL58" i="255" s="1"/>
  <c r="BL59" i="255" s="1"/>
  <c r="BL60" i="255" s="1"/>
  <c r="BL61" i="255" s="1"/>
  <c r="BL62" i="255" s="1"/>
  <c r="BL63" i="255" s="1"/>
  <c r="BL64" i="255" s="1"/>
  <c r="BL65" i="255" s="1"/>
  <c r="BL66" i="255" s="1"/>
  <c r="BL67" i="255" s="1"/>
  <c r="BL68" i="255" s="1"/>
  <c r="BL69" i="255" s="1"/>
  <c r="BL70" i="255" s="1"/>
  <c r="BL71" i="255" s="1"/>
  <c r="BL72" i="255" s="1"/>
  <c r="BL73" i="255" s="1"/>
  <c r="BL74" i="255" s="1"/>
  <c r="BL75" i="255" s="1"/>
  <c r="BL76" i="255" s="1"/>
  <c r="BL77" i="255" s="1"/>
  <c r="BL78" i="255" s="1"/>
  <c r="BL79" i="255" s="1"/>
  <c r="BL80" i="255" s="1"/>
  <c r="BL81" i="255" s="1"/>
  <c r="BL82" i="255" s="1"/>
  <c r="BL83" i="255" s="1"/>
  <c r="BL84" i="255" s="1"/>
  <c r="BL85" i="255" s="1"/>
  <c r="BL86" i="255" s="1"/>
  <c r="BL87" i="255" s="1"/>
  <c r="BL88" i="255" s="1"/>
  <c r="BL89" i="255" s="1"/>
  <c r="BL90" i="255" s="1"/>
  <c r="BL91" i="255" s="1"/>
  <c r="BL92" i="255" s="1"/>
  <c r="BL93" i="255" s="1"/>
  <c r="BL94" i="255" s="1"/>
  <c r="BL95" i="255" s="1"/>
  <c r="BL96" i="255" s="1"/>
  <c r="BL97" i="255" s="1"/>
  <c r="BL98" i="255" s="1"/>
  <c r="BL99" i="255" s="1"/>
  <c r="BL100" i="255" s="1"/>
  <c r="BL101" i="255" s="1"/>
  <c r="BE5" i="255"/>
  <c r="BJ34" i="255"/>
  <c r="BK34" i="255" s="1"/>
  <c r="BF34" i="255"/>
  <c r="BI34" i="255"/>
  <c r="BD34" i="255"/>
  <c r="BH34" i="255"/>
  <c r="BG34" i="255"/>
  <c r="BE34" i="255"/>
  <c r="BH35" i="255"/>
  <c r="BD35" i="255"/>
  <c r="BJ35" i="255"/>
  <c r="BK35" i="255" s="1"/>
  <c r="BE35" i="255"/>
  <c r="BI35" i="255"/>
  <c r="BG35" i="255"/>
  <c r="BF35" i="255"/>
  <c r="BJ42" i="255"/>
  <c r="BK42" i="255" s="1"/>
  <c r="BF42" i="255"/>
  <c r="BI42" i="255"/>
  <c r="BD42" i="255"/>
  <c r="BH42" i="255"/>
  <c r="BG42" i="255"/>
  <c r="BE42" i="255"/>
  <c r="BJ44" i="255"/>
  <c r="BK44" i="255" s="1"/>
  <c r="BF44" i="255"/>
  <c r="BI44" i="255"/>
  <c r="BE44" i="255"/>
  <c r="BD44" i="255"/>
  <c r="BH44" i="255"/>
  <c r="BG44" i="255"/>
  <c r="BJ48" i="255"/>
  <c r="BK48" i="255" s="1"/>
  <c r="BF48" i="255"/>
  <c r="BI48" i="255"/>
  <c r="BE48" i="255"/>
  <c r="BD48" i="255"/>
  <c r="BH48" i="255"/>
  <c r="BG48" i="255"/>
  <c r="BJ52" i="255"/>
  <c r="BK52" i="255" s="1"/>
  <c r="BF52" i="255"/>
  <c r="BI52" i="255"/>
  <c r="BE52" i="255"/>
  <c r="BD52" i="255"/>
  <c r="BH52" i="255"/>
  <c r="BG52" i="255"/>
  <c r="BJ56" i="255"/>
  <c r="BK56" i="255" s="1"/>
  <c r="BF56" i="255"/>
  <c r="BI56" i="255"/>
  <c r="BE56" i="255"/>
  <c r="BD56" i="255"/>
  <c r="BH56" i="255"/>
  <c r="BG56" i="255"/>
  <c r="BJ60" i="255"/>
  <c r="BK60" i="255" s="1"/>
  <c r="BF60" i="255"/>
  <c r="BI60" i="255"/>
  <c r="BE60" i="255"/>
  <c r="BD60" i="255"/>
  <c r="BH60" i="255"/>
  <c r="BG60" i="255"/>
  <c r="BJ64" i="255"/>
  <c r="BK64" i="255" s="1"/>
  <c r="BF64" i="255"/>
  <c r="BI64" i="255"/>
  <c r="BE64" i="255"/>
  <c r="BD64" i="255"/>
  <c r="BH64" i="255"/>
  <c r="BG64" i="255"/>
  <c r="BJ68" i="255"/>
  <c r="BK68" i="255" s="1"/>
  <c r="BF68" i="255"/>
  <c r="BI68" i="255"/>
  <c r="BE68" i="255"/>
  <c r="BD68" i="255"/>
  <c r="BH68" i="255"/>
  <c r="BG68" i="255"/>
  <c r="BJ72" i="255"/>
  <c r="BK72" i="255" s="1"/>
  <c r="BF72" i="255"/>
  <c r="BI72" i="255"/>
  <c r="BE72" i="255"/>
  <c r="BD72" i="255"/>
  <c r="BH72" i="255"/>
  <c r="BG72" i="255"/>
  <c r="BJ76" i="255"/>
  <c r="BK76" i="255" s="1"/>
  <c r="BF76" i="255"/>
  <c r="BI76" i="255"/>
  <c r="BE76" i="255"/>
  <c r="BD76" i="255"/>
  <c r="BH76" i="255"/>
  <c r="BG76" i="255"/>
  <c r="BJ80" i="255"/>
  <c r="BK80" i="255" s="1"/>
  <c r="BF80" i="255"/>
  <c r="BI80" i="255"/>
  <c r="BE80" i="255"/>
  <c r="BD80" i="255"/>
  <c r="BH80" i="255"/>
  <c r="BG80" i="255"/>
  <c r="BJ84" i="255"/>
  <c r="BK84" i="255" s="1"/>
  <c r="BF84" i="255"/>
  <c r="BI84" i="255"/>
  <c r="BE84" i="255"/>
  <c r="BD84" i="255"/>
  <c r="BH84" i="255"/>
  <c r="BG84" i="255"/>
  <c r="BJ88" i="255"/>
  <c r="BK88" i="255" s="1"/>
  <c r="BF88" i="255"/>
  <c r="BI88" i="255"/>
  <c r="BE88" i="255"/>
  <c r="BD88" i="255"/>
  <c r="BH88" i="255"/>
  <c r="BG88" i="255"/>
  <c r="BJ92" i="255"/>
  <c r="BK92" i="255" s="1"/>
  <c r="BF92" i="255"/>
  <c r="BI92" i="255"/>
  <c r="BE92" i="255"/>
  <c r="BD92" i="255"/>
  <c r="BH92" i="255"/>
  <c r="BG92" i="255"/>
  <c r="BJ96" i="255"/>
  <c r="BK96" i="255" s="1"/>
  <c r="BF96" i="255"/>
  <c r="BI96" i="255"/>
  <c r="BE96" i="255"/>
  <c r="BD96" i="255"/>
  <c r="BH96" i="255"/>
  <c r="BG96" i="255"/>
  <c r="BJ100" i="255"/>
  <c r="BK100" i="255" s="1"/>
  <c r="BF100" i="255"/>
  <c r="BI100" i="255"/>
  <c r="BE100" i="255"/>
  <c r="BD100" i="255"/>
  <c r="BH100" i="255"/>
  <c r="BG100" i="255"/>
  <c r="BW6" i="255"/>
  <c r="BX6" i="255" s="1"/>
  <c r="BS6" i="255"/>
  <c r="BV6" i="255"/>
  <c r="BR6" i="255"/>
  <c r="BQ6" i="255"/>
  <c r="BU6" i="255"/>
  <c r="BT6" i="255"/>
  <c r="BW10" i="255"/>
  <c r="BX10" i="255" s="1"/>
  <c r="BS10" i="255"/>
  <c r="BV10" i="255"/>
  <c r="BR10" i="255"/>
  <c r="BQ10" i="255"/>
  <c r="BU10" i="255"/>
  <c r="BT10" i="255"/>
  <c r="BW14" i="255"/>
  <c r="BX14" i="255" s="1"/>
  <c r="BS14" i="255"/>
  <c r="BV14" i="255"/>
  <c r="BR14" i="255"/>
  <c r="BQ14" i="255"/>
  <c r="BU14" i="255"/>
  <c r="BT14" i="255"/>
  <c r="BW18" i="255"/>
  <c r="BX18" i="255" s="1"/>
  <c r="BS18" i="255"/>
  <c r="BV18" i="255"/>
  <c r="BR18" i="255"/>
  <c r="BQ18" i="255"/>
  <c r="BU18" i="255"/>
  <c r="BT18" i="255"/>
  <c r="BW22" i="255"/>
  <c r="BX22" i="255" s="1"/>
  <c r="BS22" i="255"/>
  <c r="BV22" i="255"/>
  <c r="BR22" i="255"/>
  <c r="BQ22" i="255"/>
  <c r="BU22" i="255"/>
  <c r="BT22" i="255"/>
  <c r="BW26" i="255"/>
  <c r="BX26" i="255" s="1"/>
  <c r="BS26" i="255"/>
  <c r="BV26" i="255"/>
  <c r="BR26" i="255"/>
  <c r="BQ26" i="255"/>
  <c r="BU26" i="255"/>
  <c r="BT26" i="255"/>
  <c r="BW30" i="255"/>
  <c r="BX30" i="255" s="1"/>
  <c r="BS30" i="255"/>
  <c r="BV30" i="255"/>
  <c r="BR30" i="255"/>
  <c r="BQ30" i="255"/>
  <c r="BU30" i="255"/>
  <c r="BT30" i="255"/>
  <c r="BW34" i="255"/>
  <c r="BX34" i="255" s="1"/>
  <c r="BS34" i="255"/>
  <c r="BV34" i="255"/>
  <c r="BR34" i="255"/>
  <c r="BQ34" i="255"/>
  <c r="BU34" i="255"/>
  <c r="BT34" i="255"/>
  <c r="BW44" i="255"/>
  <c r="BX44" i="255" s="1"/>
  <c r="BS44" i="255"/>
  <c r="BT44" i="255"/>
  <c r="BR44" i="255"/>
  <c r="BQ44" i="255"/>
  <c r="BV44" i="255"/>
  <c r="BU44" i="255"/>
  <c r="BU45" i="255"/>
  <c r="BQ45" i="255"/>
  <c r="BT45" i="255"/>
  <c r="BS45" i="255"/>
  <c r="BR45" i="255"/>
  <c r="BW45" i="255"/>
  <c r="BX45" i="255" s="1"/>
  <c r="BV45" i="255"/>
  <c r="BW95" i="255"/>
  <c r="BX95" i="255" s="1"/>
  <c r="BS95" i="255"/>
  <c r="BV95" i="255"/>
  <c r="BR95" i="255"/>
  <c r="BU95" i="255"/>
  <c r="BT95" i="255"/>
  <c r="BQ95" i="255"/>
  <c r="CJ26" i="255"/>
  <c r="CK26" i="255" s="1"/>
  <c r="CF26" i="255"/>
  <c r="CI26" i="255"/>
  <c r="CE26" i="255"/>
  <c r="CH26" i="255"/>
  <c r="CG26" i="255"/>
  <c r="CD26" i="255"/>
  <c r="CJ59" i="255"/>
  <c r="CK59" i="255" s="1"/>
  <c r="CF59" i="255"/>
  <c r="CI59" i="255"/>
  <c r="CE59" i="255"/>
  <c r="CH59" i="255"/>
  <c r="CG59" i="255"/>
  <c r="CD59" i="255"/>
  <c r="BG7" i="255"/>
  <c r="BJ7" i="255"/>
  <c r="BK7" i="255" s="1"/>
  <c r="BF7" i="255"/>
  <c r="BE7" i="255"/>
  <c r="BD7" i="255"/>
  <c r="BI7" i="255"/>
  <c r="BH7" i="255"/>
  <c r="BG9" i="255"/>
  <c r="BJ9" i="255"/>
  <c r="BK9" i="255" s="1"/>
  <c r="BF9" i="255"/>
  <c r="BI9" i="255"/>
  <c r="BH9" i="255"/>
  <c r="BE9" i="255"/>
  <c r="BD9" i="255"/>
  <c r="BG11" i="255"/>
  <c r="BJ11" i="255"/>
  <c r="BK11" i="255" s="1"/>
  <c r="BF11" i="255"/>
  <c r="BE11" i="255"/>
  <c r="BD11" i="255"/>
  <c r="BI11" i="255"/>
  <c r="BH11" i="255"/>
  <c r="BG13" i="255"/>
  <c r="BJ13" i="255"/>
  <c r="BK13" i="255" s="1"/>
  <c r="BF13" i="255"/>
  <c r="BI13" i="255"/>
  <c r="BH13" i="255"/>
  <c r="BE13" i="255"/>
  <c r="BD13" i="255"/>
  <c r="BG15" i="255"/>
  <c r="BJ15" i="255"/>
  <c r="BK15" i="255" s="1"/>
  <c r="BF15" i="255"/>
  <c r="BE15" i="255"/>
  <c r="BD15" i="255"/>
  <c r="BI15" i="255"/>
  <c r="BH15" i="255"/>
  <c r="BG17" i="255"/>
  <c r="BJ17" i="255"/>
  <c r="BK17" i="255" s="1"/>
  <c r="BF17" i="255"/>
  <c r="BI17" i="255"/>
  <c r="BH17" i="255"/>
  <c r="BE17" i="255"/>
  <c r="BD17" i="255"/>
  <c r="BG19" i="255"/>
  <c r="BJ19" i="255"/>
  <c r="BK19" i="255" s="1"/>
  <c r="BF19" i="255"/>
  <c r="BE19" i="255"/>
  <c r="BD19" i="255"/>
  <c r="BI19" i="255"/>
  <c r="BH19" i="255"/>
  <c r="BG21" i="255"/>
  <c r="BJ21" i="255"/>
  <c r="BK21" i="255" s="1"/>
  <c r="BF21" i="255"/>
  <c r="BI21" i="255"/>
  <c r="BH21" i="255"/>
  <c r="BE21" i="255"/>
  <c r="BD21" i="255"/>
  <c r="BG23" i="255"/>
  <c r="BJ23" i="255"/>
  <c r="BK23" i="255" s="1"/>
  <c r="BF23" i="255"/>
  <c r="BE23" i="255"/>
  <c r="BD23" i="255"/>
  <c r="BI23" i="255"/>
  <c r="BH23" i="255"/>
  <c r="BG25" i="255"/>
  <c r="BJ25" i="255"/>
  <c r="BK25" i="255" s="1"/>
  <c r="BF25" i="255"/>
  <c r="BI25" i="255"/>
  <c r="BH25" i="255"/>
  <c r="BE25" i="255"/>
  <c r="BD25" i="255"/>
  <c r="BG27" i="255"/>
  <c r="BJ27" i="255"/>
  <c r="BK27" i="255" s="1"/>
  <c r="BF27" i="255"/>
  <c r="BE27" i="255"/>
  <c r="BD27" i="255"/>
  <c r="BI27" i="255"/>
  <c r="BH27" i="255"/>
  <c r="BG29" i="255"/>
  <c r="BJ29" i="255"/>
  <c r="BK29" i="255" s="1"/>
  <c r="BF29" i="255"/>
  <c r="BI29" i="255"/>
  <c r="BH29" i="255"/>
  <c r="BE29" i="255"/>
  <c r="BD29" i="255"/>
  <c r="BG31" i="255"/>
  <c r="BJ31" i="255"/>
  <c r="BK31" i="255" s="1"/>
  <c r="BF31" i="255"/>
  <c r="BE31" i="255"/>
  <c r="BD31" i="255"/>
  <c r="BI31" i="255"/>
  <c r="BH31" i="255"/>
  <c r="BH33" i="255"/>
  <c r="BD33" i="255"/>
  <c r="BI33" i="255"/>
  <c r="BG33" i="255"/>
  <c r="BJ33" i="255"/>
  <c r="BK33" i="255" s="1"/>
  <c r="BF33" i="255"/>
  <c r="BE33" i="255"/>
  <c r="BJ40" i="255"/>
  <c r="BK40" i="255" s="1"/>
  <c r="BF40" i="255"/>
  <c r="BH40" i="255"/>
  <c r="BG40" i="255"/>
  <c r="BE40" i="255"/>
  <c r="BD40" i="255"/>
  <c r="BI40" i="255"/>
  <c r="BH41" i="255"/>
  <c r="BD41" i="255"/>
  <c r="BI41" i="255"/>
  <c r="BG41" i="255"/>
  <c r="BF41" i="255"/>
  <c r="BJ41" i="255"/>
  <c r="BK41" i="255" s="1"/>
  <c r="BE41" i="255"/>
  <c r="BW42" i="255"/>
  <c r="BX42" i="255" s="1"/>
  <c r="BS42" i="255"/>
  <c r="BR42" i="255"/>
  <c r="BV42" i="255"/>
  <c r="BQ42" i="255"/>
  <c r="BU42" i="255"/>
  <c r="BT42" i="255"/>
  <c r="BU43" i="255"/>
  <c r="BQ43" i="255"/>
  <c r="BS43" i="255"/>
  <c r="BW43" i="255"/>
  <c r="BX43" i="255" s="1"/>
  <c r="BR43" i="255"/>
  <c r="BV43" i="255"/>
  <c r="BT43" i="255"/>
  <c r="BV55" i="255"/>
  <c r="BR55" i="255"/>
  <c r="BU55" i="255"/>
  <c r="BQ55" i="255"/>
  <c r="BT55" i="255"/>
  <c r="BS55" i="255"/>
  <c r="BW55" i="255"/>
  <c r="BX55" i="255" s="1"/>
  <c r="BV63" i="255"/>
  <c r="BR63" i="255"/>
  <c r="BU63" i="255"/>
  <c r="BQ63" i="255"/>
  <c r="BT63" i="255"/>
  <c r="BS63" i="255"/>
  <c r="BW63" i="255"/>
  <c r="BX63" i="255" s="1"/>
  <c r="CJ77" i="255"/>
  <c r="CK77" i="255" s="1"/>
  <c r="CF77" i="255"/>
  <c r="CI77" i="255"/>
  <c r="CE77" i="255"/>
  <c r="CH77" i="255"/>
  <c r="CD77" i="255"/>
  <c r="CG77" i="255"/>
  <c r="BH43" i="255"/>
  <c r="BD43" i="255"/>
  <c r="BG43" i="255"/>
  <c r="BF43" i="255"/>
  <c r="BE43" i="255"/>
  <c r="BJ43" i="255"/>
  <c r="BK43" i="255" s="1"/>
  <c r="BI43" i="255"/>
  <c r="BH45" i="255"/>
  <c r="BD45" i="255"/>
  <c r="BG45" i="255"/>
  <c r="BJ45" i="255"/>
  <c r="BK45" i="255" s="1"/>
  <c r="BI45" i="255"/>
  <c r="BF45" i="255"/>
  <c r="BE45" i="255"/>
  <c r="BH47" i="255"/>
  <c r="BD47" i="255"/>
  <c r="BG47" i="255"/>
  <c r="BF47" i="255"/>
  <c r="BE47" i="255"/>
  <c r="BJ47" i="255"/>
  <c r="BK47" i="255" s="1"/>
  <c r="BI47" i="255"/>
  <c r="BH49" i="255"/>
  <c r="BD49" i="255"/>
  <c r="BG49" i="255"/>
  <c r="BJ49" i="255"/>
  <c r="BK49" i="255" s="1"/>
  <c r="BI49" i="255"/>
  <c r="BF49" i="255"/>
  <c r="BE49" i="255"/>
  <c r="BH51" i="255"/>
  <c r="BD51" i="255"/>
  <c r="BG51" i="255"/>
  <c r="BF51" i="255"/>
  <c r="BE51" i="255"/>
  <c r="BJ51" i="255"/>
  <c r="BK51" i="255" s="1"/>
  <c r="BI51" i="255"/>
  <c r="BH53" i="255"/>
  <c r="BD53" i="255"/>
  <c r="BG53" i="255"/>
  <c r="BJ53" i="255"/>
  <c r="BK53" i="255" s="1"/>
  <c r="BI53" i="255"/>
  <c r="BF53" i="255"/>
  <c r="BE53" i="255"/>
  <c r="BH55" i="255"/>
  <c r="BD55" i="255"/>
  <c r="BG55" i="255"/>
  <c r="BF55" i="255"/>
  <c r="BE55" i="255"/>
  <c r="BJ55" i="255"/>
  <c r="BK55" i="255" s="1"/>
  <c r="BI55" i="255"/>
  <c r="BH57" i="255"/>
  <c r="BD57" i="255"/>
  <c r="BG57" i="255"/>
  <c r="BJ57" i="255"/>
  <c r="BK57" i="255" s="1"/>
  <c r="BI57" i="255"/>
  <c r="BF57" i="255"/>
  <c r="BE57" i="255"/>
  <c r="BH59" i="255"/>
  <c r="BD59" i="255"/>
  <c r="BG59" i="255"/>
  <c r="BF59" i="255"/>
  <c r="BE59" i="255"/>
  <c r="BJ59" i="255"/>
  <c r="BK59" i="255" s="1"/>
  <c r="BI59" i="255"/>
  <c r="BH61" i="255"/>
  <c r="BD61" i="255"/>
  <c r="BG61" i="255"/>
  <c r="BJ61" i="255"/>
  <c r="BK61" i="255" s="1"/>
  <c r="BI61" i="255"/>
  <c r="BF61" i="255"/>
  <c r="BE61" i="255"/>
  <c r="BH63" i="255"/>
  <c r="BD63" i="255"/>
  <c r="BG63" i="255"/>
  <c r="BF63" i="255"/>
  <c r="BE63" i="255"/>
  <c r="BJ63" i="255"/>
  <c r="BK63" i="255" s="1"/>
  <c r="BI63" i="255"/>
  <c r="BH65" i="255"/>
  <c r="BD65" i="255"/>
  <c r="BG65" i="255"/>
  <c r="BJ65" i="255"/>
  <c r="BK65" i="255" s="1"/>
  <c r="BI65" i="255"/>
  <c r="BF65" i="255"/>
  <c r="BE65" i="255"/>
  <c r="BH67" i="255"/>
  <c r="BD67" i="255"/>
  <c r="BG67" i="255"/>
  <c r="BF67" i="255"/>
  <c r="BE67" i="255"/>
  <c r="BJ67" i="255"/>
  <c r="BK67" i="255" s="1"/>
  <c r="BI67" i="255"/>
  <c r="BH69" i="255"/>
  <c r="BD69" i="255"/>
  <c r="BG69" i="255"/>
  <c r="BJ69" i="255"/>
  <c r="BK69" i="255" s="1"/>
  <c r="BI69" i="255"/>
  <c r="BF69" i="255"/>
  <c r="BE69" i="255"/>
  <c r="BH71" i="255"/>
  <c r="BD71" i="255"/>
  <c r="BG71" i="255"/>
  <c r="BF71" i="255"/>
  <c r="BE71" i="255"/>
  <c r="BJ71" i="255"/>
  <c r="BK71" i="255" s="1"/>
  <c r="BI71" i="255"/>
  <c r="BH73" i="255"/>
  <c r="BD73" i="255"/>
  <c r="BG73" i="255"/>
  <c r="BJ73" i="255"/>
  <c r="BK73" i="255" s="1"/>
  <c r="BI73" i="255"/>
  <c r="BF73" i="255"/>
  <c r="BE73" i="255"/>
  <c r="BH75" i="255"/>
  <c r="BD75" i="255"/>
  <c r="BG75" i="255"/>
  <c r="BF75" i="255"/>
  <c r="BE75" i="255"/>
  <c r="BJ75" i="255"/>
  <c r="BK75" i="255" s="1"/>
  <c r="BI75" i="255"/>
  <c r="BH77" i="255"/>
  <c r="BD77" i="255"/>
  <c r="BG77" i="255"/>
  <c r="BJ77" i="255"/>
  <c r="BK77" i="255" s="1"/>
  <c r="BI77" i="255"/>
  <c r="BF77" i="255"/>
  <c r="BE77" i="255"/>
  <c r="BH79" i="255"/>
  <c r="BD79" i="255"/>
  <c r="BG79" i="255"/>
  <c r="BF79" i="255"/>
  <c r="BE79" i="255"/>
  <c r="BJ79" i="255"/>
  <c r="BK79" i="255" s="1"/>
  <c r="BI79" i="255"/>
  <c r="BH81" i="255"/>
  <c r="BD81" i="255"/>
  <c r="BG81" i="255"/>
  <c r="BJ81" i="255"/>
  <c r="BK81" i="255" s="1"/>
  <c r="BI81" i="255"/>
  <c r="BF81" i="255"/>
  <c r="BE81" i="255"/>
  <c r="BH83" i="255"/>
  <c r="BD83" i="255"/>
  <c r="BG83" i="255"/>
  <c r="BF83" i="255"/>
  <c r="BE83" i="255"/>
  <c r="BJ83" i="255"/>
  <c r="BK83" i="255" s="1"/>
  <c r="BI83" i="255"/>
  <c r="BH85" i="255"/>
  <c r="BD85" i="255"/>
  <c r="BG85" i="255"/>
  <c r="BJ85" i="255"/>
  <c r="BK85" i="255" s="1"/>
  <c r="BI85" i="255"/>
  <c r="BF85" i="255"/>
  <c r="BE85" i="255"/>
  <c r="BH87" i="255"/>
  <c r="BD87" i="255"/>
  <c r="BG87" i="255"/>
  <c r="BF87" i="255"/>
  <c r="BE87" i="255"/>
  <c r="BJ87" i="255"/>
  <c r="BK87" i="255" s="1"/>
  <c r="BI87" i="255"/>
  <c r="BH89" i="255"/>
  <c r="BD89" i="255"/>
  <c r="BG89" i="255"/>
  <c r="BJ89" i="255"/>
  <c r="BK89" i="255" s="1"/>
  <c r="BI89" i="255"/>
  <c r="BF89" i="255"/>
  <c r="BE89" i="255"/>
  <c r="BH91" i="255"/>
  <c r="BD91" i="255"/>
  <c r="BG91" i="255"/>
  <c r="BF91" i="255"/>
  <c r="BE91" i="255"/>
  <c r="BJ91" i="255"/>
  <c r="BK91" i="255" s="1"/>
  <c r="BI91" i="255"/>
  <c r="BH93" i="255"/>
  <c r="BD93" i="255"/>
  <c r="BG93" i="255"/>
  <c r="BJ93" i="255"/>
  <c r="BK93" i="255" s="1"/>
  <c r="BI93" i="255"/>
  <c r="BF93" i="255"/>
  <c r="BE93" i="255"/>
  <c r="BH95" i="255"/>
  <c r="BD95" i="255"/>
  <c r="BG95" i="255"/>
  <c r="BF95" i="255"/>
  <c r="BE95" i="255"/>
  <c r="BJ95" i="255"/>
  <c r="BK95" i="255" s="1"/>
  <c r="BI95" i="255"/>
  <c r="BH97" i="255"/>
  <c r="BD97" i="255"/>
  <c r="BG97" i="255"/>
  <c r="BJ97" i="255"/>
  <c r="BK97" i="255" s="1"/>
  <c r="BI97" i="255"/>
  <c r="BF97" i="255"/>
  <c r="BE97" i="255"/>
  <c r="BH99" i="255"/>
  <c r="BD99" i="255"/>
  <c r="BG99" i="255"/>
  <c r="BF99" i="255"/>
  <c r="BE99" i="255"/>
  <c r="BJ99" i="255"/>
  <c r="BK99" i="255" s="1"/>
  <c r="BI99" i="255"/>
  <c r="BH101" i="255"/>
  <c r="BD101" i="255"/>
  <c r="BG101" i="255"/>
  <c r="BJ101" i="255"/>
  <c r="BK101" i="255" s="1"/>
  <c r="BI101" i="255"/>
  <c r="BF101" i="255"/>
  <c r="BE101" i="255"/>
  <c r="BU7" i="255"/>
  <c r="BQ7" i="255"/>
  <c r="BT7" i="255"/>
  <c r="BW7" i="255"/>
  <c r="BX7" i="255" s="1"/>
  <c r="BV7" i="255"/>
  <c r="BS7" i="255"/>
  <c r="BR7" i="255"/>
  <c r="BU9" i="255"/>
  <c r="BQ9" i="255"/>
  <c r="BT9" i="255"/>
  <c r="BS9" i="255"/>
  <c r="BR9" i="255"/>
  <c r="BW9" i="255"/>
  <c r="BX9" i="255" s="1"/>
  <c r="BV9" i="255"/>
  <c r="BU11" i="255"/>
  <c r="BQ11" i="255"/>
  <c r="BT11" i="255"/>
  <c r="BW11" i="255"/>
  <c r="BX11" i="255" s="1"/>
  <c r="BV11" i="255"/>
  <c r="BS11" i="255"/>
  <c r="BR11" i="255"/>
  <c r="BU13" i="255"/>
  <c r="BQ13" i="255"/>
  <c r="BT13" i="255"/>
  <c r="BS13" i="255"/>
  <c r="BR13" i="255"/>
  <c r="BW13" i="255"/>
  <c r="BX13" i="255" s="1"/>
  <c r="BV13" i="255"/>
  <c r="BU15" i="255"/>
  <c r="BQ15" i="255"/>
  <c r="BT15" i="255"/>
  <c r="BW15" i="255"/>
  <c r="BX15" i="255" s="1"/>
  <c r="BV15" i="255"/>
  <c r="BS15" i="255"/>
  <c r="BR15" i="255"/>
  <c r="BU17" i="255"/>
  <c r="BQ17" i="255"/>
  <c r="BT17" i="255"/>
  <c r="BS17" i="255"/>
  <c r="BR17" i="255"/>
  <c r="BW17" i="255"/>
  <c r="BX17" i="255" s="1"/>
  <c r="BV17" i="255"/>
  <c r="BU19" i="255"/>
  <c r="BQ19" i="255"/>
  <c r="BT19" i="255"/>
  <c r="BW19" i="255"/>
  <c r="BX19" i="255" s="1"/>
  <c r="BV19" i="255"/>
  <c r="BS19" i="255"/>
  <c r="BR19" i="255"/>
  <c r="BU21" i="255"/>
  <c r="BQ21" i="255"/>
  <c r="BT21" i="255"/>
  <c r="BS21" i="255"/>
  <c r="BR21" i="255"/>
  <c r="BW21" i="255"/>
  <c r="BX21" i="255" s="1"/>
  <c r="BV21" i="255"/>
  <c r="BU23" i="255"/>
  <c r="BQ23" i="255"/>
  <c r="BT23" i="255"/>
  <c r="BW23" i="255"/>
  <c r="BX23" i="255" s="1"/>
  <c r="BV23" i="255"/>
  <c r="BS23" i="255"/>
  <c r="BR23" i="255"/>
  <c r="BU25" i="255"/>
  <c r="BQ25" i="255"/>
  <c r="BT25" i="255"/>
  <c r="BS25" i="255"/>
  <c r="BR25" i="255"/>
  <c r="BW25" i="255"/>
  <c r="BX25" i="255" s="1"/>
  <c r="BV25" i="255"/>
  <c r="BU27" i="255"/>
  <c r="BQ27" i="255"/>
  <c r="BT27" i="255"/>
  <c r="BW27" i="255"/>
  <c r="BX27" i="255" s="1"/>
  <c r="BV27" i="255"/>
  <c r="BS27" i="255"/>
  <c r="BR27" i="255"/>
  <c r="BU29" i="255"/>
  <c r="BQ29" i="255"/>
  <c r="BT29" i="255"/>
  <c r="BS29" i="255"/>
  <c r="BR29" i="255"/>
  <c r="BW29" i="255"/>
  <c r="BX29" i="255" s="1"/>
  <c r="BV29" i="255"/>
  <c r="BU31" i="255"/>
  <c r="BQ31" i="255"/>
  <c r="BT31" i="255"/>
  <c r="BW31" i="255"/>
  <c r="BX31" i="255" s="1"/>
  <c r="BV31" i="255"/>
  <c r="BS31" i="255"/>
  <c r="BR31" i="255"/>
  <c r="BU33" i="255"/>
  <c r="BQ33" i="255"/>
  <c r="BT33" i="255"/>
  <c r="BS33" i="255"/>
  <c r="BR33" i="255"/>
  <c r="BW33" i="255"/>
  <c r="BX33" i="255" s="1"/>
  <c r="BV33" i="255"/>
  <c r="BU35" i="255"/>
  <c r="BQ35" i="255"/>
  <c r="BT35" i="255"/>
  <c r="BW35" i="255"/>
  <c r="BX35" i="255" s="1"/>
  <c r="BV35" i="255"/>
  <c r="BS35" i="255"/>
  <c r="BR35" i="255"/>
  <c r="BW40" i="255"/>
  <c r="BX40" i="255" s="1"/>
  <c r="BS40" i="255"/>
  <c r="BV40" i="255"/>
  <c r="BQ40" i="255"/>
  <c r="BU40" i="255"/>
  <c r="BT40" i="255"/>
  <c r="BR40" i="255"/>
  <c r="BU41" i="255"/>
  <c r="BQ41" i="255"/>
  <c r="BW41" i="255"/>
  <c r="BX41" i="255" s="1"/>
  <c r="BR41" i="255"/>
  <c r="BV41" i="255"/>
  <c r="BT41" i="255"/>
  <c r="BS41" i="255"/>
  <c r="BW75" i="255"/>
  <c r="BX75" i="255" s="1"/>
  <c r="BS75" i="255"/>
  <c r="BT75" i="255"/>
  <c r="BR75" i="255"/>
  <c r="BQ75" i="255"/>
  <c r="BV75" i="255"/>
  <c r="BU75" i="255"/>
  <c r="BU76" i="255"/>
  <c r="BQ76" i="255"/>
  <c r="BT76" i="255"/>
  <c r="BS76" i="255"/>
  <c r="BR76" i="255"/>
  <c r="BW76" i="255"/>
  <c r="BX76" i="255" s="1"/>
  <c r="BV76" i="255"/>
  <c r="BW83" i="255"/>
  <c r="BX83" i="255" s="1"/>
  <c r="BS83" i="255"/>
  <c r="BV83" i="255"/>
  <c r="BR83" i="255"/>
  <c r="BU83" i="255"/>
  <c r="BT83" i="255"/>
  <c r="BQ83" i="255"/>
  <c r="BW91" i="255"/>
  <c r="BX91" i="255" s="1"/>
  <c r="BS91" i="255"/>
  <c r="BV91" i="255"/>
  <c r="BR91" i="255"/>
  <c r="BU91" i="255"/>
  <c r="BT91" i="255"/>
  <c r="BQ91" i="255"/>
  <c r="BW99" i="255"/>
  <c r="BX99" i="255" s="1"/>
  <c r="BS99" i="255"/>
  <c r="BV99" i="255"/>
  <c r="BR99" i="255"/>
  <c r="BU99" i="255"/>
  <c r="BT99" i="255"/>
  <c r="BQ99" i="255"/>
  <c r="CJ9" i="255"/>
  <c r="CK9" i="255" s="1"/>
  <c r="CF9" i="255"/>
  <c r="CI9" i="255"/>
  <c r="CE9" i="255"/>
  <c r="CH9" i="255"/>
  <c r="CG9" i="255"/>
  <c r="CD9" i="255"/>
  <c r="CJ17" i="255"/>
  <c r="CK17" i="255" s="1"/>
  <c r="CF17" i="255"/>
  <c r="CI17" i="255"/>
  <c r="CE17" i="255"/>
  <c r="CH17" i="255"/>
  <c r="CG17" i="255"/>
  <c r="CD17" i="255"/>
  <c r="CJ34" i="255"/>
  <c r="CK34" i="255" s="1"/>
  <c r="CF34" i="255"/>
  <c r="CI34" i="255"/>
  <c r="CE34" i="255"/>
  <c r="CH34" i="255"/>
  <c r="CG34" i="255"/>
  <c r="CD34" i="255"/>
  <c r="BW38" i="255"/>
  <c r="BX38" i="255" s="1"/>
  <c r="BS38" i="255"/>
  <c r="BU38" i="255"/>
  <c r="BT38" i="255"/>
  <c r="BV38" i="255"/>
  <c r="BR38" i="255"/>
  <c r="BQ38" i="255"/>
  <c r="BU39" i="255"/>
  <c r="BQ39" i="255"/>
  <c r="BV39" i="255"/>
  <c r="BT39" i="255"/>
  <c r="BW39" i="255"/>
  <c r="BX39" i="255" s="1"/>
  <c r="BS39" i="255"/>
  <c r="BR39" i="255"/>
  <c r="BW46" i="255"/>
  <c r="BX46" i="255" s="1"/>
  <c r="BS46" i="255"/>
  <c r="BU46" i="255"/>
  <c r="BT46" i="255"/>
  <c r="BR46" i="255"/>
  <c r="BQ46" i="255"/>
  <c r="BV46" i="255"/>
  <c r="BU47" i="255"/>
  <c r="BQ47" i="255"/>
  <c r="BV47" i="255"/>
  <c r="BT47" i="255"/>
  <c r="BS47" i="255"/>
  <c r="BR47" i="255"/>
  <c r="BW47" i="255"/>
  <c r="BX47" i="255" s="1"/>
  <c r="BV49" i="255"/>
  <c r="BR49" i="255"/>
  <c r="BU49" i="255"/>
  <c r="BQ49" i="255"/>
  <c r="BW49" i="255"/>
  <c r="BX49" i="255" s="1"/>
  <c r="BT49" i="255"/>
  <c r="BS49" i="255"/>
  <c r="BV53" i="255"/>
  <c r="BR53" i="255"/>
  <c r="BU53" i="255"/>
  <c r="BQ53" i="255"/>
  <c r="BW53" i="255"/>
  <c r="BX53" i="255" s="1"/>
  <c r="BT53" i="255"/>
  <c r="BS53" i="255"/>
  <c r="BV57" i="255"/>
  <c r="BR57" i="255"/>
  <c r="BU57" i="255"/>
  <c r="BQ57" i="255"/>
  <c r="BW57" i="255"/>
  <c r="BX57" i="255" s="1"/>
  <c r="BT57" i="255"/>
  <c r="BS57" i="255"/>
  <c r="BV61" i="255"/>
  <c r="BR61" i="255"/>
  <c r="BU61" i="255"/>
  <c r="BQ61" i="255"/>
  <c r="BW61" i="255"/>
  <c r="BX61" i="255" s="1"/>
  <c r="BT61" i="255"/>
  <c r="BS61" i="255"/>
  <c r="BV65" i="255"/>
  <c r="BR65" i="255"/>
  <c r="BU65" i="255"/>
  <c r="BQ65" i="255"/>
  <c r="BW65" i="255"/>
  <c r="BX65" i="255" s="1"/>
  <c r="BT65" i="255"/>
  <c r="BS65" i="255"/>
  <c r="BV69" i="255"/>
  <c r="BR69" i="255"/>
  <c r="BU69" i="255"/>
  <c r="BQ69" i="255"/>
  <c r="BW69" i="255"/>
  <c r="BX69" i="255" s="1"/>
  <c r="BT69" i="255"/>
  <c r="BS69" i="255"/>
  <c r="BW73" i="255"/>
  <c r="BX73" i="255" s="1"/>
  <c r="BS73" i="255"/>
  <c r="BR73" i="255"/>
  <c r="BV73" i="255"/>
  <c r="BQ73" i="255"/>
  <c r="BU73" i="255"/>
  <c r="BT73" i="255"/>
  <c r="BU74" i="255"/>
  <c r="BQ74" i="255"/>
  <c r="BS74" i="255"/>
  <c r="BW74" i="255"/>
  <c r="BX74" i="255" s="1"/>
  <c r="BR74" i="255"/>
  <c r="BV74" i="255"/>
  <c r="BT74" i="255"/>
  <c r="BW71" i="255"/>
  <c r="BX71" i="255" s="1"/>
  <c r="BS71" i="255"/>
  <c r="BV71" i="255"/>
  <c r="BQ71" i="255"/>
  <c r="BU71" i="255"/>
  <c r="BT71" i="255"/>
  <c r="BR71" i="255"/>
  <c r="BU72" i="255"/>
  <c r="BQ72" i="255"/>
  <c r="BW72" i="255"/>
  <c r="BX72" i="255" s="1"/>
  <c r="BR72" i="255"/>
  <c r="BV72" i="255"/>
  <c r="BT72" i="255"/>
  <c r="BS72" i="255"/>
  <c r="BW79" i="255"/>
  <c r="BX79" i="255" s="1"/>
  <c r="BS79" i="255"/>
  <c r="BV79" i="255"/>
  <c r="BQ79" i="255"/>
  <c r="BU79" i="255"/>
  <c r="BT79" i="255"/>
  <c r="BR79" i="255"/>
  <c r="BU80" i="255"/>
  <c r="BQ80" i="255"/>
  <c r="BW80" i="255"/>
  <c r="BX80" i="255" s="1"/>
  <c r="BR80" i="255"/>
  <c r="BV80" i="255"/>
  <c r="BT80" i="255"/>
  <c r="BS80" i="255"/>
  <c r="BW85" i="255"/>
  <c r="BX85" i="255" s="1"/>
  <c r="BS85" i="255"/>
  <c r="BV85" i="255"/>
  <c r="BR85" i="255"/>
  <c r="BQ85" i="255"/>
  <c r="BU85" i="255"/>
  <c r="BT85" i="255"/>
  <c r="BW89" i="255"/>
  <c r="BX89" i="255" s="1"/>
  <c r="BS89" i="255"/>
  <c r="BV89" i="255"/>
  <c r="BR89" i="255"/>
  <c r="BQ89" i="255"/>
  <c r="BU89" i="255"/>
  <c r="BT89" i="255"/>
  <c r="BW93" i="255"/>
  <c r="BX93" i="255" s="1"/>
  <c r="BS93" i="255"/>
  <c r="BV93" i="255"/>
  <c r="BR93" i="255"/>
  <c r="BQ93" i="255"/>
  <c r="BU93" i="255"/>
  <c r="BT93" i="255"/>
  <c r="BW97" i="255"/>
  <c r="BX97" i="255" s="1"/>
  <c r="BS97" i="255"/>
  <c r="BV97" i="255"/>
  <c r="BR97" i="255"/>
  <c r="BQ97" i="255"/>
  <c r="BU97" i="255"/>
  <c r="BT97" i="255"/>
  <c r="BW101" i="255"/>
  <c r="BX101" i="255" s="1"/>
  <c r="BS101" i="255"/>
  <c r="BV101" i="255"/>
  <c r="BR101" i="255"/>
  <c r="BQ101" i="255"/>
  <c r="BU101" i="255"/>
  <c r="BT101" i="255"/>
  <c r="CJ7" i="255"/>
  <c r="CK7" i="255" s="1"/>
  <c r="CF7" i="255"/>
  <c r="CI7" i="255"/>
  <c r="CE7" i="255"/>
  <c r="CD7" i="255"/>
  <c r="CH7" i="255"/>
  <c r="CG7" i="255"/>
  <c r="CJ11" i="255"/>
  <c r="CK11" i="255" s="1"/>
  <c r="CF11" i="255"/>
  <c r="CI11" i="255"/>
  <c r="CE11" i="255"/>
  <c r="CD11" i="255"/>
  <c r="CH11" i="255"/>
  <c r="CG11" i="255"/>
  <c r="CJ15" i="255"/>
  <c r="CK15" i="255" s="1"/>
  <c r="CF15" i="255"/>
  <c r="CI15" i="255"/>
  <c r="CE15" i="255"/>
  <c r="CD15" i="255"/>
  <c r="CH15" i="255"/>
  <c r="CG15" i="255"/>
  <c r="CJ19" i="255"/>
  <c r="CK19" i="255" s="1"/>
  <c r="CF19" i="255"/>
  <c r="CI19" i="255"/>
  <c r="CE19" i="255"/>
  <c r="CD19" i="255"/>
  <c r="CH19" i="255"/>
  <c r="CG19" i="255"/>
  <c r="CJ24" i="255"/>
  <c r="CK24" i="255" s="1"/>
  <c r="CF24" i="255"/>
  <c r="CG24" i="255"/>
  <c r="CE24" i="255"/>
  <c r="CD24" i="255"/>
  <c r="CI24" i="255"/>
  <c r="CH24" i="255"/>
  <c r="CJ30" i="255"/>
  <c r="CK30" i="255" s="1"/>
  <c r="CF30" i="255"/>
  <c r="CI30" i="255"/>
  <c r="CE30" i="255"/>
  <c r="CH30" i="255"/>
  <c r="CG30" i="255"/>
  <c r="CD30" i="255"/>
  <c r="CJ38" i="255"/>
  <c r="CK38" i="255" s="1"/>
  <c r="CF38" i="255"/>
  <c r="CI38" i="255"/>
  <c r="CE38" i="255"/>
  <c r="CH38" i="255"/>
  <c r="CG38" i="255"/>
  <c r="CD38" i="255"/>
  <c r="CJ51" i="255"/>
  <c r="CK51" i="255" s="1"/>
  <c r="CF51" i="255"/>
  <c r="CI51" i="255"/>
  <c r="CE51" i="255"/>
  <c r="CH51" i="255"/>
  <c r="CG51" i="255"/>
  <c r="CD51" i="255"/>
  <c r="CJ67" i="255"/>
  <c r="CK67" i="255" s="1"/>
  <c r="CF67" i="255"/>
  <c r="CI67" i="255"/>
  <c r="CE67" i="255"/>
  <c r="CH67" i="255"/>
  <c r="CG67" i="255"/>
  <c r="CD67" i="255"/>
  <c r="CJ83" i="255"/>
  <c r="CK83" i="255" s="1"/>
  <c r="CF83" i="255"/>
  <c r="CI83" i="255"/>
  <c r="CE83" i="255"/>
  <c r="CH83" i="255"/>
  <c r="CD83" i="255"/>
  <c r="CG83" i="255"/>
  <c r="BT48" i="255"/>
  <c r="BW48" i="255"/>
  <c r="BX48" i="255" s="1"/>
  <c r="BS48" i="255"/>
  <c r="BR48" i="255"/>
  <c r="BQ48" i="255"/>
  <c r="BV48" i="255"/>
  <c r="BU48" i="255"/>
  <c r="BT50" i="255"/>
  <c r="BW50" i="255"/>
  <c r="BX50" i="255" s="1"/>
  <c r="BS50" i="255"/>
  <c r="BV50" i="255"/>
  <c r="BU50" i="255"/>
  <c r="BR50" i="255"/>
  <c r="BQ50" i="255"/>
  <c r="BT52" i="255"/>
  <c r="BW52" i="255"/>
  <c r="BX52" i="255" s="1"/>
  <c r="BS52" i="255"/>
  <c r="BR52" i="255"/>
  <c r="BQ52" i="255"/>
  <c r="BV52" i="255"/>
  <c r="BU52" i="255"/>
  <c r="BT54" i="255"/>
  <c r="BW54" i="255"/>
  <c r="BX54" i="255" s="1"/>
  <c r="BS54" i="255"/>
  <c r="BV54" i="255"/>
  <c r="BU54" i="255"/>
  <c r="BR54" i="255"/>
  <c r="BQ54" i="255"/>
  <c r="BT56" i="255"/>
  <c r="BW56" i="255"/>
  <c r="BX56" i="255" s="1"/>
  <c r="BS56" i="255"/>
  <c r="BR56" i="255"/>
  <c r="BQ56" i="255"/>
  <c r="BV56" i="255"/>
  <c r="BU56" i="255"/>
  <c r="BT58" i="255"/>
  <c r="BW58" i="255"/>
  <c r="BX58" i="255" s="1"/>
  <c r="BS58" i="255"/>
  <c r="BV58" i="255"/>
  <c r="BU58" i="255"/>
  <c r="BR58" i="255"/>
  <c r="BQ58" i="255"/>
  <c r="BT60" i="255"/>
  <c r="BW60" i="255"/>
  <c r="BX60" i="255" s="1"/>
  <c r="BS60" i="255"/>
  <c r="BR60" i="255"/>
  <c r="BQ60" i="255"/>
  <c r="BV60" i="255"/>
  <c r="BU60" i="255"/>
  <c r="BT62" i="255"/>
  <c r="BW62" i="255"/>
  <c r="BX62" i="255" s="1"/>
  <c r="BS62" i="255"/>
  <c r="BV62" i="255"/>
  <c r="BU62" i="255"/>
  <c r="BR62" i="255"/>
  <c r="BQ62" i="255"/>
  <c r="BT64" i="255"/>
  <c r="BW64" i="255"/>
  <c r="BX64" i="255" s="1"/>
  <c r="BS64" i="255"/>
  <c r="BR64" i="255"/>
  <c r="BQ64" i="255"/>
  <c r="BV64" i="255"/>
  <c r="BU64" i="255"/>
  <c r="BT66" i="255"/>
  <c r="BW66" i="255"/>
  <c r="BX66" i="255" s="1"/>
  <c r="BS66" i="255"/>
  <c r="BV66" i="255"/>
  <c r="BU66" i="255"/>
  <c r="BR66" i="255"/>
  <c r="BQ66" i="255"/>
  <c r="BT68" i="255"/>
  <c r="BW68" i="255"/>
  <c r="BX68" i="255" s="1"/>
  <c r="BS68" i="255"/>
  <c r="BR68" i="255"/>
  <c r="BQ68" i="255"/>
  <c r="BV68" i="255"/>
  <c r="BU68" i="255"/>
  <c r="BU70" i="255"/>
  <c r="BQ70" i="255"/>
  <c r="BV70" i="255"/>
  <c r="BT70" i="255"/>
  <c r="BW70" i="255"/>
  <c r="BX70" i="255" s="1"/>
  <c r="BS70" i="255"/>
  <c r="BR70" i="255"/>
  <c r="BW77" i="255"/>
  <c r="BX77" i="255" s="1"/>
  <c r="BS77" i="255"/>
  <c r="BU77" i="255"/>
  <c r="BT77" i="255"/>
  <c r="BR77" i="255"/>
  <c r="BQ77" i="255"/>
  <c r="BV77" i="255"/>
  <c r="BU78" i="255"/>
  <c r="BQ78" i="255"/>
  <c r="BV78" i="255"/>
  <c r="BT78" i="255"/>
  <c r="BS78" i="255"/>
  <c r="BR78" i="255"/>
  <c r="BW78" i="255"/>
  <c r="BX78" i="255" s="1"/>
  <c r="CJ22" i="255"/>
  <c r="CK22" i="255" s="1"/>
  <c r="CF22" i="255"/>
  <c r="CE22" i="255"/>
  <c r="CI22" i="255"/>
  <c r="CD22" i="255"/>
  <c r="CH22" i="255"/>
  <c r="CG22" i="255"/>
  <c r="CH23" i="255"/>
  <c r="CD23" i="255"/>
  <c r="CF23" i="255"/>
  <c r="CJ23" i="255"/>
  <c r="CK23" i="255" s="1"/>
  <c r="CE23" i="255"/>
  <c r="CI23" i="255"/>
  <c r="CG23" i="255"/>
  <c r="BU82" i="255"/>
  <c r="BQ82" i="255"/>
  <c r="BT82" i="255"/>
  <c r="BW82" i="255"/>
  <c r="BX82" i="255" s="1"/>
  <c r="BV82" i="255"/>
  <c r="BS82" i="255"/>
  <c r="BR82" i="255"/>
  <c r="BU84" i="255"/>
  <c r="BQ84" i="255"/>
  <c r="BT84" i="255"/>
  <c r="BS84" i="255"/>
  <c r="BR84" i="255"/>
  <c r="BW84" i="255"/>
  <c r="BX84" i="255" s="1"/>
  <c r="BV84" i="255"/>
  <c r="BU86" i="255"/>
  <c r="BQ86" i="255"/>
  <c r="BT86" i="255"/>
  <c r="BW86" i="255"/>
  <c r="BX86" i="255" s="1"/>
  <c r="BV86" i="255"/>
  <c r="BS86" i="255"/>
  <c r="BR86" i="255"/>
  <c r="BU88" i="255"/>
  <c r="BQ88" i="255"/>
  <c r="BT88" i="255"/>
  <c r="BS88" i="255"/>
  <c r="BR88" i="255"/>
  <c r="BW88" i="255"/>
  <c r="BX88" i="255" s="1"/>
  <c r="BV88" i="255"/>
  <c r="BU90" i="255"/>
  <c r="BQ90" i="255"/>
  <c r="BT90" i="255"/>
  <c r="BW90" i="255"/>
  <c r="BX90" i="255" s="1"/>
  <c r="BV90" i="255"/>
  <c r="BS90" i="255"/>
  <c r="BR90" i="255"/>
  <c r="BU92" i="255"/>
  <c r="BQ92" i="255"/>
  <c r="BT92" i="255"/>
  <c r="BS92" i="255"/>
  <c r="BR92" i="255"/>
  <c r="BW92" i="255"/>
  <c r="BX92" i="255" s="1"/>
  <c r="BV92" i="255"/>
  <c r="BU94" i="255"/>
  <c r="BQ94" i="255"/>
  <c r="BT94" i="255"/>
  <c r="BW94" i="255"/>
  <c r="BX94" i="255" s="1"/>
  <c r="BV94" i="255"/>
  <c r="BS94" i="255"/>
  <c r="BR94" i="255"/>
  <c r="BU96" i="255"/>
  <c r="BQ96" i="255"/>
  <c r="BT96" i="255"/>
  <c r="BS96" i="255"/>
  <c r="BR96" i="255"/>
  <c r="BW96" i="255"/>
  <c r="BX96" i="255" s="1"/>
  <c r="BV96" i="255"/>
  <c r="BU98" i="255"/>
  <c r="BQ98" i="255"/>
  <c r="BT98" i="255"/>
  <c r="BW98" i="255"/>
  <c r="BX98" i="255" s="1"/>
  <c r="BV98" i="255"/>
  <c r="BS98" i="255"/>
  <c r="BR98" i="255"/>
  <c r="BU100" i="255"/>
  <c r="BQ100" i="255"/>
  <c r="BT100" i="255"/>
  <c r="BS100" i="255"/>
  <c r="BR100" i="255"/>
  <c r="BW100" i="255"/>
  <c r="BX100" i="255" s="1"/>
  <c r="BV100" i="255"/>
  <c r="CH6" i="255"/>
  <c r="CD6" i="255"/>
  <c r="CG6" i="255"/>
  <c r="CF6" i="255"/>
  <c r="CE6" i="255"/>
  <c r="CJ6" i="255"/>
  <c r="CK6" i="255" s="1"/>
  <c r="CI6" i="255"/>
  <c r="CH8" i="255"/>
  <c r="CD8" i="255"/>
  <c r="CG8" i="255"/>
  <c r="CJ8" i="255"/>
  <c r="CK8" i="255" s="1"/>
  <c r="CI8" i="255"/>
  <c r="CF8" i="255"/>
  <c r="CE8" i="255"/>
  <c r="CH10" i="255"/>
  <c r="CD10" i="255"/>
  <c r="CG10" i="255"/>
  <c r="CF10" i="255"/>
  <c r="CE10" i="255"/>
  <c r="CJ10" i="255"/>
  <c r="CK10" i="255" s="1"/>
  <c r="CI10" i="255"/>
  <c r="CH12" i="255"/>
  <c r="CD12" i="255"/>
  <c r="CG12" i="255"/>
  <c r="CJ12" i="255"/>
  <c r="CK12" i="255" s="1"/>
  <c r="CI12" i="255"/>
  <c r="CF12" i="255"/>
  <c r="CE12" i="255"/>
  <c r="CH14" i="255"/>
  <c r="CD14" i="255"/>
  <c r="CG14" i="255"/>
  <c r="CF14" i="255"/>
  <c r="CE14" i="255"/>
  <c r="CJ14" i="255"/>
  <c r="CK14" i="255" s="1"/>
  <c r="CI14" i="255"/>
  <c r="CH16" i="255"/>
  <c r="CD16" i="255"/>
  <c r="CG16" i="255"/>
  <c r="CJ16" i="255"/>
  <c r="CK16" i="255" s="1"/>
  <c r="CI16" i="255"/>
  <c r="CF16" i="255"/>
  <c r="CE16" i="255"/>
  <c r="CH18" i="255"/>
  <c r="CD18" i="255"/>
  <c r="CG18" i="255"/>
  <c r="CF18" i="255"/>
  <c r="CE18" i="255"/>
  <c r="CJ18" i="255"/>
  <c r="CK18" i="255" s="1"/>
  <c r="CI18" i="255"/>
  <c r="CJ20" i="255"/>
  <c r="CK20" i="255" s="1"/>
  <c r="CF20" i="255"/>
  <c r="CI20" i="255"/>
  <c r="CD20" i="255"/>
  <c r="CH20" i="255"/>
  <c r="CG20" i="255"/>
  <c r="CE20" i="255"/>
  <c r="CH21" i="255"/>
  <c r="CD21" i="255"/>
  <c r="CJ21" i="255"/>
  <c r="CK21" i="255" s="1"/>
  <c r="CE21" i="255"/>
  <c r="CI21" i="255"/>
  <c r="CG21" i="255"/>
  <c r="CF21" i="255"/>
  <c r="CJ28" i="255"/>
  <c r="CK28" i="255" s="1"/>
  <c r="CF28" i="255"/>
  <c r="CI28" i="255"/>
  <c r="CE28" i="255"/>
  <c r="CD28" i="255"/>
  <c r="CH28" i="255"/>
  <c r="CG28" i="255"/>
  <c r="CJ32" i="255"/>
  <c r="CK32" i="255" s="1"/>
  <c r="CF32" i="255"/>
  <c r="CI32" i="255"/>
  <c r="CE32" i="255"/>
  <c r="CD32" i="255"/>
  <c r="CH32" i="255"/>
  <c r="CG32" i="255"/>
  <c r="CJ36" i="255"/>
  <c r="CK36" i="255" s="1"/>
  <c r="CF36" i="255"/>
  <c r="CI36" i="255"/>
  <c r="CE36" i="255"/>
  <c r="CD36" i="255"/>
  <c r="CH36" i="255"/>
  <c r="CG36" i="255"/>
  <c r="CJ40" i="255"/>
  <c r="CK40" i="255" s="1"/>
  <c r="CF40" i="255"/>
  <c r="CI40" i="255"/>
  <c r="CE40" i="255"/>
  <c r="CD40" i="255"/>
  <c r="CH40" i="255"/>
  <c r="CG40" i="255"/>
  <c r="CH44" i="255"/>
  <c r="CD44" i="255"/>
  <c r="CG44" i="255"/>
  <c r="CF44" i="255"/>
  <c r="CE44" i="255"/>
  <c r="CJ44" i="255"/>
  <c r="CK44" i="255" s="1"/>
  <c r="CI44" i="255"/>
  <c r="CJ47" i="255"/>
  <c r="CK47" i="255" s="1"/>
  <c r="CF47" i="255"/>
  <c r="CI47" i="255"/>
  <c r="CE47" i="255"/>
  <c r="CH47" i="255"/>
  <c r="CG47" i="255"/>
  <c r="CD47" i="255"/>
  <c r="CJ55" i="255"/>
  <c r="CK55" i="255" s="1"/>
  <c r="CF55" i="255"/>
  <c r="CI55" i="255"/>
  <c r="CE55" i="255"/>
  <c r="CH55" i="255"/>
  <c r="CG55" i="255"/>
  <c r="CD55" i="255"/>
  <c r="CJ63" i="255"/>
  <c r="CK63" i="255" s="1"/>
  <c r="CF63" i="255"/>
  <c r="CI63" i="255"/>
  <c r="CE63" i="255"/>
  <c r="CH63" i="255"/>
  <c r="CG63" i="255"/>
  <c r="CD63" i="255"/>
  <c r="CJ99" i="255"/>
  <c r="CK99" i="255" s="1"/>
  <c r="CF99" i="255"/>
  <c r="CI99" i="255"/>
  <c r="CE99" i="255"/>
  <c r="CH99" i="255"/>
  <c r="CD99" i="255"/>
  <c r="CG99" i="255"/>
  <c r="CL6" i="255"/>
  <c r="CL7" i="255" s="1"/>
  <c r="CL8" i="255" s="1"/>
  <c r="CL9" i="255" s="1"/>
  <c r="CL10" i="255" s="1"/>
  <c r="CL11" i="255" s="1"/>
  <c r="CL12" i="255" s="1"/>
  <c r="CL13" i="255" s="1"/>
  <c r="CL14" i="255" s="1"/>
  <c r="CL15" i="255" s="1"/>
  <c r="CL16" i="255" s="1"/>
  <c r="CL17" i="255" s="1"/>
  <c r="CL18" i="255" s="1"/>
  <c r="CL19" i="255" s="1"/>
  <c r="CL20" i="255" s="1"/>
  <c r="CL21" i="255" s="1"/>
  <c r="CL22" i="255" s="1"/>
  <c r="CL23" i="255" s="1"/>
  <c r="CL24" i="255" s="1"/>
  <c r="CL25" i="255" s="1"/>
  <c r="CL26" i="255" s="1"/>
  <c r="CL27" i="255" s="1"/>
  <c r="CL28" i="255" s="1"/>
  <c r="CL29" i="255" s="1"/>
  <c r="CL30" i="255" s="1"/>
  <c r="CL31" i="255" s="1"/>
  <c r="CL32" i="255" s="1"/>
  <c r="CL33" i="255" s="1"/>
  <c r="CL34" i="255" s="1"/>
  <c r="CL35" i="255" s="1"/>
  <c r="CL36" i="255" s="1"/>
  <c r="CL37" i="255" s="1"/>
  <c r="CL38" i="255" s="1"/>
  <c r="CL39" i="255" s="1"/>
  <c r="CL40" i="255" s="1"/>
  <c r="CL41" i="255" s="1"/>
  <c r="CL42" i="255" s="1"/>
  <c r="CL43" i="255" s="1"/>
  <c r="CL44" i="255" s="1"/>
  <c r="CL45" i="255" s="1"/>
  <c r="CL46" i="255" s="1"/>
  <c r="CL47" i="255" s="1"/>
  <c r="CL48" i="255" s="1"/>
  <c r="CL49" i="255" s="1"/>
  <c r="CL50" i="255" s="1"/>
  <c r="CL51" i="255" s="1"/>
  <c r="CL52" i="255" s="1"/>
  <c r="CL53" i="255" s="1"/>
  <c r="CL54" i="255" s="1"/>
  <c r="CL55" i="255" s="1"/>
  <c r="CL56" i="255" s="1"/>
  <c r="CL57" i="255" s="1"/>
  <c r="CL58" i="255" s="1"/>
  <c r="CL59" i="255" s="1"/>
  <c r="CL60" i="255" s="1"/>
  <c r="CL61" i="255" s="1"/>
  <c r="CL62" i="255" s="1"/>
  <c r="CL63" i="255" s="1"/>
  <c r="CL64" i="255" s="1"/>
  <c r="CL65" i="255" s="1"/>
  <c r="CL66" i="255" s="1"/>
  <c r="CL67" i="255" s="1"/>
  <c r="CL68" i="255" s="1"/>
  <c r="CL69" i="255" s="1"/>
  <c r="CL70" i="255" s="1"/>
  <c r="CL71" i="255" s="1"/>
  <c r="CL72" i="255" s="1"/>
  <c r="CL73" i="255" s="1"/>
  <c r="CL74" i="255" s="1"/>
  <c r="CL75" i="255" s="1"/>
  <c r="CL76" i="255" s="1"/>
  <c r="CL77" i="255" s="1"/>
  <c r="CL78" i="255" s="1"/>
  <c r="CL79" i="255" s="1"/>
  <c r="CL80" i="255" s="1"/>
  <c r="CL81" i="255" s="1"/>
  <c r="CL82" i="255" s="1"/>
  <c r="CL83" i="255" s="1"/>
  <c r="CL84" i="255" s="1"/>
  <c r="CL85" i="255" s="1"/>
  <c r="CL86" i="255" s="1"/>
  <c r="CL87" i="255" s="1"/>
  <c r="CL88" i="255" s="1"/>
  <c r="CL89" i="255" s="1"/>
  <c r="CL90" i="255" s="1"/>
  <c r="CL91" i="255" s="1"/>
  <c r="CL92" i="255" s="1"/>
  <c r="CL93" i="255" s="1"/>
  <c r="CL94" i="255" s="1"/>
  <c r="CL95" i="255" s="1"/>
  <c r="CL96" i="255" s="1"/>
  <c r="CL97" i="255" s="1"/>
  <c r="CL98" i="255" s="1"/>
  <c r="CL99" i="255" s="1"/>
  <c r="CL100" i="255" s="1"/>
  <c r="CL101" i="255" s="1"/>
  <c r="CE5" i="255"/>
  <c r="CD5" i="255"/>
  <c r="CH70" i="255"/>
  <c r="CJ70" i="255"/>
  <c r="CK70" i="255" s="1"/>
  <c r="CF70" i="255"/>
  <c r="CE70" i="255"/>
  <c r="CD70" i="255"/>
  <c r="CI70" i="255"/>
  <c r="CG70" i="255"/>
  <c r="CJ93" i="255"/>
  <c r="CK93" i="255" s="1"/>
  <c r="CF93" i="255"/>
  <c r="CI93" i="255"/>
  <c r="CE93" i="255"/>
  <c r="CH93" i="255"/>
  <c r="CD93" i="255"/>
  <c r="CG93" i="255"/>
  <c r="CH25" i="255"/>
  <c r="CD25" i="255"/>
  <c r="CG25" i="255"/>
  <c r="CJ25" i="255"/>
  <c r="CK25" i="255" s="1"/>
  <c r="CI25" i="255"/>
  <c r="CF25" i="255"/>
  <c r="CE25" i="255"/>
  <c r="CH27" i="255"/>
  <c r="CD27" i="255"/>
  <c r="CG27" i="255"/>
  <c r="CF27" i="255"/>
  <c r="CE27" i="255"/>
  <c r="CJ27" i="255"/>
  <c r="CK27" i="255" s="1"/>
  <c r="CI27" i="255"/>
  <c r="CH29" i="255"/>
  <c r="CD29" i="255"/>
  <c r="CG29" i="255"/>
  <c r="CJ29" i="255"/>
  <c r="CK29" i="255" s="1"/>
  <c r="CI29" i="255"/>
  <c r="CF29" i="255"/>
  <c r="CE29" i="255"/>
  <c r="CH31" i="255"/>
  <c r="CD31" i="255"/>
  <c r="CG31" i="255"/>
  <c r="CF31" i="255"/>
  <c r="CE31" i="255"/>
  <c r="CJ31" i="255"/>
  <c r="CK31" i="255" s="1"/>
  <c r="CI31" i="255"/>
  <c r="CH33" i="255"/>
  <c r="CD33" i="255"/>
  <c r="CG33" i="255"/>
  <c r="CJ33" i="255"/>
  <c r="CK33" i="255" s="1"/>
  <c r="CI33" i="255"/>
  <c r="CF33" i="255"/>
  <c r="CE33" i="255"/>
  <c r="CH35" i="255"/>
  <c r="CD35" i="255"/>
  <c r="CG35" i="255"/>
  <c r="CF35" i="255"/>
  <c r="CE35" i="255"/>
  <c r="CJ35" i="255"/>
  <c r="CK35" i="255" s="1"/>
  <c r="CI35" i="255"/>
  <c r="CH37" i="255"/>
  <c r="CD37" i="255"/>
  <c r="CG37" i="255"/>
  <c r="CJ37" i="255"/>
  <c r="CK37" i="255" s="1"/>
  <c r="CI37" i="255"/>
  <c r="CF37" i="255"/>
  <c r="CE37" i="255"/>
  <c r="CH39" i="255"/>
  <c r="CD39" i="255"/>
  <c r="CG39" i="255"/>
  <c r="CF39" i="255"/>
  <c r="CE39" i="255"/>
  <c r="CJ39" i="255"/>
  <c r="CK39" i="255" s="1"/>
  <c r="CI39" i="255"/>
  <c r="CH41" i="255"/>
  <c r="CD41" i="255"/>
  <c r="CG41" i="255"/>
  <c r="CJ41" i="255"/>
  <c r="CK41" i="255" s="1"/>
  <c r="CI41" i="255"/>
  <c r="CF41" i="255"/>
  <c r="CE41" i="255"/>
  <c r="CH43" i="255"/>
  <c r="CD43" i="255"/>
  <c r="CG43" i="255"/>
  <c r="CF43" i="255"/>
  <c r="CE43" i="255"/>
  <c r="CJ43" i="255"/>
  <c r="CK43" i="255" s="1"/>
  <c r="CI43" i="255"/>
  <c r="CJ45" i="255"/>
  <c r="CK45" i="255" s="1"/>
  <c r="CF45" i="255"/>
  <c r="CI45" i="255"/>
  <c r="CE45" i="255"/>
  <c r="CD45" i="255"/>
  <c r="CH45" i="255"/>
  <c r="CG45" i="255"/>
  <c r="CJ49" i="255"/>
  <c r="CK49" i="255" s="1"/>
  <c r="CF49" i="255"/>
  <c r="CI49" i="255"/>
  <c r="CE49" i="255"/>
  <c r="CD49" i="255"/>
  <c r="CH49" i="255"/>
  <c r="CG49" i="255"/>
  <c r="CJ53" i="255"/>
  <c r="CK53" i="255" s="1"/>
  <c r="CF53" i="255"/>
  <c r="CI53" i="255"/>
  <c r="CE53" i="255"/>
  <c r="CD53" i="255"/>
  <c r="CH53" i="255"/>
  <c r="CG53" i="255"/>
  <c r="CJ57" i="255"/>
  <c r="CK57" i="255" s="1"/>
  <c r="CF57" i="255"/>
  <c r="CI57" i="255"/>
  <c r="CE57" i="255"/>
  <c r="CD57" i="255"/>
  <c r="CH57" i="255"/>
  <c r="CG57" i="255"/>
  <c r="CJ61" i="255"/>
  <c r="CK61" i="255" s="1"/>
  <c r="CF61" i="255"/>
  <c r="CI61" i="255"/>
  <c r="CE61" i="255"/>
  <c r="CD61" i="255"/>
  <c r="CH61" i="255"/>
  <c r="CG61" i="255"/>
  <c r="CJ65" i="255"/>
  <c r="CK65" i="255" s="1"/>
  <c r="CF65" i="255"/>
  <c r="CI65" i="255"/>
  <c r="CE65" i="255"/>
  <c r="CD65" i="255"/>
  <c r="CH65" i="255"/>
  <c r="CG65" i="255"/>
  <c r="CH72" i="255"/>
  <c r="CD72" i="255"/>
  <c r="CG72" i="255"/>
  <c r="CJ72" i="255"/>
  <c r="CK72" i="255" s="1"/>
  <c r="CF72" i="255"/>
  <c r="CI72" i="255"/>
  <c r="CE72" i="255"/>
  <c r="CJ75" i="255"/>
  <c r="CK75" i="255" s="1"/>
  <c r="CF75" i="255"/>
  <c r="CI75" i="255"/>
  <c r="CE75" i="255"/>
  <c r="CH75" i="255"/>
  <c r="CD75" i="255"/>
  <c r="CG75" i="255"/>
  <c r="CJ91" i="255"/>
  <c r="CK91" i="255" s="1"/>
  <c r="CF91" i="255"/>
  <c r="CI91" i="255"/>
  <c r="CE91" i="255"/>
  <c r="CH91" i="255"/>
  <c r="CD91" i="255"/>
  <c r="CG91" i="255"/>
  <c r="CJ85" i="255"/>
  <c r="CK85" i="255" s="1"/>
  <c r="CF85" i="255"/>
  <c r="CI85" i="255"/>
  <c r="CE85" i="255"/>
  <c r="CH85" i="255"/>
  <c r="CD85" i="255"/>
  <c r="CG85" i="255"/>
  <c r="CJ101" i="255"/>
  <c r="CK101" i="255" s="1"/>
  <c r="CF101" i="255"/>
  <c r="CI101" i="255"/>
  <c r="CE101" i="255"/>
  <c r="CH101" i="255"/>
  <c r="CD101" i="255"/>
  <c r="CG101" i="255"/>
  <c r="CH46" i="255"/>
  <c r="CD46" i="255"/>
  <c r="CG46" i="255"/>
  <c r="CJ46" i="255"/>
  <c r="CK46" i="255" s="1"/>
  <c r="CI46" i="255"/>
  <c r="CF46" i="255"/>
  <c r="CE46" i="255"/>
  <c r="CH48" i="255"/>
  <c r="CD48" i="255"/>
  <c r="CG48" i="255"/>
  <c r="CF48" i="255"/>
  <c r="CE48" i="255"/>
  <c r="CJ48" i="255"/>
  <c r="CK48" i="255" s="1"/>
  <c r="CI48" i="255"/>
  <c r="CH50" i="255"/>
  <c r="CD50" i="255"/>
  <c r="CG50" i="255"/>
  <c r="CJ50" i="255"/>
  <c r="CK50" i="255" s="1"/>
  <c r="CI50" i="255"/>
  <c r="CF50" i="255"/>
  <c r="CE50" i="255"/>
  <c r="CH52" i="255"/>
  <c r="CD52" i="255"/>
  <c r="CG52" i="255"/>
  <c r="CF52" i="255"/>
  <c r="CE52" i="255"/>
  <c r="CJ52" i="255"/>
  <c r="CK52" i="255" s="1"/>
  <c r="CI52" i="255"/>
  <c r="CH54" i="255"/>
  <c r="CD54" i="255"/>
  <c r="CG54" i="255"/>
  <c r="CJ54" i="255"/>
  <c r="CK54" i="255" s="1"/>
  <c r="CI54" i="255"/>
  <c r="CF54" i="255"/>
  <c r="CE54" i="255"/>
  <c r="CH56" i="255"/>
  <c r="CD56" i="255"/>
  <c r="CG56" i="255"/>
  <c r="CF56" i="255"/>
  <c r="CE56" i="255"/>
  <c r="CJ56" i="255"/>
  <c r="CK56" i="255" s="1"/>
  <c r="CI56" i="255"/>
  <c r="CH58" i="255"/>
  <c r="CD58" i="255"/>
  <c r="CG58" i="255"/>
  <c r="CJ58" i="255"/>
  <c r="CK58" i="255" s="1"/>
  <c r="CI58" i="255"/>
  <c r="CF58" i="255"/>
  <c r="CE58" i="255"/>
  <c r="CH60" i="255"/>
  <c r="CD60" i="255"/>
  <c r="CG60" i="255"/>
  <c r="CF60" i="255"/>
  <c r="CE60" i="255"/>
  <c r="CJ60" i="255"/>
  <c r="CK60" i="255" s="1"/>
  <c r="CI60" i="255"/>
  <c r="CH62" i="255"/>
  <c r="CD62" i="255"/>
  <c r="CG62" i="255"/>
  <c r="CJ62" i="255"/>
  <c r="CK62" i="255" s="1"/>
  <c r="CI62" i="255"/>
  <c r="CF62" i="255"/>
  <c r="CE62" i="255"/>
  <c r="CH64" i="255"/>
  <c r="CD64" i="255"/>
  <c r="CG64" i="255"/>
  <c r="CF64" i="255"/>
  <c r="CE64" i="255"/>
  <c r="CJ64" i="255"/>
  <c r="CK64" i="255" s="1"/>
  <c r="CI64" i="255"/>
  <c r="CH66" i="255"/>
  <c r="CD66" i="255"/>
  <c r="CG66" i="255"/>
  <c r="CJ66" i="255"/>
  <c r="CK66" i="255" s="1"/>
  <c r="CI66" i="255"/>
  <c r="CF66" i="255"/>
  <c r="CE66" i="255"/>
  <c r="CJ68" i="255"/>
  <c r="CK68" i="255" s="1"/>
  <c r="CF68" i="255"/>
  <c r="CI68" i="255"/>
  <c r="CD68" i="255"/>
  <c r="CH68" i="255"/>
  <c r="CG68" i="255"/>
  <c r="CE68" i="255"/>
  <c r="CH69" i="255"/>
  <c r="CD69" i="255"/>
  <c r="CJ69" i="255"/>
  <c r="CK69" i="255" s="1"/>
  <c r="CE69" i="255"/>
  <c r="CI69" i="255"/>
  <c r="CG69" i="255"/>
  <c r="CF69" i="255"/>
  <c r="CJ79" i="255"/>
  <c r="CK79" i="255" s="1"/>
  <c r="CF79" i="255"/>
  <c r="CI79" i="255"/>
  <c r="CE79" i="255"/>
  <c r="CH79" i="255"/>
  <c r="CD79" i="255"/>
  <c r="CG79" i="255"/>
  <c r="CJ87" i="255"/>
  <c r="CK87" i="255" s="1"/>
  <c r="CF87" i="255"/>
  <c r="CI87" i="255"/>
  <c r="CE87" i="255"/>
  <c r="CH87" i="255"/>
  <c r="CD87" i="255"/>
  <c r="CG87" i="255"/>
  <c r="CJ95" i="255"/>
  <c r="CK95" i="255" s="1"/>
  <c r="CF95" i="255"/>
  <c r="CI95" i="255"/>
  <c r="CE95" i="255"/>
  <c r="CH95" i="255"/>
  <c r="CD95" i="255"/>
  <c r="CG95" i="255"/>
  <c r="CJ71" i="255"/>
  <c r="CK71" i="255" s="1"/>
  <c r="CF71" i="255"/>
  <c r="CH71" i="255"/>
  <c r="CD71" i="255"/>
  <c r="CI71" i="255"/>
  <c r="CG71" i="255"/>
  <c r="CE71" i="255"/>
  <c r="CJ73" i="255"/>
  <c r="CK73" i="255" s="1"/>
  <c r="CF73" i="255"/>
  <c r="CI73" i="255"/>
  <c r="CE73" i="255"/>
  <c r="CH73" i="255"/>
  <c r="CD73" i="255"/>
  <c r="CG73" i="255"/>
  <c r="CJ81" i="255"/>
  <c r="CK81" i="255" s="1"/>
  <c r="CF81" i="255"/>
  <c r="CI81" i="255"/>
  <c r="CE81" i="255"/>
  <c r="CH81" i="255"/>
  <c r="CD81" i="255"/>
  <c r="CG81" i="255"/>
  <c r="CJ89" i="255"/>
  <c r="CK89" i="255" s="1"/>
  <c r="CF89" i="255"/>
  <c r="CI89" i="255"/>
  <c r="CE89" i="255"/>
  <c r="CH89" i="255"/>
  <c r="CD89" i="255"/>
  <c r="CG89" i="255"/>
  <c r="CJ97" i="255"/>
  <c r="CK97" i="255" s="1"/>
  <c r="CF97" i="255"/>
  <c r="CI97" i="255"/>
  <c r="CE97" i="255"/>
  <c r="CH97" i="255"/>
  <c r="CD97" i="255"/>
  <c r="CG97" i="255"/>
  <c r="CH74" i="255"/>
  <c r="CD74" i="255"/>
  <c r="CG74" i="255"/>
  <c r="CJ74" i="255"/>
  <c r="CK74" i="255" s="1"/>
  <c r="CF74" i="255"/>
  <c r="CI74" i="255"/>
  <c r="CE74" i="255"/>
  <c r="CH76" i="255"/>
  <c r="CD76" i="255"/>
  <c r="CG76" i="255"/>
  <c r="CJ76" i="255"/>
  <c r="CK76" i="255" s="1"/>
  <c r="CF76" i="255"/>
  <c r="CE76" i="255"/>
  <c r="CI76" i="255"/>
  <c r="CH78" i="255"/>
  <c r="CD78" i="255"/>
  <c r="CG78" i="255"/>
  <c r="CJ78" i="255"/>
  <c r="CK78" i="255" s="1"/>
  <c r="CF78" i="255"/>
  <c r="CI78" i="255"/>
  <c r="CE78" i="255"/>
  <c r="CH80" i="255"/>
  <c r="CD80" i="255"/>
  <c r="CG80" i="255"/>
  <c r="CJ80" i="255"/>
  <c r="CK80" i="255" s="1"/>
  <c r="CF80" i="255"/>
  <c r="CI80" i="255"/>
  <c r="CE80" i="255"/>
  <c r="CH82" i="255"/>
  <c r="CD82" i="255"/>
  <c r="CG82" i="255"/>
  <c r="CJ82" i="255"/>
  <c r="CK82" i="255" s="1"/>
  <c r="CF82" i="255"/>
  <c r="CI82" i="255"/>
  <c r="CE82" i="255"/>
  <c r="CH84" i="255"/>
  <c r="CD84" i="255"/>
  <c r="CG84" i="255"/>
  <c r="CJ84" i="255"/>
  <c r="CK84" i="255" s="1"/>
  <c r="CF84" i="255"/>
  <c r="CE84" i="255"/>
  <c r="CI84" i="255"/>
  <c r="CH86" i="255"/>
  <c r="CD86" i="255"/>
  <c r="CG86" i="255"/>
  <c r="CJ86" i="255"/>
  <c r="CK86" i="255" s="1"/>
  <c r="CF86" i="255"/>
  <c r="CI86" i="255"/>
  <c r="CE86" i="255"/>
  <c r="CH88" i="255"/>
  <c r="CD88" i="255"/>
  <c r="CG88" i="255"/>
  <c r="CJ88" i="255"/>
  <c r="CK88" i="255" s="1"/>
  <c r="CF88" i="255"/>
  <c r="CI88" i="255"/>
  <c r="CE88" i="255"/>
  <c r="CH90" i="255"/>
  <c r="CD90" i="255"/>
  <c r="CG90" i="255"/>
  <c r="CJ90" i="255"/>
  <c r="CK90" i="255" s="1"/>
  <c r="CF90" i="255"/>
  <c r="CI90" i="255"/>
  <c r="CE90" i="255"/>
  <c r="CH92" i="255"/>
  <c r="CD92" i="255"/>
  <c r="CG92" i="255"/>
  <c r="CJ92" i="255"/>
  <c r="CK92" i="255" s="1"/>
  <c r="CF92" i="255"/>
  <c r="CE92" i="255"/>
  <c r="CI92" i="255"/>
  <c r="CH94" i="255"/>
  <c r="CD94" i="255"/>
  <c r="CG94" i="255"/>
  <c r="CJ94" i="255"/>
  <c r="CK94" i="255" s="1"/>
  <c r="CF94" i="255"/>
  <c r="CI94" i="255"/>
  <c r="CE94" i="255"/>
  <c r="CH96" i="255"/>
  <c r="CD96" i="255"/>
  <c r="CG96" i="255"/>
  <c r="CJ96" i="255"/>
  <c r="CK96" i="255" s="1"/>
  <c r="CF96" i="255"/>
  <c r="CI96" i="255"/>
  <c r="CE96" i="255"/>
  <c r="CH98" i="255"/>
  <c r="CD98" i="255"/>
  <c r="CG98" i="255"/>
  <c r="CJ98" i="255"/>
  <c r="CK98" i="255" s="1"/>
  <c r="CF98" i="255"/>
  <c r="CI98" i="255"/>
  <c r="CE98" i="255"/>
  <c r="CH100" i="255"/>
  <c r="CD100" i="255"/>
  <c r="CG100" i="255"/>
  <c r="CJ100" i="255"/>
  <c r="CK100" i="255" s="1"/>
  <c r="CF100" i="255"/>
  <c r="CE100" i="255"/>
  <c r="CI100" i="255"/>
  <c r="D25" i="231"/>
</calcChain>
</file>

<file path=xl/sharedStrings.xml><?xml version="1.0" encoding="utf-8"?>
<sst xmlns="http://schemas.openxmlformats.org/spreadsheetml/2006/main" count="18822" uniqueCount="197">
  <si>
    <t>Sequence</t>
  </si>
  <si>
    <t>Parameter</t>
  </si>
  <si>
    <t>Value</t>
  </si>
  <si>
    <t>Remarks</t>
  </si>
  <si>
    <t>0.Optional - GIS License</t>
  </si>
  <si>
    <t>Bing Maps Key</t>
  </si>
  <si>
    <t>You can get a free key at https://www.bingmapsportal.com/</t>
  </si>
  <si>
    <t>1.Locations</t>
  </si>
  <si>
    <t>Number of customers</t>
  </si>
  <si>
    <t>[10,200]</t>
  </si>
  <si>
    <t>Pickup / Delivery?</t>
  </si>
  <si>
    <t>2.Distances</t>
  </si>
  <si>
    <t>Distance / duration computation</t>
  </si>
  <si>
    <t>Bing Maps</t>
  </si>
  <si>
    <t>The distance unit is km for 'Geodesic Approximation' and 'Bing Maps'</t>
  </si>
  <si>
    <t>Bing Maps route type</t>
  </si>
  <si>
    <t>Fastest</t>
  </si>
  <si>
    <t>Recommendation: use Fastest</t>
  </si>
  <si>
    <t>Average vehicle speed</t>
  </si>
  <si>
    <t>Not used for the 'Bing Maps' option</t>
  </si>
  <si>
    <t>3.Vehicles</t>
  </si>
  <si>
    <t>Number of vehicle types</t>
  </si>
  <si>
    <t>Heterogeneous VRP if greater than 1</t>
  </si>
  <si>
    <t>4.Solution</t>
  </si>
  <si>
    <t>All vehicles must be used?</t>
  </si>
  <si>
    <t>No</t>
  </si>
  <si>
    <t>Vehicles must return to the depot?</t>
  </si>
  <si>
    <t>Yes</t>
  </si>
  <si>
    <t>Open VRP if no return</t>
  </si>
  <si>
    <t>Time window type</t>
  </si>
  <si>
    <t>Hard</t>
  </si>
  <si>
    <t>Work start time</t>
  </si>
  <si>
    <t>[00:00,23:59]</t>
  </si>
  <si>
    <t>Driving time limit</t>
  </si>
  <si>
    <t>Working time limit</t>
  </si>
  <si>
    <t>Distance limit</t>
  </si>
  <si>
    <t>5.Optional - Visualization</t>
  </si>
  <si>
    <t>Visualization background</t>
  </si>
  <si>
    <t>Location labels</t>
  </si>
  <si>
    <t>6.Solver</t>
  </si>
  <si>
    <t>Warm start?</t>
  </si>
  <si>
    <t>CPU time limit (seconds)</t>
  </si>
  <si>
    <t>LNS minimum removal rate</t>
  </si>
  <si>
    <t>[5%, 50%]</t>
  </si>
  <si>
    <t>LNS maximum removal rate</t>
  </si>
  <si>
    <t>LNS candidate list size</t>
  </si>
  <si>
    <t>[1, 5]</t>
  </si>
  <si>
    <t>Random number seed</t>
  </si>
  <si>
    <t>[1,2147483647]</t>
  </si>
  <si>
    <t>Location IDs</t>
  </si>
  <si>
    <t>Delivery</t>
  </si>
  <si>
    <t>Location ID</t>
  </si>
  <si>
    <t>Name</t>
  </si>
  <si>
    <t>Address</t>
  </si>
  <si>
    <t>Latitude (y)</t>
  </si>
  <si>
    <t>Longitude (x)</t>
  </si>
  <si>
    <t>Time window start</t>
  </si>
  <si>
    <t>Time window end</t>
  </si>
  <si>
    <t>Must be visited?</t>
  </si>
  <si>
    <t>Service time</t>
  </si>
  <si>
    <t>Demand</t>
  </si>
  <si>
    <t>Profit</t>
  </si>
  <si>
    <t>Starting location</t>
  </si>
  <si>
    <t>Must be visited</t>
  </si>
  <si>
    <t>CP TOWER 3</t>
  </si>
  <si>
    <t>รีเทลลิงค์</t>
  </si>
  <si>
    <t xml:space="preserve">นานาใต้ </t>
  </si>
  <si>
    <t>สีลม</t>
  </si>
  <si>
    <t>ไอเรดสิเด้นท์</t>
  </si>
  <si>
    <t>ศาลาแดง</t>
  </si>
  <si>
    <t>เชดอน-สาทร</t>
  </si>
  <si>
    <t>อ.เซาทาวเวอร์</t>
  </si>
  <si>
    <t>ชาร์เตอร์สแควร์</t>
  </si>
  <si>
    <t>บางรัก</t>
  </si>
  <si>
    <t>ตลาดน้อย สัมพันธวงศ์</t>
  </si>
  <si>
    <t>สมเด็จเจ้าพระยา</t>
  </si>
  <si>
    <t>ตลาดเสรี</t>
  </si>
  <si>
    <t>SVมอลล์พระราม3</t>
  </si>
  <si>
    <t>โลตัสพระราม3</t>
  </si>
  <si>
    <t>ท่าเรือพระสมุทรเจดีย์</t>
  </si>
  <si>
    <t>ร้าน TOT แจ้งวัฒนะ</t>
  </si>
  <si>
    <t>ศูนย์ฝึกอบรมธาราปาร์ค ชั้น2</t>
  </si>
  <si>
    <t>มวลชน-ธาราพาร์ค จุด1</t>
  </si>
  <si>
    <t>พิบูลวัฒนา</t>
  </si>
  <si>
    <t>กระทรวงเกษตร</t>
  </si>
  <si>
    <t>เทเวศร์</t>
  </si>
  <si>
    <t>จังเกิ้ลราชวิถี 40</t>
  </si>
  <si>
    <t>Golden place ถนนสุโขทัย</t>
  </si>
  <si>
    <t>MAKROสามเสน</t>
  </si>
  <si>
    <t>โลตัสประชาชื่น</t>
  </si>
  <si>
    <t>กฟผ.บางเขน</t>
  </si>
  <si>
    <t>ชัปทาวเวอร์</t>
  </si>
  <si>
    <t>นอร์ทปาร์ค</t>
  </si>
  <si>
    <t>รพ.ธรรมศาสตร์ รังสิต</t>
  </si>
  <si>
    <t>โรงอาหาร ม.ธรรมศาสตร์</t>
  </si>
  <si>
    <t>ดอนเมือง</t>
  </si>
  <si>
    <t>เคหะคลองจั่น</t>
  </si>
  <si>
    <t>โลตัสสุขาภิบาล3</t>
  </si>
  <si>
    <t>รามอินทรา 40</t>
  </si>
  <si>
    <t>Makro รามอินทรา</t>
  </si>
  <si>
    <t>สายไหม</t>
  </si>
  <si>
    <t>พลัมคอนโด นวมินทร์86</t>
  </si>
  <si>
    <t>บีควิก นวมินทร์</t>
  </si>
  <si>
    <t>เมเจอร์รัชโยธิน</t>
  </si>
  <si>
    <t>Jungle ม.เกษตรบางเขน</t>
  </si>
  <si>
    <t>จังเกิลTMB จตุจักร</t>
  </si>
  <si>
    <t>MRT พหลโยธิน</t>
  </si>
  <si>
    <t>สำนักงานตำรวจ</t>
  </si>
  <si>
    <t>จามจุรี</t>
  </si>
  <si>
    <t>ลิเบอตี้</t>
  </si>
  <si>
    <t>หมอชิต</t>
  </si>
  <si>
    <t>นครชัยแอร์</t>
  </si>
  <si>
    <t>MAKROนครอินทร์</t>
  </si>
  <si>
    <t>โฮมโปรรัตนาธิเบศร์</t>
  </si>
  <si>
    <t>วิภาวดี62</t>
  </si>
  <si>
    <t>วิภาวดี 64</t>
  </si>
  <si>
    <t>CPFศูนย์ราชการ แจ้งวัฒนะ</t>
  </si>
  <si>
    <t>ป๊อปปูล่าวอร์ค</t>
  </si>
  <si>
    <t>จังเกิ้ลสนามบินน้ำ</t>
  </si>
  <si>
    <t>MAKROบางบัวทอง</t>
  </si>
  <si>
    <t>DC บางบัวทอง</t>
  </si>
  <si>
    <t>CP RAMลาดหลุมแก้ว</t>
  </si>
  <si>
    <t>Makro ปทุมธานี</t>
  </si>
  <si>
    <t>ESSO บางบัวทอง</t>
  </si>
  <si>
    <t>jungle อีสวอเตอร์</t>
  </si>
  <si>
    <t>จังเกิล ทรูทาวเวอร์</t>
  </si>
  <si>
    <t>ตลาดรัชดา ซอย 4</t>
  </si>
  <si>
    <t>เดอะเบลล์พระราม9</t>
  </si>
  <si>
    <t>จังเกิ้ล ฟอร์จูน ชั้น1</t>
  </si>
  <si>
    <t>ฟอร์จูน จุด2 รัชดา</t>
  </si>
  <si>
    <t>MRTศูนย์วัฒนะธรรม</t>
  </si>
  <si>
    <t>จันทร์หุ่นบำเพ็ญ</t>
  </si>
  <si>
    <t>makro สุขุมวิท71</t>
  </si>
  <si>
    <t>เมเจอร์ปิ่นเกล้า</t>
  </si>
  <si>
    <t>บรมราชชนนี 9</t>
  </si>
  <si>
    <t>jungle-golden place หอพักแพทย์ศิริราช</t>
  </si>
  <si>
    <t xml:space="preserve"> jungle-golden placeศิริราช 2</t>
  </si>
  <si>
    <t>อาคารเทคนิคการแพทย์ รพ.ศิริราช</t>
  </si>
  <si>
    <t>สายใต้ใหม่</t>
  </si>
  <si>
    <t>โลตัสบางแค</t>
  </si>
  <si>
    <t>MAKROกัลปพฤกษ์</t>
  </si>
  <si>
    <t>รพ.มหาชัย 3</t>
  </si>
  <si>
    <t>MAKROสมุทรสาคร</t>
  </si>
  <si>
    <t>DC มหาชัย</t>
  </si>
  <si>
    <t>โฮมโปร สมุทรสงคราม</t>
  </si>
  <si>
    <t>makroศาลายา</t>
  </si>
  <si>
    <t>โลตัสสามพราน</t>
  </si>
  <si>
    <t>ตลาดหลังการบินไทย</t>
  </si>
  <si>
    <t>ม.หอการค้าไทย อาคาร 24 ชั้น 5</t>
  </si>
  <si>
    <t>ทองหล่อ</t>
  </si>
  <si>
    <t>7-11 ลาซาน</t>
  </si>
  <si>
    <t>7-11 แบริ่ง 1</t>
  </si>
  <si>
    <t>MAKROศรีนครินทร์</t>
  </si>
  <si>
    <t>เมกะ บางนา</t>
  </si>
  <si>
    <t>interlink tower</t>
  </si>
  <si>
    <t>โฮมโปรศรีนครินทร์</t>
  </si>
  <si>
    <t>TOYOTA สุวรรณภูมิ</t>
  </si>
  <si>
    <t>DCสุวรรณภูมิ</t>
  </si>
  <si>
    <t>CP RAM ลาดกระบัง</t>
  </si>
  <si>
    <t>MAKRO หนองจอก</t>
  </si>
  <si>
    <t>From</t>
  </si>
  <si>
    <t>To</t>
  </si>
  <si>
    <t>Distance</t>
  </si>
  <si>
    <t>Duration</t>
  </si>
  <si>
    <t>Method:</t>
  </si>
  <si>
    <t>Vehicle type ID</t>
  </si>
  <si>
    <t>Type name</t>
  </si>
  <si>
    <t>Capacity</t>
  </si>
  <si>
    <t>Fixed cost per trip</t>
  </si>
  <si>
    <t>Cost per unit distance</t>
  </si>
  <si>
    <t>Number available</t>
  </si>
  <si>
    <t>A</t>
  </si>
  <si>
    <t>Total net profit:</t>
  </si>
  <si>
    <t>Stop count</t>
  </si>
  <si>
    <t>Location name</t>
  </si>
  <si>
    <t>Delivered</t>
  </si>
  <si>
    <t>Driving time</t>
  </si>
  <si>
    <t>Arrival</t>
  </si>
  <si>
    <t>Departure</t>
  </si>
  <si>
    <t>Working time</t>
  </si>
  <si>
    <t>Vehicle:</t>
  </si>
  <si>
    <t>A 1</t>
  </si>
  <si>
    <t>Stops:</t>
  </si>
  <si>
    <t>Net profit:</t>
  </si>
  <si>
    <t>List of detected infeasibilities</t>
  </si>
  <si>
    <t>B</t>
  </si>
  <si>
    <t>C</t>
  </si>
  <si>
    <t>D</t>
  </si>
  <si>
    <t>E</t>
  </si>
  <si>
    <t>B 1</t>
  </si>
  <si>
    <t>C 1</t>
  </si>
  <si>
    <t>D 1</t>
  </si>
  <si>
    <t>E 1</t>
  </si>
  <si>
    <t>F</t>
  </si>
  <si>
    <t>G</t>
  </si>
  <si>
    <t>F 1</t>
  </si>
  <si>
    <t>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</si>
</sst>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:mm"/>
    <numFmt numFmtId="165" formatCode="0.0000000"/>
    <numFmt numFmtId="166" formatCode="hh:mm"/>
  </numFmts>
  <fonts count="27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sz val="8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color rgb="FF9C6500"/>
      <name val="Arial"/>
      <family val="2"/>
    </font>
    <font>
      <b/>
      <sz val="10"/>
      <color rgb="FF3F3F3F"/>
      <name val="Arial"/>
      <family val="2"/>
    </font>
    <font>
      <b/>
      <sz val="18"/>
      <color theme="3"/>
      <name val="Cambria"/>
      <family val="2"/>
      <scheme val="major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23"/>
      </top>
      <bottom/>
      <diagonal/>
    </border>
  </borders>
  <cellStyleXfs count="43">
    <xf numFmtId="0" fontId="0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8" fillId="28" borderId="0" applyNumberFormat="0" applyBorder="0" applyAlignment="0" applyProtection="0"/>
    <xf numFmtId="0" fontId="9" fillId="29" borderId="3" applyNumberFormat="0" applyAlignment="0" applyProtection="0"/>
    <xf numFmtId="0" fontId="10" fillId="30" borderId="4" applyNumberFormat="0" applyAlignment="0" applyProtection="0"/>
    <xf numFmtId="0" fontId="11" fillId="0" borderId="0" applyNumberFormat="0" applyFill="0" applyBorder="0" applyAlignment="0" applyProtection="0"/>
    <xf numFmtId="0" fontId="12" fillId="31" borderId="0" applyNumberFormat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5" fillId="0" borderId="0" applyNumberFormat="0" applyFill="0" applyBorder="0" applyAlignment="0" applyProtection="0"/>
    <xf numFmtId="0" fontId="16" fillId="32" borderId="3" applyNumberFormat="0" applyAlignment="0" applyProtection="0"/>
    <xf numFmtId="0" fontId="17" fillId="0" borderId="8" applyNumberFormat="0" applyFill="0" applyAlignment="0" applyProtection="0"/>
    <xf numFmtId="0" fontId="18" fillId="33" borderId="0" applyNumberFormat="0" applyBorder="0" applyAlignment="0" applyProtection="0"/>
    <xf numFmtId="0" fontId="6" fillId="0" borderId="0"/>
    <xf numFmtId="0" fontId="1" fillId="34" borderId="9" applyNumberFormat="0" applyFont="0" applyAlignment="0" applyProtection="0"/>
    <xf numFmtId="0" fontId="19" fillId="29" borderId="10" applyNumberFormat="0" applyAlignment="0" applyProtection="0"/>
    <xf numFmtId="0" fontId="20" fillId="0" borderId="0" applyNumberFormat="0" applyFill="0" applyBorder="0" applyAlignment="0" applyProtection="0"/>
    <xf numFmtId="0" fontId="21" fillId="0" borderId="11" applyNumberFormat="0" applyFill="0" applyAlignment="0" applyProtection="0"/>
    <xf numFmtId="0" fontId="22" fillId="0" borderId="0" applyNumberForma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3" fillId="2" borderId="0" xfId="0" applyFont="1" applyFill="1" applyBorder="1"/>
    <xf numFmtId="0" fontId="2" fillId="0" borderId="1" xfId="0" applyFont="1" applyBorder="1"/>
    <xf numFmtId="0" fontId="0" fillId="0" borderId="1" xfId="0" applyBorder="1"/>
    <xf numFmtId="0" fontId="4" fillId="3" borderId="1" xfId="0" applyFont="1" applyFill="1" applyBorder="1"/>
    <xf numFmtId="0" fontId="2" fillId="0" borderId="2" xfId="0" applyFont="1" applyBorder="1"/>
    <xf numFmtId="0" fontId="0" fillId="0" borderId="2" xfId="0" applyBorder="1"/>
    <xf numFmtId="0" fontId="4" fillId="3" borderId="2" xfId="0" applyFont="1" applyFill="1" applyBorder="1"/>
    <xf numFmtId="164" fontId="4" fillId="3" borderId="1" xfId="0" applyNumberFormat="1" applyFont="1" applyFill="1" applyBorder="1"/>
    <xf numFmtId="9" fontId="4" fillId="3" borderId="1" xfId="0" applyNumberFormat="1" applyFont="1" applyFill="1" applyBorder="1"/>
    <xf numFmtId="20" fontId="4" fillId="3" borderId="1" xfId="0" applyNumberFormat="1" applyFont="1" applyFill="1" applyBorder="1"/>
    <xf numFmtId="0" fontId="0" fillId="35" borderId="0" xfId="0" applyFill="1"/>
    <xf numFmtId="0" fontId="23" fillId="0" borderId="0" xfId="0" applyFont="1"/>
    <xf numFmtId="0" fontId="24" fillId="2" borderId="0" xfId="0" applyFont="1" applyFill="1" applyBorder="1"/>
    <xf numFmtId="0" fontId="24" fillId="3" borderId="0" xfId="0" applyFont="1" applyFill="1" applyBorder="1"/>
    <xf numFmtId="165" fontId="24" fillId="3" borderId="0" xfId="0" applyNumberFormat="1" applyFont="1" applyFill="1" applyBorder="1"/>
    <xf numFmtId="166" fontId="24" fillId="3" borderId="0" xfId="0" applyNumberFormat="1" applyFont="1" applyFill="1" applyBorder="1"/>
    <xf numFmtId="164" fontId="24" fillId="3" borderId="0" xfId="0" applyNumberFormat="1" applyFont="1" applyFill="1" applyBorder="1"/>
    <xf numFmtId="0" fontId="24" fillId="3" borderId="1" xfId="0" applyFont="1" applyFill="1" applyBorder="1"/>
    <xf numFmtId="0" fontId="24" fillId="2" borderId="1" xfId="0" applyFont="1" applyFill="1" applyBorder="1"/>
    <xf numFmtId="165" fontId="24" fillId="3" borderId="1" xfId="0" applyNumberFormat="1" applyFont="1" applyFill="1" applyBorder="1"/>
    <xf numFmtId="166" fontId="24" fillId="3" borderId="1" xfId="0" applyNumberFormat="1" applyFont="1" applyFill="1" applyBorder="1"/>
    <xf numFmtId="164" fontId="24" fillId="3" borderId="1" xfId="0" applyNumberFormat="1" applyFont="1" applyFill="1" applyBorder="1"/>
    <xf numFmtId="0" fontId="24" fillId="2" borderId="12" xfId="0" applyFont="1" applyFill="1" applyBorder="1"/>
    <xf numFmtId="0" fontId="24" fillId="3" borderId="12" xfId="0" applyFont="1" applyFill="1" applyBorder="1"/>
    <xf numFmtId="165" fontId="24" fillId="3" borderId="12" xfId="0" applyNumberFormat="1" applyFont="1" applyFill="1" applyBorder="1"/>
    <xf numFmtId="166" fontId="24" fillId="3" borderId="12" xfId="0" applyNumberFormat="1" applyFont="1" applyFill="1" applyBorder="1"/>
    <xf numFmtId="164" fontId="24" fillId="3" borderId="12" xfId="0" applyNumberFormat="1" applyFont="1" applyFill="1" applyBorder="1"/>
    <xf numFmtId="164" fontId="24" fillId="2" borderId="0" xfId="0" applyNumberFormat="1" applyFont="1" applyFill="1" applyBorder="1"/>
    <xf numFmtId="2" fontId="24" fillId="3" borderId="0" xfId="0" applyNumberFormat="1" applyFont="1" applyFill="1" applyBorder="1"/>
    <xf numFmtId="2" fontId="24" fillId="3" borderId="1" xfId="0" applyNumberFormat="1" applyFont="1" applyFill="1" applyBorder="1"/>
    <xf numFmtId="2" fontId="24" fillId="3" borderId="12" xfId="0" applyNumberFormat="1" applyFont="1" applyFill="1" applyBorder="1"/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36" borderId="0" xfId="0" applyFont="1" applyFill="1" applyBorder="1"/>
    <xf numFmtId="2" fontId="25" fillId="36" borderId="0" xfId="0" applyNumberFormat="1" applyFont="1" applyFill="1" applyBorder="1"/>
    <xf numFmtId="164" fontId="25" fillId="36" borderId="0" xfId="0" applyNumberFormat="1" applyFont="1" applyFill="1" applyBorder="1"/>
    <xf numFmtId="166" fontId="25" fillId="36" borderId="0" xfId="0" applyNumberFormat="1" applyFont="1" applyFill="1" applyBorder="1"/>
    <xf numFmtId="0" fontId="25" fillId="36" borderId="1" xfId="0" applyFont="1" applyFill="1" applyBorder="1"/>
    <xf numFmtId="2" fontId="25" fillId="36" borderId="1" xfId="0" applyNumberFormat="1" applyFont="1" applyFill="1" applyBorder="1"/>
    <xf numFmtId="164" fontId="25" fillId="36" borderId="1" xfId="0" applyNumberFormat="1" applyFont="1" applyFill="1" applyBorder="1"/>
    <xf numFmtId="166" fontId="25" fillId="36" borderId="1" xfId="0" applyNumberFormat="1" applyFont="1" applyFill="1" applyBorder="1"/>
    <xf numFmtId="0" fontId="25" fillId="36" borderId="12" xfId="0" applyFont="1" applyFill="1" applyBorder="1"/>
    <xf numFmtId="2" fontId="25" fillId="36" borderId="12" xfId="0" applyNumberFormat="1" applyFont="1" applyFill="1" applyBorder="1"/>
    <xf numFmtId="164" fontId="25" fillId="36" borderId="12" xfId="0" applyNumberFormat="1" applyFont="1" applyFill="1" applyBorder="1"/>
    <xf numFmtId="166" fontId="25" fillId="36" borderId="12" xfId="0" applyNumberFormat="1" applyFont="1" applyFill="1" applyBorder="1"/>
    <xf numFmtId="2" fontId="26" fillId="36" borderId="0" xfId="0" applyNumberFormat="1" applyFont="1" applyFill="1"/>
    <xf numFmtId="0" fontId="23" fillId="36" borderId="0" xfId="0" applyFont="1" applyFill="1"/>
    <xf numFmtId="2" fontId="23" fillId="36" borderId="0" xfId="0" applyNumberFormat="1" applyFont="1" applyFill="1"/>
    <xf numFmtId="0" fontId="24" fillId="2" borderId="0" xfId="0" applyFont="1" applyFill="1" applyBorder="1" applyAlignment="1">
      <alignment horizontal="center" vertical="center"/>
    </xf>
    <xf numFmtId="0" fontId="24" fillId="3" borderId="12" xfId="0" applyFont="1" applyFill="1" applyBorder="1" applyAlignment="1">
      <alignment horizontal="center" vertical="center"/>
    </xf>
  </cellXfs>
  <cellStyles count="43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Explanatory Text 2" xfId="28"/>
    <cellStyle name="Good 2" xfId="29"/>
    <cellStyle name="Heading 1 2" xfId="30"/>
    <cellStyle name="Heading 2 2" xfId="31"/>
    <cellStyle name="Heading 3 2" xfId="32"/>
    <cellStyle name="Heading 4 2" xfId="33"/>
    <cellStyle name="Input 2" xfId="34"/>
    <cellStyle name="Linked Cell 2" xfId="35"/>
    <cellStyle name="Neutral 2" xfId="36"/>
    <cellStyle name="Normal" xfId="0" builtinId="0"/>
    <cellStyle name="Normal 2" xfId="37"/>
    <cellStyle name="Note 2" xfId="38"/>
    <cellStyle name="Output 2" xfId="39"/>
    <cellStyle name="Title" xfId="40" builtinId="15" customBuiltin="1"/>
    <cellStyle name="Total 2" xfId="41"/>
    <cellStyle name="Warning Text 2" xfId="42"/>
  </cellStyles>
  <dxfs count="2107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>
          <bgColor indexed="10"/>
        </patternFill>
      </fill>
    </dxf>
    <dxf>
      <fill>
        <patternFill>
          <bgColor indexed="52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schemas.microsoft.com/search/local/ws/rest/v1'">
  <Schema ID="Schema1" Namespace="http://schemas.microsoft.com/search/local/ws/rest/v1">
    <xsd:schema xmlns:xsd="http://www.w3.org/2001/XMLSchema" xmlns:ns0="http://schemas.microsoft.com/search/local/ws/rest/v1" xmlns="" targetNamespace="http://schemas.microsoft.com/search/local/ws/rest/v1">
      <xsd:element nillable="true" name="Response">
        <xsd:complexType>
          <xsd:sequence minOccurs="0">
            <xsd:element minOccurs="0" nillable="true" type="xsd:string" name="Copyright" form="qualified"/>
            <xsd:element minOccurs="0" nillable="true" type="xsd:anyURI" name="BrandLogoUri" form="qualified"/>
            <xsd:element minOccurs="0" nillable="true" type="xsd:integer" name="StatusCode" form="qualified"/>
            <xsd:element minOccurs="0" nillable="true" type="xsd:string" name="StatusDescription" form="qualified"/>
            <xsd:element minOccurs="0" nillable="true" type="xsd:string" name="AuthenticationResultCode" form="qualified"/>
            <xsd:element minOccurs="0" nillable="true" type="xsd:string" name="TraceId" form="qualified"/>
            <xsd:element minOccurs="0" nillable="true" name="ResourceSets" form="qualified">
              <xsd:complexType>
                <xsd:sequence minOccurs="0">
                  <xsd:element minOccurs="0" nillable="true" name="ResourceSet" form="qualified">
                    <xsd:complexType>
                      <xsd:sequence minOccurs="0">
                        <xsd:element minOccurs="0" nillable="true" type="xsd:integer" name="EstimatedTotal" form="qualified"/>
                        <xsd:element minOccurs="0" nillable="true" name="Resources" form="qualified">
                          <xsd:complexType>
                            <xsd:sequence minOccurs="0">
                              <xsd:element minOccurs="0" nillable="true" name="Route" form="qualified">
                                <xsd:complexType>
                                  <xsd:sequence minOccurs="0">
                                    <xsd:element minOccurs="0" nillable="true" type="xsd:string" name="Id" form="qualified"/>
                                    <xsd:element minOccurs="0" nillable="true" name="BoundingBox" form="qualified">
                                      <xsd:complexType>
                                        <xsd:sequence minOccurs="0">
                                          <xsd:element minOccurs="0" nillable="true" type="xsd:double" name="SouthLatitude" form="qualified"/>
                                          <xsd:element minOccurs="0" nillable="true" type="xsd:double" name="WestLongitude" form="qualified"/>
                                          <xsd:element minOccurs="0" nillable="true" type="xsd:double" name="NorthLatitude" form="qualified"/>
                                          <xsd:element minOccurs="0" nillable="true" type="xsd:double" name="EastLongitude" form="qualified"/>
                                        </xsd:sequence>
                                      </xsd:complexType>
                                    </xsd:element>
                                    <xsd:element minOccurs="0" nillable="true" type="xsd:string" name="DistanceUnit" form="qualified"/>
                                    <xsd:element minOccurs="0" nillable="true" type="xsd:string" name="DurationUnit" form="qualified"/>
                                    <xsd:element minOccurs="0" nillable="true" type="xsd:double" name="TravelDistance" form="qualified"/>
                                    <xsd:element minOccurs="0" nillable="true" type="xsd:integer" name="TravelDuration" form="qualified"/>
                                    <xsd:element minOccurs="0" nillable="true" type="xsd:integer" name="TravelDurationTraffic" form="qualified"/>
                                    <xsd:element minOccurs="0" nillable="true" name="RouteLeg" form="qualified">
                                      <xsd:complexType>
                                        <xsd:sequence minOccurs="0">
                                          <xsd:element minOccurs="0" nillable="true" type="xsd:double" name="TravelDistance" form="qualified"/>
                                          <xsd:element minOccurs="0" nillable="true" type="xsd:integer" name="TravelDuration" form="qualified"/>
                                          <xsd:element minOccurs="0" nillable="true" type="xsd:integer" name="Cost" form="qualified"/>
                                          <xsd:element minOccurs="0" nillable="true" name="ActualStart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name="ActualEnd" form="qualified">
                                            <xsd:complexType>
                                              <xsd:sequence minOccurs="0">
                                                <xsd:element minOccurs="0" nillable="true" type="xsd:double" name="Latitude" form="qualified"/>
                                                <xsd:element minOccurs="0" nillable="true" type="xsd:double" name="Longitude" form="qualified"/>
                                              </xsd:sequence>
                                            </xsd:complexType>
                                          </xsd:element>
                                          <xsd:element minOccurs="0" maxOccurs="unbounded" nillable="true" name="ItineraryItem" form="qualified">
                                            <xsd:complexType>
                                              <xsd:sequence minOccurs="0" maxOccurs="unbounded">
                                                <xsd:element minOccurs="0" nillable="true" type="xsd:string" name="TravelMode" form="qualified"/>
                                                <xsd:element minOccurs="0" nillable="true" type="xsd:double" name="TravelDistance" form="qualified"/>
                                                <xsd:element minOccurs="0" nillable="true" type="xsd:integer" name="TravelDuration" form="qualified"/>
                                                <xsd:element minOccurs="0" nillable="true" name="ManeuverPoint" form="qualified">
                                                  <xsd:complexType>
                                                    <xsd:sequence minOccurs="0">
                                                      <xsd:element minOccurs="0" nillable="true" type="xsd:double" name="Latitude" form="qualified"/>
                                                      <xsd:element minOccurs="0" nillable="true" type="xsd:double" name="Longitu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name="Instruction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maneuverType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nillable="true" type="xsd:string" name="CompassDirection" form="qualified"/>
                                                <xsd:element minOccurs="0" nillable="true" name="Warning" form="qualified">
                                                  <xsd:complexType>
                                                    <xsd:simpleContent>
                                                      <xsd:extension base="xsd:string">
                                                        <xsd:attribute name="warningType" form="unqualified" type="xsd:string"/>
                                                        <xsd:attribute name="severity" form="unqualified" type="xsd:string"/>
                                                      </xsd:extension>
                                                    </xsd:simpleContent>
                                                  </xsd:complexType>
                                                </xsd:element>
                                                <xsd:element minOccurs="0" maxOccurs="unbounded" nillable="true" name="Detail" form="qualified">
                                                  <xsd:complexType>
                                                    <xsd:sequence minOccurs="0" maxOccurs="unbounded">
                                                      <xsd:element minOccurs="0" nillable="true" type="xsd:string" name="ManeuverType" form="qualified"/>
                                                      <xsd:element minOccurs="0" nillable="true" type="xsd:integer" name="StartPathIndex" form="qualified"/>
                                                      <xsd:element minOccurs="0" nillable="true" type="xsd:integer" name="EndPathIndex" form="qualified"/>
                                                      <xsd:element minOccurs="0" nillable="true" type="xsd:string" name="Name" form="qualified"/>
                                                      <xsd:element minOccurs="0" nillable="true" type="xsd:integer" name="CompassDegrees" form="qualified"/>
                                                      <xsd:element minOccurs="0" nillable="true" type="xsd:string" name="Mode" form="qualified"/>
                                                      <xsd:element minOccurs="0" nillable="true" type="xsd:integer" name="PreviousEntityId" form="qualified"/>
                                                      <xsd:element minOccurs="0" nillable="true" type="xsd:integer" name="NextEntityId" form="qualified"/>
                                                      <xsd:element minOccurs="0" nillable="true" type="xsd:string" name="RoadType" form="qualified"/>
                                                      <xsd:element minOccurs="0" nillable="true" name="RoadShieldRequestParameters" form="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integer" name="Bucket" form="qualified"/>
                                                            <xsd:element minOccurs="0" nillable="true" name="Shield" form="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RoadShieldType" form="qualified"/>
                                                                  <xsd:element minOccurs="0" nillable="true" type="xsd:string" name="Label" form="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maxOccurs="unbounded" nillable="true" type="xsd:string" name="LocationCode" form="qualified"/>
                                                    </xsd:sequence>
                                                  </xsd:complexType>
                                                </xsd:element>
                                                <xsd:element minOccurs="0" nillable="true" type="xsd:string" name="Exit" form="qualified"/>
                                                <xsd:element minOccurs="0" nillable="true" type="xsd:string" name="TollZone" form="qualified"/>
                                                <xsd:element minOccurs="0" nillable="true" type="xsd:string" name="TransitTerminus" form="qualified"/>
                                                <xsd:element minOccurs="0" nillable="true" type="xsd:integer" name="TripId" form="qualified"/>
                                                <xsd:element minOccurs="0" nillable="true" type="xsd:string" name="IconType" form="qualified"/>
                                                <xsd:element minOccurs="0" nillable="true" type="xsd:dateTime" name="Time" form="qualified"/>
                                                <xsd:element minOccurs="0" nillable="true" type="xsd:integer" name="TransitStopId" form="qualified"/>
                                                <xsd:element minOccurs="0" nillable="true" type="xsd:string" name="TowardsRoadName" form="qualified"/>
                                                <xsd:element minOccurs="0" nillable="true" type="xsd:string" name="SideOfStreet" form="qualified"/>
                                                <xsd:element minOccurs="0" maxOccurs="unbounded" nillable="true" type="xsd:string" name="Sign" form="qualified"/>
                                                <xsd:element minOccurs="0" maxOccurs="unbounded" nillable="true" type="xsd:string" name="Hint" form="qualified"/>
                                              </xsd:sequence>
                                            </xsd:complexType>
                                          </xsd:element>
                                          <xsd:element minOccurs="0" nillable="true" type="xsd:dateTime" name="StartTime" form="qualified"/>
                                          <xsd:element minOccurs="0" nillable="true" type="xsd:dateTime" name="EndTime" form="qualified"/>
                                          <xsd:element minOccurs="0" nillable="true" type="xsd:string" name="Description" form="qualified"/>
                                          <xsd:element minOccurs="0" nillable="true" type="xsd:string" name="RouteRegion" form="qualified"/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ponse_Map" RootElement="Response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581025</xdr:colOff>
      <xdr:row>1</xdr:row>
      <xdr:rowOff>19050</xdr:rowOff>
    </xdr:from>
    <xdr:ext cx="5161156" cy="82343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4010025" y="200025"/>
          <a:ext cx="5161156" cy="823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000">
              <a:latin typeface="Aparajita" panose="020B0604020202020204" pitchFamily="34" charset="0"/>
              <a:cs typeface="Aparajita" panose="020B0604020202020204" pitchFamily="34" charset="0"/>
            </a:rPr>
            <a:t>Vehicle</a:t>
          </a:r>
          <a:r>
            <a:rPr lang="en-US" sz="4000" baseline="0">
              <a:latin typeface="Aparajita" panose="020B0604020202020204" pitchFamily="34" charset="0"/>
              <a:cs typeface="Aparajita" panose="020B0604020202020204" pitchFamily="34" charset="0"/>
            </a:rPr>
            <a:t> Routing Management</a:t>
          </a:r>
          <a:endParaRPr lang="th-TH" sz="4000">
            <a:latin typeface="Aparajita" panose="020B0604020202020204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6</xdr:row>
      <xdr:rowOff>76200</xdr:rowOff>
    </xdr:from>
    <xdr:to>
      <xdr:col>12</xdr:col>
      <xdr:colOff>243840</xdr:colOff>
      <xdr:row>19</xdr:row>
      <xdr:rowOff>635</xdr:rowOff>
    </xdr:to>
    <xdr:pic>
      <xdr:nvPicPr>
        <xdr:cNvPr id="3" name="Picture 2" descr="à¸à¸¥à¸à¸²à¸£à¸à¹à¸à¸«à¸²à¸£à¸¹à¸à¸ à¸²à¸à¸ªà¸³à¸«à¸£à¸±à¸ truck cartoon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93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1162050"/>
          <a:ext cx="3891915" cy="227711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23" sqref="J23"/>
    </sheetView>
  </sheetViews>
  <sheetFormatPr defaultColWidth="9" defaultRowHeight="15" x14ac:dyDescent="0.25"/>
  <cols>
    <col min="1" max="16384" width="9" style="12"/>
  </cols>
  <sheetData/>
  <sheetProtection algorithmName="SHA-512" hashValue="MBkXjHUh77ZRSFTi+z/6ZVFrW2x1m4qTgA1N9LfV8dv0XGwqffHHWsmF414Oy20mRXTdXsU0cPDRhOeZvLxCJA==" saltValue="OG9/Qjib1wbZe3etXr6L7g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9"/>
  <sheetViews>
    <sheetView tabSelected="1" workbookViewId="0">
      <selection activeCell="C12" sqref="C12"/>
    </sheetView>
  </sheetViews>
  <sheetFormatPr defaultRowHeight="15" x14ac:dyDescent="0.25"/>
  <cols>
    <col min="1" max="1" width="22.28515625" bestFit="1" customWidth="1"/>
    <col min="2" max="2" width="29.42578125" bestFit="1" customWidth="1"/>
    <col min="3" max="3" width="23.7109375" customWidth="1"/>
    <col min="4" max="4" width="57.7109375" bestFit="1" customWidth="1"/>
  </cols>
  <sheetData>
    <row r="1" spans="1:4" s="1" customFormat="1" x14ac:dyDescent="0.25">
      <c r="A1" s="2" t="s">
        <v>0</v>
      </c>
      <c r="B1" s="2" t="s">
        <v>1</v>
      </c>
      <c r="C1" s="2" t="s">
        <v>2</v>
      </c>
      <c r="D1" s="2" t="s">
        <v>3</v>
      </c>
    </row>
    <row r="2" spans="1:4" x14ac:dyDescent="0.25">
      <c r="A2" s="3" t="s">
        <v>4</v>
      </c>
      <c r="B2" s="4" t="s">
        <v>5</v>
      </c>
      <c r="C2" s="5"/>
      <c r="D2" s="4" t="s">
        <v>6</v>
      </c>
    </row>
    <row r="4" spans="1:4" x14ac:dyDescent="0.25">
      <c r="A4" s="6" t="s">
        <v>7</v>
      </c>
      <c r="B4" s="7" t="s">
        <v>8</v>
      </c>
      <c r="C4" s="8">
        <v>95</v>
      </c>
      <c r="D4" s="7" t="s">
        <v>9</v>
      </c>
    </row>
    <row r="5" spans="1:4" x14ac:dyDescent="0.25">
      <c r="A5" s="4"/>
      <c r="B5" s="4" t="s">
        <v>10</v>
      </c>
      <c r="C5" s="5" t="s">
        <v>50</v>
      </c>
      <c r="D5" s="4"/>
    </row>
    <row r="7" spans="1:4" x14ac:dyDescent="0.25">
      <c r="A7" s="6" t="s">
        <v>11</v>
      </c>
      <c r="B7" s="7" t="s">
        <v>12</v>
      </c>
      <c r="C7" s="8" t="s">
        <v>13</v>
      </c>
      <c r="D7" s="7" t="s">
        <v>14</v>
      </c>
    </row>
    <row r="8" spans="1:4" x14ac:dyDescent="0.25">
      <c r="A8" s="4"/>
      <c r="B8" s="4" t="s">
        <v>15</v>
      </c>
      <c r="C8" s="5" t="s">
        <v>16</v>
      </c>
      <c r="D8" s="4" t="s">
        <v>17</v>
      </c>
    </row>
    <row r="9" spans="1:4" x14ac:dyDescent="0.25">
      <c r="A9" s="4"/>
      <c r="B9" s="4" t="s">
        <v>18</v>
      </c>
      <c r="C9" s="5">
        <v>50</v>
      </c>
      <c r="D9" s="4" t="s">
        <v>19</v>
      </c>
    </row>
    <row r="11" spans="1:4" x14ac:dyDescent="0.25">
      <c r="A11" s="6" t="s">
        <v>20</v>
      </c>
      <c r="B11" s="7" t="s">
        <v>21</v>
      </c>
      <c r="C11" s="8">
        <v>7</v>
      </c>
      <c r="D11" s="7" t="s">
        <v>22</v>
      </c>
    </row>
    <row r="13" spans="1:4" x14ac:dyDescent="0.25">
      <c r="A13" s="6" t="s">
        <v>23</v>
      </c>
      <c r="B13" s="7" t="s">
        <v>24</v>
      </c>
      <c r="C13" s="8" t="s">
        <v>25</v>
      </c>
      <c r="D13" s="7"/>
    </row>
    <row r="14" spans="1:4" x14ac:dyDescent="0.25">
      <c r="A14" s="4"/>
      <c r="B14" s="4" t="s">
        <v>26</v>
      </c>
      <c r="C14" s="5" t="s">
        <v>27</v>
      </c>
      <c r="D14" s="4" t="s">
        <v>28</v>
      </c>
    </row>
    <row r="15" spans="1:4" x14ac:dyDescent="0.25">
      <c r="A15" s="4"/>
      <c r="B15" s="4" t="s">
        <v>29</v>
      </c>
      <c r="C15" s="5" t="s">
        <v>30</v>
      </c>
      <c r="D15" s="4"/>
    </row>
    <row r="16" spans="1:4" x14ac:dyDescent="0.25">
      <c r="A16" s="4"/>
      <c r="B16" s="4" t="s">
        <v>31</v>
      </c>
      <c r="C16" s="11">
        <v>0.375</v>
      </c>
      <c r="D16" s="4" t="s">
        <v>32</v>
      </c>
    </row>
    <row r="17" spans="1:4" x14ac:dyDescent="0.25">
      <c r="A17" s="4"/>
      <c r="B17" s="4" t="s">
        <v>33</v>
      </c>
      <c r="C17" s="9">
        <v>0.33333333333333331</v>
      </c>
      <c r="D17" s="4"/>
    </row>
    <row r="18" spans="1:4" x14ac:dyDescent="0.25">
      <c r="A18" s="4"/>
      <c r="B18" s="4" t="s">
        <v>34</v>
      </c>
      <c r="C18" s="9">
        <v>0.41666666666666669</v>
      </c>
      <c r="D18" s="4"/>
    </row>
    <row r="19" spans="1:4" x14ac:dyDescent="0.25">
      <c r="A19" s="4"/>
      <c r="B19" s="4" t="s">
        <v>35</v>
      </c>
      <c r="C19" s="5">
        <v>560</v>
      </c>
      <c r="D19" s="4"/>
    </row>
    <row r="21" spans="1:4" x14ac:dyDescent="0.25">
      <c r="A21" s="6" t="s">
        <v>36</v>
      </c>
      <c r="B21" s="7" t="s">
        <v>37</v>
      </c>
      <c r="C21" s="8" t="s">
        <v>13</v>
      </c>
      <c r="D21" s="7"/>
    </row>
    <row r="22" spans="1:4" x14ac:dyDescent="0.25">
      <c r="A22" s="4"/>
      <c r="B22" s="4" t="s">
        <v>38</v>
      </c>
      <c r="C22" s="5" t="s">
        <v>49</v>
      </c>
      <c r="D22" s="4"/>
    </row>
    <row r="24" spans="1:4" x14ac:dyDescent="0.25">
      <c r="A24" s="6" t="s">
        <v>39</v>
      </c>
      <c r="B24" s="7" t="s">
        <v>40</v>
      </c>
      <c r="C24" s="8" t="s">
        <v>27</v>
      </c>
      <c r="D24" s="7"/>
    </row>
    <row r="25" spans="1:4" x14ac:dyDescent="0.25">
      <c r="A25" s="4"/>
      <c r="B25" s="4" t="s">
        <v>41</v>
      </c>
      <c r="C25" s="5">
        <v>60</v>
      </c>
      <c r="D25" s="4" t="str">
        <f>CONCATENATE("Recommendation: At least ", 60 * CEILING(C4 * C4 * C4 / 100000, 1)," seconds.")</f>
        <v>Recommendation: At least 540 seconds.</v>
      </c>
    </row>
    <row r="26" spans="1:4" x14ac:dyDescent="0.25">
      <c r="A26" s="4"/>
      <c r="B26" s="4" t="s">
        <v>42</v>
      </c>
      <c r="C26" s="10">
        <v>0.1</v>
      </c>
      <c r="D26" s="4" t="s">
        <v>43</v>
      </c>
    </row>
    <row r="27" spans="1:4" x14ac:dyDescent="0.25">
      <c r="A27" s="4"/>
      <c r="B27" s="4" t="s">
        <v>44</v>
      </c>
      <c r="C27" s="10">
        <v>0.4</v>
      </c>
      <c r="D27" s="4" t="s">
        <v>43</v>
      </c>
    </row>
    <row r="28" spans="1:4" x14ac:dyDescent="0.25">
      <c r="A28" s="4"/>
      <c r="B28" s="4" t="s">
        <v>45</v>
      </c>
      <c r="C28" s="5">
        <v>2</v>
      </c>
      <c r="D28" s="4" t="s">
        <v>46</v>
      </c>
    </row>
    <row r="29" spans="1:4" x14ac:dyDescent="0.25">
      <c r="A29" s="4"/>
      <c r="B29" s="4" t="s">
        <v>47</v>
      </c>
      <c r="C29" s="5">
        <v>123456789</v>
      </c>
      <c r="D29" s="4" t="s">
        <v>48</v>
      </c>
    </row>
  </sheetData>
  <phoneticPr fontId="5" type="noConversion"/>
  <dataValidations count="14">
    <dataValidation type="list" allowBlank="1" showInputMessage="1" showErrorMessage="1" sqref="C5">
      <formula1>"Pickup, Delivery"</formula1>
    </dataValidation>
    <dataValidation type="list" allowBlank="1" showInputMessage="1" showErrorMessage="1" sqref="C8">
      <formula1>"Shortest, Fastest, Fastest - Real Time Traffic"</formula1>
    </dataValidation>
    <dataValidation type="list" allowBlank="1" showInputMessage="1" showErrorMessage="1" sqref="C13 C14 C24">
      <formula1>"Yes, No"</formula1>
    </dataValidation>
    <dataValidation type="list" allowBlank="1" showInputMessage="1" showErrorMessage="1" sqref="C15">
      <formula1>"Hard, Soft"</formula1>
    </dataValidation>
    <dataValidation type="list" allowBlank="1" showInputMessage="1" showErrorMessage="1" sqref="C21">
      <formula1>"Blank, Bing Maps"</formula1>
    </dataValidation>
    <dataValidation type="list" allowBlank="1" showInputMessage="1" showErrorMessage="1" sqref="C22">
      <formula1>"Blank, Location IDs, Location names"</formula1>
    </dataValidation>
    <dataValidation type="list" allowBlank="1" showInputMessage="1" showErrorMessage="1" sqref="C7">
      <formula1>"Manual entry, Euclidian distances, Rounded Euclidian distances, Geodesic approximation, Rectilinear (Manhattan) distances, Bing Maps"</formula1>
    </dataValidation>
    <dataValidation type="whole" allowBlank="1" showInputMessage="1" showErrorMessage="1" error="Please enter an integer from 10 to 200" sqref="C4">
      <formula1>10</formula1>
      <formula2>500</formula2>
    </dataValidation>
    <dataValidation type="whole" allowBlank="1" showInputMessage="1" showErrorMessage="1" error="Please enter an integer from 1 to 50" sqref="C11">
      <formula1>1</formula1>
      <formula2>50</formula2>
    </dataValidation>
    <dataValidation type="decimal" operator="greaterThan" allowBlank="1" showInputMessage="1" showErrorMessage="1" error="Please enter a positive value" sqref="C19">
      <formula1>0</formula1>
    </dataValidation>
    <dataValidation type="decimal" operator="greaterThanOrEqual" allowBlank="1" showInputMessage="1" showErrorMessage="1" error="Please enter a value greater than or equal to 10 seconds." sqref="C25">
      <formula1>10</formula1>
    </dataValidation>
    <dataValidation type="decimal" allowBlank="1" showInputMessage="1" showErrorMessage="1" error="Please enter a value between 5% and 50%" sqref="C26:C27">
      <formula1>0.05</formula1>
      <formula2>0.5</formula2>
    </dataValidation>
    <dataValidation type="whole" allowBlank="1" showInputMessage="1" showErrorMessage="1" error="Please enter an integer from 1 to 5" sqref="C28">
      <formula1>1</formula1>
      <formula2>5</formula2>
    </dataValidation>
    <dataValidation type="whole" allowBlank="1" showInputMessage="1" showErrorMessage="1" error="Please enter an integer between 1 and 2147483647" sqref="C29">
      <formula1>1</formula1>
      <formula2>2147483647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7"/>
  <sheetViews>
    <sheetView topLeftCell="A89" workbookViewId="0">
      <selection activeCell="J96" sqref="J96"/>
    </sheetView>
  </sheetViews>
  <sheetFormatPr defaultRowHeight="15" x14ac:dyDescent="0.25"/>
  <cols>
    <col min="1" max="1" width="10.7109375" bestFit="1" customWidth="1"/>
    <col min="2" max="2" width="12" bestFit="1" customWidth="1"/>
    <col min="3" max="3" width="8.140625" bestFit="1" customWidth="1"/>
    <col min="4" max="4" width="11.7109375" customWidth="1"/>
    <col min="5" max="5" width="14.7109375" customWidth="1"/>
    <col min="6" max="6" width="17.7109375" bestFit="1" customWidth="1"/>
    <col min="7" max="7" width="17" bestFit="1" customWidth="1"/>
    <col min="8" max="8" width="15.85546875" bestFit="1" customWidth="1"/>
    <col min="9" max="9" width="12" bestFit="1" customWidth="1"/>
    <col min="10" max="10" width="8.42578125" style="34" bestFit="1" customWidth="1"/>
    <col min="11" max="11" width="6" bestFit="1" customWidth="1"/>
  </cols>
  <sheetData>
    <row r="1" spans="1:11" s="13" customFormat="1" x14ac:dyDescent="0.25">
      <c r="A1" s="13" t="s">
        <v>51</v>
      </c>
      <c r="B1" s="13" t="s">
        <v>52</v>
      </c>
      <c r="C1" s="13" t="s">
        <v>53</v>
      </c>
      <c r="D1" s="13" t="s">
        <v>54</v>
      </c>
      <c r="E1" s="13" t="s">
        <v>55</v>
      </c>
      <c r="F1" s="13" t="s">
        <v>56</v>
      </c>
      <c r="G1" s="13" t="s">
        <v>57</v>
      </c>
      <c r="H1" s="13" t="s">
        <v>58</v>
      </c>
      <c r="I1" s="13" t="s">
        <v>59</v>
      </c>
      <c r="J1" s="33" t="s">
        <v>60</v>
      </c>
      <c r="K1" s="13" t="s">
        <v>61</v>
      </c>
    </row>
    <row r="2" spans="1:11" x14ac:dyDescent="0.25">
      <c r="A2" s="14">
        <v>0</v>
      </c>
      <c r="B2" s="15" t="s">
        <v>65</v>
      </c>
      <c r="C2" s="15"/>
      <c r="D2" s="16">
        <v>13.871881699999999</v>
      </c>
      <c r="E2" s="16">
        <v>100.57387679999999</v>
      </c>
      <c r="F2" s="17">
        <v>0</v>
      </c>
      <c r="G2" s="17">
        <v>0.99930555555555556</v>
      </c>
      <c r="H2" s="14" t="s">
        <v>62</v>
      </c>
      <c r="I2" s="29">
        <v>0</v>
      </c>
      <c r="J2" s="50">
        <v>0</v>
      </c>
      <c r="K2" s="14">
        <v>0</v>
      </c>
    </row>
    <row r="3" spans="1:11" x14ac:dyDescent="0.25">
      <c r="A3" s="24">
        <v>1</v>
      </c>
      <c r="B3" s="25" t="s">
        <v>64</v>
      </c>
      <c r="C3" s="25"/>
      <c r="D3" s="26">
        <v>13.757805100000001</v>
      </c>
      <c r="E3" s="26">
        <v>100.5405959</v>
      </c>
      <c r="F3" s="27">
        <v>0</v>
      </c>
      <c r="G3" s="27">
        <v>0.99930555555555556</v>
      </c>
      <c r="H3" s="25" t="s">
        <v>63</v>
      </c>
      <c r="I3" s="28">
        <v>0</v>
      </c>
      <c r="J3" s="51">
        <v>1</v>
      </c>
      <c r="K3" s="25">
        <v>0</v>
      </c>
    </row>
    <row r="4" spans="1:11" x14ac:dyDescent="0.25">
      <c r="A4" s="24">
        <v>2</v>
      </c>
      <c r="B4" s="25" t="s">
        <v>66</v>
      </c>
      <c r="C4" s="25"/>
      <c r="D4" s="26">
        <v>13.738296500000001</v>
      </c>
      <c r="E4" s="26">
        <v>100.5508875</v>
      </c>
      <c r="F4" s="27">
        <v>0</v>
      </c>
      <c r="G4" s="27">
        <v>0.99930555555555556</v>
      </c>
      <c r="H4" s="25" t="s">
        <v>63</v>
      </c>
      <c r="I4" s="28">
        <v>0</v>
      </c>
      <c r="J4" s="51">
        <v>1</v>
      </c>
      <c r="K4" s="25">
        <v>0</v>
      </c>
    </row>
    <row r="5" spans="1:11" x14ac:dyDescent="0.25">
      <c r="A5" s="24">
        <v>3</v>
      </c>
      <c r="B5" s="25" t="s">
        <v>67</v>
      </c>
      <c r="C5" s="25"/>
      <c r="D5" s="26">
        <v>13.7258063</v>
      </c>
      <c r="E5" s="26">
        <v>100.5246047</v>
      </c>
      <c r="F5" s="27">
        <v>0</v>
      </c>
      <c r="G5" s="27">
        <v>0.99930555555555556</v>
      </c>
      <c r="H5" s="25" t="s">
        <v>63</v>
      </c>
      <c r="I5" s="28">
        <v>0</v>
      </c>
      <c r="J5" s="51">
        <v>1</v>
      </c>
      <c r="K5" s="25">
        <v>0</v>
      </c>
    </row>
    <row r="6" spans="1:11" x14ac:dyDescent="0.25">
      <c r="A6" s="24">
        <v>4</v>
      </c>
      <c r="B6" s="25" t="s">
        <v>68</v>
      </c>
      <c r="C6" s="25"/>
      <c r="D6" s="26">
        <v>13.722637600000001</v>
      </c>
      <c r="E6" s="26">
        <v>100.53201110000001</v>
      </c>
      <c r="F6" s="27">
        <v>0</v>
      </c>
      <c r="G6" s="27">
        <v>0.99930555555555556</v>
      </c>
      <c r="H6" s="25" t="s">
        <v>63</v>
      </c>
      <c r="I6" s="28">
        <v>0</v>
      </c>
      <c r="J6" s="51">
        <v>1</v>
      </c>
      <c r="K6" s="25">
        <v>0</v>
      </c>
    </row>
    <row r="7" spans="1:11" x14ac:dyDescent="0.25">
      <c r="A7" s="24">
        <v>5</v>
      </c>
      <c r="B7" s="25" t="s">
        <v>69</v>
      </c>
      <c r="C7" s="25"/>
      <c r="D7" s="26">
        <v>13.726576100000001</v>
      </c>
      <c r="E7" s="26">
        <v>100.5346318</v>
      </c>
      <c r="F7" s="27">
        <v>0</v>
      </c>
      <c r="G7" s="27">
        <v>0.99930555555555556</v>
      </c>
      <c r="H7" s="25" t="s">
        <v>63</v>
      </c>
      <c r="I7" s="28">
        <v>0</v>
      </c>
      <c r="J7" s="51">
        <v>1</v>
      </c>
      <c r="K7" s="25">
        <v>0</v>
      </c>
    </row>
    <row r="8" spans="1:11" x14ac:dyDescent="0.25">
      <c r="A8" s="24">
        <v>6</v>
      </c>
      <c r="B8" s="25" t="s">
        <v>70</v>
      </c>
      <c r="C8" s="25"/>
      <c r="D8" s="26">
        <v>13.7238822</v>
      </c>
      <c r="E8" s="26">
        <v>100.5361183</v>
      </c>
      <c r="F8" s="27">
        <v>0</v>
      </c>
      <c r="G8" s="27">
        <v>0.99930555555555556</v>
      </c>
      <c r="H8" s="25" t="s">
        <v>63</v>
      </c>
      <c r="I8" s="28">
        <v>0</v>
      </c>
      <c r="J8" s="51">
        <v>1</v>
      </c>
      <c r="K8" s="25">
        <v>0</v>
      </c>
    </row>
    <row r="9" spans="1:11" x14ac:dyDescent="0.25">
      <c r="A9" s="24">
        <v>7</v>
      </c>
      <c r="B9" s="25" t="s">
        <v>71</v>
      </c>
      <c r="C9" s="25"/>
      <c r="D9" s="26">
        <v>13.723908099999999</v>
      </c>
      <c r="E9" s="26">
        <v>100.5295522</v>
      </c>
      <c r="F9" s="27">
        <v>0</v>
      </c>
      <c r="G9" s="27">
        <v>0.99930555555555556</v>
      </c>
      <c r="H9" s="25" t="s">
        <v>63</v>
      </c>
      <c r="I9" s="28">
        <v>0</v>
      </c>
      <c r="J9" s="51">
        <v>1</v>
      </c>
      <c r="K9" s="25">
        <v>0</v>
      </c>
    </row>
    <row r="10" spans="1:11" x14ac:dyDescent="0.25">
      <c r="A10" s="24">
        <v>8</v>
      </c>
      <c r="B10" s="25" t="s">
        <v>72</v>
      </c>
      <c r="C10" s="25"/>
      <c r="D10" s="26">
        <v>13.719306400000001</v>
      </c>
      <c r="E10" s="26">
        <v>100.5174317</v>
      </c>
      <c r="F10" s="27">
        <v>0</v>
      </c>
      <c r="G10" s="27">
        <v>0.99930555555555556</v>
      </c>
      <c r="H10" s="25" t="s">
        <v>63</v>
      </c>
      <c r="I10" s="28">
        <v>0</v>
      </c>
      <c r="J10" s="51">
        <v>1</v>
      </c>
      <c r="K10" s="25">
        <v>0</v>
      </c>
    </row>
    <row r="11" spans="1:11" x14ac:dyDescent="0.25">
      <c r="A11" s="24">
        <v>9</v>
      </c>
      <c r="B11" s="25" t="s">
        <v>73</v>
      </c>
      <c r="C11" s="25"/>
      <c r="D11" s="26">
        <v>13.7280622</v>
      </c>
      <c r="E11" s="26">
        <v>100.5196926</v>
      </c>
      <c r="F11" s="27">
        <v>0</v>
      </c>
      <c r="G11" s="27">
        <v>0.99930555555555556</v>
      </c>
      <c r="H11" s="25" t="s">
        <v>63</v>
      </c>
      <c r="I11" s="28">
        <v>0</v>
      </c>
      <c r="J11" s="51">
        <v>1</v>
      </c>
      <c r="K11" s="25">
        <v>0</v>
      </c>
    </row>
    <row r="12" spans="1:11" x14ac:dyDescent="0.25">
      <c r="A12" s="24">
        <v>10</v>
      </c>
      <c r="B12" s="25" t="s">
        <v>74</v>
      </c>
      <c r="C12" s="25"/>
      <c r="D12" s="26">
        <v>13.7347676</v>
      </c>
      <c r="E12" s="26">
        <v>100.5086855</v>
      </c>
      <c r="F12" s="27">
        <v>0</v>
      </c>
      <c r="G12" s="27">
        <v>0.99930555555555556</v>
      </c>
      <c r="H12" s="25" t="s">
        <v>63</v>
      </c>
      <c r="I12" s="28">
        <v>0</v>
      </c>
      <c r="J12" s="51">
        <v>1</v>
      </c>
      <c r="K12" s="25">
        <v>0</v>
      </c>
    </row>
    <row r="13" spans="1:11" x14ac:dyDescent="0.25">
      <c r="A13" s="24">
        <v>11</v>
      </c>
      <c r="B13" s="25" t="s">
        <v>75</v>
      </c>
      <c r="C13" s="25"/>
      <c r="D13" s="26">
        <v>13.7347628</v>
      </c>
      <c r="E13" s="26">
        <v>100.50013319999999</v>
      </c>
      <c r="F13" s="27">
        <v>0</v>
      </c>
      <c r="G13" s="27">
        <v>0.99930555555555556</v>
      </c>
      <c r="H13" s="25" t="s">
        <v>63</v>
      </c>
      <c r="I13" s="28">
        <v>0</v>
      </c>
      <c r="J13" s="51">
        <v>1</v>
      </c>
      <c r="K13" s="25">
        <v>0</v>
      </c>
    </row>
    <row r="14" spans="1:11" x14ac:dyDescent="0.25">
      <c r="A14" s="24">
        <v>12</v>
      </c>
      <c r="B14" s="25" t="s">
        <v>76</v>
      </c>
      <c r="C14" s="25"/>
      <c r="D14" s="26">
        <v>13.734848899999999</v>
      </c>
      <c r="E14" s="26">
        <v>100.4673023</v>
      </c>
      <c r="F14" s="27">
        <v>0</v>
      </c>
      <c r="G14" s="27">
        <v>0.99930555555555556</v>
      </c>
      <c r="H14" s="25" t="s">
        <v>63</v>
      </c>
      <c r="I14" s="28">
        <v>0</v>
      </c>
      <c r="J14" s="51">
        <v>1</v>
      </c>
      <c r="K14" s="25">
        <v>0</v>
      </c>
    </row>
    <row r="15" spans="1:11" x14ac:dyDescent="0.25">
      <c r="A15" s="24">
        <v>13</v>
      </c>
      <c r="B15" s="25" t="s">
        <v>77</v>
      </c>
      <c r="C15" s="25"/>
      <c r="D15" s="26">
        <v>13.6734934</v>
      </c>
      <c r="E15" s="26">
        <v>100.54057450000001</v>
      </c>
      <c r="F15" s="27">
        <v>0</v>
      </c>
      <c r="G15" s="27">
        <v>0.99930555555555556</v>
      </c>
      <c r="H15" s="25" t="s">
        <v>63</v>
      </c>
      <c r="I15" s="28">
        <v>0</v>
      </c>
      <c r="J15" s="51">
        <v>1</v>
      </c>
      <c r="K15" s="25">
        <v>0</v>
      </c>
    </row>
    <row r="16" spans="1:11" x14ac:dyDescent="0.25">
      <c r="A16" s="24">
        <v>14</v>
      </c>
      <c r="B16" s="25" t="s">
        <v>78</v>
      </c>
      <c r="C16" s="25"/>
      <c r="D16" s="26">
        <v>13.696518599999999</v>
      </c>
      <c r="E16" s="26">
        <v>100.5391185</v>
      </c>
      <c r="F16" s="27">
        <v>0</v>
      </c>
      <c r="G16" s="27">
        <v>0.99930555555555556</v>
      </c>
      <c r="H16" s="25" t="s">
        <v>63</v>
      </c>
      <c r="I16" s="28">
        <v>0</v>
      </c>
      <c r="J16" s="51">
        <v>1</v>
      </c>
      <c r="K16" s="25">
        <v>0</v>
      </c>
    </row>
    <row r="17" spans="1:11" x14ac:dyDescent="0.25">
      <c r="A17" s="24">
        <v>15</v>
      </c>
      <c r="B17" s="25" t="s">
        <v>79</v>
      </c>
      <c r="C17" s="25"/>
      <c r="D17" s="26">
        <v>13.5987879</v>
      </c>
      <c r="E17" s="26">
        <v>100.5856366</v>
      </c>
      <c r="F17" s="27">
        <v>0</v>
      </c>
      <c r="G17" s="27">
        <v>0.99930555555555556</v>
      </c>
      <c r="H17" s="25" t="s">
        <v>63</v>
      </c>
      <c r="I17" s="28">
        <v>0</v>
      </c>
      <c r="J17" s="51">
        <v>1</v>
      </c>
      <c r="K17" s="25">
        <v>0</v>
      </c>
    </row>
    <row r="18" spans="1:11" x14ac:dyDescent="0.25">
      <c r="A18" s="24">
        <v>16</v>
      </c>
      <c r="B18" s="25" t="s">
        <v>80</v>
      </c>
      <c r="C18" s="25"/>
      <c r="D18" s="26">
        <v>13.8872079</v>
      </c>
      <c r="E18" s="26">
        <v>100.56980729999999</v>
      </c>
      <c r="F18" s="27">
        <v>0</v>
      </c>
      <c r="G18" s="27">
        <v>0.99930555555555556</v>
      </c>
      <c r="H18" s="25" t="s">
        <v>63</v>
      </c>
      <c r="I18" s="28">
        <v>0</v>
      </c>
      <c r="J18" s="51">
        <v>1</v>
      </c>
      <c r="K18" s="25">
        <v>0</v>
      </c>
    </row>
    <row r="19" spans="1:11" x14ac:dyDescent="0.25">
      <c r="A19" s="24">
        <v>17</v>
      </c>
      <c r="B19" s="25" t="s">
        <v>81</v>
      </c>
      <c r="C19" s="25"/>
      <c r="D19" s="26">
        <v>13.902527900000001</v>
      </c>
      <c r="E19" s="26">
        <v>100.52953890000001</v>
      </c>
      <c r="F19" s="27">
        <v>0</v>
      </c>
      <c r="G19" s="27">
        <v>0.99930555555555556</v>
      </c>
      <c r="H19" s="25" t="s">
        <v>63</v>
      </c>
      <c r="I19" s="28">
        <v>0</v>
      </c>
      <c r="J19" s="51">
        <v>1</v>
      </c>
      <c r="K19" s="25">
        <v>0</v>
      </c>
    </row>
    <row r="20" spans="1:11" x14ac:dyDescent="0.25">
      <c r="A20" s="24">
        <v>18</v>
      </c>
      <c r="B20" s="25" t="s">
        <v>82</v>
      </c>
      <c r="C20" s="25"/>
      <c r="D20" s="26">
        <v>13.902066400000001</v>
      </c>
      <c r="E20" s="26">
        <v>100.5298567</v>
      </c>
      <c r="F20" s="27">
        <v>0</v>
      </c>
      <c r="G20" s="27">
        <v>0.99930555555555556</v>
      </c>
      <c r="H20" s="25" t="s">
        <v>63</v>
      </c>
      <c r="I20" s="28">
        <v>0</v>
      </c>
      <c r="J20" s="51">
        <v>1</v>
      </c>
      <c r="K20" s="25">
        <v>0</v>
      </c>
    </row>
    <row r="21" spans="1:11" x14ac:dyDescent="0.25">
      <c r="A21" s="24">
        <v>19</v>
      </c>
      <c r="B21" s="25" t="s">
        <v>83</v>
      </c>
      <c r="C21" s="25"/>
      <c r="D21" s="26">
        <v>13.784445399999999</v>
      </c>
      <c r="E21" s="26">
        <v>100.5289732</v>
      </c>
      <c r="F21" s="27">
        <v>0</v>
      </c>
      <c r="G21" s="27">
        <v>0.99930555555555556</v>
      </c>
      <c r="H21" s="25" t="s">
        <v>63</v>
      </c>
      <c r="I21" s="28">
        <v>0</v>
      </c>
      <c r="J21" s="51">
        <v>1</v>
      </c>
      <c r="K21" s="25">
        <v>0</v>
      </c>
    </row>
    <row r="22" spans="1:11" x14ac:dyDescent="0.25">
      <c r="A22" s="24">
        <v>20</v>
      </c>
      <c r="B22" s="25" t="s">
        <v>84</v>
      </c>
      <c r="C22" s="25"/>
      <c r="D22" s="26">
        <v>13.7595872</v>
      </c>
      <c r="E22" s="26">
        <v>100.50422450000001</v>
      </c>
      <c r="F22" s="27">
        <v>0</v>
      </c>
      <c r="G22" s="27">
        <v>0.99930555555555556</v>
      </c>
      <c r="H22" s="25" t="s">
        <v>63</v>
      </c>
      <c r="I22" s="28">
        <v>0</v>
      </c>
      <c r="J22" s="51">
        <v>1</v>
      </c>
      <c r="K22" s="25">
        <v>0</v>
      </c>
    </row>
    <row r="23" spans="1:11" x14ac:dyDescent="0.25">
      <c r="A23" s="24">
        <v>21</v>
      </c>
      <c r="B23" s="25" t="s">
        <v>85</v>
      </c>
      <c r="C23" s="25"/>
      <c r="D23" s="26">
        <v>13.759613099999999</v>
      </c>
      <c r="E23" s="26">
        <v>100.49765840000001</v>
      </c>
      <c r="F23" s="27">
        <v>0</v>
      </c>
      <c r="G23" s="27">
        <v>0.99930555555555556</v>
      </c>
      <c r="H23" s="25" t="s">
        <v>63</v>
      </c>
      <c r="I23" s="28">
        <v>0</v>
      </c>
      <c r="J23" s="51">
        <v>1</v>
      </c>
      <c r="K23" s="25">
        <v>0</v>
      </c>
    </row>
    <row r="24" spans="1:11" x14ac:dyDescent="0.25">
      <c r="A24" s="24">
        <v>22</v>
      </c>
      <c r="B24" s="25" t="s">
        <v>86</v>
      </c>
      <c r="C24" s="25"/>
      <c r="D24" s="26">
        <v>13.7779834</v>
      </c>
      <c r="E24" s="26">
        <v>100.50747130000001</v>
      </c>
      <c r="F24" s="27">
        <v>0</v>
      </c>
      <c r="G24" s="27">
        <v>0.99930555555555556</v>
      </c>
      <c r="H24" s="25" t="s">
        <v>63</v>
      </c>
      <c r="I24" s="28">
        <v>0</v>
      </c>
      <c r="J24" s="51">
        <v>1</v>
      </c>
      <c r="K24" s="25">
        <v>0</v>
      </c>
    </row>
    <row r="25" spans="1:11" x14ac:dyDescent="0.25">
      <c r="A25" s="24">
        <v>23</v>
      </c>
      <c r="B25" s="25" t="s">
        <v>87</v>
      </c>
      <c r="C25" s="25"/>
      <c r="D25" s="26">
        <v>13.7794112</v>
      </c>
      <c r="E25" s="26">
        <v>100.5115663</v>
      </c>
      <c r="F25" s="27">
        <v>0</v>
      </c>
      <c r="G25" s="27">
        <v>0.99930555555555556</v>
      </c>
      <c r="H25" s="25" t="s">
        <v>63</v>
      </c>
      <c r="I25" s="28">
        <v>0</v>
      </c>
      <c r="J25" s="51">
        <v>1</v>
      </c>
      <c r="K25" s="25">
        <v>0</v>
      </c>
    </row>
    <row r="26" spans="1:11" x14ac:dyDescent="0.25">
      <c r="A26" s="24">
        <v>24</v>
      </c>
      <c r="B26" s="25" t="s">
        <v>88</v>
      </c>
      <c r="C26" s="25"/>
      <c r="D26" s="26">
        <v>13.7911979</v>
      </c>
      <c r="E26" s="26">
        <v>100.51082700000001</v>
      </c>
      <c r="F26" s="27">
        <v>0</v>
      </c>
      <c r="G26" s="27">
        <v>0.99930555555555556</v>
      </c>
      <c r="H26" s="25" t="s">
        <v>63</v>
      </c>
      <c r="I26" s="28">
        <v>0</v>
      </c>
      <c r="J26" s="51">
        <v>1</v>
      </c>
      <c r="K26" s="25">
        <v>0</v>
      </c>
    </row>
    <row r="27" spans="1:11" x14ac:dyDescent="0.25">
      <c r="A27" s="24">
        <v>25</v>
      </c>
      <c r="B27" s="25" t="s">
        <v>89</v>
      </c>
      <c r="C27" s="25"/>
      <c r="D27" s="26">
        <v>13.813937599999999</v>
      </c>
      <c r="E27" s="26">
        <v>100.5317824</v>
      </c>
      <c r="F27" s="27">
        <v>0</v>
      </c>
      <c r="G27" s="27">
        <v>0.99930555555555556</v>
      </c>
      <c r="H27" s="25" t="s">
        <v>63</v>
      </c>
      <c r="I27" s="28">
        <v>0</v>
      </c>
      <c r="J27" s="51">
        <v>1</v>
      </c>
      <c r="K27" s="25">
        <v>0</v>
      </c>
    </row>
    <row r="28" spans="1:11" x14ac:dyDescent="0.25">
      <c r="A28" s="24">
        <v>26</v>
      </c>
      <c r="B28" s="25" t="s">
        <v>90</v>
      </c>
      <c r="C28" s="25"/>
      <c r="D28" s="26">
        <v>13.8712857</v>
      </c>
      <c r="E28" s="26">
        <v>100.5928588</v>
      </c>
      <c r="F28" s="27">
        <v>0</v>
      </c>
      <c r="G28" s="27">
        <v>0.99930555555555556</v>
      </c>
      <c r="H28" s="25" t="s">
        <v>63</v>
      </c>
      <c r="I28" s="28">
        <v>0</v>
      </c>
      <c r="J28" s="51">
        <v>1</v>
      </c>
      <c r="K28" s="25">
        <v>0</v>
      </c>
    </row>
    <row r="29" spans="1:11" x14ac:dyDescent="0.25">
      <c r="A29" s="24">
        <v>27</v>
      </c>
      <c r="B29" s="25" t="s">
        <v>91</v>
      </c>
      <c r="C29" s="25"/>
      <c r="D29" s="26">
        <v>13.8029434</v>
      </c>
      <c r="E29" s="26">
        <v>100.5227671</v>
      </c>
      <c r="F29" s="27">
        <v>0</v>
      </c>
      <c r="G29" s="27">
        <v>0.99930555555555556</v>
      </c>
      <c r="H29" s="25" t="s">
        <v>63</v>
      </c>
      <c r="I29" s="28">
        <v>0</v>
      </c>
      <c r="J29" s="51">
        <v>1</v>
      </c>
      <c r="K29" s="25">
        <v>0</v>
      </c>
    </row>
    <row r="30" spans="1:11" x14ac:dyDescent="0.25">
      <c r="A30" s="24">
        <v>28</v>
      </c>
      <c r="B30" s="25" t="s">
        <v>92</v>
      </c>
      <c r="C30" s="25"/>
      <c r="D30" s="26">
        <v>13.8688302</v>
      </c>
      <c r="E30" s="26">
        <v>100.56325390000001</v>
      </c>
      <c r="F30" s="27">
        <v>0</v>
      </c>
      <c r="G30" s="27">
        <v>0.99930555555555556</v>
      </c>
      <c r="H30" s="25" t="s">
        <v>63</v>
      </c>
      <c r="I30" s="28">
        <v>0</v>
      </c>
      <c r="J30" s="51">
        <v>1</v>
      </c>
      <c r="K30" s="25">
        <v>0</v>
      </c>
    </row>
    <row r="31" spans="1:11" x14ac:dyDescent="0.25">
      <c r="A31" s="24">
        <v>29</v>
      </c>
      <c r="B31" s="25" t="s">
        <v>93</v>
      </c>
      <c r="C31" s="25"/>
      <c r="D31" s="26">
        <v>14.0738672</v>
      </c>
      <c r="E31" s="26">
        <v>100.6108718</v>
      </c>
      <c r="F31" s="27">
        <v>0</v>
      </c>
      <c r="G31" s="27">
        <v>0.99930555555555556</v>
      </c>
      <c r="H31" s="25" t="s">
        <v>63</v>
      </c>
      <c r="I31" s="28">
        <v>0</v>
      </c>
      <c r="J31" s="51">
        <v>1</v>
      </c>
      <c r="K31" s="25">
        <v>0</v>
      </c>
    </row>
    <row r="32" spans="1:11" x14ac:dyDescent="0.25">
      <c r="A32" s="24">
        <v>30</v>
      </c>
      <c r="B32" s="25" t="s">
        <v>94</v>
      </c>
      <c r="C32" s="25"/>
      <c r="D32" s="26">
        <v>14.073893</v>
      </c>
      <c r="E32" s="26">
        <v>100.6043057</v>
      </c>
      <c r="F32" s="27">
        <v>0</v>
      </c>
      <c r="G32" s="27">
        <v>0.99930555555555556</v>
      </c>
      <c r="H32" s="25" t="s">
        <v>63</v>
      </c>
      <c r="I32" s="28">
        <v>0</v>
      </c>
      <c r="J32" s="51">
        <v>1</v>
      </c>
      <c r="K32" s="25">
        <v>0</v>
      </c>
    </row>
    <row r="33" spans="1:11" x14ac:dyDescent="0.25">
      <c r="A33" s="24">
        <v>31</v>
      </c>
      <c r="B33" s="25" t="s">
        <v>95</v>
      </c>
      <c r="C33" s="25"/>
      <c r="D33" s="26">
        <v>13.921418600000001</v>
      </c>
      <c r="E33" s="26">
        <v>100.55783769999999</v>
      </c>
      <c r="F33" s="27">
        <v>0</v>
      </c>
      <c r="G33" s="27">
        <v>0.99930555555555556</v>
      </c>
      <c r="H33" s="25" t="s">
        <v>63</v>
      </c>
      <c r="I33" s="28">
        <v>0</v>
      </c>
      <c r="J33" s="51">
        <v>1</v>
      </c>
      <c r="K33" s="25">
        <v>0</v>
      </c>
    </row>
    <row r="34" spans="1:11" x14ac:dyDescent="0.25">
      <c r="A34" s="24">
        <v>32</v>
      </c>
      <c r="B34" s="25" t="s">
        <v>96</v>
      </c>
      <c r="C34" s="25"/>
      <c r="D34" s="26">
        <v>13.7753063</v>
      </c>
      <c r="E34" s="26">
        <v>100.64499960000001</v>
      </c>
      <c r="F34" s="27">
        <v>0</v>
      </c>
      <c r="G34" s="27">
        <v>0.99930555555555556</v>
      </c>
      <c r="H34" s="25" t="s">
        <v>63</v>
      </c>
      <c r="I34" s="28">
        <v>0</v>
      </c>
      <c r="J34" s="51">
        <v>1</v>
      </c>
      <c r="K34" s="25">
        <v>0</v>
      </c>
    </row>
    <row r="35" spans="1:11" x14ac:dyDescent="0.25">
      <c r="A35" s="24">
        <v>33</v>
      </c>
      <c r="B35" s="25" t="s">
        <v>97</v>
      </c>
      <c r="C35" s="25"/>
      <c r="D35" s="26">
        <v>13.8068981</v>
      </c>
      <c r="E35" s="26">
        <v>100.722973</v>
      </c>
      <c r="F35" s="27">
        <v>0</v>
      </c>
      <c r="G35" s="27">
        <v>0.99930555555555556</v>
      </c>
      <c r="H35" s="25" t="s">
        <v>63</v>
      </c>
      <c r="I35" s="28">
        <v>0</v>
      </c>
      <c r="J35" s="51">
        <v>1</v>
      </c>
      <c r="K35" s="25">
        <v>0</v>
      </c>
    </row>
    <row r="36" spans="1:11" x14ac:dyDescent="0.25">
      <c r="A36" s="24">
        <v>34</v>
      </c>
      <c r="B36" s="25" t="s">
        <v>98</v>
      </c>
      <c r="C36" s="25"/>
      <c r="D36" s="26">
        <v>13.8421953</v>
      </c>
      <c r="E36" s="26">
        <v>100.6401102</v>
      </c>
      <c r="F36" s="27">
        <v>0</v>
      </c>
      <c r="G36" s="27">
        <v>0.99930555555555556</v>
      </c>
      <c r="H36" s="25" t="s">
        <v>63</v>
      </c>
      <c r="I36" s="28">
        <v>0</v>
      </c>
      <c r="J36" s="51">
        <v>1</v>
      </c>
      <c r="K36" s="25">
        <v>0</v>
      </c>
    </row>
    <row r="37" spans="1:11" x14ac:dyDescent="0.25">
      <c r="A37" s="24">
        <v>35</v>
      </c>
      <c r="B37" s="25" t="s">
        <v>99</v>
      </c>
      <c r="C37" s="25"/>
      <c r="D37" s="26">
        <v>13.8112473</v>
      </c>
      <c r="E37" s="26">
        <v>100.6940568</v>
      </c>
      <c r="F37" s="27">
        <v>0</v>
      </c>
      <c r="G37" s="27">
        <v>0.99930555555555556</v>
      </c>
      <c r="H37" s="25" t="s">
        <v>63</v>
      </c>
      <c r="I37" s="28">
        <v>0</v>
      </c>
      <c r="J37" s="51">
        <v>1</v>
      </c>
      <c r="K37" s="25">
        <v>0</v>
      </c>
    </row>
    <row r="38" spans="1:11" x14ac:dyDescent="0.25">
      <c r="A38" s="24">
        <v>36</v>
      </c>
      <c r="B38" s="25" t="s">
        <v>100</v>
      </c>
      <c r="C38" s="25"/>
      <c r="D38" s="26">
        <v>13.9121991</v>
      </c>
      <c r="E38" s="26">
        <v>100.6154583</v>
      </c>
      <c r="F38" s="27">
        <v>0</v>
      </c>
      <c r="G38" s="27">
        <v>0.99930555555555556</v>
      </c>
      <c r="H38" s="25" t="s">
        <v>63</v>
      </c>
      <c r="I38" s="28">
        <v>0</v>
      </c>
      <c r="J38" s="51">
        <v>1</v>
      </c>
      <c r="K38" s="25">
        <v>0</v>
      </c>
    </row>
    <row r="39" spans="1:11" x14ac:dyDescent="0.25">
      <c r="A39" s="24">
        <v>37</v>
      </c>
      <c r="B39" s="25" t="s">
        <v>101</v>
      </c>
      <c r="C39" s="25"/>
      <c r="D39" s="26">
        <v>13.823764300000001</v>
      </c>
      <c r="E39" s="26">
        <v>100.6564288</v>
      </c>
      <c r="F39" s="27">
        <v>0</v>
      </c>
      <c r="G39" s="27">
        <v>0.99930555555555556</v>
      </c>
      <c r="H39" s="25" t="s">
        <v>63</v>
      </c>
      <c r="I39" s="28">
        <v>0</v>
      </c>
      <c r="J39" s="51">
        <v>1</v>
      </c>
      <c r="K39" s="25">
        <v>0</v>
      </c>
    </row>
    <row r="40" spans="1:11" x14ac:dyDescent="0.25">
      <c r="A40" s="24">
        <v>38</v>
      </c>
      <c r="B40" s="25" t="s">
        <v>102</v>
      </c>
      <c r="C40" s="25"/>
      <c r="D40" s="26">
        <v>13.824518899999999</v>
      </c>
      <c r="E40" s="26">
        <v>100.65464040000001</v>
      </c>
      <c r="F40" s="27">
        <v>0</v>
      </c>
      <c r="G40" s="27">
        <v>0.99930555555555556</v>
      </c>
      <c r="H40" s="25" t="s">
        <v>63</v>
      </c>
      <c r="I40" s="28">
        <v>0</v>
      </c>
      <c r="J40" s="51">
        <v>1</v>
      </c>
      <c r="K40" s="25">
        <v>0</v>
      </c>
    </row>
    <row r="41" spans="1:11" x14ac:dyDescent="0.25">
      <c r="A41" s="24">
        <v>39</v>
      </c>
      <c r="B41" s="25" t="s">
        <v>103</v>
      </c>
      <c r="C41" s="25"/>
      <c r="D41" s="26">
        <v>13.8286236</v>
      </c>
      <c r="E41" s="26">
        <v>100.5664957</v>
      </c>
      <c r="F41" s="27">
        <v>0</v>
      </c>
      <c r="G41" s="27">
        <v>0.99930555555555556</v>
      </c>
      <c r="H41" s="25" t="s">
        <v>63</v>
      </c>
      <c r="I41" s="28">
        <v>0</v>
      </c>
      <c r="J41" s="51">
        <v>1</v>
      </c>
      <c r="K41" s="25">
        <v>0</v>
      </c>
    </row>
    <row r="42" spans="1:11" x14ac:dyDescent="0.25">
      <c r="A42" s="24">
        <v>40</v>
      </c>
      <c r="B42" s="25" t="s">
        <v>104</v>
      </c>
      <c r="C42" s="25"/>
      <c r="D42" s="26">
        <v>13.8483882</v>
      </c>
      <c r="E42" s="26">
        <v>100.5645099</v>
      </c>
      <c r="F42" s="27">
        <v>0</v>
      </c>
      <c r="G42" s="27">
        <v>0.99930555555555556</v>
      </c>
      <c r="H42" s="25" t="s">
        <v>63</v>
      </c>
      <c r="I42" s="28">
        <v>0</v>
      </c>
      <c r="J42" s="51">
        <v>1</v>
      </c>
      <c r="K42" s="25">
        <v>0</v>
      </c>
    </row>
    <row r="43" spans="1:11" x14ac:dyDescent="0.25">
      <c r="A43" s="24">
        <v>41</v>
      </c>
      <c r="B43" s="25" t="s">
        <v>105</v>
      </c>
      <c r="C43" s="25"/>
      <c r="D43" s="26">
        <v>13.826848999999999</v>
      </c>
      <c r="E43" s="26">
        <v>100.5464238</v>
      </c>
      <c r="F43" s="27">
        <v>0</v>
      </c>
      <c r="G43" s="27">
        <v>0.99930555555555556</v>
      </c>
      <c r="H43" s="25" t="s">
        <v>63</v>
      </c>
      <c r="I43" s="28">
        <v>0</v>
      </c>
      <c r="J43" s="51">
        <v>1</v>
      </c>
      <c r="K43" s="25">
        <v>0</v>
      </c>
    </row>
    <row r="44" spans="1:11" x14ac:dyDescent="0.25">
      <c r="A44" s="24">
        <v>42</v>
      </c>
      <c r="B44" s="25" t="s">
        <v>106</v>
      </c>
      <c r="C44" s="25"/>
      <c r="D44" s="26">
        <v>13.814231700000001</v>
      </c>
      <c r="E44" s="26">
        <v>100.5579669</v>
      </c>
      <c r="F44" s="27">
        <v>0</v>
      </c>
      <c r="G44" s="27">
        <v>0.99930555555555556</v>
      </c>
      <c r="H44" s="25" t="s">
        <v>63</v>
      </c>
      <c r="I44" s="28">
        <v>0</v>
      </c>
      <c r="J44" s="51">
        <v>1</v>
      </c>
      <c r="K44" s="25">
        <v>0</v>
      </c>
    </row>
    <row r="45" spans="1:11" x14ac:dyDescent="0.25">
      <c r="A45" s="24">
        <v>43</v>
      </c>
      <c r="B45" s="25" t="s">
        <v>107</v>
      </c>
      <c r="C45" s="25"/>
      <c r="D45" s="26">
        <v>13.8143937</v>
      </c>
      <c r="E45" s="26">
        <v>100.49011520000001</v>
      </c>
      <c r="F45" s="27">
        <v>0</v>
      </c>
      <c r="G45" s="27">
        <v>0.99930555555555556</v>
      </c>
      <c r="H45" s="25" t="s">
        <v>63</v>
      </c>
      <c r="I45" s="28">
        <v>0</v>
      </c>
      <c r="J45" s="51">
        <v>1</v>
      </c>
      <c r="K45" s="25">
        <v>0</v>
      </c>
    </row>
    <row r="46" spans="1:11" x14ac:dyDescent="0.25">
      <c r="A46" s="24">
        <v>44</v>
      </c>
      <c r="B46" s="25" t="s">
        <v>108</v>
      </c>
      <c r="C46" s="25"/>
      <c r="D46" s="26">
        <v>13.8112765</v>
      </c>
      <c r="E46" s="26">
        <v>100.4786587</v>
      </c>
      <c r="F46" s="27">
        <v>0</v>
      </c>
      <c r="G46" s="27">
        <v>0.99930555555555556</v>
      </c>
      <c r="H46" s="25" t="s">
        <v>63</v>
      </c>
      <c r="I46" s="28">
        <v>0</v>
      </c>
      <c r="J46" s="51">
        <v>1</v>
      </c>
      <c r="K46" s="25">
        <v>0</v>
      </c>
    </row>
    <row r="47" spans="1:11" x14ac:dyDescent="0.25">
      <c r="A47" s="24">
        <v>45</v>
      </c>
      <c r="B47" s="25" t="s">
        <v>109</v>
      </c>
      <c r="C47" s="25"/>
      <c r="D47" s="26">
        <v>13.8115901</v>
      </c>
      <c r="E47" s="26">
        <v>100.47865849999999</v>
      </c>
      <c r="F47" s="27">
        <v>0</v>
      </c>
      <c r="G47" s="27">
        <v>0.99930555555555556</v>
      </c>
      <c r="H47" s="25" t="s">
        <v>63</v>
      </c>
      <c r="I47" s="28">
        <v>0</v>
      </c>
      <c r="J47" s="51">
        <v>1</v>
      </c>
      <c r="K47" s="25">
        <v>0</v>
      </c>
    </row>
    <row r="48" spans="1:11" x14ac:dyDescent="0.25">
      <c r="A48" s="24">
        <v>46</v>
      </c>
      <c r="B48" s="25" t="s">
        <v>110</v>
      </c>
      <c r="C48" s="25"/>
      <c r="D48" s="26">
        <v>13.8078799</v>
      </c>
      <c r="E48" s="26">
        <v>100.54690979999999</v>
      </c>
      <c r="F48" s="27">
        <v>0</v>
      </c>
      <c r="G48" s="27">
        <v>0.99930555555555556</v>
      </c>
      <c r="H48" s="25" t="s">
        <v>63</v>
      </c>
      <c r="I48" s="28">
        <v>0</v>
      </c>
      <c r="J48" s="51">
        <v>1</v>
      </c>
      <c r="K48" s="25">
        <v>0</v>
      </c>
    </row>
    <row r="49" spans="1:11" x14ac:dyDescent="0.25">
      <c r="A49" s="24">
        <v>47</v>
      </c>
      <c r="B49" s="25" t="s">
        <v>111</v>
      </c>
      <c r="C49" s="25"/>
      <c r="D49" s="26">
        <v>13.831957299999999</v>
      </c>
      <c r="E49" s="26">
        <v>100.5530899</v>
      </c>
      <c r="F49" s="27">
        <v>0</v>
      </c>
      <c r="G49" s="27">
        <v>0.99930555555555556</v>
      </c>
      <c r="H49" s="25" t="s">
        <v>63</v>
      </c>
      <c r="I49" s="28">
        <v>0</v>
      </c>
      <c r="J49" s="51">
        <v>1</v>
      </c>
      <c r="K49" s="25">
        <v>0</v>
      </c>
    </row>
    <row r="50" spans="1:11" x14ac:dyDescent="0.25">
      <c r="A50" s="24">
        <v>48</v>
      </c>
      <c r="B50" s="25" t="s">
        <v>112</v>
      </c>
      <c r="C50" s="25"/>
      <c r="D50" s="26">
        <v>13.8286151</v>
      </c>
      <c r="E50" s="26">
        <v>100.4819437</v>
      </c>
      <c r="F50" s="27">
        <v>0</v>
      </c>
      <c r="G50" s="27">
        <v>0.99930555555555556</v>
      </c>
      <c r="H50" s="25" t="s">
        <v>63</v>
      </c>
      <c r="I50" s="28">
        <v>0</v>
      </c>
      <c r="J50" s="51">
        <v>1</v>
      </c>
      <c r="K50" s="25">
        <v>0</v>
      </c>
    </row>
    <row r="51" spans="1:11" x14ac:dyDescent="0.25">
      <c r="A51" s="24">
        <v>49</v>
      </c>
      <c r="B51" s="25" t="s">
        <v>113</v>
      </c>
      <c r="C51" s="25"/>
      <c r="D51" s="26">
        <v>13.828701199999999</v>
      </c>
      <c r="E51" s="26">
        <v>100.44911279999999</v>
      </c>
      <c r="F51" s="27">
        <v>0</v>
      </c>
      <c r="G51" s="27">
        <v>0.99930555555555556</v>
      </c>
      <c r="H51" s="25" t="s">
        <v>63</v>
      </c>
      <c r="I51" s="28">
        <v>0</v>
      </c>
      <c r="J51" s="51">
        <v>1</v>
      </c>
      <c r="K51" s="25">
        <v>0</v>
      </c>
    </row>
    <row r="52" spans="1:11" x14ac:dyDescent="0.25">
      <c r="A52" s="24">
        <v>50</v>
      </c>
      <c r="B52" s="25" t="s">
        <v>114</v>
      </c>
      <c r="C52" s="25"/>
      <c r="D52" s="26">
        <v>13.871706700000001</v>
      </c>
      <c r="E52" s="26">
        <v>100.5746991</v>
      </c>
      <c r="F52" s="27">
        <v>0</v>
      </c>
      <c r="G52" s="27">
        <v>0.99930555555555556</v>
      </c>
      <c r="H52" s="25" t="s">
        <v>63</v>
      </c>
      <c r="I52" s="28">
        <v>0</v>
      </c>
      <c r="J52" s="51">
        <v>1</v>
      </c>
      <c r="K52" s="25">
        <v>0</v>
      </c>
    </row>
    <row r="53" spans="1:11" x14ac:dyDescent="0.25">
      <c r="A53" s="24">
        <v>51</v>
      </c>
      <c r="B53" s="25" t="s">
        <v>115</v>
      </c>
      <c r="C53" s="25"/>
      <c r="D53" s="26">
        <v>13.8735382</v>
      </c>
      <c r="E53" s="26">
        <v>100.57860669999999</v>
      </c>
      <c r="F53" s="27">
        <v>0</v>
      </c>
      <c r="G53" s="27">
        <v>0.99930555555555556</v>
      </c>
      <c r="H53" s="25" t="s">
        <v>63</v>
      </c>
      <c r="I53" s="28">
        <v>0</v>
      </c>
      <c r="J53" s="51">
        <v>1</v>
      </c>
      <c r="K53" s="25">
        <v>0</v>
      </c>
    </row>
    <row r="54" spans="1:11" x14ac:dyDescent="0.25">
      <c r="A54" s="24">
        <v>52</v>
      </c>
      <c r="B54" s="25" t="s">
        <v>116</v>
      </c>
      <c r="C54" s="25"/>
      <c r="D54" s="26">
        <v>13.873564099999999</v>
      </c>
      <c r="E54" s="26">
        <v>100.57204059999999</v>
      </c>
      <c r="F54" s="27">
        <v>0</v>
      </c>
      <c r="G54" s="27">
        <v>0.99930555555555556</v>
      </c>
      <c r="H54" s="25" t="s">
        <v>63</v>
      </c>
      <c r="I54" s="28">
        <v>0</v>
      </c>
      <c r="J54" s="51">
        <v>1</v>
      </c>
      <c r="K54" s="25">
        <v>0</v>
      </c>
    </row>
    <row r="55" spans="1:11" x14ac:dyDescent="0.25">
      <c r="A55" s="24">
        <v>53</v>
      </c>
      <c r="B55" s="25" t="s">
        <v>117</v>
      </c>
      <c r="C55" s="25"/>
      <c r="D55" s="26">
        <v>13.9103975</v>
      </c>
      <c r="E55" s="26">
        <v>100.55025879999999</v>
      </c>
      <c r="F55" s="27">
        <v>0</v>
      </c>
      <c r="G55" s="27">
        <v>0.99930555555555556</v>
      </c>
      <c r="H55" s="25" t="s">
        <v>63</v>
      </c>
      <c r="I55" s="28">
        <v>0</v>
      </c>
      <c r="J55" s="51">
        <v>1</v>
      </c>
      <c r="K55" s="25">
        <v>0</v>
      </c>
    </row>
    <row r="56" spans="1:11" x14ac:dyDescent="0.25">
      <c r="A56" s="24">
        <v>54</v>
      </c>
      <c r="B56" s="25" t="s">
        <v>118</v>
      </c>
      <c r="C56" s="25"/>
      <c r="D56" s="26">
        <v>13.881368200000001</v>
      </c>
      <c r="E56" s="26">
        <v>100.4842266</v>
      </c>
      <c r="F56" s="27">
        <v>0</v>
      </c>
      <c r="G56" s="27">
        <v>0.99930555555555556</v>
      </c>
      <c r="H56" s="25" t="s">
        <v>63</v>
      </c>
      <c r="I56" s="28">
        <v>0</v>
      </c>
      <c r="J56" s="51">
        <v>1</v>
      </c>
      <c r="K56" s="25">
        <v>0</v>
      </c>
    </row>
    <row r="57" spans="1:11" x14ac:dyDescent="0.25">
      <c r="A57" s="24">
        <v>55</v>
      </c>
      <c r="B57" s="25" t="s">
        <v>119</v>
      </c>
      <c r="C57" s="25"/>
      <c r="D57" s="26">
        <v>13.926310900000001</v>
      </c>
      <c r="E57" s="26">
        <v>100.4072254</v>
      </c>
      <c r="F57" s="27">
        <v>0</v>
      </c>
      <c r="G57" s="27">
        <v>0.99930555555555556</v>
      </c>
      <c r="H57" s="25" t="s">
        <v>63</v>
      </c>
      <c r="I57" s="28">
        <v>0</v>
      </c>
      <c r="J57" s="51">
        <v>1</v>
      </c>
      <c r="K57" s="25">
        <v>0</v>
      </c>
    </row>
    <row r="58" spans="1:11" x14ac:dyDescent="0.25">
      <c r="A58" s="24">
        <v>56</v>
      </c>
      <c r="B58" s="25" t="s">
        <v>120</v>
      </c>
      <c r="C58" s="25"/>
      <c r="D58" s="26">
        <v>13.9263969</v>
      </c>
      <c r="E58" s="26">
        <v>100.37439449999999</v>
      </c>
      <c r="F58" s="27">
        <v>0</v>
      </c>
      <c r="G58" s="27">
        <v>0.99930555555555556</v>
      </c>
      <c r="H58" s="25" t="s">
        <v>63</v>
      </c>
      <c r="I58" s="28">
        <v>0</v>
      </c>
      <c r="J58" s="51">
        <v>1</v>
      </c>
      <c r="K58" s="25">
        <v>0</v>
      </c>
    </row>
    <row r="59" spans="1:11" x14ac:dyDescent="0.25">
      <c r="A59" s="24">
        <v>57</v>
      </c>
      <c r="B59" s="25" t="s">
        <v>121</v>
      </c>
      <c r="C59" s="25"/>
      <c r="D59" s="26">
        <v>14.0443125</v>
      </c>
      <c r="E59" s="26">
        <v>100.4279995</v>
      </c>
      <c r="F59" s="27">
        <v>0</v>
      </c>
      <c r="G59" s="27">
        <v>0.99930555555555556</v>
      </c>
      <c r="H59" s="25" t="s">
        <v>63</v>
      </c>
      <c r="I59" s="28">
        <v>0</v>
      </c>
      <c r="J59" s="51">
        <v>1</v>
      </c>
      <c r="K59" s="25">
        <v>0</v>
      </c>
    </row>
    <row r="60" spans="1:11" x14ac:dyDescent="0.25">
      <c r="A60" s="24">
        <v>58</v>
      </c>
      <c r="B60" s="25" t="s">
        <v>122</v>
      </c>
      <c r="C60" s="25"/>
      <c r="D60" s="26">
        <v>14.020743400000001</v>
      </c>
      <c r="E60" s="26">
        <v>100.5438103</v>
      </c>
      <c r="F60" s="27">
        <v>0</v>
      </c>
      <c r="G60" s="27">
        <v>0.99930555555555556</v>
      </c>
      <c r="H60" s="25" t="s">
        <v>63</v>
      </c>
      <c r="I60" s="28">
        <v>0</v>
      </c>
      <c r="J60" s="51">
        <v>1</v>
      </c>
      <c r="K60" s="25">
        <v>0</v>
      </c>
    </row>
    <row r="61" spans="1:11" x14ac:dyDescent="0.25">
      <c r="A61" s="24">
        <v>59</v>
      </c>
      <c r="B61" s="25" t="s">
        <v>123</v>
      </c>
      <c r="C61" s="25"/>
      <c r="D61" s="26">
        <v>14.021117</v>
      </c>
      <c r="E61" s="26">
        <v>100.43874390000001</v>
      </c>
      <c r="F61" s="27">
        <v>0</v>
      </c>
      <c r="G61" s="27">
        <v>0.99930555555555556</v>
      </c>
      <c r="H61" s="25" t="s">
        <v>63</v>
      </c>
      <c r="I61" s="28">
        <v>0</v>
      </c>
      <c r="J61" s="51">
        <v>1</v>
      </c>
      <c r="K61" s="25">
        <v>0</v>
      </c>
    </row>
    <row r="62" spans="1:11" x14ac:dyDescent="0.25">
      <c r="A62" s="24">
        <v>60</v>
      </c>
      <c r="B62" s="25" t="s">
        <v>124</v>
      </c>
      <c r="C62" s="25"/>
      <c r="D62" s="26">
        <v>14.0217028</v>
      </c>
      <c r="E62" s="26">
        <v>100.43874340000001</v>
      </c>
      <c r="F62" s="27">
        <v>0</v>
      </c>
      <c r="G62" s="27">
        <v>0.99930555555555556</v>
      </c>
      <c r="H62" s="25" t="s">
        <v>63</v>
      </c>
      <c r="I62" s="28">
        <v>0</v>
      </c>
      <c r="J62" s="51">
        <v>1</v>
      </c>
      <c r="K62" s="25">
        <v>0</v>
      </c>
    </row>
    <row r="63" spans="1:11" x14ac:dyDescent="0.25">
      <c r="A63" s="24">
        <v>61</v>
      </c>
      <c r="B63" s="25" t="s">
        <v>125</v>
      </c>
      <c r="C63" s="25"/>
      <c r="D63" s="26">
        <v>13.763797500000001</v>
      </c>
      <c r="E63" s="26">
        <v>100.567713</v>
      </c>
      <c r="F63" s="27">
        <v>0</v>
      </c>
      <c r="G63" s="27">
        <v>0.99930555555555556</v>
      </c>
      <c r="H63" s="25" t="s">
        <v>63</v>
      </c>
      <c r="I63" s="28">
        <v>0</v>
      </c>
      <c r="J63" s="51">
        <v>1</v>
      </c>
      <c r="K63" s="25">
        <v>0</v>
      </c>
    </row>
    <row r="64" spans="1:11" x14ac:dyDescent="0.25">
      <c r="A64" s="24">
        <v>62</v>
      </c>
      <c r="B64" s="25" t="s">
        <v>126</v>
      </c>
      <c r="C64" s="25"/>
      <c r="D64" s="26">
        <v>13.761730699999999</v>
      </c>
      <c r="E64" s="26">
        <v>100.5663113</v>
      </c>
      <c r="F64" s="27">
        <v>0</v>
      </c>
      <c r="G64" s="27">
        <v>0.99930555555555556</v>
      </c>
      <c r="H64" s="25" t="s">
        <v>63</v>
      </c>
      <c r="I64" s="28">
        <v>0</v>
      </c>
      <c r="J64" s="51">
        <v>1</v>
      </c>
      <c r="K64" s="25">
        <v>0</v>
      </c>
    </row>
    <row r="65" spans="1:11" x14ac:dyDescent="0.25">
      <c r="A65" s="24">
        <v>63</v>
      </c>
      <c r="B65" s="25" t="s">
        <v>127</v>
      </c>
      <c r="C65" s="25"/>
      <c r="D65" s="26">
        <v>13.760112100000001</v>
      </c>
      <c r="E65" s="26">
        <v>100.5667705</v>
      </c>
      <c r="F65" s="27">
        <v>0</v>
      </c>
      <c r="G65" s="27">
        <v>0.99930555555555556</v>
      </c>
      <c r="H65" s="25" t="s">
        <v>63</v>
      </c>
      <c r="I65" s="28">
        <v>0</v>
      </c>
      <c r="J65" s="51">
        <v>1</v>
      </c>
      <c r="K65" s="25">
        <v>0</v>
      </c>
    </row>
    <row r="66" spans="1:11" x14ac:dyDescent="0.25">
      <c r="A66" s="24">
        <v>64</v>
      </c>
      <c r="B66" s="25" t="s">
        <v>128</v>
      </c>
      <c r="C66" s="25"/>
      <c r="D66" s="26">
        <v>13.7583853</v>
      </c>
      <c r="E66" s="26">
        <v>100.5632063</v>
      </c>
      <c r="F66" s="27">
        <v>0</v>
      </c>
      <c r="G66" s="27">
        <v>0.99930555555555556</v>
      </c>
      <c r="H66" s="25" t="s">
        <v>63</v>
      </c>
      <c r="I66" s="28">
        <v>0</v>
      </c>
      <c r="J66" s="51">
        <v>1</v>
      </c>
      <c r="K66" s="25">
        <v>0</v>
      </c>
    </row>
    <row r="67" spans="1:11" x14ac:dyDescent="0.25">
      <c r="A67" s="24">
        <v>65</v>
      </c>
      <c r="B67" s="25" t="s">
        <v>129</v>
      </c>
      <c r="C67" s="25"/>
      <c r="D67" s="26">
        <v>13.758395699999999</v>
      </c>
      <c r="E67" s="26">
        <v>100.5632063</v>
      </c>
      <c r="F67" s="27">
        <v>0</v>
      </c>
      <c r="G67" s="27">
        <v>0.99930555555555556</v>
      </c>
      <c r="H67" s="25" t="s">
        <v>63</v>
      </c>
      <c r="I67" s="28">
        <v>0</v>
      </c>
      <c r="J67" s="51">
        <v>1</v>
      </c>
      <c r="K67" s="25">
        <v>0</v>
      </c>
    </row>
    <row r="68" spans="1:11" x14ac:dyDescent="0.25">
      <c r="A68" s="24">
        <v>66</v>
      </c>
      <c r="B68" s="25" t="s">
        <v>130</v>
      </c>
      <c r="C68" s="25"/>
      <c r="D68" s="26">
        <v>13.765310899999999</v>
      </c>
      <c r="E68" s="26">
        <v>100.5671109</v>
      </c>
      <c r="F68" s="27">
        <v>0</v>
      </c>
      <c r="G68" s="27">
        <v>0.99930555555555556</v>
      </c>
      <c r="H68" s="25" t="s">
        <v>63</v>
      </c>
      <c r="I68" s="28">
        <v>0</v>
      </c>
      <c r="J68" s="51">
        <v>1</v>
      </c>
      <c r="K68" s="25">
        <v>0</v>
      </c>
    </row>
    <row r="69" spans="1:11" x14ac:dyDescent="0.25">
      <c r="A69" s="24">
        <v>67</v>
      </c>
      <c r="B69" s="25" t="s">
        <v>131</v>
      </c>
      <c r="C69" s="25"/>
      <c r="D69" s="26">
        <v>13.7795214</v>
      </c>
      <c r="E69" s="26">
        <v>100.582652</v>
      </c>
      <c r="F69" s="27">
        <v>0</v>
      </c>
      <c r="G69" s="27">
        <v>0.99930555555555556</v>
      </c>
      <c r="H69" s="25" t="s">
        <v>63</v>
      </c>
      <c r="I69" s="28">
        <v>0</v>
      </c>
      <c r="J69" s="51">
        <v>1</v>
      </c>
      <c r="K69" s="25">
        <v>0</v>
      </c>
    </row>
    <row r="70" spans="1:11" x14ac:dyDescent="0.25">
      <c r="A70" s="24">
        <v>68</v>
      </c>
      <c r="B70" s="25" t="s">
        <v>132</v>
      </c>
      <c r="C70" s="25"/>
      <c r="D70" s="26">
        <v>13.7251523</v>
      </c>
      <c r="E70" s="26">
        <v>100.5841181</v>
      </c>
      <c r="F70" s="27">
        <v>0</v>
      </c>
      <c r="G70" s="27">
        <v>0.99930555555555556</v>
      </c>
      <c r="H70" s="25" t="s">
        <v>63</v>
      </c>
      <c r="I70" s="28">
        <v>0</v>
      </c>
      <c r="J70" s="51">
        <v>1</v>
      </c>
      <c r="K70" s="25">
        <v>0</v>
      </c>
    </row>
    <row r="71" spans="1:11" x14ac:dyDescent="0.25">
      <c r="A71" s="24">
        <v>69</v>
      </c>
      <c r="B71" s="25" t="s">
        <v>133</v>
      </c>
      <c r="C71" s="25"/>
      <c r="D71" s="26">
        <v>13.7786428</v>
      </c>
      <c r="E71" s="26">
        <v>100.47584740000001</v>
      </c>
      <c r="F71" s="27">
        <v>0</v>
      </c>
      <c r="G71" s="27">
        <v>0.99930555555555556</v>
      </c>
      <c r="H71" s="25" t="s">
        <v>63</v>
      </c>
      <c r="I71" s="28">
        <v>0</v>
      </c>
      <c r="J71" s="51">
        <v>1</v>
      </c>
      <c r="K71" s="25">
        <v>0</v>
      </c>
    </row>
    <row r="72" spans="1:11" x14ac:dyDescent="0.25">
      <c r="A72" s="24">
        <v>70</v>
      </c>
      <c r="B72" s="25" t="s">
        <v>134</v>
      </c>
      <c r="C72" s="25"/>
      <c r="D72" s="26">
        <v>13.775777700000001</v>
      </c>
      <c r="E72" s="26">
        <v>100.4759636</v>
      </c>
      <c r="F72" s="27">
        <v>0</v>
      </c>
      <c r="G72" s="27">
        <v>0.99930555555555556</v>
      </c>
      <c r="H72" s="25" t="s">
        <v>63</v>
      </c>
      <c r="I72" s="28">
        <v>0</v>
      </c>
      <c r="J72" s="51">
        <v>1</v>
      </c>
      <c r="K72" s="25">
        <v>0</v>
      </c>
    </row>
    <row r="73" spans="1:11" x14ac:dyDescent="0.25">
      <c r="A73" s="24">
        <v>71</v>
      </c>
      <c r="B73" s="25" t="s">
        <v>135</v>
      </c>
      <c r="C73" s="25"/>
      <c r="D73" s="26">
        <v>13.7595943</v>
      </c>
      <c r="E73" s="26">
        <v>100.47824490000001</v>
      </c>
      <c r="F73" s="27">
        <v>0</v>
      </c>
      <c r="G73" s="27">
        <v>0.99930555555555556</v>
      </c>
      <c r="H73" s="25" t="s">
        <v>63</v>
      </c>
      <c r="I73" s="28">
        <v>0</v>
      </c>
      <c r="J73" s="51">
        <v>1</v>
      </c>
      <c r="K73" s="25">
        <v>0</v>
      </c>
    </row>
    <row r="74" spans="1:11" x14ac:dyDescent="0.25">
      <c r="A74" s="24">
        <v>72</v>
      </c>
      <c r="B74" s="25" t="s">
        <v>136</v>
      </c>
      <c r="C74" s="25"/>
      <c r="D74" s="26">
        <v>13.7595943</v>
      </c>
      <c r="E74" s="26">
        <v>100.47824490000001</v>
      </c>
      <c r="F74" s="27">
        <v>0</v>
      </c>
      <c r="G74" s="27">
        <v>0.99930555555555556</v>
      </c>
      <c r="H74" s="25" t="s">
        <v>63</v>
      </c>
      <c r="I74" s="28">
        <v>0</v>
      </c>
      <c r="J74" s="51">
        <v>1</v>
      </c>
      <c r="K74" s="25">
        <v>0</v>
      </c>
    </row>
    <row r="75" spans="1:11" x14ac:dyDescent="0.25">
      <c r="A75" s="24">
        <v>73</v>
      </c>
      <c r="B75" s="25" t="s">
        <v>137</v>
      </c>
      <c r="C75" s="25"/>
      <c r="D75" s="26">
        <v>13.7590524</v>
      </c>
      <c r="E75" s="26">
        <v>100.4833969</v>
      </c>
      <c r="F75" s="27">
        <v>0</v>
      </c>
      <c r="G75" s="27">
        <v>0.99930555555555556</v>
      </c>
      <c r="H75" s="25" t="s">
        <v>63</v>
      </c>
      <c r="I75" s="28">
        <v>0</v>
      </c>
      <c r="J75" s="51">
        <v>1</v>
      </c>
      <c r="K75" s="25">
        <v>0</v>
      </c>
    </row>
    <row r="76" spans="1:11" x14ac:dyDescent="0.25">
      <c r="A76" s="24">
        <v>74</v>
      </c>
      <c r="B76" s="25" t="s">
        <v>138</v>
      </c>
      <c r="C76" s="25"/>
      <c r="D76" s="26">
        <v>13.7813605</v>
      </c>
      <c r="E76" s="26">
        <v>100.4207567</v>
      </c>
      <c r="F76" s="27">
        <v>0</v>
      </c>
      <c r="G76" s="27">
        <v>0.99930555555555556</v>
      </c>
      <c r="H76" s="25" t="s">
        <v>63</v>
      </c>
      <c r="I76" s="28">
        <v>0</v>
      </c>
      <c r="J76" s="51">
        <v>1</v>
      </c>
      <c r="K76" s="25">
        <v>0</v>
      </c>
    </row>
    <row r="77" spans="1:11" x14ac:dyDescent="0.25">
      <c r="A77" s="24">
        <v>75</v>
      </c>
      <c r="B77" s="25" t="s">
        <v>139</v>
      </c>
      <c r="C77" s="25"/>
      <c r="D77" s="26">
        <v>13.709768800000001</v>
      </c>
      <c r="E77" s="26">
        <v>100.40006510000001</v>
      </c>
      <c r="F77" s="27">
        <v>0</v>
      </c>
      <c r="G77" s="27">
        <v>0.99930555555555556</v>
      </c>
      <c r="H77" s="25" t="s">
        <v>63</v>
      </c>
      <c r="I77" s="28">
        <v>0</v>
      </c>
      <c r="J77" s="51">
        <v>1</v>
      </c>
      <c r="K77" s="25">
        <v>0</v>
      </c>
    </row>
    <row r="78" spans="1:11" x14ac:dyDescent="0.25">
      <c r="A78" s="24">
        <v>76</v>
      </c>
      <c r="B78" s="25" t="s">
        <v>140</v>
      </c>
      <c r="C78" s="25"/>
      <c r="D78" s="26">
        <v>13.7026447</v>
      </c>
      <c r="E78" s="26">
        <v>100.44341009999999</v>
      </c>
      <c r="F78" s="27">
        <v>0</v>
      </c>
      <c r="G78" s="27">
        <v>0.99930555555555556</v>
      </c>
      <c r="H78" s="25" t="s">
        <v>63</v>
      </c>
      <c r="I78" s="28">
        <v>0</v>
      </c>
      <c r="J78" s="51">
        <v>1</v>
      </c>
      <c r="K78" s="25">
        <v>0</v>
      </c>
    </row>
    <row r="79" spans="1:11" x14ac:dyDescent="0.25">
      <c r="A79" s="24">
        <v>77</v>
      </c>
      <c r="B79" s="25" t="s">
        <v>141</v>
      </c>
      <c r="C79" s="25"/>
      <c r="D79" s="26">
        <v>13.6319062</v>
      </c>
      <c r="E79" s="26">
        <v>100.2163324</v>
      </c>
      <c r="F79" s="27">
        <v>0</v>
      </c>
      <c r="G79" s="27">
        <v>0.99930555555555556</v>
      </c>
      <c r="H79" s="25" t="s">
        <v>63</v>
      </c>
      <c r="I79" s="28">
        <v>0</v>
      </c>
      <c r="J79" s="51">
        <v>1</v>
      </c>
      <c r="K79" s="25">
        <v>0</v>
      </c>
    </row>
    <row r="80" spans="1:11" x14ac:dyDescent="0.25">
      <c r="A80" s="24">
        <v>78</v>
      </c>
      <c r="B80" s="25" t="s">
        <v>142</v>
      </c>
      <c r="C80" s="25"/>
      <c r="D80" s="26">
        <v>13.5688168</v>
      </c>
      <c r="E80" s="26">
        <v>100.3011633</v>
      </c>
      <c r="F80" s="27">
        <v>0</v>
      </c>
      <c r="G80" s="27">
        <v>0.99930555555555556</v>
      </c>
      <c r="H80" s="25" t="s">
        <v>63</v>
      </c>
      <c r="I80" s="28">
        <v>0</v>
      </c>
      <c r="J80" s="51">
        <v>1</v>
      </c>
      <c r="K80" s="25">
        <v>0</v>
      </c>
    </row>
    <row r="81" spans="1:11" x14ac:dyDescent="0.25">
      <c r="A81" s="24">
        <v>79</v>
      </c>
      <c r="B81" s="25" t="s">
        <v>143</v>
      </c>
      <c r="C81" s="25"/>
      <c r="D81" s="26">
        <v>13.508536400000001</v>
      </c>
      <c r="E81" s="26">
        <v>100.1417665</v>
      </c>
      <c r="F81" s="27">
        <v>0</v>
      </c>
      <c r="G81" s="27">
        <v>0.99930555555555556</v>
      </c>
      <c r="H81" s="25" t="s">
        <v>63</v>
      </c>
      <c r="I81" s="28">
        <v>0</v>
      </c>
      <c r="J81" s="51">
        <v>1</v>
      </c>
      <c r="K81" s="25">
        <v>0</v>
      </c>
    </row>
    <row r="82" spans="1:11" x14ac:dyDescent="0.25">
      <c r="A82" s="24">
        <v>80</v>
      </c>
      <c r="B82" s="25" t="s">
        <v>144</v>
      </c>
      <c r="C82" s="25"/>
      <c r="D82" s="26">
        <v>13.4121635</v>
      </c>
      <c r="E82" s="26">
        <v>100.02061519999999</v>
      </c>
      <c r="F82" s="27">
        <v>0</v>
      </c>
      <c r="G82" s="27">
        <v>0.99930555555555556</v>
      </c>
      <c r="H82" s="25" t="s">
        <v>63</v>
      </c>
      <c r="I82" s="28">
        <v>0</v>
      </c>
      <c r="J82" s="51">
        <v>1</v>
      </c>
      <c r="K82" s="25">
        <v>0</v>
      </c>
    </row>
    <row r="83" spans="1:11" x14ac:dyDescent="0.25">
      <c r="A83" s="24">
        <v>81</v>
      </c>
      <c r="B83" s="25" t="s">
        <v>145</v>
      </c>
      <c r="C83" s="25"/>
      <c r="D83" s="26">
        <v>13.801862099999999</v>
      </c>
      <c r="E83" s="26">
        <v>100.3030467</v>
      </c>
      <c r="F83" s="27">
        <v>0</v>
      </c>
      <c r="G83" s="27">
        <v>0.99930555555555556</v>
      </c>
      <c r="H83" s="25" t="s">
        <v>63</v>
      </c>
      <c r="I83" s="28">
        <v>0</v>
      </c>
      <c r="J83" s="51">
        <v>1</v>
      </c>
      <c r="K83" s="25">
        <v>0</v>
      </c>
    </row>
    <row r="84" spans="1:11" x14ac:dyDescent="0.25">
      <c r="A84" s="24">
        <v>82</v>
      </c>
      <c r="B84" s="25" t="s">
        <v>146</v>
      </c>
      <c r="C84" s="25"/>
      <c r="D84" s="26">
        <v>13.7342937</v>
      </c>
      <c r="E84" s="26">
        <v>100.20906050000001</v>
      </c>
      <c r="F84" s="27">
        <v>0</v>
      </c>
      <c r="G84" s="27">
        <v>0.99930555555555556</v>
      </c>
      <c r="H84" s="25" t="s">
        <v>63</v>
      </c>
      <c r="I84" s="28">
        <v>0</v>
      </c>
      <c r="J84" s="51">
        <v>1</v>
      </c>
      <c r="K84" s="25">
        <v>0</v>
      </c>
    </row>
    <row r="85" spans="1:11" x14ac:dyDescent="0.25">
      <c r="A85" s="24">
        <v>83</v>
      </c>
      <c r="B85" s="25" t="s">
        <v>147</v>
      </c>
      <c r="C85" s="25"/>
      <c r="D85" s="26">
        <v>13.8064362</v>
      </c>
      <c r="E85" s="26">
        <v>100.56022230000001</v>
      </c>
      <c r="F85" s="27">
        <v>0</v>
      </c>
      <c r="G85" s="27">
        <v>0.99930555555555556</v>
      </c>
      <c r="H85" s="25" t="s">
        <v>63</v>
      </c>
      <c r="I85" s="28">
        <v>0</v>
      </c>
      <c r="J85" s="51">
        <v>1</v>
      </c>
      <c r="K85" s="25">
        <v>0</v>
      </c>
    </row>
    <row r="86" spans="1:11" x14ac:dyDescent="0.25">
      <c r="A86" s="24">
        <v>84</v>
      </c>
      <c r="B86" s="25" t="s">
        <v>148</v>
      </c>
      <c r="C86" s="25"/>
      <c r="D86" s="26">
        <v>13.779872900000001</v>
      </c>
      <c r="E86" s="26">
        <v>100.5581232</v>
      </c>
      <c r="F86" s="27">
        <v>0</v>
      </c>
      <c r="G86" s="27">
        <v>0.99930555555555556</v>
      </c>
      <c r="H86" s="25" t="s">
        <v>63</v>
      </c>
      <c r="I86" s="28">
        <v>0</v>
      </c>
      <c r="J86" s="51">
        <v>1</v>
      </c>
      <c r="K86" s="25">
        <v>0</v>
      </c>
    </row>
    <row r="87" spans="1:11" x14ac:dyDescent="0.25">
      <c r="A87" s="24">
        <v>85</v>
      </c>
      <c r="B87" s="25" t="s">
        <v>149</v>
      </c>
      <c r="C87" s="25"/>
      <c r="D87" s="26">
        <v>13.7340734</v>
      </c>
      <c r="E87" s="26">
        <v>100.58047639999999</v>
      </c>
      <c r="F87" s="27">
        <v>0</v>
      </c>
      <c r="G87" s="27">
        <v>0.99930555555555556</v>
      </c>
      <c r="H87" s="25" t="s">
        <v>63</v>
      </c>
      <c r="I87" s="28">
        <v>0</v>
      </c>
      <c r="J87" s="51">
        <v>1</v>
      </c>
      <c r="K87" s="25">
        <v>0</v>
      </c>
    </row>
    <row r="88" spans="1:11" x14ac:dyDescent="0.25">
      <c r="A88" s="24">
        <v>86</v>
      </c>
      <c r="B88" s="25" t="s">
        <v>150</v>
      </c>
      <c r="C88" s="25"/>
      <c r="D88" s="26">
        <v>13.6550995</v>
      </c>
      <c r="E88" s="26">
        <v>100.60940410000001</v>
      </c>
      <c r="F88" s="27">
        <v>0</v>
      </c>
      <c r="G88" s="27">
        <v>0.99930555555555556</v>
      </c>
      <c r="H88" s="25" t="s">
        <v>63</v>
      </c>
      <c r="I88" s="28">
        <v>0</v>
      </c>
      <c r="J88" s="51">
        <v>1</v>
      </c>
      <c r="K88" s="25">
        <v>0</v>
      </c>
    </row>
    <row r="89" spans="1:11" x14ac:dyDescent="0.25">
      <c r="A89" s="24">
        <v>87</v>
      </c>
      <c r="B89" s="25" t="s">
        <v>151</v>
      </c>
      <c r="C89" s="25"/>
      <c r="D89" s="26">
        <v>13.658015199999999</v>
      </c>
      <c r="E89" s="26">
        <v>100.6037118</v>
      </c>
      <c r="F89" s="27">
        <v>0</v>
      </c>
      <c r="G89" s="27">
        <v>0.99930555555555556</v>
      </c>
      <c r="H89" s="25" t="s">
        <v>63</v>
      </c>
      <c r="I89" s="28">
        <v>0</v>
      </c>
      <c r="J89" s="51">
        <v>1</v>
      </c>
      <c r="K89" s="25">
        <v>0</v>
      </c>
    </row>
    <row r="90" spans="1:11" x14ac:dyDescent="0.25">
      <c r="A90" s="24">
        <v>88</v>
      </c>
      <c r="B90" s="25" t="s">
        <v>152</v>
      </c>
      <c r="C90" s="25"/>
      <c r="D90" s="26">
        <v>13.6500679</v>
      </c>
      <c r="E90" s="26">
        <v>100.6399638</v>
      </c>
      <c r="F90" s="27">
        <v>0</v>
      </c>
      <c r="G90" s="27">
        <v>0.99930555555555556</v>
      </c>
      <c r="H90" s="25" t="s">
        <v>63</v>
      </c>
      <c r="I90" s="28">
        <v>0</v>
      </c>
      <c r="J90" s="51">
        <v>1</v>
      </c>
      <c r="K90" s="25">
        <v>0</v>
      </c>
    </row>
    <row r="91" spans="1:11" x14ac:dyDescent="0.25">
      <c r="A91" s="24">
        <v>89</v>
      </c>
      <c r="B91" s="25" t="s">
        <v>153</v>
      </c>
      <c r="C91" s="25"/>
      <c r="D91" s="26">
        <v>13.646599699999999</v>
      </c>
      <c r="E91" s="26">
        <v>100.67800990000001</v>
      </c>
      <c r="F91" s="27">
        <v>0</v>
      </c>
      <c r="G91" s="27">
        <v>0.99930555555555556</v>
      </c>
      <c r="H91" s="25" t="s">
        <v>63</v>
      </c>
      <c r="I91" s="28">
        <v>0</v>
      </c>
      <c r="J91" s="51">
        <v>1</v>
      </c>
      <c r="K91" s="25">
        <v>0</v>
      </c>
    </row>
    <row r="92" spans="1:11" x14ac:dyDescent="0.25">
      <c r="A92" s="24">
        <v>90</v>
      </c>
      <c r="B92" s="25" t="s">
        <v>154</v>
      </c>
      <c r="C92" s="25"/>
      <c r="D92" s="26">
        <v>13.663517499999999</v>
      </c>
      <c r="E92" s="26">
        <v>100.6490397</v>
      </c>
      <c r="F92" s="27">
        <v>0</v>
      </c>
      <c r="G92" s="27">
        <v>0.99930555555555556</v>
      </c>
      <c r="H92" s="25" t="s">
        <v>63</v>
      </c>
      <c r="I92" s="28">
        <v>0</v>
      </c>
      <c r="J92" s="51">
        <v>1</v>
      </c>
      <c r="K92" s="25">
        <v>0</v>
      </c>
    </row>
    <row r="93" spans="1:11" x14ac:dyDescent="0.25">
      <c r="A93" s="24">
        <v>91</v>
      </c>
      <c r="B93" s="25" t="s">
        <v>155</v>
      </c>
      <c r="C93" s="25"/>
      <c r="D93" s="26">
        <v>13.6528189</v>
      </c>
      <c r="E93" s="26">
        <v>100.6007812</v>
      </c>
      <c r="F93" s="27">
        <v>0</v>
      </c>
      <c r="G93" s="27">
        <v>0.99930555555555556</v>
      </c>
      <c r="H93" s="25" t="s">
        <v>63</v>
      </c>
      <c r="I93" s="28">
        <v>0</v>
      </c>
      <c r="J93" s="51">
        <v>1</v>
      </c>
      <c r="K93" s="25">
        <v>0</v>
      </c>
    </row>
    <row r="94" spans="1:11" x14ac:dyDescent="0.25">
      <c r="A94" s="24">
        <v>92</v>
      </c>
      <c r="B94" s="25" t="s">
        <v>156</v>
      </c>
      <c r="C94" s="25"/>
      <c r="D94" s="26">
        <v>13.6529808</v>
      </c>
      <c r="E94" s="26">
        <v>100.6007812</v>
      </c>
      <c r="F94" s="27">
        <v>0</v>
      </c>
      <c r="G94" s="27">
        <v>0.99930555555555556</v>
      </c>
      <c r="H94" s="25" t="s">
        <v>63</v>
      </c>
      <c r="I94" s="28">
        <v>0</v>
      </c>
      <c r="J94" s="51">
        <v>1</v>
      </c>
      <c r="K94" s="25">
        <v>0</v>
      </c>
    </row>
    <row r="95" spans="1:11" x14ac:dyDescent="0.25">
      <c r="A95" s="24">
        <v>93</v>
      </c>
      <c r="B95" s="25" t="s">
        <v>157</v>
      </c>
      <c r="C95" s="25"/>
      <c r="D95" s="26">
        <v>13.7372996</v>
      </c>
      <c r="E95" s="26">
        <v>100.7140473</v>
      </c>
      <c r="F95" s="27">
        <v>0</v>
      </c>
      <c r="G95" s="27">
        <v>0.99930555555555556</v>
      </c>
      <c r="H95" s="25" t="s">
        <v>63</v>
      </c>
      <c r="I95" s="28">
        <v>0</v>
      </c>
      <c r="J95" s="51">
        <v>1</v>
      </c>
      <c r="K95" s="25">
        <v>0</v>
      </c>
    </row>
    <row r="96" spans="1:11" x14ac:dyDescent="0.25">
      <c r="A96" s="24">
        <v>94</v>
      </c>
      <c r="B96" s="25" t="s">
        <v>158</v>
      </c>
      <c r="C96" s="25"/>
      <c r="D96" s="26">
        <v>13.769963199999999</v>
      </c>
      <c r="E96" s="26">
        <v>100.7839503</v>
      </c>
      <c r="F96" s="27">
        <v>0</v>
      </c>
      <c r="G96" s="27">
        <v>0.99930555555555556</v>
      </c>
      <c r="H96" s="25" t="s">
        <v>63</v>
      </c>
      <c r="I96" s="28">
        <v>0</v>
      </c>
      <c r="J96" s="51">
        <v>1</v>
      </c>
      <c r="K96" s="25">
        <v>0</v>
      </c>
    </row>
    <row r="97" spans="1:11" x14ac:dyDescent="0.25">
      <c r="A97" s="20">
        <v>95</v>
      </c>
      <c r="B97" s="19" t="s">
        <v>159</v>
      </c>
      <c r="C97" s="19"/>
      <c r="D97" s="21">
        <v>13.856427200000001</v>
      </c>
      <c r="E97" s="21">
        <v>100.8534192</v>
      </c>
      <c r="F97" s="22">
        <v>0</v>
      </c>
      <c r="G97" s="22">
        <v>0.99930555555555556</v>
      </c>
      <c r="H97" s="19" t="s">
        <v>63</v>
      </c>
      <c r="I97" s="23">
        <v>0</v>
      </c>
      <c r="J97" s="51">
        <v>1</v>
      </c>
      <c r="K97" s="19">
        <v>0</v>
      </c>
    </row>
  </sheetData>
  <conditionalFormatting sqref="A2">
    <cfRule type="expression" dxfId="2106" priority="1" stopIfTrue="1">
      <formula>ISBLANK($A$2)</formula>
    </cfRule>
  </conditionalFormatting>
  <conditionalFormatting sqref="B2">
    <cfRule type="expression" dxfId="2105" priority="2" stopIfTrue="1">
      <formula>ISBLANK($B$2)</formula>
    </cfRule>
  </conditionalFormatting>
  <conditionalFormatting sqref="F2">
    <cfRule type="cellIs" dxfId="2104" priority="3" stopIfTrue="1" operator="greaterThan">
      <formula>$G$2-$I$2</formula>
    </cfRule>
  </conditionalFormatting>
  <conditionalFormatting sqref="G2">
    <cfRule type="cellIs" dxfId="2103" priority="4" stopIfTrue="1" operator="lessThan">
      <formula>$F$2+$I$2</formula>
    </cfRule>
  </conditionalFormatting>
  <conditionalFormatting sqref="I2">
    <cfRule type="cellIs" dxfId="2102" priority="5" stopIfTrue="1" operator="greaterThan">
      <formula>$G$2-$F$2 + 0.0001</formula>
    </cfRule>
  </conditionalFormatting>
  <conditionalFormatting sqref="A3">
    <cfRule type="expression" dxfId="2101" priority="6" stopIfTrue="1">
      <formula>ISBLANK($A$3)</formula>
    </cfRule>
  </conditionalFormatting>
  <conditionalFormatting sqref="B3">
    <cfRule type="expression" dxfId="2100" priority="7" stopIfTrue="1">
      <formula>ISBLANK($B$3)</formula>
    </cfRule>
  </conditionalFormatting>
  <conditionalFormatting sqref="F3">
    <cfRule type="cellIs" dxfId="2099" priority="8" stopIfTrue="1" operator="greaterThan">
      <formula>$G$3-$I$3</formula>
    </cfRule>
  </conditionalFormatting>
  <conditionalFormatting sqref="G3">
    <cfRule type="cellIs" dxfId="2098" priority="9" stopIfTrue="1" operator="lessThan">
      <formula>$F$3+$I$3</formula>
    </cfRule>
  </conditionalFormatting>
  <conditionalFormatting sqref="H3">
    <cfRule type="cellIs" dxfId="2097" priority="10" stopIfTrue="1" operator="equal">
      <formula>"May be visited"</formula>
    </cfRule>
    <cfRule type="cellIs" dxfId="2096" priority="11" stopIfTrue="1" operator="equal">
      <formula>"Don't visit"</formula>
    </cfRule>
  </conditionalFormatting>
  <conditionalFormatting sqref="I3">
    <cfRule type="cellIs" dxfId="2095" priority="12" stopIfTrue="1" operator="greaterThan">
      <formula>$G$3-$F$3 + 0.0001</formula>
    </cfRule>
  </conditionalFormatting>
  <conditionalFormatting sqref="A4">
    <cfRule type="expression" dxfId="2094" priority="13" stopIfTrue="1">
      <formula>ISBLANK($A$4)</formula>
    </cfRule>
  </conditionalFormatting>
  <conditionalFormatting sqref="B4">
    <cfRule type="expression" dxfId="2093" priority="14" stopIfTrue="1">
      <formula>ISBLANK($B$4)</formula>
    </cfRule>
  </conditionalFormatting>
  <conditionalFormatting sqref="F4">
    <cfRule type="cellIs" dxfId="2092" priority="15" stopIfTrue="1" operator="greaterThan">
      <formula>$G$4-$I$4</formula>
    </cfRule>
  </conditionalFormatting>
  <conditionalFormatting sqref="G4">
    <cfRule type="cellIs" dxfId="2091" priority="16" stopIfTrue="1" operator="lessThan">
      <formula>$F$4+$I$4</formula>
    </cfRule>
  </conditionalFormatting>
  <conditionalFormatting sqref="H4">
    <cfRule type="cellIs" dxfId="2090" priority="17" stopIfTrue="1" operator="equal">
      <formula>"May be visited"</formula>
    </cfRule>
    <cfRule type="cellIs" dxfId="2089" priority="18" stopIfTrue="1" operator="equal">
      <formula>"Don't visit"</formula>
    </cfRule>
  </conditionalFormatting>
  <conditionalFormatting sqref="I4">
    <cfRule type="cellIs" dxfId="2088" priority="19" stopIfTrue="1" operator="greaterThan">
      <formula>$G$4-$F$4 + 0.0001</formula>
    </cfRule>
  </conditionalFormatting>
  <conditionalFormatting sqref="A5">
    <cfRule type="expression" dxfId="2087" priority="20" stopIfTrue="1">
      <formula>ISBLANK($A$5)</formula>
    </cfRule>
  </conditionalFormatting>
  <conditionalFormatting sqref="B5">
    <cfRule type="expression" dxfId="2086" priority="21" stopIfTrue="1">
      <formula>ISBLANK($B$5)</formula>
    </cfRule>
  </conditionalFormatting>
  <conditionalFormatting sqref="F5">
    <cfRule type="cellIs" dxfId="2085" priority="22" stopIfTrue="1" operator="greaterThan">
      <formula>$G$5-$I$5</formula>
    </cfRule>
  </conditionalFormatting>
  <conditionalFormatting sqref="G5">
    <cfRule type="cellIs" dxfId="2084" priority="23" stopIfTrue="1" operator="lessThan">
      <formula>$F$5+$I$5</formula>
    </cfRule>
  </conditionalFormatting>
  <conditionalFormatting sqref="H5">
    <cfRule type="cellIs" dxfId="2083" priority="24" stopIfTrue="1" operator="equal">
      <formula>"May be visited"</formula>
    </cfRule>
  </conditionalFormatting>
  <conditionalFormatting sqref="H5">
    <cfRule type="cellIs" dxfId="2082" priority="25" stopIfTrue="1" operator="equal">
      <formula>"Don't visit"</formula>
    </cfRule>
  </conditionalFormatting>
  <conditionalFormatting sqref="I5">
    <cfRule type="cellIs" dxfId="2081" priority="26" stopIfTrue="1" operator="greaterThan">
      <formula>$G$5-$F$5 + 0.0001</formula>
    </cfRule>
  </conditionalFormatting>
  <conditionalFormatting sqref="A6">
    <cfRule type="expression" dxfId="2080" priority="27" stopIfTrue="1">
      <formula>ISBLANK($A$6)</formula>
    </cfRule>
  </conditionalFormatting>
  <conditionalFormatting sqref="B6">
    <cfRule type="expression" dxfId="2079" priority="28" stopIfTrue="1">
      <formula>ISBLANK($B$6)</formula>
    </cfRule>
  </conditionalFormatting>
  <conditionalFormatting sqref="F6">
    <cfRule type="cellIs" dxfId="2078" priority="29" stopIfTrue="1" operator="greaterThan">
      <formula>$G$6-$I$6</formula>
    </cfRule>
  </conditionalFormatting>
  <conditionalFormatting sqref="G6">
    <cfRule type="cellIs" dxfId="2077" priority="30" stopIfTrue="1" operator="lessThan">
      <formula>$F$6+$I$6</formula>
    </cfRule>
  </conditionalFormatting>
  <conditionalFormatting sqref="H6">
    <cfRule type="cellIs" dxfId="2076" priority="31" stopIfTrue="1" operator="equal">
      <formula>"May be visited"</formula>
    </cfRule>
  </conditionalFormatting>
  <conditionalFormatting sqref="H6">
    <cfRule type="cellIs" dxfId="2075" priority="32" stopIfTrue="1" operator="equal">
      <formula>"Don't visit"</formula>
    </cfRule>
  </conditionalFormatting>
  <conditionalFormatting sqref="I6">
    <cfRule type="cellIs" dxfId="2074" priority="33" stopIfTrue="1" operator="greaterThan">
      <formula>$G$6-$F$6 + 0.0001</formula>
    </cfRule>
  </conditionalFormatting>
  <conditionalFormatting sqref="A7">
    <cfRule type="expression" dxfId="2073" priority="34" stopIfTrue="1">
      <formula>ISBLANK($A$7)</formula>
    </cfRule>
  </conditionalFormatting>
  <conditionalFormatting sqref="B7">
    <cfRule type="expression" dxfId="2072" priority="35" stopIfTrue="1">
      <formula>ISBLANK($B$7)</formula>
    </cfRule>
  </conditionalFormatting>
  <conditionalFormatting sqref="F7">
    <cfRule type="cellIs" dxfId="2071" priority="36" stopIfTrue="1" operator="greaterThan">
      <formula>$G$7-$I$7</formula>
    </cfRule>
  </conditionalFormatting>
  <conditionalFormatting sqref="G7">
    <cfRule type="cellIs" dxfId="2070" priority="37" stopIfTrue="1" operator="lessThan">
      <formula>$F$7+$I$7</formula>
    </cfRule>
  </conditionalFormatting>
  <conditionalFormatting sqref="H7">
    <cfRule type="cellIs" dxfId="2069" priority="38" stopIfTrue="1" operator="equal">
      <formula>"May be visited"</formula>
    </cfRule>
  </conditionalFormatting>
  <conditionalFormatting sqref="H7">
    <cfRule type="cellIs" dxfId="2068" priority="39" stopIfTrue="1" operator="equal">
      <formula>"Don't visit"</formula>
    </cfRule>
  </conditionalFormatting>
  <conditionalFormatting sqref="I7">
    <cfRule type="cellIs" dxfId="2067" priority="40" stopIfTrue="1" operator="greaterThan">
      <formula>$G$7-$F$7 + 0.0001</formula>
    </cfRule>
  </conditionalFormatting>
  <conditionalFormatting sqref="A8">
    <cfRule type="expression" dxfId="2066" priority="41" stopIfTrue="1">
      <formula>ISBLANK($A$8)</formula>
    </cfRule>
  </conditionalFormatting>
  <conditionalFormatting sqref="B8">
    <cfRule type="expression" dxfId="2065" priority="42" stopIfTrue="1">
      <formula>ISBLANK($B$8)</formula>
    </cfRule>
  </conditionalFormatting>
  <conditionalFormatting sqref="F8">
    <cfRule type="cellIs" dxfId="2064" priority="43" stopIfTrue="1" operator="greaterThan">
      <formula>$G$8-$I$8</formula>
    </cfRule>
  </conditionalFormatting>
  <conditionalFormatting sqref="G8">
    <cfRule type="cellIs" dxfId="2063" priority="44" stopIfTrue="1" operator="lessThan">
      <formula>$F$8+$I$8</formula>
    </cfRule>
  </conditionalFormatting>
  <conditionalFormatting sqref="H8">
    <cfRule type="cellIs" dxfId="2062" priority="45" stopIfTrue="1" operator="equal">
      <formula>"May be visited"</formula>
    </cfRule>
  </conditionalFormatting>
  <conditionalFormatting sqref="H8">
    <cfRule type="cellIs" dxfId="2061" priority="46" stopIfTrue="1" operator="equal">
      <formula>"Don't visit"</formula>
    </cfRule>
  </conditionalFormatting>
  <conditionalFormatting sqref="I8">
    <cfRule type="cellIs" dxfId="2060" priority="47" stopIfTrue="1" operator="greaterThan">
      <formula>$G$8-$F$8 + 0.0001</formula>
    </cfRule>
  </conditionalFormatting>
  <conditionalFormatting sqref="A9">
    <cfRule type="expression" dxfId="2059" priority="48" stopIfTrue="1">
      <formula>ISBLANK($A$9)</formula>
    </cfRule>
  </conditionalFormatting>
  <conditionalFormatting sqref="B9">
    <cfRule type="expression" dxfId="2058" priority="49" stopIfTrue="1">
      <formula>ISBLANK($B$9)</formula>
    </cfRule>
  </conditionalFormatting>
  <conditionalFormatting sqref="F9">
    <cfRule type="cellIs" dxfId="2057" priority="50" stopIfTrue="1" operator="greaterThan">
      <formula>$G$9-$I$9</formula>
    </cfRule>
  </conditionalFormatting>
  <conditionalFormatting sqref="G9">
    <cfRule type="cellIs" dxfId="2056" priority="51" stopIfTrue="1" operator="lessThan">
      <formula>$F$9+$I$9</formula>
    </cfRule>
  </conditionalFormatting>
  <conditionalFormatting sqref="H9">
    <cfRule type="cellIs" dxfId="2055" priority="52" stopIfTrue="1" operator="equal">
      <formula>"May be visited"</formula>
    </cfRule>
  </conditionalFormatting>
  <conditionalFormatting sqref="H9">
    <cfRule type="cellIs" dxfId="2054" priority="53" stopIfTrue="1" operator="equal">
      <formula>"Don't visit"</formula>
    </cfRule>
  </conditionalFormatting>
  <conditionalFormatting sqref="I9">
    <cfRule type="cellIs" dxfId="2053" priority="54" stopIfTrue="1" operator="greaterThan">
      <formula>$G$9-$F$9 + 0.0001</formula>
    </cfRule>
  </conditionalFormatting>
  <conditionalFormatting sqref="A10">
    <cfRule type="expression" dxfId="2052" priority="55" stopIfTrue="1">
      <formula>ISBLANK($A$10)</formula>
    </cfRule>
  </conditionalFormatting>
  <conditionalFormatting sqref="B10">
    <cfRule type="expression" dxfId="2051" priority="56" stopIfTrue="1">
      <formula>ISBLANK($B$10)</formula>
    </cfRule>
  </conditionalFormatting>
  <conditionalFormatting sqref="F10">
    <cfRule type="cellIs" dxfId="2050" priority="57" stopIfTrue="1" operator="greaterThan">
      <formula>$G$10-$I$10</formula>
    </cfRule>
  </conditionalFormatting>
  <conditionalFormatting sqref="G10">
    <cfRule type="cellIs" dxfId="2049" priority="58" stopIfTrue="1" operator="lessThan">
      <formula>$F$10+$I$10</formula>
    </cfRule>
  </conditionalFormatting>
  <conditionalFormatting sqref="H10">
    <cfRule type="cellIs" dxfId="2048" priority="59" stopIfTrue="1" operator="equal">
      <formula>"May be visited"</formula>
    </cfRule>
  </conditionalFormatting>
  <conditionalFormatting sqref="H10">
    <cfRule type="cellIs" dxfId="2047" priority="60" stopIfTrue="1" operator="equal">
      <formula>"Don't visit"</formula>
    </cfRule>
  </conditionalFormatting>
  <conditionalFormatting sqref="I10">
    <cfRule type="cellIs" dxfId="2046" priority="61" stopIfTrue="1" operator="greaterThan">
      <formula>$G$10-$F$10 + 0.0001</formula>
    </cfRule>
  </conditionalFormatting>
  <conditionalFormatting sqref="A11">
    <cfRule type="expression" dxfId="2045" priority="62" stopIfTrue="1">
      <formula>ISBLANK($A$11)</formula>
    </cfRule>
  </conditionalFormatting>
  <conditionalFormatting sqref="B11">
    <cfRule type="expression" dxfId="2044" priority="63" stopIfTrue="1">
      <formula>ISBLANK($B$11)</formula>
    </cfRule>
  </conditionalFormatting>
  <conditionalFormatting sqref="F11">
    <cfRule type="cellIs" dxfId="2043" priority="64" stopIfTrue="1" operator="greaterThan">
      <formula>$G$11-$I$11</formula>
    </cfRule>
  </conditionalFormatting>
  <conditionalFormatting sqref="G11">
    <cfRule type="cellIs" dxfId="2042" priority="65" stopIfTrue="1" operator="lessThan">
      <formula>$F$11+$I$11</formula>
    </cfRule>
  </conditionalFormatting>
  <conditionalFormatting sqref="H11">
    <cfRule type="cellIs" dxfId="2041" priority="66" stopIfTrue="1" operator="equal">
      <formula>"May be visited"</formula>
    </cfRule>
  </conditionalFormatting>
  <conditionalFormatting sqref="H11">
    <cfRule type="cellIs" dxfId="2040" priority="67" stopIfTrue="1" operator="equal">
      <formula>"Don't visit"</formula>
    </cfRule>
  </conditionalFormatting>
  <conditionalFormatting sqref="I11">
    <cfRule type="cellIs" dxfId="2039" priority="68" stopIfTrue="1" operator="greaterThan">
      <formula>$G$11-$F$11 + 0.0001</formula>
    </cfRule>
  </conditionalFormatting>
  <conditionalFormatting sqref="A12">
    <cfRule type="expression" dxfId="2038" priority="69" stopIfTrue="1">
      <formula>ISBLANK($A$12)</formula>
    </cfRule>
  </conditionalFormatting>
  <conditionalFormatting sqref="B12">
    <cfRule type="expression" dxfId="2037" priority="70" stopIfTrue="1">
      <formula>ISBLANK($B$12)</formula>
    </cfRule>
  </conditionalFormatting>
  <conditionalFormatting sqref="F12">
    <cfRule type="cellIs" dxfId="2036" priority="71" stopIfTrue="1" operator="greaterThan">
      <formula>$G$12-$I$12</formula>
    </cfRule>
  </conditionalFormatting>
  <conditionalFormatting sqref="G12">
    <cfRule type="cellIs" dxfId="2035" priority="72" stopIfTrue="1" operator="lessThan">
      <formula>$F$12+$I$12</formula>
    </cfRule>
  </conditionalFormatting>
  <conditionalFormatting sqref="H12">
    <cfRule type="cellIs" dxfId="2034" priority="73" stopIfTrue="1" operator="equal">
      <formula>"May be visited"</formula>
    </cfRule>
  </conditionalFormatting>
  <conditionalFormatting sqref="H12">
    <cfRule type="cellIs" dxfId="2033" priority="74" stopIfTrue="1" operator="equal">
      <formula>"Don't visit"</formula>
    </cfRule>
  </conditionalFormatting>
  <conditionalFormatting sqref="I12">
    <cfRule type="cellIs" dxfId="2032" priority="75" stopIfTrue="1" operator="greaterThan">
      <formula>$G$12-$F$12 + 0.0001</formula>
    </cfRule>
  </conditionalFormatting>
  <conditionalFormatting sqref="A13">
    <cfRule type="expression" dxfId="2031" priority="76" stopIfTrue="1">
      <formula>ISBLANK($A$13)</formula>
    </cfRule>
  </conditionalFormatting>
  <conditionalFormatting sqref="B13">
    <cfRule type="expression" dxfId="2030" priority="77" stopIfTrue="1">
      <formula>ISBLANK($B$13)</formula>
    </cfRule>
  </conditionalFormatting>
  <conditionalFormatting sqref="F13">
    <cfRule type="cellIs" dxfId="2029" priority="78" stopIfTrue="1" operator="greaterThan">
      <formula>$G$13-$I$13</formula>
    </cfRule>
  </conditionalFormatting>
  <conditionalFormatting sqref="G13">
    <cfRule type="cellIs" dxfId="2028" priority="79" stopIfTrue="1" operator="lessThan">
      <formula>$F$13+$I$13</formula>
    </cfRule>
  </conditionalFormatting>
  <conditionalFormatting sqref="H13">
    <cfRule type="cellIs" dxfId="2027" priority="80" stopIfTrue="1" operator="equal">
      <formula>"May be visited"</formula>
    </cfRule>
  </conditionalFormatting>
  <conditionalFormatting sqref="H13">
    <cfRule type="cellIs" dxfId="2026" priority="81" stopIfTrue="1" operator="equal">
      <formula>"Don't visit"</formula>
    </cfRule>
  </conditionalFormatting>
  <conditionalFormatting sqref="I13">
    <cfRule type="cellIs" dxfId="2025" priority="82" stopIfTrue="1" operator="greaterThan">
      <formula>$G$13-$F$13 + 0.0001</formula>
    </cfRule>
  </conditionalFormatting>
  <conditionalFormatting sqref="A14">
    <cfRule type="expression" dxfId="2024" priority="83" stopIfTrue="1">
      <formula>ISBLANK($A$14)</formula>
    </cfRule>
  </conditionalFormatting>
  <conditionalFormatting sqref="B14">
    <cfRule type="expression" dxfId="2023" priority="84" stopIfTrue="1">
      <formula>ISBLANK($B$14)</formula>
    </cfRule>
  </conditionalFormatting>
  <conditionalFormatting sqref="F14">
    <cfRule type="cellIs" dxfId="2022" priority="85" stopIfTrue="1" operator="greaterThan">
      <formula>$G$14-$I$14</formula>
    </cfRule>
  </conditionalFormatting>
  <conditionalFormatting sqref="G14">
    <cfRule type="cellIs" dxfId="2021" priority="86" stopIfTrue="1" operator="lessThan">
      <formula>$F$14+$I$14</formula>
    </cfRule>
  </conditionalFormatting>
  <conditionalFormatting sqref="H14">
    <cfRule type="cellIs" dxfId="2020" priority="87" stopIfTrue="1" operator="equal">
      <formula>"May be visited"</formula>
    </cfRule>
  </conditionalFormatting>
  <conditionalFormatting sqref="H14">
    <cfRule type="cellIs" dxfId="2019" priority="88" stopIfTrue="1" operator="equal">
      <formula>"Don't visit"</formula>
    </cfRule>
  </conditionalFormatting>
  <conditionalFormatting sqref="I14">
    <cfRule type="cellIs" dxfId="2018" priority="89" stopIfTrue="1" operator="greaterThan">
      <formula>$G$14-$F$14 + 0.0001</formula>
    </cfRule>
  </conditionalFormatting>
  <conditionalFormatting sqref="A15">
    <cfRule type="expression" dxfId="2017" priority="90" stopIfTrue="1">
      <formula>ISBLANK($A$15)</formula>
    </cfRule>
  </conditionalFormatting>
  <conditionalFormatting sqref="B15">
    <cfRule type="expression" dxfId="2016" priority="91" stopIfTrue="1">
      <formula>ISBLANK($B$15)</formula>
    </cfRule>
  </conditionalFormatting>
  <conditionalFormatting sqref="F15">
    <cfRule type="cellIs" dxfId="2015" priority="92" stopIfTrue="1" operator="greaterThan">
      <formula>$G$15-$I$15</formula>
    </cfRule>
  </conditionalFormatting>
  <conditionalFormatting sqref="G15">
    <cfRule type="cellIs" dxfId="2014" priority="93" stopIfTrue="1" operator="lessThan">
      <formula>$F$15+$I$15</formula>
    </cfRule>
  </conditionalFormatting>
  <conditionalFormatting sqref="H15">
    <cfRule type="cellIs" dxfId="2013" priority="94" stopIfTrue="1" operator="equal">
      <formula>"May be visited"</formula>
    </cfRule>
  </conditionalFormatting>
  <conditionalFormatting sqref="H15">
    <cfRule type="cellIs" dxfId="2012" priority="95" stopIfTrue="1" operator="equal">
      <formula>"Don't visit"</formula>
    </cfRule>
  </conditionalFormatting>
  <conditionalFormatting sqref="I15">
    <cfRule type="cellIs" dxfId="2011" priority="96" stopIfTrue="1" operator="greaterThan">
      <formula>$G$15-$F$15 + 0.0001</formula>
    </cfRule>
  </conditionalFormatting>
  <conditionalFormatting sqref="A16">
    <cfRule type="expression" dxfId="2010" priority="97" stopIfTrue="1">
      <formula>ISBLANK($A$16)</formula>
    </cfRule>
  </conditionalFormatting>
  <conditionalFormatting sqref="B16">
    <cfRule type="expression" dxfId="2009" priority="98" stopIfTrue="1">
      <formula>ISBLANK($B$16)</formula>
    </cfRule>
  </conditionalFormatting>
  <conditionalFormatting sqref="F16">
    <cfRule type="cellIs" dxfId="2008" priority="99" stopIfTrue="1" operator="greaterThan">
      <formula>$G$16-$I$16</formula>
    </cfRule>
  </conditionalFormatting>
  <conditionalFormatting sqref="G16">
    <cfRule type="cellIs" dxfId="2007" priority="100" stopIfTrue="1" operator="lessThan">
      <formula>$F$16+$I$16</formula>
    </cfRule>
  </conditionalFormatting>
  <conditionalFormatting sqref="H16">
    <cfRule type="cellIs" dxfId="2006" priority="101" stopIfTrue="1" operator="equal">
      <formula>"May be visited"</formula>
    </cfRule>
  </conditionalFormatting>
  <conditionalFormatting sqref="H16">
    <cfRule type="cellIs" dxfId="2005" priority="102" stopIfTrue="1" operator="equal">
      <formula>"Don't visit"</formula>
    </cfRule>
  </conditionalFormatting>
  <conditionalFormatting sqref="I16">
    <cfRule type="cellIs" dxfId="2004" priority="103" stopIfTrue="1" operator="greaterThan">
      <formula>$G$16-$F$16 + 0.0001</formula>
    </cfRule>
  </conditionalFormatting>
  <conditionalFormatting sqref="A17">
    <cfRule type="expression" dxfId="2003" priority="104" stopIfTrue="1">
      <formula>ISBLANK($A$17)</formula>
    </cfRule>
  </conditionalFormatting>
  <conditionalFormatting sqref="B17">
    <cfRule type="expression" dxfId="2002" priority="105" stopIfTrue="1">
      <formula>ISBLANK($B$17)</formula>
    </cfRule>
  </conditionalFormatting>
  <conditionalFormatting sqref="F17">
    <cfRule type="cellIs" dxfId="2001" priority="106" stopIfTrue="1" operator="greaterThan">
      <formula>$G$17-$I$17</formula>
    </cfRule>
  </conditionalFormatting>
  <conditionalFormatting sqref="G17">
    <cfRule type="cellIs" dxfId="2000" priority="107" stopIfTrue="1" operator="lessThan">
      <formula>$F$17+$I$17</formula>
    </cfRule>
  </conditionalFormatting>
  <conditionalFormatting sqref="H17">
    <cfRule type="cellIs" dxfId="1999" priority="108" stopIfTrue="1" operator="equal">
      <formula>"May be visited"</formula>
    </cfRule>
  </conditionalFormatting>
  <conditionalFormatting sqref="H17">
    <cfRule type="cellIs" dxfId="1998" priority="109" stopIfTrue="1" operator="equal">
      <formula>"Don't visit"</formula>
    </cfRule>
  </conditionalFormatting>
  <conditionalFormatting sqref="I17">
    <cfRule type="cellIs" dxfId="1997" priority="110" stopIfTrue="1" operator="greaterThan">
      <formula>$G$17-$F$17 + 0.0001</formula>
    </cfRule>
  </conditionalFormatting>
  <conditionalFormatting sqref="A18">
    <cfRule type="expression" dxfId="1996" priority="111" stopIfTrue="1">
      <formula>ISBLANK($A$18)</formula>
    </cfRule>
  </conditionalFormatting>
  <conditionalFormatting sqref="B18">
    <cfRule type="expression" dxfId="1995" priority="112" stopIfTrue="1">
      <formula>ISBLANK($B$18)</formula>
    </cfRule>
  </conditionalFormatting>
  <conditionalFormatting sqref="F18">
    <cfRule type="cellIs" dxfId="1994" priority="113" stopIfTrue="1" operator="greaterThan">
      <formula>$G$18-$I$18</formula>
    </cfRule>
  </conditionalFormatting>
  <conditionalFormatting sqref="G18">
    <cfRule type="cellIs" dxfId="1993" priority="114" stopIfTrue="1" operator="lessThan">
      <formula>$F$18+$I$18</formula>
    </cfRule>
  </conditionalFormatting>
  <conditionalFormatting sqref="H18">
    <cfRule type="cellIs" dxfId="1992" priority="115" stopIfTrue="1" operator="equal">
      <formula>"May be visited"</formula>
    </cfRule>
  </conditionalFormatting>
  <conditionalFormatting sqref="H18">
    <cfRule type="cellIs" dxfId="1991" priority="116" stopIfTrue="1" operator="equal">
      <formula>"Don't visit"</formula>
    </cfRule>
  </conditionalFormatting>
  <conditionalFormatting sqref="I18">
    <cfRule type="cellIs" dxfId="1990" priority="117" stopIfTrue="1" operator="greaterThan">
      <formula>$G$18-$F$18 + 0.0001</formula>
    </cfRule>
  </conditionalFormatting>
  <conditionalFormatting sqref="A19">
    <cfRule type="expression" dxfId="1989" priority="118" stopIfTrue="1">
      <formula>ISBLANK($A$19)</formula>
    </cfRule>
  </conditionalFormatting>
  <conditionalFormatting sqref="B19">
    <cfRule type="expression" dxfId="1988" priority="119" stopIfTrue="1">
      <formula>ISBLANK($B$19)</formula>
    </cfRule>
  </conditionalFormatting>
  <conditionalFormatting sqref="F19">
    <cfRule type="cellIs" dxfId="1987" priority="120" stopIfTrue="1" operator="greaterThan">
      <formula>$G$19-$I$19</formula>
    </cfRule>
  </conditionalFormatting>
  <conditionalFormatting sqref="G19">
    <cfRule type="cellIs" dxfId="1986" priority="121" stopIfTrue="1" operator="lessThan">
      <formula>$F$19+$I$19</formula>
    </cfRule>
  </conditionalFormatting>
  <conditionalFormatting sqref="H19">
    <cfRule type="cellIs" dxfId="1985" priority="122" stopIfTrue="1" operator="equal">
      <formula>"May be visited"</formula>
    </cfRule>
  </conditionalFormatting>
  <conditionalFormatting sqref="H19">
    <cfRule type="cellIs" dxfId="1984" priority="123" stopIfTrue="1" operator="equal">
      <formula>"Don't visit"</formula>
    </cfRule>
  </conditionalFormatting>
  <conditionalFormatting sqref="I19">
    <cfRule type="cellIs" dxfId="1983" priority="124" stopIfTrue="1" operator="greaterThan">
      <formula>$G$19-$F$19 + 0.0001</formula>
    </cfRule>
  </conditionalFormatting>
  <conditionalFormatting sqref="A20">
    <cfRule type="expression" dxfId="1982" priority="125" stopIfTrue="1">
      <formula>ISBLANK($A$20)</formula>
    </cfRule>
  </conditionalFormatting>
  <conditionalFormatting sqref="B20">
    <cfRule type="expression" dxfId="1981" priority="126" stopIfTrue="1">
      <formula>ISBLANK($B$20)</formula>
    </cfRule>
  </conditionalFormatting>
  <conditionalFormatting sqref="F20">
    <cfRule type="cellIs" dxfId="1980" priority="127" stopIfTrue="1" operator="greaterThan">
      <formula>$G$20-$I$20</formula>
    </cfRule>
  </conditionalFormatting>
  <conditionalFormatting sqref="G20">
    <cfRule type="cellIs" dxfId="1979" priority="128" stopIfTrue="1" operator="lessThan">
      <formula>$F$20+$I$20</formula>
    </cfRule>
  </conditionalFormatting>
  <conditionalFormatting sqref="H20">
    <cfRule type="cellIs" dxfId="1978" priority="129" stopIfTrue="1" operator="equal">
      <formula>"May be visited"</formula>
    </cfRule>
  </conditionalFormatting>
  <conditionalFormatting sqref="H20">
    <cfRule type="cellIs" dxfId="1977" priority="130" stopIfTrue="1" operator="equal">
      <formula>"Don't visit"</formula>
    </cfRule>
  </conditionalFormatting>
  <conditionalFormatting sqref="I20">
    <cfRule type="cellIs" dxfId="1976" priority="131" stopIfTrue="1" operator="greaterThan">
      <formula>$G$20-$F$20 + 0.0001</formula>
    </cfRule>
  </conditionalFormatting>
  <conditionalFormatting sqref="A21">
    <cfRule type="expression" dxfId="1975" priority="132" stopIfTrue="1">
      <formula>ISBLANK($A$21)</formula>
    </cfRule>
  </conditionalFormatting>
  <conditionalFormatting sqref="B21">
    <cfRule type="expression" dxfId="1974" priority="133" stopIfTrue="1">
      <formula>ISBLANK($B$21)</formula>
    </cfRule>
  </conditionalFormatting>
  <conditionalFormatting sqref="F21">
    <cfRule type="cellIs" dxfId="1973" priority="134" stopIfTrue="1" operator="greaterThan">
      <formula>$G$21-$I$21</formula>
    </cfRule>
  </conditionalFormatting>
  <conditionalFormatting sqref="G21">
    <cfRule type="cellIs" dxfId="1972" priority="135" stopIfTrue="1" operator="lessThan">
      <formula>$F$21+$I$21</formula>
    </cfRule>
  </conditionalFormatting>
  <conditionalFormatting sqref="H21">
    <cfRule type="cellIs" dxfId="1971" priority="136" stopIfTrue="1" operator="equal">
      <formula>"May be visited"</formula>
    </cfRule>
  </conditionalFormatting>
  <conditionalFormatting sqref="H21">
    <cfRule type="cellIs" dxfId="1970" priority="137" stopIfTrue="1" operator="equal">
      <formula>"Don't visit"</formula>
    </cfRule>
  </conditionalFormatting>
  <conditionalFormatting sqref="I21">
    <cfRule type="cellIs" dxfId="1969" priority="138" stopIfTrue="1" operator="greaterThan">
      <formula>$G$21-$F$21 + 0.0001</formula>
    </cfRule>
  </conditionalFormatting>
  <conditionalFormatting sqref="A22">
    <cfRule type="expression" dxfId="1968" priority="139" stopIfTrue="1">
      <formula>ISBLANK($A$22)</formula>
    </cfRule>
  </conditionalFormatting>
  <conditionalFormatting sqref="B22">
    <cfRule type="expression" dxfId="1967" priority="140" stopIfTrue="1">
      <formula>ISBLANK($B$22)</formula>
    </cfRule>
  </conditionalFormatting>
  <conditionalFormatting sqref="F22">
    <cfRule type="cellIs" dxfId="1966" priority="141" stopIfTrue="1" operator="greaterThan">
      <formula>$G$22-$I$22</formula>
    </cfRule>
  </conditionalFormatting>
  <conditionalFormatting sqref="G22">
    <cfRule type="cellIs" dxfId="1965" priority="142" stopIfTrue="1" operator="lessThan">
      <formula>$F$22+$I$22</formula>
    </cfRule>
  </conditionalFormatting>
  <conditionalFormatting sqref="H22">
    <cfRule type="cellIs" dxfId="1964" priority="143" stopIfTrue="1" operator="equal">
      <formula>"May be visited"</formula>
    </cfRule>
  </conditionalFormatting>
  <conditionalFormatting sqref="H22">
    <cfRule type="cellIs" dxfId="1963" priority="144" stopIfTrue="1" operator="equal">
      <formula>"Don't visit"</formula>
    </cfRule>
  </conditionalFormatting>
  <conditionalFormatting sqref="I22">
    <cfRule type="cellIs" dxfId="1962" priority="145" stopIfTrue="1" operator="greaterThan">
      <formula>$G$22-$F$22 + 0.0001</formula>
    </cfRule>
  </conditionalFormatting>
  <conditionalFormatting sqref="A23">
    <cfRule type="expression" dxfId="1961" priority="146" stopIfTrue="1">
      <formula>ISBLANK($A$23)</formula>
    </cfRule>
  </conditionalFormatting>
  <conditionalFormatting sqref="B23">
    <cfRule type="expression" dxfId="1960" priority="147" stopIfTrue="1">
      <formula>ISBLANK($B$23)</formula>
    </cfRule>
  </conditionalFormatting>
  <conditionalFormatting sqref="F23">
    <cfRule type="cellIs" dxfId="1959" priority="148" stopIfTrue="1" operator="greaterThan">
      <formula>$G$23-$I$23</formula>
    </cfRule>
  </conditionalFormatting>
  <conditionalFormatting sqref="G23">
    <cfRule type="cellIs" dxfId="1958" priority="149" stopIfTrue="1" operator="lessThan">
      <formula>$F$23+$I$23</formula>
    </cfRule>
  </conditionalFormatting>
  <conditionalFormatting sqref="H23">
    <cfRule type="cellIs" dxfId="1957" priority="150" stopIfTrue="1" operator="equal">
      <formula>"May be visited"</formula>
    </cfRule>
  </conditionalFormatting>
  <conditionalFormatting sqref="H23">
    <cfRule type="cellIs" dxfId="1956" priority="151" stopIfTrue="1" operator="equal">
      <formula>"Don't visit"</formula>
    </cfRule>
  </conditionalFormatting>
  <conditionalFormatting sqref="I23">
    <cfRule type="cellIs" dxfId="1955" priority="152" stopIfTrue="1" operator="greaterThan">
      <formula>$G$23-$F$23 + 0.0001</formula>
    </cfRule>
  </conditionalFormatting>
  <conditionalFormatting sqref="A24">
    <cfRule type="expression" dxfId="1954" priority="153" stopIfTrue="1">
      <formula>ISBLANK($A$24)</formula>
    </cfRule>
  </conditionalFormatting>
  <conditionalFormatting sqref="B24">
    <cfRule type="expression" dxfId="1953" priority="154" stopIfTrue="1">
      <formula>ISBLANK($B$24)</formula>
    </cfRule>
  </conditionalFormatting>
  <conditionalFormatting sqref="F24">
    <cfRule type="cellIs" dxfId="1952" priority="155" stopIfTrue="1" operator="greaterThan">
      <formula>$G$24-$I$24</formula>
    </cfRule>
  </conditionalFormatting>
  <conditionalFormatting sqref="G24">
    <cfRule type="cellIs" dxfId="1951" priority="156" stopIfTrue="1" operator="lessThan">
      <formula>$F$24+$I$24</formula>
    </cfRule>
  </conditionalFormatting>
  <conditionalFormatting sqref="H24">
    <cfRule type="cellIs" dxfId="1950" priority="157" stopIfTrue="1" operator="equal">
      <formula>"May be visited"</formula>
    </cfRule>
  </conditionalFormatting>
  <conditionalFormatting sqref="H24">
    <cfRule type="cellIs" dxfId="1949" priority="158" stopIfTrue="1" operator="equal">
      <formula>"Don't visit"</formula>
    </cfRule>
  </conditionalFormatting>
  <conditionalFormatting sqref="I24">
    <cfRule type="cellIs" dxfId="1948" priority="159" stopIfTrue="1" operator="greaterThan">
      <formula>$G$24-$F$24 + 0.0001</formula>
    </cfRule>
  </conditionalFormatting>
  <conditionalFormatting sqref="A25">
    <cfRule type="expression" dxfId="1947" priority="160" stopIfTrue="1">
      <formula>ISBLANK($A$25)</formula>
    </cfRule>
  </conditionalFormatting>
  <conditionalFormatting sqref="B25">
    <cfRule type="expression" dxfId="1946" priority="161" stopIfTrue="1">
      <formula>ISBLANK($B$25)</formula>
    </cfRule>
  </conditionalFormatting>
  <conditionalFormatting sqref="F25">
    <cfRule type="cellIs" dxfId="1945" priority="162" stopIfTrue="1" operator="greaterThan">
      <formula>$G$25-$I$25</formula>
    </cfRule>
  </conditionalFormatting>
  <conditionalFormatting sqref="G25">
    <cfRule type="cellIs" dxfId="1944" priority="163" stopIfTrue="1" operator="lessThan">
      <formula>$F$25+$I$25</formula>
    </cfRule>
  </conditionalFormatting>
  <conditionalFormatting sqref="H25">
    <cfRule type="cellIs" dxfId="1943" priority="164" stopIfTrue="1" operator="equal">
      <formula>"May be visited"</formula>
    </cfRule>
  </conditionalFormatting>
  <conditionalFormatting sqref="H25">
    <cfRule type="cellIs" dxfId="1942" priority="165" stopIfTrue="1" operator="equal">
      <formula>"Don't visit"</formula>
    </cfRule>
  </conditionalFormatting>
  <conditionalFormatting sqref="I25">
    <cfRule type="cellIs" dxfId="1941" priority="166" stopIfTrue="1" operator="greaterThan">
      <formula>$G$25-$F$25 + 0.0001</formula>
    </cfRule>
  </conditionalFormatting>
  <conditionalFormatting sqref="A26">
    <cfRule type="expression" dxfId="1940" priority="167" stopIfTrue="1">
      <formula>ISBLANK($A$26)</formula>
    </cfRule>
  </conditionalFormatting>
  <conditionalFormatting sqref="B26">
    <cfRule type="expression" dxfId="1939" priority="168" stopIfTrue="1">
      <formula>ISBLANK($B$26)</formula>
    </cfRule>
  </conditionalFormatting>
  <conditionalFormatting sqref="F26">
    <cfRule type="cellIs" dxfId="1938" priority="169" stopIfTrue="1" operator="greaterThan">
      <formula>$G$26-$I$26</formula>
    </cfRule>
  </conditionalFormatting>
  <conditionalFormatting sqref="G26">
    <cfRule type="cellIs" dxfId="1937" priority="170" stopIfTrue="1" operator="lessThan">
      <formula>$F$26+$I$26</formula>
    </cfRule>
  </conditionalFormatting>
  <conditionalFormatting sqref="H26">
    <cfRule type="cellIs" dxfId="1936" priority="171" stopIfTrue="1" operator="equal">
      <formula>"May be visited"</formula>
    </cfRule>
  </conditionalFormatting>
  <conditionalFormatting sqref="H26">
    <cfRule type="cellIs" dxfId="1935" priority="172" stopIfTrue="1" operator="equal">
      <formula>"Don't visit"</formula>
    </cfRule>
  </conditionalFormatting>
  <conditionalFormatting sqref="I26">
    <cfRule type="cellIs" dxfId="1934" priority="173" stopIfTrue="1" operator="greaterThan">
      <formula>$G$26-$F$26 + 0.0001</formula>
    </cfRule>
  </conditionalFormatting>
  <conditionalFormatting sqref="A27">
    <cfRule type="expression" dxfId="1933" priority="174" stopIfTrue="1">
      <formula>ISBLANK($A$27)</formula>
    </cfRule>
  </conditionalFormatting>
  <conditionalFormatting sqref="B27">
    <cfRule type="expression" dxfId="1932" priority="175" stopIfTrue="1">
      <formula>ISBLANK($B$27)</formula>
    </cfRule>
  </conditionalFormatting>
  <conditionalFormatting sqref="F27">
    <cfRule type="cellIs" dxfId="1931" priority="176" stopIfTrue="1" operator="greaterThan">
      <formula>$G$27-$I$27</formula>
    </cfRule>
  </conditionalFormatting>
  <conditionalFormatting sqref="G27">
    <cfRule type="cellIs" dxfId="1930" priority="177" stopIfTrue="1" operator="lessThan">
      <formula>$F$27+$I$27</formula>
    </cfRule>
  </conditionalFormatting>
  <conditionalFormatting sqref="H27">
    <cfRule type="cellIs" dxfId="1929" priority="178" stopIfTrue="1" operator="equal">
      <formula>"May be visited"</formula>
    </cfRule>
  </conditionalFormatting>
  <conditionalFormatting sqref="H27">
    <cfRule type="cellIs" dxfId="1928" priority="179" stopIfTrue="1" operator="equal">
      <formula>"Don't visit"</formula>
    </cfRule>
  </conditionalFormatting>
  <conditionalFormatting sqref="I27">
    <cfRule type="cellIs" dxfId="1927" priority="180" stopIfTrue="1" operator="greaterThan">
      <formula>$G$27-$F$27 + 0.0001</formula>
    </cfRule>
  </conditionalFormatting>
  <conditionalFormatting sqref="A28">
    <cfRule type="expression" dxfId="1926" priority="181" stopIfTrue="1">
      <formula>ISBLANK($A$28)</formula>
    </cfRule>
  </conditionalFormatting>
  <conditionalFormatting sqref="B28">
    <cfRule type="expression" dxfId="1925" priority="182" stopIfTrue="1">
      <formula>ISBLANK($B$28)</formula>
    </cfRule>
  </conditionalFormatting>
  <conditionalFormatting sqref="F28">
    <cfRule type="cellIs" dxfId="1924" priority="183" stopIfTrue="1" operator="greaterThan">
      <formula>$G$28-$I$28</formula>
    </cfRule>
  </conditionalFormatting>
  <conditionalFormatting sqref="G28">
    <cfRule type="cellIs" dxfId="1923" priority="184" stopIfTrue="1" operator="lessThan">
      <formula>$F$28+$I$28</formula>
    </cfRule>
  </conditionalFormatting>
  <conditionalFormatting sqref="H28">
    <cfRule type="cellIs" dxfId="1922" priority="185" stopIfTrue="1" operator="equal">
      <formula>"May be visited"</formula>
    </cfRule>
  </conditionalFormatting>
  <conditionalFormatting sqref="H28">
    <cfRule type="cellIs" dxfId="1921" priority="186" stopIfTrue="1" operator="equal">
      <formula>"Don't visit"</formula>
    </cfRule>
  </conditionalFormatting>
  <conditionalFormatting sqref="I28">
    <cfRule type="cellIs" dxfId="1920" priority="187" stopIfTrue="1" operator="greaterThan">
      <formula>$G$28-$F$28 + 0.0001</formula>
    </cfRule>
  </conditionalFormatting>
  <conditionalFormatting sqref="A29">
    <cfRule type="expression" dxfId="1919" priority="188" stopIfTrue="1">
      <formula>ISBLANK($A$29)</formula>
    </cfRule>
  </conditionalFormatting>
  <conditionalFormatting sqref="B29">
    <cfRule type="expression" dxfId="1918" priority="189" stopIfTrue="1">
      <formula>ISBLANK($B$29)</formula>
    </cfRule>
  </conditionalFormatting>
  <conditionalFormatting sqref="F29">
    <cfRule type="cellIs" dxfId="1917" priority="190" stopIfTrue="1" operator="greaterThan">
      <formula>$G$29-$I$29</formula>
    </cfRule>
  </conditionalFormatting>
  <conditionalFormatting sqref="G29">
    <cfRule type="cellIs" dxfId="1916" priority="191" stopIfTrue="1" operator="lessThan">
      <formula>$F$29+$I$29</formula>
    </cfRule>
  </conditionalFormatting>
  <conditionalFormatting sqref="H29">
    <cfRule type="cellIs" dxfId="1915" priority="192" stopIfTrue="1" operator="equal">
      <formula>"May be visited"</formula>
    </cfRule>
  </conditionalFormatting>
  <conditionalFormatting sqref="H29">
    <cfRule type="cellIs" dxfId="1914" priority="193" stopIfTrue="1" operator="equal">
      <formula>"Don't visit"</formula>
    </cfRule>
  </conditionalFormatting>
  <conditionalFormatting sqref="I29">
    <cfRule type="cellIs" dxfId="1913" priority="194" stopIfTrue="1" operator="greaterThan">
      <formula>$G$29-$F$29 + 0.0001</formula>
    </cfRule>
  </conditionalFormatting>
  <conditionalFormatting sqref="A30">
    <cfRule type="expression" dxfId="1912" priority="195" stopIfTrue="1">
      <formula>ISBLANK($A$30)</formula>
    </cfRule>
  </conditionalFormatting>
  <conditionalFormatting sqref="B30">
    <cfRule type="expression" dxfId="1911" priority="196" stopIfTrue="1">
      <formula>ISBLANK($B$30)</formula>
    </cfRule>
  </conditionalFormatting>
  <conditionalFormatting sqref="F30">
    <cfRule type="cellIs" dxfId="1910" priority="197" stopIfTrue="1" operator="greaterThan">
      <formula>$G$30-$I$30</formula>
    </cfRule>
  </conditionalFormatting>
  <conditionalFormatting sqref="G30">
    <cfRule type="cellIs" dxfId="1909" priority="198" stopIfTrue="1" operator="lessThan">
      <formula>$F$30+$I$30</formula>
    </cfRule>
  </conditionalFormatting>
  <conditionalFormatting sqref="H30">
    <cfRule type="cellIs" dxfId="1908" priority="199" stopIfTrue="1" operator="equal">
      <formula>"May be visited"</formula>
    </cfRule>
  </conditionalFormatting>
  <conditionalFormatting sqref="H30">
    <cfRule type="cellIs" dxfId="1907" priority="200" stopIfTrue="1" operator="equal">
      <formula>"Don't visit"</formula>
    </cfRule>
  </conditionalFormatting>
  <conditionalFormatting sqref="I30">
    <cfRule type="cellIs" dxfId="1906" priority="201" stopIfTrue="1" operator="greaterThan">
      <formula>$G$30-$F$30 + 0.0001</formula>
    </cfRule>
  </conditionalFormatting>
  <conditionalFormatting sqref="A31">
    <cfRule type="expression" dxfId="1905" priority="202" stopIfTrue="1">
      <formula>ISBLANK($A$31)</formula>
    </cfRule>
  </conditionalFormatting>
  <conditionalFormatting sqref="B31">
    <cfRule type="expression" dxfId="1904" priority="203" stopIfTrue="1">
      <formula>ISBLANK($B$31)</formula>
    </cfRule>
  </conditionalFormatting>
  <conditionalFormatting sqref="F31">
    <cfRule type="cellIs" dxfId="1903" priority="204" stopIfTrue="1" operator="greaterThan">
      <formula>$G$31-$I$31</formula>
    </cfRule>
  </conditionalFormatting>
  <conditionalFormatting sqref="G31">
    <cfRule type="cellIs" dxfId="1902" priority="205" stopIfTrue="1" operator="lessThan">
      <formula>$F$31+$I$31</formula>
    </cfRule>
  </conditionalFormatting>
  <conditionalFormatting sqref="H31">
    <cfRule type="cellIs" dxfId="1901" priority="206" stopIfTrue="1" operator="equal">
      <formula>"May be visited"</formula>
    </cfRule>
  </conditionalFormatting>
  <conditionalFormatting sqref="H31">
    <cfRule type="cellIs" dxfId="1900" priority="207" stopIfTrue="1" operator="equal">
      <formula>"Don't visit"</formula>
    </cfRule>
  </conditionalFormatting>
  <conditionalFormatting sqref="I31">
    <cfRule type="cellIs" dxfId="1899" priority="208" stopIfTrue="1" operator="greaterThan">
      <formula>$G$31-$F$31 + 0.0001</formula>
    </cfRule>
  </conditionalFormatting>
  <conditionalFormatting sqref="A32">
    <cfRule type="expression" dxfId="1898" priority="209" stopIfTrue="1">
      <formula>ISBLANK($A$32)</formula>
    </cfRule>
  </conditionalFormatting>
  <conditionalFormatting sqref="B32">
    <cfRule type="expression" dxfId="1897" priority="210" stopIfTrue="1">
      <formula>ISBLANK($B$32)</formula>
    </cfRule>
  </conditionalFormatting>
  <conditionalFormatting sqref="F32">
    <cfRule type="cellIs" dxfId="1896" priority="211" stopIfTrue="1" operator="greaterThan">
      <formula>$G$32-$I$32</formula>
    </cfRule>
  </conditionalFormatting>
  <conditionalFormatting sqref="G32">
    <cfRule type="cellIs" dxfId="1895" priority="212" stopIfTrue="1" operator="lessThan">
      <formula>$F$32+$I$32</formula>
    </cfRule>
  </conditionalFormatting>
  <conditionalFormatting sqref="H32">
    <cfRule type="cellIs" dxfId="1894" priority="213" stopIfTrue="1" operator="equal">
      <formula>"May be visited"</formula>
    </cfRule>
  </conditionalFormatting>
  <conditionalFormatting sqref="H32">
    <cfRule type="cellIs" dxfId="1893" priority="214" stopIfTrue="1" operator="equal">
      <formula>"Don't visit"</formula>
    </cfRule>
  </conditionalFormatting>
  <conditionalFormatting sqref="I32">
    <cfRule type="cellIs" dxfId="1892" priority="215" stopIfTrue="1" operator="greaterThan">
      <formula>$G$32-$F$32 + 0.0001</formula>
    </cfRule>
  </conditionalFormatting>
  <conditionalFormatting sqref="A33">
    <cfRule type="expression" dxfId="1891" priority="216" stopIfTrue="1">
      <formula>ISBLANK($A$33)</formula>
    </cfRule>
  </conditionalFormatting>
  <conditionalFormatting sqref="B33">
    <cfRule type="expression" dxfId="1890" priority="217" stopIfTrue="1">
      <formula>ISBLANK($B$33)</formula>
    </cfRule>
  </conditionalFormatting>
  <conditionalFormatting sqref="F33">
    <cfRule type="cellIs" dxfId="1889" priority="218" stopIfTrue="1" operator="greaterThan">
      <formula>$G$33-$I$33</formula>
    </cfRule>
  </conditionalFormatting>
  <conditionalFormatting sqref="G33">
    <cfRule type="cellIs" dxfId="1888" priority="219" stopIfTrue="1" operator="lessThan">
      <formula>$F$33+$I$33</formula>
    </cfRule>
  </conditionalFormatting>
  <conditionalFormatting sqref="H33">
    <cfRule type="cellIs" dxfId="1887" priority="220" stopIfTrue="1" operator="equal">
      <formula>"May be visited"</formula>
    </cfRule>
  </conditionalFormatting>
  <conditionalFormatting sqref="H33">
    <cfRule type="cellIs" dxfId="1886" priority="221" stopIfTrue="1" operator="equal">
      <formula>"Don't visit"</formula>
    </cfRule>
  </conditionalFormatting>
  <conditionalFormatting sqref="I33">
    <cfRule type="cellIs" dxfId="1885" priority="222" stopIfTrue="1" operator="greaterThan">
      <formula>$G$33-$F$33 + 0.0001</formula>
    </cfRule>
  </conditionalFormatting>
  <conditionalFormatting sqref="A34">
    <cfRule type="expression" dxfId="1884" priority="223" stopIfTrue="1">
      <formula>ISBLANK($A$34)</formula>
    </cfRule>
  </conditionalFormatting>
  <conditionalFormatting sqref="B34">
    <cfRule type="expression" dxfId="1883" priority="224" stopIfTrue="1">
      <formula>ISBLANK($B$34)</formula>
    </cfRule>
  </conditionalFormatting>
  <conditionalFormatting sqref="F34">
    <cfRule type="cellIs" dxfId="1882" priority="225" stopIfTrue="1" operator="greaterThan">
      <formula>$G$34-$I$34</formula>
    </cfRule>
  </conditionalFormatting>
  <conditionalFormatting sqref="G34">
    <cfRule type="cellIs" dxfId="1881" priority="226" stopIfTrue="1" operator="lessThan">
      <formula>$F$34+$I$34</formula>
    </cfRule>
  </conditionalFormatting>
  <conditionalFormatting sqref="H34">
    <cfRule type="cellIs" dxfId="1880" priority="227" stopIfTrue="1" operator="equal">
      <formula>"May be visited"</formula>
    </cfRule>
  </conditionalFormatting>
  <conditionalFormatting sqref="H34">
    <cfRule type="cellIs" dxfId="1879" priority="228" stopIfTrue="1" operator="equal">
      <formula>"Don't visit"</formula>
    </cfRule>
  </conditionalFormatting>
  <conditionalFormatting sqref="I34">
    <cfRule type="cellIs" dxfId="1878" priority="229" stopIfTrue="1" operator="greaterThan">
      <formula>$G$34-$F$34 + 0.0001</formula>
    </cfRule>
  </conditionalFormatting>
  <conditionalFormatting sqref="A35">
    <cfRule type="expression" dxfId="1877" priority="230" stopIfTrue="1">
      <formula>ISBLANK($A$35)</formula>
    </cfRule>
  </conditionalFormatting>
  <conditionalFormatting sqref="B35">
    <cfRule type="expression" dxfId="1876" priority="231" stopIfTrue="1">
      <formula>ISBLANK($B$35)</formula>
    </cfRule>
  </conditionalFormatting>
  <conditionalFormatting sqref="F35">
    <cfRule type="cellIs" dxfId="1875" priority="232" stopIfTrue="1" operator="greaterThan">
      <formula>$G$35-$I$35</formula>
    </cfRule>
  </conditionalFormatting>
  <conditionalFormatting sqref="G35">
    <cfRule type="cellIs" dxfId="1874" priority="233" stopIfTrue="1" operator="lessThan">
      <formula>$F$35+$I$35</formula>
    </cfRule>
  </conditionalFormatting>
  <conditionalFormatting sqref="H35">
    <cfRule type="cellIs" dxfId="1873" priority="234" stopIfTrue="1" operator="equal">
      <formula>"May be visited"</formula>
    </cfRule>
  </conditionalFormatting>
  <conditionalFormatting sqref="H35">
    <cfRule type="cellIs" dxfId="1872" priority="235" stopIfTrue="1" operator="equal">
      <formula>"Don't visit"</formula>
    </cfRule>
  </conditionalFormatting>
  <conditionalFormatting sqref="I35">
    <cfRule type="cellIs" dxfId="1871" priority="236" stopIfTrue="1" operator="greaterThan">
      <formula>$G$35-$F$35 + 0.0001</formula>
    </cfRule>
  </conditionalFormatting>
  <conditionalFormatting sqref="A36">
    <cfRule type="expression" dxfId="1870" priority="237" stopIfTrue="1">
      <formula>ISBLANK($A$36)</formula>
    </cfRule>
  </conditionalFormatting>
  <conditionalFormatting sqref="B36">
    <cfRule type="expression" dxfId="1869" priority="238" stopIfTrue="1">
      <formula>ISBLANK($B$36)</formula>
    </cfRule>
  </conditionalFormatting>
  <conditionalFormatting sqref="F36">
    <cfRule type="cellIs" dxfId="1868" priority="239" stopIfTrue="1" operator="greaterThan">
      <formula>$G$36-$I$36</formula>
    </cfRule>
  </conditionalFormatting>
  <conditionalFormatting sqref="G36">
    <cfRule type="cellIs" dxfId="1867" priority="240" stopIfTrue="1" operator="lessThan">
      <formula>$F$36+$I$36</formula>
    </cfRule>
  </conditionalFormatting>
  <conditionalFormatting sqref="H36">
    <cfRule type="cellIs" dxfId="1866" priority="241" stopIfTrue="1" operator="equal">
      <formula>"May be visited"</formula>
    </cfRule>
  </conditionalFormatting>
  <conditionalFormatting sqref="H36">
    <cfRule type="cellIs" dxfId="1865" priority="242" stopIfTrue="1" operator="equal">
      <formula>"Don't visit"</formula>
    </cfRule>
  </conditionalFormatting>
  <conditionalFormatting sqref="I36">
    <cfRule type="cellIs" dxfId="1864" priority="243" stopIfTrue="1" operator="greaterThan">
      <formula>$G$36-$F$36 + 0.0001</formula>
    </cfRule>
  </conditionalFormatting>
  <conditionalFormatting sqref="A37">
    <cfRule type="expression" dxfId="1863" priority="244" stopIfTrue="1">
      <formula>ISBLANK($A$37)</formula>
    </cfRule>
  </conditionalFormatting>
  <conditionalFormatting sqref="B37">
    <cfRule type="expression" dxfId="1862" priority="245" stopIfTrue="1">
      <formula>ISBLANK($B$37)</formula>
    </cfRule>
  </conditionalFormatting>
  <conditionalFormatting sqref="F37">
    <cfRule type="cellIs" dxfId="1861" priority="246" stopIfTrue="1" operator="greaterThan">
      <formula>$G$37-$I$37</formula>
    </cfRule>
  </conditionalFormatting>
  <conditionalFormatting sqref="G37">
    <cfRule type="cellIs" dxfId="1860" priority="247" stopIfTrue="1" operator="lessThan">
      <formula>$F$37+$I$37</formula>
    </cfRule>
  </conditionalFormatting>
  <conditionalFormatting sqref="H37">
    <cfRule type="cellIs" dxfId="1859" priority="248" stopIfTrue="1" operator="equal">
      <formula>"May be visited"</formula>
    </cfRule>
  </conditionalFormatting>
  <conditionalFormatting sqref="H37">
    <cfRule type="cellIs" dxfId="1858" priority="249" stopIfTrue="1" operator="equal">
      <formula>"Don't visit"</formula>
    </cfRule>
  </conditionalFormatting>
  <conditionalFormatting sqref="I37">
    <cfRule type="cellIs" dxfId="1857" priority="250" stopIfTrue="1" operator="greaterThan">
      <formula>$G$37-$F$37 + 0.0001</formula>
    </cfRule>
  </conditionalFormatting>
  <conditionalFormatting sqref="A38">
    <cfRule type="expression" dxfId="1856" priority="251" stopIfTrue="1">
      <formula>ISBLANK($A$38)</formula>
    </cfRule>
  </conditionalFormatting>
  <conditionalFormatting sqref="B38">
    <cfRule type="expression" dxfId="1855" priority="252" stopIfTrue="1">
      <formula>ISBLANK($B$38)</formula>
    </cfRule>
  </conditionalFormatting>
  <conditionalFormatting sqref="F38">
    <cfRule type="cellIs" dxfId="1854" priority="253" stopIfTrue="1" operator="greaterThan">
      <formula>$G$38-$I$38</formula>
    </cfRule>
  </conditionalFormatting>
  <conditionalFormatting sqref="G38">
    <cfRule type="cellIs" dxfId="1853" priority="254" stopIfTrue="1" operator="lessThan">
      <formula>$F$38+$I$38</formula>
    </cfRule>
  </conditionalFormatting>
  <conditionalFormatting sqref="H38">
    <cfRule type="cellIs" dxfId="1852" priority="255" stopIfTrue="1" operator="equal">
      <formula>"May be visited"</formula>
    </cfRule>
  </conditionalFormatting>
  <conditionalFormatting sqref="H38">
    <cfRule type="cellIs" dxfId="1851" priority="256" stopIfTrue="1" operator="equal">
      <formula>"Don't visit"</formula>
    </cfRule>
  </conditionalFormatting>
  <conditionalFormatting sqref="I38">
    <cfRule type="cellIs" dxfId="1850" priority="257" stopIfTrue="1" operator="greaterThan">
      <formula>$G$38-$F$38 + 0.0001</formula>
    </cfRule>
  </conditionalFormatting>
  <conditionalFormatting sqref="A39">
    <cfRule type="expression" dxfId="1849" priority="258" stopIfTrue="1">
      <formula>ISBLANK($A$39)</formula>
    </cfRule>
  </conditionalFormatting>
  <conditionalFormatting sqref="B39">
    <cfRule type="expression" dxfId="1848" priority="259" stopIfTrue="1">
      <formula>ISBLANK($B$39)</formula>
    </cfRule>
  </conditionalFormatting>
  <conditionalFormatting sqref="F39">
    <cfRule type="cellIs" dxfId="1847" priority="260" stopIfTrue="1" operator="greaterThan">
      <formula>$G$39-$I$39</formula>
    </cfRule>
  </conditionalFormatting>
  <conditionalFormatting sqref="G39">
    <cfRule type="cellIs" dxfId="1846" priority="261" stopIfTrue="1" operator="lessThan">
      <formula>$F$39+$I$39</formula>
    </cfRule>
  </conditionalFormatting>
  <conditionalFormatting sqref="H39">
    <cfRule type="cellIs" dxfId="1845" priority="262" stopIfTrue="1" operator="equal">
      <formula>"May be visited"</formula>
    </cfRule>
  </conditionalFormatting>
  <conditionalFormatting sqref="H39">
    <cfRule type="cellIs" dxfId="1844" priority="263" stopIfTrue="1" operator="equal">
      <formula>"Don't visit"</formula>
    </cfRule>
  </conditionalFormatting>
  <conditionalFormatting sqref="I39">
    <cfRule type="cellIs" dxfId="1843" priority="264" stopIfTrue="1" operator="greaterThan">
      <formula>$G$39-$F$39 + 0.0001</formula>
    </cfRule>
  </conditionalFormatting>
  <conditionalFormatting sqref="A40">
    <cfRule type="expression" dxfId="1842" priority="265" stopIfTrue="1">
      <formula>ISBLANK($A$40)</formula>
    </cfRule>
  </conditionalFormatting>
  <conditionalFormatting sqref="B40">
    <cfRule type="expression" dxfId="1841" priority="266" stopIfTrue="1">
      <formula>ISBLANK($B$40)</formula>
    </cfRule>
  </conditionalFormatting>
  <conditionalFormatting sqref="F40">
    <cfRule type="cellIs" dxfId="1840" priority="267" stopIfTrue="1" operator="greaterThan">
      <formula>$G$40-$I$40</formula>
    </cfRule>
  </conditionalFormatting>
  <conditionalFormatting sqref="G40">
    <cfRule type="cellIs" dxfId="1839" priority="268" stopIfTrue="1" operator="lessThan">
      <formula>$F$40+$I$40</formula>
    </cfRule>
  </conditionalFormatting>
  <conditionalFormatting sqref="H40">
    <cfRule type="cellIs" dxfId="1838" priority="269" stopIfTrue="1" operator="equal">
      <formula>"May be visited"</formula>
    </cfRule>
  </conditionalFormatting>
  <conditionalFormatting sqref="H40">
    <cfRule type="cellIs" dxfId="1837" priority="270" stopIfTrue="1" operator="equal">
      <formula>"Don't visit"</formula>
    </cfRule>
  </conditionalFormatting>
  <conditionalFormatting sqref="I40">
    <cfRule type="cellIs" dxfId="1836" priority="271" stopIfTrue="1" operator="greaterThan">
      <formula>$G$40-$F$40 + 0.0001</formula>
    </cfRule>
  </conditionalFormatting>
  <conditionalFormatting sqref="A41">
    <cfRule type="expression" dxfId="1835" priority="272" stopIfTrue="1">
      <formula>ISBLANK($A$41)</formula>
    </cfRule>
  </conditionalFormatting>
  <conditionalFormatting sqref="B41">
    <cfRule type="expression" dxfId="1834" priority="273" stopIfTrue="1">
      <formula>ISBLANK($B$41)</formula>
    </cfRule>
  </conditionalFormatting>
  <conditionalFormatting sqref="F41">
    <cfRule type="cellIs" dxfId="1833" priority="274" stopIfTrue="1" operator="greaterThan">
      <formula>$G$41-$I$41</formula>
    </cfRule>
  </conditionalFormatting>
  <conditionalFormatting sqref="G41">
    <cfRule type="cellIs" dxfId="1832" priority="275" stopIfTrue="1" operator="lessThan">
      <formula>$F$41+$I$41</formula>
    </cfRule>
  </conditionalFormatting>
  <conditionalFormatting sqref="H41">
    <cfRule type="cellIs" dxfId="1831" priority="276" stopIfTrue="1" operator="equal">
      <formula>"May be visited"</formula>
    </cfRule>
  </conditionalFormatting>
  <conditionalFormatting sqref="H41">
    <cfRule type="cellIs" dxfId="1830" priority="277" stopIfTrue="1" operator="equal">
      <formula>"Don't visit"</formula>
    </cfRule>
  </conditionalFormatting>
  <conditionalFormatting sqref="I41">
    <cfRule type="cellIs" dxfId="1829" priority="278" stopIfTrue="1" operator="greaterThan">
      <formula>$G$41-$F$41 + 0.0001</formula>
    </cfRule>
  </conditionalFormatting>
  <conditionalFormatting sqref="A42">
    <cfRule type="expression" dxfId="1828" priority="279" stopIfTrue="1">
      <formula>ISBLANK($A$42)</formula>
    </cfRule>
  </conditionalFormatting>
  <conditionalFormatting sqref="B42">
    <cfRule type="expression" dxfId="1827" priority="280" stopIfTrue="1">
      <formula>ISBLANK($B$42)</formula>
    </cfRule>
  </conditionalFormatting>
  <conditionalFormatting sqref="F42">
    <cfRule type="cellIs" dxfId="1826" priority="281" stopIfTrue="1" operator="greaterThan">
      <formula>$G$42-$I$42</formula>
    </cfRule>
  </conditionalFormatting>
  <conditionalFormatting sqref="G42">
    <cfRule type="cellIs" dxfId="1825" priority="282" stopIfTrue="1" operator="lessThan">
      <formula>$F$42+$I$42</formula>
    </cfRule>
  </conditionalFormatting>
  <conditionalFormatting sqref="H42">
    <cfRule type="cellIs" dxfId="1824" priority="283" stopIfTrue="1" operator="equal">
      <formula>"May be visited"</formula>
    </cfRule>
  </conditionalFormatting>
  <conditionalFormatting sqref="H42">
    <cfRule type="cellIs" dxfId="1823" priority="284" stopIfTrue="1" operator="equal">
      <formula>"Don't visit"</formula>
    </cfRule>
  </conditionalFormatting>
  <conditionalFormatting sqref="I42">
    <cfRule type="cellIs" dxfId="1822" priority="285" stopIfTrue="1" operator="greaterThan">
      <formula>$G$42-$F$42 + 0.0001</formula>
    </cfRule>
  </conditionalFormatting>
  <conditionalFormatting sqref="A43">
    <cfRule type="expression" dxfId="1821" priority="286" stopIfTrue="1">
      <formula>ISBLANK($A$43)</formula>
    </cfRule>
  </conditionalFormatting>
  <conditionalFormatting sqref="B43">
    <cfRule type="expression" dxfId="1820" priority="287" stopIfTrue="1">
      <formula>ISBLANK($B$43)</formula>
    </cfRule>
  </conditionalFormatting>
  <conditionalFormatting sqref="F43">
    <cfRule type="cellIs" dxfId="1819" priority="288" stopIfTrue="1" operator="greaterThan">
      <formula>$G$43-$I$43</formula>
    </cfRule>
  </conditionalFormatting>
  <conditionalFormatting sqref="G43">
    <cfRule type="cellIs" dxfId="1818" priority="289" stopIfTrue="1" operator="lessThan">
      <formula>$F$43+$I$43</formula>
    </cfRule>
  </conditionalFormatting>
  <conditionalFormatting sqref="H43">
    <cfRule type="cellIs" dxfId="1817" priority="290" stopIfTrue="1" operator="equal">
      <formula>"May be visited"</formula>
    </cfRule>
  </conditionalFormatting>
  <conditionalFormatting sqref="H43">
    <cfRule type="cellIs" dxfId="1816" priority="291" stopIfTrue="1" operator="equal">
      <formula>"Don't visit"</formula>
    </cfRule>
  </conditionalFormatting>
  <conditionalFormatting sqref="I43">
    <cfRule type="cellIs" dxfId="1815" priority="292" stopIfTrue="1" operator="greaterThan">
      <formula>$G$43-$F$43 + 0.0001</formula>
    </cfRule>
  </conditionalFormatting>
  <conditionalFormatting sqref="A44">
    <cfRule type="expression" dxfId="1814" priority="293" stopIfTrue="1">
      <formula>ISBLANK($A$44)</formula>
    </cfRule>
  </conditionalFormatting>
  <conditionalFormatting sqref="B44">
    <cfRule type="expression" dxfId="1813" priority="294" stopIfTrue="1">
      <formula>ISBLANK($B$44)</formula>
    </cfRule>
  </conditionalFormatting>
  <conditionalFormatting sqref="F44">
    <cfRule type="cellIs" dxfId="1812" priority="295" stopIfTrue="1" operator="greaterThan">
      <formula>$G$44-$I$44</formula>
    </cfRule>
  </conditionalFormatting>
  <conditionalFormatting sqref="G44">
    <cfRule type="cellIs" dxfId="1811" priority="296" stopIfTrue="1" operator="lessThan">
      <formula>$F$44+$I$44</formula>
    </cfRule>
  </conditionalFormatting>
  <conditionalFormatting sqref="H44">
    <cfRule type="cellIs" dxfId="1810" priority="297" stopIfTrue="1" operator="equal">
      <formula>"May be visited"</formula>
    </cfRule>
  </conditionalFormatting>
  <conditionalFormatting sqref="H44">
    <cfRule type="cellIs" dxfId="1809" priority="298" stopIfTrue="1" operator="equal">
      <formula>"Don't visit"</formula>
    </cfRule>
  </conditionalFormatting>
  <conditionalFormatting sqref="I44">
    <cfRule type="cellIs" dxfId="1808" priority="299" stopIfTrue="1" operator="greaterThan">
      <formula>$G$44-$F$44 + 0.0001</formula>
    </cfRule>
  </conditionalFormatting>
  <conditionalFormatting sqref="A45">
    <cfRule type="expression" dxfId="1807" priority="300" stopIfTrue="1">
      <formula>ISBLANK($A$45)</formula>
    </cfRule>
  </conditionalFormatting>
  <conditionalFormatting sqref="B45">
    <cfRule type="expression" dxfId="1806" priority="301" stopIfTrue="1">
      <formula>ISBLANK($B$45)</formula>
    </cfRule>
  </conditionalFormatting>
  <conditionalFormatting sqref="F45">
    <cfRule type="cellIs" dxfId="1805" priority="302" stopIfTrue="1" operator="greaterThan">
      <formula>$G$45-$I$45</formula>
    </cfRule>
  </conditionalFormatting>
  <conditionalFormatting sqref="G45">
    <cfRule type="cellIs" dxfId="1804" priority="303" stopIfTrue="1" operator="lessThan">
      <formula>$F$45+$I$45</formula>
    </cfRule>
  </conditionalFormatting>
  <conditionalFormatting sqref="H45">
    <cfRule type="cellIs" dxfId="1803" priority="304" stopIfTrue="1" operator="equal">
      <formula>"May be visited"</formula>
    </cfRule>
  </conditionalFormatting>
  <conditionalFormatting sqref="H45">
    <cfRule type="cellIs" dxfId="1802" priority="305" stopIfTrue="1" operator="equal">
      <formula>"Don't visit"</formula>
    </cfRule>
  </conditionalFormatting>
  <conditionalFormatting sqref="I45">
    <cfRule type="cellIs" dxfId="1801" priority="306" stopIfTrue="1" operator="greaterThan">
      <formula>$G$45-$F$45 + 0.0001</formula>
    </cfRule>
  </conditionalFormatting>
  <conditionalFormatting sqref="A46">
    <cfRule type="expression" dxfId="1800" priority="307" stopIfTrue="1">
      <formula>ISBLANK($A$46)</formula>
    </cfRule>
  </conditionalFormatting>
  <conditionalFormatting sqref="B46">
    <cfRule type="expression" dxfId="1799" priority="308" stopIfTrue="1">
      <formula>ISBLANK($B$46)</formula>
    </cfRule>
  </conditionalFormatting>
  <conditionalFormatting sqref="F46">
    <cfRule type="cellIs" dxfId="1798" priority="309" stopIfTrue="1" operator="greaterThan">
      <formula>$G$46-$I$46</formula>
    </cfRule>
  </conditionalFormatting>
  <conditionalFormatting sqref="G46">
    <cfRule type="cellIs" dxfId="1797" priority="310" stopIfTrue="1" operator="lessThan">
      <formula>$F$46+$I$46</formula>
    </cfRule>
  </conditionalFormatting>
  <conditionalFormatting sqref="H46">
    <cfRule type="cellIs" dxfId="1796" priority="311" stopIfTrue="1" operator="equal">
      <formula>"May be visited"</formula>
    </cfRule>
  </conditionalFormatting>
  <conditionalFormatting sqref="H46">
    <cfRule type="cellIs" dxfId="1795" priority="312" stopIfTrue="1" operator="equal">
      <formula>"Don't visit"</formula>
    </cfRule>
  </conditionalFormatting>
  <conditionalFormatting sqref="I46">
    <cfRule type="cellIs" dxfId="1794" priority="313" stopIfTrue="1" operator="greaterThan">
      <formula>$G$46-$F$46 + 0.0001</formula>
    </cfRule>
  </conditionalFormatting>
  <conditionalFormatting sqref="A47">
    <cfRule type="expression" dxfId="1793" priority="314" stopIfTrue="1">
      <formula>ISBLANK($A$47)</formula>
    </cfRule>
  </conditionalFormatting>
  <conditionalFormatting sqref="B47">
    <cfRule type="expression" dxfId="1792" priority="315" stopIfTrue="1">
      <formula>ISBLANK($B$47)</formula>
    </cfRule>
  </conditionalFormatting>
  <conditionalFormatting sqref="F47">
    <cfRule type="cellIs" dxfId="1791" priority="316" stopIfTrue="1" operator="greaterThan">
      <formula>$G$47-$I$47</formula>
    </cfRule>
  </conditionalFormatting>
  <conditionalFormatting sqref="G47">
    <cfRule type="cellIs" dxfId="1790" priority="317" stopIfTrue="1" operator="lessThan">
      <formula>$F$47+$I$47</formula>
    </cfRule>
  </conditionalFormatting>
  <conditionalFormatting sqref="H47">
    <cfRule type="cellIs" dxfId="1789" priority="318" stopIfTrue="1" operator="equal">
      <formula>"May be visited"</formula>
    </cfRule>
  </conditionalFormatting>
  <conditionalFormatting sqref="H47">
    <cfRule type="cellIs" dxfId="1788" priority="319" stopIfTrue="1" operator="equal">
      <formula>"Don't visit"</formula>
    </cfRule>
  </conditionalFormatting>
  <conditionalFormatting sqref="I47">
    <cfRule type="cellIs" dxfId="1787" priority="320" stopIfTrue="1" operator="greaterThan">
      <formula>$G$47-$F$47 + 0.0001</formula>
    </cfRule>
  </conditionalFormatting>
  <conditionalFormatting sqref="A48">
    <cfRule type="expression" dxfId="1786" priority="321" stopIfTrue="1">
      <formula>ISBLANK($A$48)</formula>
    </cfRule>
  </conditionalFormatting>
  <conditionalFormatting sqref="B48">
    <cfRule type="expression" dxfId="1785" priority="322" stopIfTrue="1">
      <formula>ISBLANK($B$48)</formula>
    </cfRule>
  </conditionalFormatting>
  <conditionalFormatting sqref="F48">
    <cfRule type="cellIs" dxfId="1784" priority="323" stopIfTrue="1" operator="greaterThan">
      <formula>$G$48-$I$48</formula>
    </cfRule>
  </conditionalFormatting>
  <conditionalFormatting sqref="G48">
    <cfRule type="cellIs" dxfId="1783" priority="324" stopIfTrue="1" operator="lessThan">
      <formula>$F$48+$I$48</formula>
    </cfRule>
  </conditionalFormatting>
  <conditionalFormatting sqref="H48">
    <cfRule type="cellIs" dxfId="1782" priority="325" stopIfTrue="1" operator="equal">
      <formula>"May be visited"</formula>
    </cfRule>
  </conditionalFormatting>
  <conditionalFormatting sqref="H48">
    <cfRule type="cellIs" dxfId="1781" priority="326" stopIfTrue="1" operator="equal">
      <formula>"Don't visit"</formula>
    </cfRule>
  </conditionalFormatting>
  <conditionalFormatting sqref="I48">
    <cfRule type="cellIs" dxfId="1780" priority="327" stopIfTrue="1" operator="greaterThan">
      <formula>$G$48-$F$48 + 0.0001</formula>
    </cfRule>
  </conditionalFormatting>
  <conditionalFormatting sqref="A49">
    <cfRule type="expression" dxfId="1779" priority="328" stopIfTrue="1">
      <formula>ISBLANK($A$49)</formula>
    </cfRule>
  </conditionalFormatting>
  <conditionalFormatting sqref="B49">
    <cfRule type="expression" dxfId="1778" priority="329" stopIfTrue="1">
      <formula>ISBLANK($B$49)</formula>
    </cfRule>
  </conditionalFormatting>
  <conditionalFormatting sqref="F49">
    <cfRule type="cellIs" dxfId="1777" priority="330" stopIfTrue="1" operator="greaterThan">
      <formula>$G$49-$I$49</formula>
    </cfRule>
  </conditionalFormatting>
  <conditionalFormatting sqref="G49">
    <cfRule type="cellIs" dxfId="1776" priority="331" stopIfTrue="1" operator="lessThan">
      <formula>$F$49+$I$49</formula>
    </cfRule>
  </conditionalFormatting>
  <conditionalFormatting sqref="H49">
    <cfRule type="cellIs" dxfId="1775" priority="332" stopIfTrue="1" operator="equal">
      <formula>"May be visited"</formula>
    </cfRule>
  </conditionalFormatting>
  <conditionalFormatting sqref="H49">
    <cfRule type="cellIs" dxfId="1774" priority="333" stopIfTrue="1" operator="equal">
      <formula>"Don't visit"</formula>
    </cfRule>
  </conditionalFormatting>
  <conditionalFormatting sqref="I49">
    <cfRule type="cellIs" dxfId="1773" priority="334" stopIfTrue="1" operator="greaterThan">
      <formula>$G$49-$F$49 + 0.0001</formula>
    </cfRule>
  </conditionalFormatting>
  <conditionalFormatting sqref="A50">
    <cfRule type="expression" dxfId="1772" priority="335" stopIfTrue="1">
      <formula>ISBLANK($A$50)</formula>
    </cfRule>
  </conditionalFormatting>
  <conditionalFormatting sqref="B50">
    <cfRule type="expression" dxfId="1771" priority="336" stopIfTrue="1">
      <formula>ISBLANK($B$50)</formula>
    </cfRule>
  </conditionalFormatting>
  <conditionalFormatting sqref="F50">
    <cfRule type="cellIs" dxfId="1770" priority="337" stopIfTrue="1" operator="greaterThan">
      <formula>$G$50-$I$50</formula>
    </cfRule>
  </conditionalFormatting>
  <conditionalFormatting sqref="G50">
    <cfRule type="cellIs" dxfId="1769" priority="338" stopIfTrue="1" operator="lessThan">
      <formula>$F$50+$I$50</formula>
    </cfRule>
  </conditionalFormatting>
  <conditionalFormatting sqref="H50">
    <cfRule type="cellIs" dxfId="1768" priority="339" stopIfTrue="1" operator="equal">
      <formula>"May be visited"</formula>
    </cfRule>
  </conditionalFormatting>
  <conditionalFormatting sqref="H50">
    <cfRule type="cellIs" dxfId="1767" priority="340" stopIfTrue="1" operator="equal">
      <formula>"Don't visit"</formula>
    </cfRule>
  </conditionalFormatting>
  <conditionalFormatting sqref="I50">
    <cfRule type="cellIs" dxfId="1766" priority="341" stopIfTrue="1" operator="greaterThan">
      <formula>$G$50-$F$50 + 0.0001</formula>
    </cfRule>
  </conditionalFormatting>
  <conditionalFormatting sqref="A51">
    <cfRule type="expression" dxfId="1765" priority="342" stopIfTrue="1">
      <formula>ISBLANK($A$51)</formula>
    </cfRule>
  </conditionalFormatting>
  <conditionalFormatting sqref="B51">
    <cfRule type="expression" dxfId="1764" priority="343" stopIfTrue="1">
      <formula>ISBLANK($B$51)</formula>
    </cfRule>
  </conditionalFormatting>
  <conditionalFormatting sqref="F51">
    <cfRule type="cellIs" dxfId="1763" priority="344" stopIfTrue="1" operator="greaterThan">
      <formula>$G$51-$I$51</formula>
    </cfRule>
  </conditionalFormatting>
  <conditionalFormatting sqref="G51">
    <cfRule type="cellIs" dxfId="1762" priority="345" stopIfTrue="1" operator="lessThan">
      <formula>$F$51+$I$51</formula>
    </cfRule>
  </conditionalFormatting>
  <conditionalFormatting sqref="H51">
    <cfRule type="cellIs" dxfId="1761" priority="346" stopIfTrue="1" operator="equal">
      <formula>"May be visited"</formula>
    </cfRule>
  </conditionalFormatting>
  <conditionalFormatting sqref="H51">
    <cfRule type="cellIs" dxfId="1760" priority="347" stopIfTrue="1" operator="equal">
      <formula>"Don't visit"</formula>
    </cfRule>
  </conditionalFormatting>
  <conditionalFormatting sqref="I51">
    <cfRule type="cellIs" dxfId="1759" priority="348" stopIfTrue="1" operator="greaterThan">
      <formula>$G$51-$F$51 + 0.0001</formula>
    </cfRule>
  </conditionalFormatting>
  <conditionalFormatting sqref="A52">
    <cfRule type="expression" dxfId="1758" priority="349" stopIfTrue="1">
      <formula>ISBLANK($A$52)</formula>
    </cfRule>
  </conditionalFormatting>
  <conditionalFormatting sqref="B52">
    <cfRule type="expression" dxfId="1757" priority="350" stopIfTrue="1">
      <formula>ISBLANK($B$52)</formula>
    </cfRule>
  </conditionalFormatting>
  <conditionalFormatting sqref="F52">
    <cfRule type="cellIs" dxfId="1756" priority="351" stopIfTrue="1" operator="greaterThan">
      <formula>$G$52-$I$52</formula>
    </cfRule>
  </conditionalFormatting>
  <conditionalFormatting sqref="G52">
    <cfRule type="cellIs" dxfId="1755" priority="352" stopIfTrue="1" operator="lessThan">
      <formula>$F$52+$I$52</formula>
    </cfRule>
  </conditionalFormatting>
  <conditionalFormatting sqref="H52">
    <cfRule type="cellIs" dxfId="1754" priority="353" stopIfTrue="1" operator="equal">
      <formula>"May be visited"</formula>
    </cfRule>
  </conditionalFormatting>
  <conditionalFormatting sqref="H52">
    <cfRule type="cellIs" dxfId="1753" priority="354" stopIfTrue="1" operator="equal">
      <formula>"Don't visit"</formula>
    </cfRule>
  </conditionalFormatting>
  <conditionalFormatting sqref="I52">
    <cfRule type="cellIs" dxfId="1752" priority="355" stopIfTrue="1" operator="greaterThan">
      <formula>$G$52-$F$52 + 0.0001</formula>
    </cfRule>
  </conditionalFormatting>
  <conditionalFormatting sqref="A53">
    <cfRule type="expression" dxfId="1751" priority="356" stopIfTrue="1">
      <formula>ISBLANK($A$53)</formula>
    </cfRule>
  </conditionalFormatting>
  <conditionalFormatting sqref="B53">
    <cfRule type="expression" dxfId="1750" priority="357" stopIfTrue="1">
      <formula>ISBLANK($B$53)</formula>
    </cfRule>
  </conditionalFormatting>
  <conditionalFormatting sqref="F53">
    <cfRule type="cellIs" dxfId="1749" priority="358" stopIfTrue="1" operator="greaterThan">
      <formula>$G$53-$I$53</formula>
    </cfRule>
  </conditionalFormatting>
  <conditionalFormatting sqref="G53">
    <cfRule type="cellIs" dxfId="1748" priority="359" stopIfTrue="1" operator="lessThan">
      <formula>$F$53+$I$53</formula>
    </cfRule>
  </conditionalFormatting>
  <conditionalFormatting sqref="H53">
    <cfRule type="cellIs" dxfId="1747" priority="360" stopIfTrue="1" operator="equal">
      <formula>"May be visited"</formula>
    </cfRule>
  </conditionalFormatting>
  <conditionalFormatting sqref="H53">
    <cfRule type="cellIs" dxfId="1746" priority="361" stopIfTrue="1" operator="equal">
      <formula>"Don't visit"</formula>
    </cfRule>
  </conditionalFormatting>
  <conditionalFormatting sqref="I53">
    <cfRule type="cellIs" dxfId="1745" priority="362" stopIfTrue="1" operator="greaterThan">
      <formula>$G$53-$F$53 + 0.0001</formula>
    </cfRule>
  </conditionalFormatting>
  <conditionalFormatting sqref="A54">
    <cfRule type="expression" dxfId="1744" priority="363" stopIfTrue="1">
      <formula>ISBLANK($A$54)</formula>
    </cfRule>
  </conditionalFormatting>
  <conditionalFormatting sqref="B54">
    <cfRule type="expression" dxfId="1743" priority="364" stopIfTrue="1">
      <formula>ISBLANK($B$54)</formula>
    </cfRule>
  </conditionalFormatting>
  <conditionalFormatting sqref="F54">
    <cfRule type="cellIs" dxfId="1742" priority="365" stopIfTrue="1" operator="greaterThan">
      <formula>$G$54-$I$54</formula>
    </cfRule>
  </conditionalFormatting>
  <conditionalFormatting sqref="G54">
    <cfRule type="cellIs" dxfId="1741" priority="366" stopIfTrue="1" operator="lessThan">
      <formula>$F$54+$I$54</formula>
    </cfRule>
  </conditionalFormatting>
  <conditionalFormatting sqref="H54">
    <cfRule type="cellIs" dxfId="1740" priority="367" stopIfTrue="1" operator="equal">
      <formula>"May be visited"</formula>
    </cfRule>
  </conditionalFormatting>
  <conditionalFormatting sqref="H54">
    <cfRule type="cellIs" dxfId="1739" priority="368" stopIfTrue="1" operator="equal">
      <formula>"Don't visit"</formula>
    </cfRule>
  </conditionalFormatting>
  <conditionalFormatting sqref="I54">
    <cfRule type="cellIs" dxfId="1738" priority="369" stopIfTrue="1" operator="greaterThan">
      <formula>$G$54-$F$54 + 0.0001</formula>
    </cfRule>
  </conditionalFormatting>
  <conditionalFormatting sqref="A55">
    <cfRule type="expression" dxfId="1737" priority="370" stopIfTrue="1">
      <formula>ISBLANK($A$55)</formula>
    </cfRule>
  </conditionalFormatting>
  <conditionalFormatting sqref="B55">
    <cfRule type="expression" dxfId="1736" priority="371" stopIfTrue="1">
      <formula>ISBLANK($B$55)</formula>
    </cfRule>
  </conditionalFormatting>
  <conditionalFormatting sqref="F55">
    <cfRule type="cellIs" dxfId="1735" priority="372" stopIfTrue="1" operator="greaterThan">
      <formula>$G$55-$I$55</formula>
    </cfRule>
  </conditionalFormatting>
  <conditionalFormatting sqref="G55">
    <cfRule type="cellIs" dxfId="1734" priority="373" stopIfTrue="1" operator="lessThan">
      <formula>$F$55+$I$55</formula>
    </cfRule>
  </conditionalFormatting>
  <conditionalFormatting sqref="H55">
    <cfRule type="cellIs" dxfId="1733" priority="374" stopIfTrue="1" operator="equal">
      <formula>"May be visited"</formula>
    </cfRule>
  </conditionalFormatting>
  <conditionalFormatting sqref="H55">
    <cfRule type="cellIs" dxfId="1732" priority="375" stopIfTrue="1" operator="equal">
      <formula>"Don't visit"</formula>
    </cfRule>
  </conditionalFormatting>
  <conditionalFormatting sqref="I55">
    <cfRule type="cellIs" dxfId="1731" priority="376" stopIfTrue="1" operator="greaterThan">
      <formula>$G$55-$F$55 + 0.0001</formula>
    </cfRule>
  </conditionalFormatting>
  <conditionalFormatting sqref="A56">
    <cfRule type="expression" dxfId="1730" priority="377" stopIfTrue="1">
      <formula>ISBLANK($A$56)</formula>
    </cfRule>
  </conditionalFormatting>
  <conditionalFormatting sqref="B56">
    <cfRule type="expression" dxfId="1729" priority="378" stopIfTrue="1">
      <formula>ISBLANK($B$56)</formula>
    </cfRule>
  </conditionalFormatting>
  <conditionalFormatting sqref="F56">
    <cfRule type="cellIs" dxfId="1728" priority="379" stopIfTrue="1" operator="greaterThan">
      <formula>$G$56-$I$56</formula>
    </cfRule>
  </conditionalFormatting>
  <conditionalFormatting sqref="G56">
    <cfRule type="cellIs" dxfId="1727" priority="380" stopIfTrue="1" operator="lessThan">
      <formula>$F$56+$I$56</formula>
    </cfRule>
  </conditionalFormatting>
  <conditionalFormatting sqref="H56">
    <cfRule type="cellIs" dxfId="1726" priority="381" stopIfTrue="1" operator="equal">
      <formula>"May be visited"</formula>
    </cfRule>
  </conditionalFormatting>
  <conditionalFormatting sqref="H56">
    <cfRule type="cellIs" dxfId="1725" priority="382" stopIfTrue="1" operator="equal">
      <formula>"Don't visit"</formula>
    </cfRule>
  </conditionalFormatting>
  <conditionalFormatting sqref="I56">
    <cfRule type="cellIs" dxfId="1724" priority="383" stopIfTrue="1" operator="greaterThan">
      <formula>$G$56-$F$56 + 0.0001</formula>
    </cfRule>
  </conditionalFormatting>
  <conditionalFormatting sqref="A57">
    <cfRule type="expression" dxfId="1723" priority="384" stopIfTrue="1">
      <formula>ISBLANK($A$57)</formula>
    </cfRule>
  </conditionalFormatting>
  <conditionalFormatting sqref="B57">
    <cfRule type="expression" dxfId="1722" priority="385" stopIfTrue="1">
      <formula>ISBLANK($B$57)</formula>
    </cfRule>
  </conditionalFormatting>
  <conditionalFormatting sqref="F57">
    <cfRule type="cellIs" dxfId="1721" priority="386" stopIfTrue="1" operator="greaterThan">
      <formula>$G$57-$I$57</formula>
    </cfRule>
  </conditionalFormatting>
  <conditionalFormatting sqref="G57">
    <cfRule type="cellIs" dxfId="1720" priority="387" stopIfTrue="1" operator="lessThan">
      <formula>$F$57+$I$57</formula>
    </cfRule>
  </conditionalFormatting>
  <conditionalFormatting sqref="H57">
    <cfRule type="cellIs" dxfId="1719" priority="388" stopIfTrue="1" operator="equal">
      <formula>"May be visited"</formula>
    </cfRule>
  </conditionalFormatting>
  <conditionalFormatting sqref="H57">
    <cfRule type="cellIs" dxfId="1718" priority="389" stopIfTrue="1" operator="equal">
      <formula>"Don't visit"</formula>
    </cfRule>
  </conditionalFormatting>
  <conditionalFormatting sqref="I57">
    <cfRule type="cellIs" dxfId="1717" priority="390" stopIfTrue="1" operator="greaterThan">
      <formula>$G$57-$F$57 + 0.0001</formula>
    </cfRule>
  </conditionalFormatting>
  <conditionalFormatting sqref="A58">
    <cfRule type="expression" dxfId="1716" priority="391" stopIfTrue="1">
      <formula>ISBLANK($A$58)</formula>
    </cfRule>
  </conditionalFormatting>
  <conditionalFormatting sqref="B58">
    <cfRule type="expression" dxfId="1715" priority="392" stopIfTrue="1">
      <formula>ISBLANK($B$58)</formula>
    </cfRule>
  </conditionalFormatting>
  <conditionalFormatting sqref="F58">
    <cfRule type="cellIs" dxfId="1714" priority="393" stopIfTrue="1" operator="greaterThan">
      <formula>$G$58-$I$58</formula>
    </cfRule>
  </conditionalFormatting>
  <conditionalFormatting sqref="G58">
    <cfRule type="cellIs" dxfId="1713" priority="394" stopIfTrue="1" operator="lessThan">
      <formula>$F$58+$I$58</formula>
    </cfRule>
  </conditionalFormatting>
  <conditionalFormatting sqref="H58">
    <cfRule type="cellIs" dxfId="1712" priority="395" stopIfTrue="1" operator="equal">
      <formula>"May be visited"</formula>
    </cfRule>
  </conditionalFormatting>
  <conditionalFormatting sqref="H58">
    <cfRule type="cellIs" dxfId="1711" priority="396" stopIfTrue="1" operator="equal">
      <formula>"Don't visit"</formula>
    </cfRule>
  </conditionalFormatting>
  <conditionalFormatting sqref="I58">
    <cfRule type="cellIs" dxfId="1710" priority="397" stopIfTrue="1" operator="greaterThan">
      <formula>$G$58-$F$58 + 0.0001</formula>
    </cfRule>
  </conditionalFormatting>
  <conditionalFormatting sqref="A59">
    <cfRule type="expression" dxfId="1709" priority="398" stopIfTrue="1">
      <formula>ISBLANK($A$59)</formula>
    </cfRule>
  </conditionalFormatting>
  <conditionalFormatting sqref="B59">
    <cfRule type="expression" dxfId="1708" priority="399" stopIfTrue="1">
      <formula>ISBLANK($B$59)</formula>
    </cfRule>
  </conditionalFormatting>
  <conditionalFormatting sqref="F59">
    <cfRule type="cellIs" dxfId="1707" priority="400" stopIfTrue="1" operator="greaterThan">
      <formula>$G$59-$I$59</formula>
    </cfRule>
  </conditionalFormatting>
  <conditionalFormatting sqref="G59">
    <cfRule type="cellIs" dxfId="1706" priority="401" stopIfTrue="1" operator="lessThan">
      <formula>$F$59+$I$59</formula>
    </cfRule>
  </conditionalFormatting>
  <conditionalFormatting sqref="H59">
    <cfRule type="cellIs" dxfId="1705" priority="402" stopIfTrue="1" operator="equal">
      <formula>"May be visited"</formula>
    </cfRule>
  </conditionalFormatting>
  <conditionalFormatting sqref="H59">
    <cfRule type="cellIs" dxfId="1704" priority="403" stopIfTrue="1" operator="equal">
      <formula>"Don't visit"</formula>
    </cfRule>
  </conditionalFormatting>
  <conditionalFormatting sqref="I59">
    <cfRule type="cellIs" dxfId="1703" priority="404" stopIfTrue="1" operator="greaterThan">
      <formula>$G$59-$F$59 + 0.0001</formula>
    </cfRule>
  </conditionalFormatting>
  <conditionalFormatting sqref="A60">
    <cfRule type="expression" dxfId="1702" priority="405" stopIfTrue="1">
      <formula>ISBLANK($A$60)</formula>
    </cfRule>
  </conditionalFormatting>
  <conditionalFormatting sqref="B60">
    <cfRule type="expression" dxfId="1701" priority="406" stopIfTrue="1">
      <formula>ISBLANK($B$60)</formula>
    </cfRule>
  </conditionalFormatting>
  <conditionalFormatting sqref="F60">
    <cfRule type="cellIs" dxfId="1700" priority="407" stopIfTrue="1" operator="greaterThan">
      <formula>$G$60-$I$60</formula>
    </cfRule>
  </conditionalFormatting>
  <conditionalFormatting sqref="G60">
    <cfRule type="cellIs" dxfId="1699" priority="408" stopIfTrue="1" operator="lessThan">
      <formula>$F$60+$I$60</formula>
    </cfRule>
  </conditionalFormatting>
  <conditionalFormatting sqref="H60">
    <cfRule type="cellIs" dxfId="1698" priority="409" stopIfTrue="1" operator="equal">
      <formula>"May be visited"</formula>
    </cfRule>
  </conditionalFormatting>
  <conditionalFormatting sqref="H60">
    <cfRule type="cellIs" dxfId="1697" priority="410" stopIfTrue="1" operator="equal">
      <formula>"Don't visit"</formula>
    </cfRule>
  </conditionalFormatting>
  <conditionalFormatting sqref="I60">
    <cfRule type="cellIs" dxfId="1696" priority="411" stopIfTrue="1" operator="greaterThan">
      <formula>$G$60-$F$60 + 0.0001</formula>
    </cfRule>
  </conditionalFormatting>
  <conditionalFormatting sqref="A61">
    <cfRule type="expression" dxfId="1695" priority="412" stopIfTrue="1">
      <formula>ISBLANK($A$61)</formula>
    </cfRule>
  </conditionalFormatting>
  <conditionalFormatting sqref="B61">
    <cfRule type="expression" dxfId="1694" priority="413" stopIfTrue="1">
      <formula>ISBLANK($B$61)</formula>
    </cfRule>
  </conditionalFormatting>
  <conditionalFormatting sqref="F61">
    <cfRule type="cellIs" dxfId="1693" priority="414" stopIfTrue="1" operator="greaterThan">
      <formula>$G$61-$I$61</formula>
    </cfRule>
  </conditionalFormatting>
  <conditionalFormatting sqref="G61">
    <cfRule type="cellIs" dxfId="1692" priority="415" stopIfTrue="1" operator="lessThan">
      <formula>$F$61+$I$61</formula>
    </cfRule>
  </conditionalFormatting>
  <conditionalFormatting sqref="H61">
    <cfRule type="cellIs" dxfId="1691" priority="416" stopIfTrue="1" operator="equal">
      <formula>"May be visited"</formula>
    </cfRule>
  </conditionalFormatting>
  <conditionalFormatting sqref="H61">
    <cfRule type="cellIs" dxfId="1690" priority="417" stopIfTrue="1" operator="equal">
      <formula>"Don't visit"</formula>
    </cfRule>
  </conditionalFormatting>
  <conditionalFormatting sqref="I61">
    <cfRule type="cellIs" dxfId="1689" priority="418" stopIfTrue="1" operator="greaterThan">
      <formula>$G$61-$F$61 + 0.0001</formula>
    </cfRule>
  </conditionalFormatting>
  <conditionalFormatting sqref="A62">
    <cfRule type="expression" dxfId="1688" priority="419" stopIfTrue="1">
      <formula>ISBLANK($A$62)</formula>
    </cfRule>
  </conditionalFormatting>
  <conditionalFormatting sqref="B62">
    <cfRule type="expression" dxfId="1687" priority="420" stopIfTrue="1">
      <formula>ISBLANK($B$62)</formula>
    </cfRule>
  </conditionalFormatting>
  <conditionalFormatting sqref="F62">
    <cfRule type="cellIs" dxfId="1686" priority="421" stopIfTrue="1" operator="greaterThan">
      <formula>$G$62-$I$62</formula>
    </cfRule>
  </conditionalFormatting>
  <conditionalFormatting sqref="G62">
    <cfRule type="cellIs" dxfId="1685" priority="422" stopIfTrue="1" operator="lessThan">
      <formula>$F$62+$I$62</formula>
    </cfRule>
  </conditionalFormatting>
  <conditionalFormatting sqref="H62">
    <cfRule type="cellIs" dxfId="1684" priority="423" stopIfTrue="1" operator="equal">
      <formula>"May be visited"</formula>
    </cfRule>
  </conditionalFormatting>
  <conditionalFormatting sqref="H62">
    <cfRule type="cellIs" dxfId="1683" priority="424" stopIfTrue="1" operator="equal">
      <formula>"Don't visit"</formula>
    </cfRule>
  </conditionalFormatting>
  <conditionalFormatting sqref="I62">
    <cfRule type="cellIs" dxfId="1682" priority="425" stopIfTrue="1" operator="greaterThan">
      <formula>$G$62-$F$62 + 0.0001</formula>
    </cfRule>
  </conditionalFormatting>
  <conditionalFormatting sqref="A63">
    <cfRule type="expression" dxfId="1681" priority="426" stopIfTrue="1">
      <formula>ISBLANK($A$63)</formula>
    </cfRule>
  </conditionalFormatting>
  <conditionalFormatting sqref="B63">
    <cfRule type="expression" dxfId="1680" priority="427" stopIfTrue="1">
      <formula>ISBLANK($B$63)</formula>
    </cfRule>
  </conditionalFormatting>
  <conditionalFormatting sqref="F63">
    <cfRule type="cellIs" dxfId="1679" priority="428" stopIfTrue="1" operator="greaterThan">
      <formula>$G$63-$I$63</formula>
    </cfRule>
  </conditionalFormatting>
  <conditionalFormatting sqref="G63">
    <cfRule type="cellIs" dxfId="1678" priority="429" stopIfTrue="1" operator="lessThan">
      <formula>$F$63+$I$63</formula>
    </cfRule>
  </conditionalFormatting>
  <conditionalFormatting sqref="H63">
    <cfRule type="cellIs" dxfId="1677" priority="430" stopIfTrue="1" operator="equal">
      <formula>"May be visited"</formula>
    </cfRule>
  </conditionalFormatting>
  <conditionalFormatting sqref="H63">
    <cfRule type="cellIs" dxfId="1676" priority="431" stopIfTrue="1" operator="equal">
      <formula>"Don't visit"</formula>
    </cfRule>
  </conditionalFormatting>
  <conditionalFormatting sqref="I63">
    <cfRule type="cellIs" dxfId="1675" priority="432" stopIfTrue="1" operator="greaterThan">
      <formula>$G$63-$F$63 + 0.0001</formula>
    </cfRule>
  </conditionalFormatting>
  <conditionalFormatting sqref="A64">
    <cfRule type="expression" dxfId="1674" priority="433" stopIfTrue="1">
      <formula>ISBLANK($A$64)</formula>
    </cfRule>
  </conditionalFormatting>
  <conditionalFormatting sqref="B64">
    <cfRule type="expression" dxfId="1673" priority="434" stopIfTrue="1">
      <formula>ISBLANK($B$64)</formula>
    </cfRule>
  </conditionalFormatting>
  <conditionalFormatting sqref="F64">
    <cfRule type="cellIs" dxfId="1672" priority="435" stopIfTrue="1" operator="greaterThan">
      <formula>$G$64-$I$64</formula>
    </cfRule>
  </conditionalFormatting>
  <conditionalFormatting sqref="G64">
    <cfRule type="cellIs" dxfId="1671" priority="436" stopIfTrue="1" operator="lessThan">
      <formula>$F$64+$I$64</formula>
    </cfRule>
  </conditionalFormatting>
  <conditionalFormatting sqref="H64">
    <cfRule type="cellIs" dxfId="1670" priority="437" stopIfTrue="1" operator="equal">
      <formula>"May be visited"</formula>
    </cfRule>
  </conditionalFormatting>
  <conditionalFormatting sqref="H64">
    <cfRule type="cellIs" dxfId="1669" priority="438" stopIfTrue="1" operator="equal">
      <formula>"Don't visit"</formula>
    </cfRule>
  </conditionalFormatting>
  <conditionalFormatting sqref="I64">
    <cfRule type="cellIs" dxfId="1668" priority="439" stopIfTrue="1" operator="greaterThan">
      <formula>$G$64-$F$64 + 0.0001</formula>
    </cfRule>
  </conditionalFormatting>
  <conditionalFormatting sqref="A65">
    <cfRule type="expression" dxfId="1667" priority="440" stopIfTrue="1">
      <formula>ISBLANK($A$65)</formula>
    </cfRule>
  </conditionalFormatting>
  <conditionalFormatting sqref="B65">
    <cfRule type="expression" dxfId="1666" priority="441" stopIfTrue="1">
      <formula>ISBLANK($B$65)</formula>
    </cfRule>
  </conditionalFormatting>
  <conditionalFormatting sqref="F65">
    <cfRule type="cellIs" dxfId="1665" priority="442" stopIfTrue="1" operator="greaterThan">
      <formula>$G$65-$I$65</formula>
    </cfRule>
  </conditionalFormatting>
  <conditionalFormatting sqref="G65">
    <cfRule type="cellIs" dxfId="1664" priority="443" stopIfTrue="1" operator="lessThan">
      <formula>$F$65+$I$65</formula>
    </cfRule>
  </conditionalFormatting>
  <conditionalFormatting sqref="H65">
    <cfRule type="cellIs" dxfId="1663" priority="444" stopIfTrue="1" operator="equal">
      <formula>"May be visited"</formula>
    </cfRule>
  </conditionalFormatting>
  <conditionalFormatting sqref="H65">
    <cfRule type="cellIs" dxfId="1662" priority="445" stopIfTrue="1" operator="equal">
      <formula>"Don't visit"</formula>
    </cfRule>
  </conditionalFormatting>
  <conditionalFormatting sqref="I65">
    <cfRule type="cellIs" dxfId="1661" priority="446" stopIfTrue="1" operator="greaterThan">
      <formula>$G$65-$F$65 + 0.0001</formula>
    </cfRule>
  </conditionalFormatting>
  <conditionalFormatting sqref="A66">
    <cfRule type="expression" dxfId="1660" priority="447" stopIfTrue="1">
      <formula>ISBLANK($A$66)</formula>
    </cfRule>
  </conditionalFormatting>
  <conditionalFormatting sqref="B66">
    <cfRule type="expression" dxfId="1659" priority="448" stopIfTrue="1">
      <formula>ISBLANK($B$66)</formula>
    </cfRule>
  </conditionalFormatting>
  <conditionalFormatting sqref="F66">
    <cfRule type="cellIs" dxfId="1658" priority="449" stopIfTrue="1" operator="greaterThan">
      <formula>$G$66-$I$66</formula>
    </cfRule>
  </conditionalFormatting>
  <conditionalFormatting sqref="G66">
    <cfRule type="cellIs" dxfId="1657" priority="450" stopIfTrue="1" operator="lessThan">
      <formula>$F$66+$I$66</formula>
    </cfRule>
  </conditionalFormatting>
  <conditionalFormatting sqref="H66">
    <cfRule type="cellIs" dxfId="1656" priority="451" stopIfTrue="1" operator="equal">
      <formula>"May be visited"</formula>
    </cfRule>
  </conditionalFormatting>
  <conditionalFormatting sqref="H66">
    <cfRule type="cellIs" dxfId="1655" priority="452" stopIfTrue="1" operator="equal">
      <formula>"Don't visit"</formula>
    </cfRule>
  </conditionalFormatting>
  <conditionalFormatting sqref="I66">
    <cfRule type="cellIs" dxfId="1654" priority="453" stopIfTrue="1" operator="greaterThan">
      <formula>$G$66-$F$66 + 0.0001</formula>
    </cfRule>
  </conditionalFormatting>
  <conditionalFormatting sqref="A67">
    <cfRule type="expression" dxfId="1653" priority="454" stopIfTrue="1">
      <formula>ISBLANK($A$67)</formula>
    </cfRule>
  </conditionalFormatting>
  <conditionalFormatting sqref="B67">
    <cfRule type="expression" dxfId="1652" priority="455" stopIfTrue="1">
      <formula>ISBLANK($B$67)</formula>
    </cfRule>
  </conditionalFormatting>
  <conditionalFormatting sqref="F67">
    <cfRule type="cellIs" dxfId="1651" priority="456" stopIfTrue="1" operator="greaterThan">
      <formula>$G$67-$I$67</formula>
    </cfRule>
  </conditionalFormatting>
  <conditionalFormatting sqref="G67">
    <cfRule type="cellIs" dxfId="1650" priority="457" stopIfTrue="1" operator="lessThan">
      <formula>$F$67+$I$67</formula>
    </cfRule>
  </conditionalFormatting>
  <conditionalFormatting sqref="H67">
    <cfRule type="cellIs" dxfId="1649" priority="458" stopIfTrue="1" operator="equal">
      <formula>"May be visited"</formula>
    </cfRule>
  </conditionalFormatting>
  <conditionalFormatting sqref="H67">
    <cfRule type="cellIs" dxfId="1648" priority="459" stopIfTrue="1" operator="equal">
      <formula>"Don't visit"</formula>
    </cfRule>
  </conditionalFormatting>
  <conditionalFormatting sqref="I67">
    <cfRule type="cellIs" dxfId="1647" priority="460" stopIfTrue="1" operator="greaterThan">
      <formula>$G$67-$F$67 + 0.0001</formula>
    </cfRule>
  </conditionalFormatting>
  <conditionalFormatting sqref="A68">
    <cfRule type="expression" dxfId="1646" priority="461" stopIfTrue="1">
      <formula>ISBLANK($A$68)</formula>
    </cfRule>
  </conditionalFormatting>
  <conditionalFormatting sqref="B68">
    <cfRule type="expression" dxfId="1645" priority="462" stopIfTrue="1">
      <formula>ISBLANK($B$68)</formula>
    </cfRule>
  </conditionalFormatting>
  <conditionalFormatting sqref="F68">
    <cfRule type="cellIs" dxfId="1644" priority="463" stopIfTrue="1" operator="greaterThan">
      <formula>$G$68-$I$68</formula>
    </cfRule>
  </conditionalFormatting>
  <conditionalFormatting sqref="G68">
    <cfRule type="cellIs" dxfId="1643" priority="464" stopIfTrue="1" operator="lessThan">
      <formula>$F$68+$I$68</formula>
    </cfRule>
  </conditionalFormatting>
  <conditionalFormatting sqref="H68">
    <cfRule type="cellIs" dxfId="1642" priority="465" stopIfTrue="1" operator="equal">
      <formula>"May be visited"</formula>
    </cfRule>
  </conditionalFormatting>
  <conditionalFormatting sqref="H68">
    <cfRule type="cellIs" dxfId="1641" priority="466" stopIfTrue="1" operator="equal">
      <formula>"Don't visit"</formula>
    </cfRule>
  </conditionalFormatting>
  <conditionalFormatting sqref="I68">
    <cfRule type="cellIs" dxfId="1640" priority="467" stopIfTrue="1" operator="greaterThan">
      <formula>$G$68-$F$68 + 0.0001</formula>
    </cfRule>
  </conditionalFormatting>
  <conditionalFormatting sqref="A69">
    <cfRule type="expression" dxfId="1639" priority="468" stopIfTrue="1">
      <formula>ISBLANK($A$69)</formula>
    </cfRule>
  </conditionalFormatting>
  <conditionalFormatting sqref="B69">
    <cfRule type="expression" dxfId="1638" priority="469" stopIfTrue="1">
      <formula>ISBLANK($B$69)</formula>
    </cfRule>
  </conditionalFormatting>
  <conditionalFormatting sqref="F69">
    <cfRule type="cellIs" dxfId="1637" priority="470" stopIfTrue="1" operator="greaterThan">
      <formula>$G$69-$I$69</formula>
    </cfRule>
  </conditionalFormatting>
  <conditionalFormatting sqref="G69">
    <cfRule type="cellIs" dxfId="1636" priority="471" stopIfTrue="1" operator="lessThan">
      <formula>$F$69+$I$69</formula>
    </cfRule>
  </conditionalFormatting>
  <conditionalFormatting sqref="H69">
    <cfRule type="cellIs" dxfId="1635" priority="472" stopIfTrue="1" operator="equal">
      <formula>"May be visited"</formula>
    </cfRule>
  </conditionalFormatting>
  <conditionalFormatting sqref="H69">
    <cfRule type="cellIs" dxfId="1634" priority="473" stopIfTrue="1" operator="equal">
      <formula>"Don't visit"</formula>
    </cfRule>
  </conditionalFormatting>
  <conditionalFormatting sqref="I69">
    <cfRule type="cellIs" dxfId="1633" priority="474" stopIfTrue="1" operator="greaterThan">
      <formula>$G$69-$F$69 + 0.0001</formula>
    </cfRule>
  </conditionalFormatting>
  <conditionalFormatting sqref="A70">
    <cfRule type="expression" dxfId="1632" priority="475" stopIfTrue="1">
      <formula>ISBLANK($A$70)</formula>
    </cfRule>
  </conditionalFormatting>
  <conditionalFormatting sqref="B70">
    <cfRule type="expression" dxfId="1631" priority="476" stopIfTrue="1">
      <formula>ISBLANK($B$70)</formula>
    </cfRule>
  </conditionalFormatting>
  <conditionalFormatting sqref="F70">
    <cfRule type="cellIs" dxfId="1630" priority="477" stopIfTrue="1" operator="greaterThan">
      <formula>$G$70-$I$70</formula>
    </cfRule>
  </conditionalFormatting>
  <conditionalFormatting sqref="G70">
    <cfRule type="cellIs" dxfId="1629" priority="478" stopIfTrue="1" operator="lessThan">
      <formula>$F$70+$I$70</formula>
    </cfRule>
  </conditionalFormatting>
  <conditionalFormatting sqref="H70">
    <cfRule type="cellIs" dxfId="1628" priority="479" stopIfTrue="1" operator="equal">
      <formula>"May be visited"</formula>
    </cfRule>
  </conditionalFormatting>
  <conditionalFormatting sqref="H70">
    <cfRule type="cellIs" dxfId="1627" priority="480" stopIfTrue="1" operator="equal">
      <formula>"Don't visit"</formula>
    </cfRule>
  </conditionalFormatting>
  <conditionalFormatting sqref="I70">
    <cfRule type="cellIs" dxfId="1626" priority="481" stopIfTrue="1" operator="greaterThan">
      <formula>$G$70-$F$70 + 0.0001</formula>
    </cfRule>
  </conditionalFormatting>
  <conditionalFormatting sqref="A71">
    <cfRule type="expression" dxfId="1625" priority="482" stopIfTrue="1">
      <formula>ISBLANK($A$71)</formula>
    </cfRule>
  </conditionalFormatting>
  <conditionalFormatting sqref="B71">
    <cfRule type="expression" dxfId="1624" priority="483" stopIfTrue="1">
      <formula>ISBLANK($B$71)</formula>
    </cfRule>
  </conditionalFormatting>
  <conditionalFormatting sqref="F71">
    <cfRule type="cellIs" dxfId="1623" priority="484" stopIfTrue="1" operator="greaterThan">
      <formula>$G$71-$I$71</formula>
    </cfRule>
  </conditionalFormatting>
  <conditionalFormatting sqref="G71">
    <cfRule type="cellIs" dxfId="1622" priority="485" stopIfTrue="1" operator="lessThan">
      <formula>$F$71+$I$71</formula>
    </cfRule>
  </conditionalFormatting>
  <conditionalFormatting sqref="H71">
    <cfRule type="cellIs" dxfId="1621" priority="486" stopIfTrue="1" operator="equal">
      <formula>"May be visited"</formula>
    </cfRule>
  </conditionalFormatting>
  <conditionalFormatting sqref="H71">
    <cfRule type="cellIs" dxfId="1620" priority="487" stopIfTrue="1" operator="equal">
      <formula>"Don't visit"</formula>
    </cfRule>
  </conditionalFormatting>
  <conditionalFormatting sqref="I71">
    <cfRule type="cellIs" dxfId="1619" priority="488" stopIfTrue="1" operator="greaterThan">
      <formula>$G$71-$F$71 + 0.0001</formula>
    </cfRule>
  </conditionalFormatting>
  <conditionalFormatting sqref="A72">
    <cfRule type="expression" dxfId="1618" priority="489" stopIfTrue="1">
      <formula>ISBLANK($A$72)</formula>
    </cfRule>
  </conditionalFormatting>
  <conditionalFormatting sqref="B72">
    <cfRule type="expression" dxfId="1617" priority="490" stopIfTrue="1">
      <formula>ISBLANK($B$72)</formula>
    </cfRule>
  </conditionalFormatting>
  <conditionalFormatting sqref="F72">
    <cfRule type="cellIs" dxfId="1616" priority="491" stopIfTrue="1" operator="greaterThan">
      <formula>$G$72-$I$72</formula>
    </cfRule>
  </conditionalFormatting>
  <conditionalFormatting sqref="G72">
    <cfRule type="cellIs" dxfId="1615" priority="492" stopIfTrue="1" operator="lessThan">
      <formula>$F$72+$I$72</formula>
    </cfRule>
  </conditionalFormatting>
  <conditionalFormatting sqref="H72">
    <cfRule type="cellIs" dxfId="1614" priority="493" stopIfTrue="1" operator="equal">
      <formula>"May be visited"</formula>
    </cfRule>
  </conditionalFormatting>
  <conditionalFormatting sqref="H72">
    <cfRule type="cellIs" dxfId="1613" priority="494" stopIfTrue="1" operator="equal">
      <formula>"Don't visit"</formula>
    </cfRule>
  </conditionalFormatting>
  <conditionalFormatting sqref="I72">
    <cfRule type="cellIs" dxfId="1612" priority="495" stopIfTrue="1" operator="greaterThan">
      <formula>$G$72-$F$72 + 0.0001</formula>
    </cfRule>
  </conditionalFormatting>
  <conditionalFormatting sqref="A73">
    <cfRule type="expression" dxfId="1611" priority="496" stopIfTrue="1">
      <formula>ISBLANK($A$73)</formula>
    </cfRule>
  </conditionalFormatting>
  <conditionalFormatting sqref="B73">
    <cfRule type="expression" dxfId="1610" priority="497" stopIfTrue="1">
      <formula>ISBLANK($B$73)</formula>
    </cfRule>
  </conditionalFormatting>
  <conditionalFormatting sqref="F73">
    <cfRule type="cellIs" dxfId="1609" priority="498" stopIfTrue="1" operator="greaterThan">
      <formula>$G$73-$I$73</formula>
    </cfRule>
  </conditionalFormatting>
  <conditionalFormatting sqref="G73">
    <cfRule type="cellIs" dxfId="1608" priority="499" stopIfTrue="1" operator="lessThan">
      <formula>$F$73+$I$73</formula>
    </cfRule>
  </conditionalFormatting>
  <conditionalFormatting sqref="H73">
    <cfRule type="cellIs" dxfId="1607" priority="500" stopIfTrue="1" operator="equal">
      <formula>"May be visited"</formula>
    </cfRule>
  </conditionalFormatting>
  <conditionalFormatting sqref="H73">
    <cfRule type="cellIs" dxfId="1606" priority="501" stopIfTrue="1" operator="equal">
      <formula>"Don't visit"</formula>
    </cfRule>
  </conditionalFormatting>
  <conditionalFormatting sqref="I73">
    <cfRule type="cellIs" dxfId="1605" priority="502" stopIfTrue="1" operator="greaterThan">
      <formula>$G$73-$F$73 + 0.0001</formula>
    </cfRule>
  </conditionalFormatting>
  <conditionalFormatting sqref="A74">
    <cfRule type="expression" dxfId="1604" priority="503" stopIfTrue="1">
      <formula>ISBLANK($A$74)</formula>
    </cfRule>
  </conditionalFormatting>
  <conditionalFormatting sqref="B74">
    <cfRule type="expression" dxfId="1603" priority="504" stopIfTrue="1">
      <formula>ISBLANK($B$74)</formula>
    </cfRule>
  </conditionalFormatting>
  <conditionalFormatting sqref="F74">
    <cfRule type="cellIs" dxfId="1602" priority="505" stopIfTrue="1" operator="greaterThan">
      <formula>$G$74-$I$74</formula>
    </cfRule>
  </conditionalFormatting>
  <conditionalFormatting sqref="G74">
    <cfRule type="cellIs" dxfId="1601" priority="506" stopIfTrue="1" operator="lessThan">
      <formula>$F$74+$I$74</formula>
    </cfRule>
  </conditionalFormatting>
  <conditionalFormatting sqref="H74">
    <cfRule type="cellIs" dxfId="1600" priority="507" stopIfTrue="1" operator="equal">
      <formula>"May be visited"</formula>
    </cfRule>
  </conditionalFormatting>
  <conditionalFormatting sqref="H74">
    <cfRule type="cellIs" dxfId="1599" priority="508" stopIfTrue="1" operator="equal">
      <formula>"Don't visit"</formula>
    </cfRule>
  </conditionalFormatting>
  <conditionalFormatting sqref="I74">
    <cfRule type="cellIs" dxfId="1598" priority="509" stopIfTrue="1" operator="greaterThan">
      <formula>$G$74-$F$74 + 0.0001</formula>
    </cfRule>
  </conditionalFormatting>
  <conditionalFormatting sqref="A75">
    <cfRule type="expression" dxfId="1597" priority="510" stopIfTrue="1">
      <formula>ISBLANK($A$75)</formula>
    </cfRule>
  </conditionalFormatting>
  <conditionalFormatting sqref="B75">
    <cfRule type="expression" dxfId="1596" priority="511" stopIfTrue="1">
      <formula>ISBLANK($B$75)</formula>
    </cfRule>
  </conditionalFormatting>
  <conditionalFormatting sqref="F75">
    <cfRule type="cellIs" dxfId="1595" priority="512" stopIfTrue="1" operator="greaterThan">
      <formula>$G$75-$I$75</formula>
    </cfRule>
  </conditionalFormatting>
  <conditionalFormatting sqref="G75">
    <cfRule type="cellIs" dxfId="1594" priority="513" stopIfTrue="1" operator="lessThan">
      <formula>$F$75+$I$75</formula>
    </cfRule>
  </conditionalFormatting>
  <conditionalFormatting sqref="H75">
    <cfRule type="cellIs" dxfId="1593" priority="514" stopIfTrue="1" operator="equal">
      <formula>"May be visited"</formula>
    </cfRule>
  </conditionalFormatting>
  <conditionalFormatting sqref="H75">
    <cfRule type="cellIs" dxfId="1592" priority="515" stopIfTrue="1" operator="equal">
      <formula>"Don't visit"</formula>
    </cfRule>
  </conditionalFormatting>
  <conditionalFormatting sqref="I75">
    <cfRule type="cellIs" dxfId="1591" priority="516" stopIfTrue="1" operator="greaterThan">
      <formula>$G$75-$F$75 + 0.0001</formula>
    </cfRule>
  </conditionalFormatting>
  <conditionalFormatting sqref="A76">
    <cfRule type="expression" dxfId="1590" priority="517" stopIfTrue="1">
      <formula>ISBLANK($A$76)</formula>
    </cfRule>
  </conditionalFormatting>
  <conditionalFormatting sqref="B76">
    <cfRule type="expression" dxfId="1589" priority="518" stopIfTrue="1">
      <formula>ISBLANK($B$76)</formula>
    </cfRule>
  </conditionalFormatting>
  <conditionalFormatting sqref="F76">
    <cfRule type="cellIs" dxfId="1588" priority="519" stopIfTrue="1" operator="greaterThan">
      <formula>$G$76-$I$76</formula>
    </cfRule>
  </conditionalFormatting>
  <conditionalFormatting sqref="G76">
    <cfRule type="cellIs" dxfId="1587" priority="520" stopIfTrue="1" operator="lessThan">
      <formula>$F$76+$I$76</formula>
    </cfRule>
  </conditionalFormatting>
  <conditionalFormatting sqref="H76">
    <cfRule type="cellIs" dxfId="1586" priority="521" stopIfTrue="1" operator="equal">
      <formula>"May be visited"</formula>
    </cfRule>
  </conditionalFormatting>
  <conditionalFormatting sqref="H76">
    <cfRule type="cellIs" dxfId="1585" priority="522" stopIfTrue="1" operator="equal">
      <formula>"Don't visit"</formula>
    </cfRule>
  </conditionalFormatting>
  <conditionalFormatting sqref="I76">
    <cfRule type="cellIs" dxfId="1584" priority="523" stopIfTrue="1" operator="greaterThan">
      <formula>$G$76-$F$76 + 0.0001</formula>
    </cfRule>
  </conditionalFormatting>
  <conditionalFormatting sqref="A77">
    <cfRule type="expression" dxfId="1583" priority="524" stopIfTrue="1">
      <formula>ISBLANK($A$77)</formula>
    </cfRule>
  </conditionalFormatting>
  <conditionalFormatting sqref="B77">
    <cfRule type="expression" dxfId="1582" priority="525" stopIfTrue="1">
      <formula>ISBLANK($B$77)</formula>
    </cfRule>
  </conditionalFormatting>
  <conditionalFormatting sqref="F77">
    <cfRule type="cellIs" dxfId="1581" priority="526" stopIfTrue="1" operator="greaterThan">
      <formula>$G$77-$I$77</formula>
    </cfRule>
  </conditionalFormatting>
  <conditionalFormatting sqref="G77">
    <cfRule type="cellIs" dxfId="1580" priority="527" stopIfTrue="1" operator="lessThan">
      <formula>$F$77+$I$77</formula>
    </cfRule>
  </conditionalFormatting>
  <conditionalFormatting sqref="H77">
    <cfRule type="cellIs" dxfId="1579" priority="528" stopIfTrue="1" operator="equal">
      <formula>"May be visited"</formula>
    </cfRule>
  </conditionalFormatting>
  <conditionalFormatting sqref="H77">
    <cfRule type="cellIs" dxfId="1578" priority="529" stopIfTrue="1" operator="equal">
      <formula>"Don't visit"</formula>
    </cfRule>
  </conditionalFormatting>
  <conditionalFormatting sqref="I77">
    <cfRule type="cellIs" dxfId="1577" priority="530" stopIfTrue="1" operator="greaterThan">
      <formula>$G$77-$F$77 + 0.0001</formula>
    </cfRule>
  </conditionalFormatting>
  <conditionalFormatting sqref="A78">
    <cfRule type="expression" dxfId="1576" priority="531" stopIfTrue="1">
      <formula>ISBLANK($A$78)</formula>
    </cfRule>
  </conditionalFormatting>
  <conditionalFormatting sqref="B78">
    <cfRule type="expression" dxfId="1575" priority="532" stopIfTrue="1">
      <formula>ISBLANK($B$78)</formula>
    </cfRule>
  </conditionalFormatting>
  <conditionalFormatting sqref="F78">
    <cfRule type="cellIs" dxfId="1574" priority="533" stopIfTrue="1" operator="greaterThan">
      <formula>$G$78-$I$78</formula>
    </cfRule>
  </conditionalFormatting>
  <conditionalFormatting sqref="G78">
    <cfRule type="cellIs" dxfId="1573" priority="534" stopIfTrue="1" operator="lessThan">
      <formula>$F$78+$I$78</formula>
    </cfRule>
  </conditionalFormatting>
  <conditionalFormatting sqref="H78">
    <cfRule type="cellIs" dxfId="1572" priority="535" stopIfTrue="1" operator="equal">
      <formula>"May be visited"</formula>
    </cfRule>
  </conditionalFormatting>
  <conditionalFormatting sqref="H78">
    <cfRule type="cellIs" dxfId="1571" priority="536" stopIfTrue="1" operator="equal">
      <formula>"Don't visit"</formula>
    </cfRule>
  </conditionalFormatting>
  <conditionalFormatting sqref="I78">
    <cfRule type="cellIs" dxfId="1570" priority="537" stopIfTrue="1" operator="greaterThan">
      <formula>$G$78-$F$78 + 0.0001</formula>
    </cfRule>
  </conditionalFormatting>
  <conditionalFormatting sqref="A79">
    <cfRule type="expression" dxfId="1569" priority="538" stopIfTrue="1">
      <formula>ISBLANK($A$79)</formula>
    </cfRule>
  </conditionalFormatting>
  <conditionalFormatting sqref="B79">
    <cfRule type="expression" dxfId="1568" priority="539" stopIfTrue="1">
      <formula>ISBLANK($B$79)</formula>
    </cfRule>
  </conditionalFormatting>
  <conditionalFormatting sqref="F79">
    <cfRule type="cellIs" dxfId="1567" priority="540" stopIfTrue="1" operator="greaterThan">
      <formula>$G$79-$I$79</formula>
    </cfRule>
  </conditionalFormatting>
  <conditionalFormatting sqref="G79">
    <cfRule type="cellIs" dxfId="1566" priority="541" stopIfTrue="1" operator="lessThan">
      <formula>$F$79+$I$79</formula>
    </cfRule>
  </conditionalFormatting>
  <conditionalFormatting sqref="H79">
    <cfRule type="cellIs" dxfId="1565" priority="542" stopIfTrue="1" operator="equal">
      <formula>"May be visited"</formula>
    </cfRule>
  </conditionalFormatting>
  <conditionalFormatting sqref="H79">
    <cfRule type="cellIs" dxfId="1564" priority="543" stopIfTrue="1" operator="equal">
      <formula>"Don't visit"</formula>
    </cfRule>
  </conditionalFormatting>
  <conditionalFormatting sqref="I79">
    <cfRule type="cellIs" dxfId="1563" priority="544" stopIfTrue="1" operator="greaterThan">
      <formula>$G$79-$F$79 + 0.0001</formula>
    </cfRule>
  </conditionalFormatting>
  <conditionalFormatting sqref="A80">
    <cfRule type="expression" dxfId="1562" priority="545" stopIfTrue="1">
      <formula>ISBLANK($A$80)</formula>
    </cfRule>
  </conditionalFormatting>
  <conditionalFormatting sqref="B80">
    <cfRule type="expression" dxfId="1561" priority="546" stopIfTrue="1">
      <formula>ISBLANK($B$80)</formula>
    </cfRule>
  </conditionalFormatting>
  <conditionalFormatting sqref="F80">
    <cfRule type="cellIs" dxfId="1560" priority="547" stopIfTrue="1" operator="greaterThan">
      <formula>$G$80-$I$80</formula>
    </cfRule>
  </conditionalFormatting>
  <conditionalFormatting sqref="G80">
    <cfRule type="cellIs" dxfId="1559" priority="548" stopIfTrue="1" operator="lessThan">
      <formula>$F$80+$I$80</formula>
    </cfRule>
  </conditionalFormatting>
  <conditionalFormatting sqref="H80">
    <cfRule type="cellIs" dxfId="1558" priority="549" stopIfTrue="1" operator="equal">
      <formula>"May be visited"</formula>
    </cfRule>
  </conditionalFormatting>
  <conditionalFormatting sqref="H80">
    <cfRule type="cellIs" dxfId="1557" priority="550" stopIfTrue="1" operator="equal">
      <formula>"Don't visit"</formula>
    </cfRule>
  </conditionalFormatting>
  <conditionalFormatting sqref="I80">
    <cfRule type="cellIs" dxfId="1556" priority="551" stopIfTrue="1" operator="greaterThan">
      <formula>$G$80-$F$80 + 0.0001</formula>
    </cfRule>
  </conditionalFormatting>
  <conditionalFormatting sqref="A81">
    <cfRule type="expression" dxfId="1555" priority="552" stopIfTrue="1">
      <formula>ISBLANK($A$81)</formula>
    </cfRule>
  </conditionalFormatting>
  <conditionalFormatting sqref="B81">
    <cfRule type="expression" dxfId="1554" priority="553" stopIfTrue="1">
      <formula>ISBLANK($B$81)</formula>
    </cfRule>
  </conditionalFormatting>
  <conditionalFormatting sqref="F81">
    <cfRule type="cellIs" dxfId="1553" priority="554" stopIfTrue="1" operator="greaterThan">
      <formula>$G$81-$I$81</formula>
    </cfRule>
  </conditionalFormatting>
  <conditionalFormatting sqref="G81">
    <cfRule type="cellIs" dxfId="1552" priority="555" stopIfTrue="1" operator="lessThan">
      <formula>$F$81+$I$81</formula>
    </cfRule>
  </conditionalFormatting>
  <conditionalFormatting sqref="H81">
    <cfRule type="cellIs" dxfId="1551" priority="556" stopIfTrue="1" operator="equal">
      <formula>"May be visited"</formula>
    </cfRule>
  </conditionalFormatting>
  <conditionalFormatting sqref="H81">
    <cfRule type="cellIs" dxfId="1550" priority="557" stopIfTrue="1" operator="equal">
      <formula>"Don't visit"</formula>
    </cfRule>
  </conditionalFormatting>
  <conditionalFormatting sqref="I81">
    <cfRule type="cellIs" dxfId="1549" priority="558" stopIfTrue="1" operator="greaterThan">
      <formula>$G$81-$F$81 + 0.0001</formula>
    </cfRule>
  </conditionalFormatting>
  <conditionalFormatting sqref="A82">
    <cfRule type="expression" dxfId="1548" priority="559" stopIfTrue="1">
      <formula>ISBLANK($A$82)</formula>
    </cfRule>
  </conditionalFormatting>
  <conditionalFormatting sqref="B82">
    <cfRule type="expression" dxfId="1547" priority="560" stopIfTrue="1">
      <formula>ISBLANK($B$82)</formula>
    </cfRule>
  </conditionalFormatting>
  <conditionalFormatting sqref="F82">
    <cfRule type="cellIs" dxfId="1546" priority="561" stopIfTrue="1" operator="greaterThan">
      <formula>$G$82-$I$82</formula>
    </cfRule>
  </conditionalFormatting>
  <conditionalFormatting sqref="G82">
    <cfRule type="cellIs" dxfId="1545" priority="562" stopIfTrue="1" operator="lessThan">
      <formula>$F$82+$I$82</formula>
    </cfRule>
  </conditionalFormatting>
  <conditionalFormatting sqref="H82">
    <cfRule type="cellIs" dxfId="1544" priority="563" stopIfTrue="1" operator="equal">
      <formula>"May be visited"</formula>
    </cfRule>
  </conditionalFormatting>
  <conditionalFormatting sqref="H82">
    <cfRule type="cellIs" dxfId="1543" priority="564" stopIfTrue="1" operator="equal">
      <formula>"Don't visit"</formula>
    </cfRule>
  </conditionalFormatting>
  <conditionalFormatting sqref="I82">
    <cfRule type="cellIs" dxfId="1542" priority="565" stopIfTrue="1" operator="greaterThan">
      <formula>$G$82-$F$82 + 0.0001</formula>
    </cfRule>
  </conditionalFormatting>
  <conditionalFormatting sqref="A83">
    <cfRule type="expression" dxfId="1541" priority="566" stopIfTrue="1">
      <formula>ISBLANK($A$83)</formula>
    </cfRule>
  </conditionalFormatting>
  <conditionalFormatting sqref="B83">
    <cfRule type="expression" dxfId="1540" priority="567" stopIfTrue="1">
      <formula>ISBLANK($B$83)</formula>
    </cfRule>
  </conditionalFormatting>
  <conditionalFormatting sqref="F83">
    <cfRule type="cellIs" dxfId="1539" priority="568" stopIfTrue="1" operator="greaterThan">
      <formula>$G$83-$I$83</formula>
    </cfRule>
  </conditionalFormatting>
  <conditionalFormatting sqref="G83">
    <cfRule type="cellIs" dxfId="1538" priority="569" stopIfTrue="1" operator="lessThan">
      <formula>$F$83+$I$83</formula>
    </cfRule>
  </conditionalFormatting>
  <conditionalFormatting sqref="H83">
    <cfRule type="cellIs" dxfId="1537" priority="570" stopIfTrue="1" operator="equal">
      <formula>"May be visited"</formula>
    </cfRule>
  </conditionalFormatting>
  <conditionalFormatting sqref="H83">
    <cfRule type="cellIs" dxfId="1536" priority="571" stopIfTrue="1" operator="equal">
      <formula>"Don't visit"</formula>
    </cfRule>
  </conditionalFormatting>
  <conditionalFormatting sqref="I83">
    <cfRule type="cellIs" dxfId="1535" priority="572" stopIfTrue="1" operator="greaterThan">
      <formula>$G$83-$F$83 + 0.0001</formula>
    </cfRule>
  </conditionalFormatting>
  <conditionalFormatting sqref="A84">
    <cfRule type="expression" dxfId="1534" priority="573" stopIfTrue="1">
      <formula>ISBLANK($A$84)</formula>
    </cfRule>
  </conditionalFormatting>
  <conditionalFormatting sqref="B84">
    <cfRule type="expression" dxfId="1533" priority="574" stopIfTrue="1">
      <formula>ISBLANK($B$84)</formula>
    </cfRule>
  </conditionalFormatting>
  <conditionalFormatting sqref="F84">
    <cfRule type="cellIs" dxfId="1532" priority="575" stopIfTrue="1" operator="greaterThan">
      <formula>$G$84-$I$84</formula>
    </cfRule>
  </conditionalFormatting>
  <conditionalFormatting sqref="G84">
    <cfRule type="cellIs" dxfId="1531" priority="576" stopIfTrue="1" operator="lessThan">
      <formula>$F$84+$I$84</formula>
    </cfRule>
  </conditionalFormatting>
  <conditionalFormatting sqref="H84">
    <cfRule type="cellIs" dxfId="1530" priority="577" stopIfTrue="1" operator="equal">
      <formula>"May be visited"</formula>
    </cfRule>
  </conditionalFormatting>
  <conditionalFormatting sqref="H84">
    <cfRule type="cellIs" dxfId="1529" priority="578" stopIfTrue="1" operator="equal">
      <formula>"Don't visit"</formula>
    </cfRule>
  </conditionalFormatting>
  <conditionalFormatting sqref="I84">
    <cfRule type="cellIs" dxfId="1528" priority="579" stopIfTrue="1" operator="greaterThan">
      <formula>$G$84-$F$84 + 0.0001</formula>
    </cfRule>
  </conditionalFormatting>
  <conditionalFormatting sqref="A85">
    <cfRule type="expression" dxfId="1527" priority="580" stopIfTrue="1">
      <formula>ISBLANK($A$85)</formula>
    </cfRule>
  </conditionalFormatting>
  <conditionalFormatting sqref="B85">
    <cfRule type="expression" dxfId="1526" priority="581" stopIfTrue="1">
      <formula>ISBLANK($B$85)</formula>
    </cfRule>
  </conditionalFormatting>
  <conditionalFormatting sqref="F85">
    <cfRule type="cellIs" dxfId="1525" priority="582" stopIfTrue="1" operator="greaterThan">
      <formula>$G$85-$I$85</formula>
    </cfRule>
  </conditionalFormatting>
  <conditionalFormatting sqref="G85">
    <cfRule type="cellIs" dxfId="1524" priority="583" stopIfTrue="1" operator="lessThan">
      <formula>$F$85+$I$85</formula>
    </cfRule>
  </conditionalFormatting>
  <conditionalFormatting sqref="H85">
    <cfRule type="cellIs" dxfId="1523" priority="584" stopIfTrue="1" operator="equal">
      <formula>"May be visited"</formula>
    </cfRule>
  </conditionalFormatting>
  <conditionalFormatting sqref="H85">
    <cfRule type="cellIs" dxfId="1522" priority="585" stopIfTrue="1" operator="equal">
      <formula>"Don't visit"</formula>
    </cfRule>
  </conditionalFormatting>
  <conditionalFormatting sqref="I85">
    <cfRule type="cellIs" dxfId="1521" priority="586" stopIfTrue="1" operator="greaterThan">
      <formula>$G$85-$F$85 + 0.0001</formula>
    </cfRule>
  </conditionalFormatting>
  <conditionalFormatting sqref="A86">
    <cfRule type="expression" dxfId="1520" priority="587" stopIfTrue="1">
      <formula>ISBLANK($A$86)</formula>
    </cfRule>
  </conditionalFormatting>
  <conditionalFormatting sqref="B86">
    <cfRule type="expression" dxfId="1519" priority="588" stopIfTrue="1">
      <formula>ISBLANK($B$86)</formula>
    </cfRule>
  </conditionalFormatting>
  <conditionalFormatting sqref="F86">
    <cfRule type="cellIs" dxfId="1518" priority="589" stopIfTrue="1" operator="greaterThan">
      <formula>$G$86-$I$86</formula>
    </cfRule>
  </conditionalFormatting>
  <conditionalFormatting sqref="G86">
    <cfRule type="cellIs" dxfId="1517" priority="590" stopIfTrue="1" operator="lessThan">
      <formula>$F$86+$I$86</formula>
    </cfRule>
  </conditionalFormatting>
  <conditionalFormatting sqref="H86">
    <cfRule type="cellIs" dxfId="1516" priority="591" stopIfTrue="1" operator="equal">
      <formula>"May be visited"</formula>
    </cfRule>
  </conditionalFormatting>
  <conditionalFormatting sqref="H86">
    <cfRule type="cellIs" dxfId="1515" priority="592" stopIfTrue="1" operator="equal">
      <formula>"Don't visit"</formula>
    </cfRule>
  </conditionalFormatting>
  <conditionalFormatting sqref="I86">
    <cfRule type="cellIs" dxfId="1514" priority="593" stopIfTrue="1" operator="greaterThan">
      <formula>$G$86-$F$86 + 0.0001</formula>
    </cfRule>
  </conditionalFormatting>
  <conditionalFormatting sqref="A87">
    <cfRule type="expression" dxfId="1513" priority="594" stopIfTrue="1">
      <formula>ISBLANK($A$87)</formula>
    </cfRule>
  </conditionalFormatting>
  <conditionalFormatting sqref="B87">
    <cfRule type="expression" dxfId="1512" priority="595" stopIfTrue="1">
      <formula>ISBLANK($B$87)</formula>
    </cfRule>
  </conditionalFormatting>
  <conditionalFormatting sqref="F87">
    <cfRule type="cellIs" dxfId="1511" priority="596" stopIfTrue="1" operator="greaterThan">
      <formula>$G$87-$I$87</formula>
    </cfRule>
  </conditionalFormatting>
  <conditionalFormatting sqref="G87">
    <cfRule type="cellIs" dxfId="1510" priority="597" stopIfTrue="1" operator="lessThan">
      <formula>$F$87+$I$87</formula>
    </cfRule>
  </conditionalFormatting>
  <conditionalFormatting sqref="H87">
    <cfRule type="cellIs" dxfId="1509" priority="598" stopIfTrue="1" operator="equal">
      <formula>"May be visited"</formula>
    </cfRule>
  </conditionalFormatting>
  <conditionalFormatting sqref="H87">
    <cfRule type="cellIs" dxfId="1508" priority="599" stopIfTrue="1" operator="equal">
      <formula>"Don't visit"</formula>
    </cfRule>
  </conditionalFormatting>
  <conditionalFormatting sqref="I87">
    <cfRule type="cellIs" dxfId="1507" priority="600" stopIfTrue="1" operator="greaterThan">
      <formula>$G$87-$F$87 + 0.0001</formula>
    </cfRule>
  </conditionalFormatting>
  <conditionalFormatting sqref="A88">
    <cfRule type="expression" dxfId="1506" priority="601" stopIfTrue="1">
      <formula>ISBLANK($A$88)</formula>
    </cfRule>
  </conditionalFormatting>
  <conditionalFormatting sqref="B88">
    <cfRule type="expression" dxfId="1505" priority="602" stopIfTrue="1">
      <formula>ISBLANK($B$88)</formula>
    </cfRule>
  </conditionalFormatting>
  <conditionalFormatting sqref="F88">
    <cfRule type="cellIs" dxfId="1504" priority="603" stopIfTrue="1" operator="greaterThan">
      <formula>$G$88-$I$88</formula>
    </cfRule>
  </conditionalFormatting>
  <conditionalFormatting sqref="G88">
    <cfRule type="cellIs" dxfId="1503" priority="604" stopIfTrue="1" operator="lessThan">
      <formula>$F$88+$I$88</formula>
    </cfRule>
  </conditionalFormatting>
  <conditionalFormatting sqref="H88">
    <cfRule type="cellIs" dxfId="1502" priority="605" stopIfTrue="1" operator="equal">
      <formula>"May be visited"</formula>
    </cfRule>
  </conditionalFormatting>
  <conditionalFormatting sqref="H88">
    <cfRule type="cellIs" dxfId="1501" priority="606" stopIfTrue="1" operator="equal">
      <formula>"Don't visit"</formula>
    </cfRule>
  </conditionalFormatting>
  <conditionalFormatting sqref="I88">
    <cfRule type="cellIs" dxfId="1500" priority="607" stopIfTrue="1" operator="greaterThan">
      <formula>$G$88-$F$88 + 0.0001</formula>
    </cfRule>
  </conditionalFormatting>
  <conditionalFormatting sqref="A89">
    <cfRule type="expression" dxfId="1499" priority="608" stopIfTrue="1">
      <formula>ISBLANK($A$89)</formula>
    </cfRule>
  </conditionalFormatting>
  <conditionalFormatting sqref="B89">
    <cfRule type="expression" dxfId="1498" priority="609" stopIfTrue="1">
      <formula>ISBLANK($B$89)</formula>
    </cfRule>
  </conditionalFormatting>
  <conditionalFormatting sqref="F89">
    <cfRule type="cellIs" dxfId="1497" priority="610" stopIfTrue="1" operator="greaterThan">
      <formula>$G$89-$I$89</formula>
    </cfRule>
  </conditionalFormatting>
  <conditionalFormatting sqref="G89">
    <cfRule type="cellIs" dxfId="1496" priority="611" stopIfTrue="1" operator="lessThan">
      <formula>$F$89+$I$89</formula>
    </cfRule>
  </conditionalFormatting>
  <conditionalFormatting sqref="H89">
    <cfRule type="cellIs" dxfId="1495" priority="612" stopIfTrue="1" operator="equal">
      <formula>"May be visited"</formula>
    </cfRule>
  </conditionalFormatting>
  <conditionalFormatting sqref="H89">
    <cfRule type="cellIs" dxfId="1494" priority="613" stopIfTrue="1" operator="equal">
      <formula>"Don't visit"</formula>
    </cfRule>
  </conditionalFormatting>
  <conditionalFormatting sqref="I89">
    <cfRule type="cellIs" dxfId="1493" priority="614" stopIfTrue="1" operator="greaterThan">
      <formula>$G$89-$F$89 + 0.0001</formula>
    </cfRule>
  </conditionalFormatting>
  <conditionalFormatting sqref="A90">
    <cfRule type="expression" dxfId="1492" priority="615" stopIfTrue="1">
      <formula>ISBLANK($A$90)</formula>
    </cfRule>
  </conditionalFormatting>
  <conditionalFormatting sqref="B90">
    <cfRule type="expression" dxfId="1491" priority="616" stopIfTrue="1">
      <formula>ISBLANK($B$90)</formula>
    </cfRule>
  </conditionalFormatting>
  <conditionalFormatting sqref="F90">
    <cfRule type="cellIs" dxfId="1490" priority="617" stopIfTrue="1" operator="greaterThan">
      <formula>$G$90-$I$90</formula>
    </cfRule>
  </conditionalFormatting>
  <conditionalFormatting sqref="G90">
    <cfRule type="cellIs" dxfId="1489" priority="618" stopIfTrue="1" operator="lessThan">
      <formula>$F$90+$I$90</formula>
    </cfRule>
  </conditionalFormatting>
  <conditionalFormatting sqref="H90">
    <cfRule type="cellIs" dxfId="1488" priority="619" stopIfTrue="1" operator="equal">
      <formula>"May be visited"</formula>
    </cfRule>
  </conditionalFormatting>
  <conditionalFormatting sqref="H90">
    <cfRule type="cellIs" dxfId="1487" priority="620" stopIfTrue="1" operator="equal">
      <formula>"Don't visit"</formula>
    </cfRule>
  </conditionalFormatting>
  <conditionalFormatting sqref="I90">
    <cfRule type="cellIs" dxfId="1486" priority="621" stopIfTrue="1" operator="greaterThan">
      <formula>$G$90-$F$90 + 0.0001</formula>
    </cfRule>
  </conditionalFormatting>
  <conditionalFormatting sqref="A91">
    <cfRule type="expression" dxfId="1485" priority="622" stopIfTrue="1">
      <formula>ISBLANK($A$91)</formula>
    </cfRule>
  </conditionalFormatting>
  <conditionalFormatting sqref="B91">
    <cfRule type="expression" dxfId="1484" priority="623" stopIfTrue="1">
      <formula>ISBLANK($B$91)</formula>
    </cfRule>
  </conditionalFormatting>
  <conditionalFormatting sqref="F91">
    <cfRule type="cellIs" dxfId="1483" priority="624" stopIfTrue="1" operator="greaterThan">
      <formula>$G$91-$I$91</formula>
    </cfRule>
  </conditionalFormatting>
  <conditionalFormatting sqref="G91">
    <cfRule type="cellIs" dxfId="1482" priority="625" stopIfTrue="1" operator="lessThan">
      <formula>$F$91+$I$91</formula>
    </cfRule>
  </conditionalFormatting>
  <conditionalFormatting sqref="H91">
    <cfRule type="cellIs" dxfId="1481" priority="626" stopIfTrue="1" operator="equal">
      <formula>"May be visited"</formula>
    </cfRule>
  </conditionalFormatting>
  <conditionalFormatting sqref="H91">
    <cfRule type="cellIs" dxfId="1480" priority="627" stopIfTrue="1" operator="equal">
      <formula>"Don't visit"</formula>
    </cfRule>
  </conditionalFormatting>
  <conditionalFormatting sqref="I91">
    <cfRule type="cellIs" dxfId="1479" priority="628" stopIfTrue="1" operator="greaterThan">
      <formula>$G$91-$F$91 + 0.0001</formula>
    </cfRule>
  </conditionalFormatting>
  <conditionalFormatting sqref="A92">
    <cfRule type="expression" dxfId="1478" priority="629" stopIfTrue="1">
      <formula>ISBLANK($A$92)</formula>
    </cfRule>
  </conditionalFormatting>
  <conditionalFormatting sqref="B92">
    <cfRule type="expression" dxfId="1477" priority="630" stopIfTrue="1">
      <formula>ISBLANK($B$92)</formula>
    </cfRule>
  </conditionalFormatting>
  <conditionalFormatting sqref="F92">
    <cfRule type="cellIs" dxfId="1476" priority="631" stopIfTrue="1" operator="greaterThan">
      <formula>$G$92-$I$92</formula>
    </cfRule>
  </conditionalFormatting>
  <conditionalFormatting sqref="G92">
    <cfRule type="cellIs" dxfId="1475" priority="632" stopIfTrue="1" operator="lessThan">
      <formula>$F$92+$I$92</formula>
    </cfRule>
  </conditionalFormatting>
  <conditionalFormatting sqref="H92">
    <cfRule type="cellIs" dxfId="1474" priority="633" stopIfTrue="1" operator="equal">
      <formula>"May be visited"</formula>
    </cfRule>
  </conditionalFormatting>
  <conditionalFormatting sqref="H92">
    <cfRule type="cellIs" dxfId="1473" priority="634" stopIfTrue="1" operator="equal">
      <formula>"Don't visit"</formula>
    </cfRule>
  </conditionalFormatting>
  <conditionalFormatting sqref="I92">
    <cfRule type="cellIs" dxfId="1472" priority="635" stopIfTrue="1" operator="greaterThan">
      <formula>$G$92-$F$92 + 0.0001</formula>
    </cfRule>
  </conditionalFormatting>
  <conditionalFormatting sqref="A93">
    <cfRule type="expression" dxfId="1471" priority="636" stopIfTrue="1">
      <formula>ISBLANK($A$93)</formula>
    </cfRule>
  </conditionalFormatting>
  <conditionalFormatting sqref="B93">
    <cfRule type="expression" dxfId="1470" priority="637" stopIfTrue="1">
      <formula>ISBLANK($B$93)</formula>
    </cfRule>
  </conditionalFormatting>
  <conditionalFormatting sqref="F93">
    <cfRule type="cellIs" dxfId="1469" priority="638" stopIfTrue="1" operator="greaterThan">
      <formula>$G$93-$I$93</formula>
    </cfRule>
  </conditionalFormatting>
  <conditionalFormatting sqref="G93">
    <cfRule type="cellIs" dxfId="1468" priority="639" stopIfTrue="1" operator="lessThan">
      <formula>$F$93+$I$93</formula>
    </cfRule>
  </conditionalFormatting>
  <conditionalFormatting sqref="H93">
    <cfRule type="cellIs" dxfId="1467" priority="640" stopIfTrue="1" operator="equal">
      <formula>"May be visited"</formula>
    </cfRule>
  </conditionalFormatting>
  <conditionalFormatting sqref="H93">
    <cfRule type="cellIs" dxfId="1466" priority="641" stopIfTrue="1" operator="equal">
      <formula>"Don't visit"</formula>
    </cfRule>
  </conditionalFormatting>
  <conditionalFormatting sqref="I93">
    <cfRule type="cellIs" dxfId="1465" priority="642" stopIfTrue="1" operator="greaterThan">
      <formula>$G$93-$F$93 + 0.0001</formula>
    </cfRule>
  </conditionalFormatting>
  <conditionalFormatting sqref="A94">
    <cfRule type="expression" dxfId="1464" priority="643" stopIfTrue="1">
      <formula>ISBLANK($A$94)</formula>
    </cfRule>
  </conditionalFormatting>
  <conditionalFormatting sqref="B94">
    <cfRule type="expression" dxfId="1463" priority="644" stopIfTrue="1">
      <formula>ISBLANK($B$94)</formula>
    </cfRule>
  </conditionalFormatting>
  <conditionalFormatting sqref="F94">
    <cfRule type="cellIs" dxfId="1462" priority="645" stopIfTrue="1" operator="greaterThan">
      <formula>$G$94-$I$94</formula>
    </cfRule>
  </conditionalFormatting>
  <conditionalFormatting sqref="G94">
    <cfRule type="cellIs" dxfId="1461" priority="646" stopIfTrue="1" operator="lessThan">
      <formula>$F$94+$I$94</formula>
    </cfRule>
  </conditionalFormatting>
  <conditionalFormatting sqref="H94">
    <cfRule type="cellIs" dxfId="1460" priority="647" stopIfTrue="1" operator="equal">
      <formula>"May be visited"</formula>
    </cfRule>
  </conditionalFormatting>
  <conditionalFormatting sqref="H94">
    <cfRule type="cellIs" dxfId="1459" priority="648" stopIfTrue="1" operator="equal">
      <formula>"Don't visit"</formula>
    </cfRule>
  </conditionalFormatting>
  <conditionalFormatting sqref="I94">
    <cfRule type="cellIs" dxfId="1458" priority="649" stopIfTrue="1" operator="greaterThan">
      <formula>$G$94-$F$94 + 0.0001</formula>
    </cfRule>
  </conditionalFormatting>
  <conditionalFormatting sqref="A95">
    <cfRule type="expression" dxfId="1457" priority="650" stopIfTrue="1">
      <formula>ISBLANK($A$95)</formula>
    </cfRule>
  </conditionalFormatting>
  <conditionalFormatting sqref="B95">
    <cfRule type="expression" dxfId="1456" priority="651" stopIfTrue="1">
      <formula>ISBLANK($B$95)</formula>
    </cfRule>
  </conditionalFormatting>
  <conditionalFormatting sqref="F95">
    <cfRule type="cellIs" dxfId="1455" priority="652" stopIfTrue="1" operator="greaterThan">
      <formula>$G$95-$I$95</formula>
    </cfRule>
  </conditionalFormatting>
  <conditionalFormatting sqref="G95">
    <cfRule type="cellIs" dxfId="1454" priority="653" stopIfTrue="1" operator="lessThan">
      <formula>$F$95+$I$95</formula>
    </cfRule>
  </conditionalFormatting>
  <conditionalFormatting sqref="H95">
    <cfRule type="cellIs" dxfId="1453" priority="654" stopIfTrue="1" operator="equal">
      <formula>"May be visited"</formula>
    </cfRule>
  </conditionalFormatting>
  <conditionalFormatting sqref="H95">
    <cfRule type="cellIs" dxfId="1452" priority="655" stopIfTrue="1" operator="equal">
      <formula>"Don't visit"</formula>
    </cfRule>
  </conditionalFormatting>
  <conditionalFormatting sqref="I95">
    <cfRule type="cellIs" dxfId="1451" priority="656" stopIfTrue="1" operator="greaterThan">
      <formula>$G$95-$F$95 + 0.0001</formula>
    </cfRule>
  </conditionalFormatting>
  <conditionalFormatting sqref="A96">
    <cfRule type="expression" dxfId="1450" priority="657" stopIfTrue="1">
      <formula>ISBLANK($A$96)</formula>
    </cfRule>
  </conditionalFormatting>
  <conditionalFormatting sqref="B96">
    <cfRule type="expression" dxfId="1449" priority="658" stopIfTrue="1">
      <formula>ISBLANK($B$96)</formula>
    </cfRule>
  </conditionalFormatting>
  <conditionalFormatting sqref="F96">
    <cfRule type="cellIs" dxfId="1448" priority="659" stopIfTrue="1" operator="greaterThan">
      <formula>$G$96-$I$96</formula>
    </cfRule>
  </conditionalFormatting>
  <conditionalFormatting sqref="G96">
    <cfRule type="cellIs" dxfId="1447" priority="660" stopIfTrue="1" operator="lessThan">
      <formula>$F$96+$I$96</formula>
    </cfRule>
  </conditionalFormatting>
  <conditionalFormatting sqref="H96">
    <cfRule type="cellIs" dxfId="1446" priority="661" stopIfTrue="1" operator="equal">
      <formula>"May be visited"</formula>
    </cfRule>
  </conditionalFormatting>
  <conditionalFormatting sqref="H96">
    <cfRule type="cellIs" dxfId="1445" priority="662" stopIfTrue="1" operator="equal">
      <formula>"Don't visit"</formula>
    </cfRule>
  </conditionalFormatting>
  <conditionalFormatting sqref="I96">
    <cfRule type="cellIs" dxfId="1444" priority="663" stopIfTrue="1" operator="greaterThan">
      <formula>$G$96-$F$96 + 0.0001</formula>
    </cfRule>
  </conditionalFormatting>
  <conditionalFormatting sqref="A97">
    <cfRule type="expression" dxfId="1443" priority="664" stopIfTrue="1">
      <formula>ISBLANK($A$97)</formula>
    </cfRule>
  </conditionalFormatting>
  <conditionalFormatting sqref="B97">
    <cfRule type="expression" dxfId="1442" priority="665" stopIfTrue="1">
      <formula>ISBLANK($B$97)</formula>
    </cfRule>
  </conditionalFormatting>
  <conditionalFormatting sqref="F97">
    <cfRule type="cellIs" dxfId="1441" priority="666" stopIfTrue="1" operator="greaterThan">
      <formula>$G$97-$I$97</formula>
    </cfRule>
  </conditionalFormatting>
  <conditionalFormatting sqref="G97">
    <cfRule type="cellIs" dxfId="1440" priority="667" stopIfTrue="1" operator="lessThan">
      <formula>$F$97+$I$97</formula>
    </cfRule>
  </conditionalFormatting>
  <conditionalFormatting sqref="H97">
    <cfRule type="cellIs" dxfId="1439" priority="668" stopIfTrue="1" operator="equal">
      <formula>"May be visited"</formula>
    </cfRule>
  </conditionalFormatting>
  <conditionalFormatting sqref="H97">
    <cfRule type="cellIs" dxfId="1438" priority="669" stopIfTrue="1" operator="equal">
      <formula>"Don't visit"</formula>
    </cfRule>
  </conditionalFormatting>
  <conditionalFormatting sqref="I97">
    <cfRule type="cellIs" dxfId="1437" priority="670" stopIfTrue="1" operator="greaterThan">
      <formula>$G$97-$F$97 + 0.0001</formula>
    </cfRule>
  </conditionalFormatting>
  <conditionalFormatting sqref="B2:B97">
    <cfRule type="duplicateValues" dxfId="1436" priority="671"/>
  </conditionalFormatting>
  <dataValidations count="2">
    <dataValidation type="decimal" operator="greaterThan" allowBlank="1" showInputMessage="1" showErrorMessage="1" error="Please enter a nonnegative value" sqref="J2:J97">
      <formula1>-0.0001</formula1>
    </dataValidation>
    <dataValidation type="list" allowBlank="1" showInputMessage="1" showErrorMessage="1" sqref="H3:H97">
      <formula1>"Must be visited, May be visited, Don't visit"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217"/>
  <sheetViews>
    <sheetView workbookViewId="0">
      <selection activeCell="F18" sqref="F18"/>
    </sheetView>
  </sheetViews>
  <sheetFormatPr defaultRowHeight="15" x14ac:dyDescent="0.25"/>
  <cols>
    <col min="1" max="2" width="36.42578125" bestFit="1" customWidth="1"/>
    <col min="3" max="3" width="8.5703125" bestFit="1" customWidth="1"/>
    <col min="4" max="4" width="8.7109375" bestFit="1" customWidth="1"/>
    <col min="6" max="6" width="23.7109375" customWidth="1"/>
  </cols>
  <sheetData>
    <row r="1" spans="1:8" s="13" customFormat="1" x14ac:dyDescent="0.25">
      <c r="A1" s="13" t="s">
        <v>160</v>
      </c>
      <c r="B1" s="13" t="s">
        <v>161</v>
      </c>
      <c r="C1" s="13" t="s">
        <v>162</v>
      </c>
      <c r="D1" s="13" t="s">
        <v>163</v>
      </c>
      <c r="E1" s="13" t="s">
        <v>164</v>
      </c>
      <c r="F1" s="13" t="s">
        <v>13</v>
      </c>
      <c r="G1"/>
      <c r="H1"/>
    </row>
    <row r="2" spans="1:8" x14ac:dyDescent="0.25">
      <c r="A2" s="14" t="s">
        <v>65</v>
      </c>
      <c r="B2" s="14" t="s">
        <v>65</v>
      </c>
      <c r="C2" s="30">
        <v>0</v>
      </c>
      <c r="D2" s="18">
        <v>0</v>
      </c>
    </row>
    <row r="3" spans="1:8" x14ac:dyDescent="0.25">
      <c r="A3" s="24" t="s">
        <v>65</v>
      </c>
      <c r="B3" s="24" t="s">
        <v>64</v>
      </c>
      <c r="C3" s="32">
        <v>18.09</v>
      </c>
      <c r="D3" s="28">
        <v>1.3888888888888888E-2</v>
      </c>
    </row>
    <row r="4" spans="1:8" x14ac:dyDescent="0.25">
      <c r="A4" s="24" t="s">
        <v>65</v>
      </c>
      <c r="B4" s="24" t="s">
        <v>66</v>
      </c>
      <c r="C4" s="32">
        <v>24.437000000000001</v>
      </c>
      <c r="D4" s="28">
        <v>2.1527777777777781E-2</v>
      </c>
    </row>
    <row r="5" spans="1:8" x14ac:dyDescent="0.25">
      <c r="A5" s="24" t="s">
        <v>65</v>
      </c>
      <c r="B5" s="24" t="s">
        <v>67</v>
      </c>
      <c r="C5" s="32">
        <v>21.681000000000001</v>
      </c>
      <c r="D5" s="28">
        <v>2.0833333333333332E-2</v>
      </c>
    </row>
    <row r="6" spans="1:8" x14ac:dyDescent="0.25">
      <c r="A6" s="24" t="s">
        <v>65</v>
      </c>
      <c r="B6" s="24" t="s">
        <v>68</v>
      </c>
      <c r="C6" s="32">
        <v>23.986000000000001</v>
      </c>
      <c r="D6" s="28">
        <v>2.1527777777777781E-2</v>
      </c>
    </row>
    <row r="7" spans="1:8" x14ac:dyDescent="0.25">
      <c r="A7" s="24" t="s">
        <v>65</v>
      </c>
      <c r="B7" s="24" t="s">
        <v>69</v>
      </c>
      <c r="C7" s="32">
        <v>22.994</v>
      </c>
      <c r="D7" s="28">
        <v>2.013888888888889E-2</v>
      </c>
    </row>
    <row r="8" spans="1:8" x14ac:dyDescent="0.25">
      <c r="A8" s="24" t="s">
        <v>65</v>
      </c>
      <c r="B8" s="24" t="s">
        <v>70</v>
      </c>
      <c r="C8" s="32">
        <v>23.378</v>
      </c>
      <c r="D8" s="28">
        <v>2.0833333333333332E-2</v>
      </c>
    </row>
    <row r="9" spans="1:8" x14ac:dyDescent="0.25">
      <c r="A9" s="24" t="s">
        <v>65</v>
      </c>
      <c r="B9" s="24" t="s">
        <v>71</v>
      </c>
      <c r="C9" s="32">
        <v>23.571000000000002</v>
      </c>
      <c r="D9" s="28">
        <v>2.0833333333333332E-2</v>
      </c>
    </row>
    <row r="10" spans="1:8" x14ac:dyDescent="0.25">
      <c r="A10" s="24" t="s">
        <v>65</v>
      </c>
      <c r="B10" s="24" t="s">
        <v>72</v>
      </c>
      <c r="C10" s="32">
        <v>22.914000000000001</v>
      </c>
      <c r="D10" s="28">
        <v>2.361111111111111E-2</v>
      </c>
    </row>
    <row r="11" spans="1:8" x14ac:dyDescent="0.25">
      <c r="A11" s="24" t="s">
        <v>65</v>
      </c>
      <c r="B11" s="24" t="s">
        <v>73</v>
      </c>
      <c r="C11" s="32">
        <v>21.442</v>
      </c>
      <c r="D11" s="28">
        <v>2.0833333333333332E-2</v>
      </c>
    </row>
    <row r="12" spans="1:8" x14ac:dyDescent="0.25">
      <c r="A12" s="24" t="s">
        <v>65</v>
      </c>
      <c r="B12" s="24" t="s">
        <v>74</v>
      </c>
      <c r="C12" s="32">
        <v>21.210999999999999</v>
      </c>
      <c r="D12" s="28">
        <v>2.2222222222222223E-2</v>
      </c>
    </row>
    <row r="13" spans="1:8" x14ac:dyDescent="0.25">
      <c r="A13" s="24" t="s">
        <v>65</v>
      </c>
      <c r="B13" s="24" t="s">
        <v>75</v>
      </c>
      <c r="C13" s="32">
        <v>20.216999999999999</v>
      </c>
      <c r="D13" s="28">
        <v>2.0833333333333332E-2</v>
      </c>
    </row>
    <row r="14" spans="1:8" x14ac:dyDescent="0.25">
      <c r="A14" s="24" t="s">
        <v>65</v>
      </c>
      <c r="B14" s="24" t="s">
        <v>76</v>
      </c>
      <c r="C14" s="32">
        <v>32.606999999999999</v>
      </c>
      <c r="D14" s="28">
        <v>2.4999999999999998E-2</v>
      </c>
    </row>
    <row r="15" spans="1:8" x14ac:dyDescent="0.25">
      <c r="A15" s="24" t="s">
        <v>65</v>
      </c>
      <c r="B15" s="24" t="s">
        <v>77</v>
      </c>
      <c r="C15" s="32">
        <v>32.142000000000003</v>
      </c>
      <c r="D15" s="28">
        <v>2.7777777777777776E-2</v>
      </c>
    </row>
    <row r="16" spans="1:8" x14ac:dyDescent="0.25">
      <c r="A16" s="24" t="s">
        <v>65</v>
      </c>
      <c r="B16" s="24" t="s">
        <v>78</v>
      </c>
      <c r="C16" s="32">
        <v>27.434000000000001</v>
      </c>
      <c r="D16" s="28">
        <v>2.361111111111111E-2</v>
      </c>
    </row>
    <row r="17" spans="1:4" x14ac:dyDescent="0.25">
      <c r="A17" s="24" t="s">
        <v>65</v>
      </c>
      <c r="B17" s="24" t="s">
        <v>79</v>
      </c>
      <c r="C17" s="32">
        <v>41.96</v>
      </c>
      <c r="D17" s="28">
        <v>3.888888888888889E-2</v>
      </c>
    </row>
    <row r="18" spans="1:4" x14ac:dyDescent="0.25">
      <c r="A18" s="24" t="s">
        <v>65</v>
      </c>
      <c r="B18" s="24" t="s">
        <v>80</v>
      </c>
      <c r="C18" s="32">
        <v>3.2349999999999999</v>
      </c>
      <c r="D18" s="28">
        <v>2.7777777777777779E-3</v>
      </c>
    </row>
    <row r="19" spans="1:4" x14ac:dyDescent="0.25">
      <c r="A19" s="24" t="s">
        <v>65</v>
      </c>
      <c r="B19" s="24" t="s">
        <v>81</v>
      </c>
      <c r="C19" s="32">
        <v>7.7569999999999997</v>
      </c>
      <c r="D19" s="28">
        <v>5.5555555555555558E-3</v>
      </c>
    </row>
    <row r="20" spans="1:4" x14ac:dyDescent="0.25">
      <c r="A20" s="24" t="s">
        <v>65</v>
      </c>
      <c r="B20" s="24" t="s">
        <v>82</v>
      </c>
      <c r="C20" s="32">
        <v>7.8090000000000002</v>
      </c>
      <c r="D20" s="28">
        <v>5.5555555555555558E-3</v>
      </c>
    </row>
    <row r="21" spans="1:4" x14ac:dyDescent="0.25">
      <c r="A21" s="24" t="s">
        <v>65</v>
      </c>
      <c r="B21" s="24" t="s">
        <v>83</v>
      </c>
      <c r="C21" s="32">
        <v>12.429</v>
      </c>
      <c r="D21" s="28">
        <v>1.1805555555555555E-2</v>
      </c>
    </row>
    <row r="22" spans="1:4" x14ac:dyDescent="0.25">
      <c r="A22" s="24" t="s">
        <v>65</v>
      </c>
      <c r="B22" s="24" t="s">
        <v>84</v>
      </c>
      <c r="C22" s="32">
        <v>18.809000000000001</v>
      </c>
      <c r="D22" s="28">
        <v>1.8749999999999999E-2</v>
      </c>
    </row>
    <row r="23" spans="1:4" x14ac:dyDescent="0.25">
      <c r="A23" s="24" t="s">
        <v>65</v>
      </c>
      <c r="B23" s="24" t="s">
        <v>85</v>
      </c>
      <c r="C23" s="32">
        <v>17.77</v>
      </c>
      <c r="D23" s="28">
        <v>1.7361111111111112E-2</v>
      </c>
    </row>
    <row r="24" spans="1:4" x14ac:dyDescent="0.25">
      <c r="A24" s="24" t="s">
        <v>65</v>
      </c>
      <c r="B24" s="24" t="s">
        <v>86</v>
      </c>
      <c r="C24" s="32">
        <v>15.842000000000001</v>
      </c>
      <c r="D24" s="28">
        <v>1.5277777777777777E-2</v>
      </c>
    </row>
    <row r="25" spans="1:4" x14ac:dyDescent="0.25">
      <c r="A25" s="24" t="s">
        <v>65</v>
      </c>
      <c r="B25" s="24" t="s">
        <v>87</v>
      </c>
      <c r="C25" s="32">
        <v>15.018000000000001</v>
      </c>
      <c r="D25" s="28">
        <v>1.3888888888888888E-2</v>
      </c>
    </row>
    <row r="26" spans="1:4" x14ac:dyDescent="0.25">
      <c r="A26" s="24" t="s">
        <v>65</v>
      </c>
      <c r="B26" s="24" t="s">
        <v>88</v>
      </c>
      <c r="C26" s="32">
        <v>14.170999999999999</v>
      </c>
      <c r="D26" s="28">
        <v>1.3888888888888888E-2</v>
      </c>
    </row>
    <row r="27" spans="1:4" x14ac:dyDescent="0.25">
      <c r="A27" s="24" t="s">
        <v>65</v>
      </c>
      <c r="B27" s="24" t="s">
        <v>89</v>
      </c>
      <c r="C27" s="32">
        <v>9.077</v>
      </c>
      <c r="D27" s="28">
        <v>9.7222222222222224E-3</v>
      </c>
    </row>
    <row r="28" spans="1:4" x14ac:dyDescent="0.25">
      <c r="A28" s="24" t="s">
        <v>65</v>
      </c>
      <c r="B28" s="24" t="s">
        <v>90</v>
      </c>
      <c r="C28" s="32">
        <v>6.9189999999999996</v>
      </c>
      <c r="D28" s="28">
        <v>6.9444444444444441E-3</v>
      </c>
    </row>
    <row r="29" spans="1:4" x14ac:dyDescent="0.25">
      <c r="A29" s="24" t="s">
        <v>65</v>
      </c>
      <c r="B29" s="24" t="s">
        <v>91</v>
      </c>
      <c r="C29" s="32">
        <v>11.521000000000001</v>
      </c>
      <c r="D29" s="28">
        <v>1.2499999999999999E-2</v>
      </c>
    </row>
    <row r="30" spans="1:4" x14ac:dyDescent="0.25">
      <c r="A30" s="24" t="s">
        <v>65</v>
      </c>
      <c r="B30" s="24" t="s">
        <v>92</v>
      </c>
      <c r="C30" s="32">
        <v>2.6480000000000001</v>
      </c>
      <c r="D30" s="28">
        <v>3.472222222222222E-3</v>
      </c>
    </row>
    <row r="31" spans="1:4" x14ac:dyDescent="0.25">
      <c r="A31" s="24" t="s">
        <v>65</v>
      </c>
      <c r="B31" s="24" t="s">
        <v>93</v>
      </c>
      <c r="C31" s="32">
        <v>26.417000000000002</v>
      </c>
      <c r="D31" s="28">
        <v>1.6666666666666666E-2</v>
      </c>
    </row>
    <row r="32" spans="1:4" x14ac:dyDescent="0.25">
      <c r="A32" s="24" t="s">
        <v>65</v>
      </c>
      <c r="B32" s="24" t="s">
        <v>94</v>
      </c>
      <c r="C32" s="32">
        <v>27.045999999999999</v>
      </c>
      <c r="D32" s="28">
        <v>1.7361111111111112E-2</v>
      </c>
    </row>
    <row r="33" spans="1:4" x14ac:dyDescent="0.25">
      <c r="A33" s="24" t="s">
        <v>65</v>
      </c>
      <c r="B33" s="24" t="s">
        <v>95</v>
      </c>
      <c r="C33" s="32">
        <v>8.093</v>
      </c>
      <c r="D33" s="28">
        <v>6.9444444444444441E-3</v>
      </c>
    </row>
    <row r="34" spans="1:4" x14ac:dyDescent="0.25">
      <c r="A34" s="24" t="s">
        <v>65</v>
      </c>
      <c r="B34" s="24" t="s">
        <v>96</v>
      </c>
      <c r="C34" s="32">
        <v>21.184999999999999</v>
      </c>
      <c r="D34" s="28">
        <v>1.7361111111111112E-2</v>
      </c>
    </row>
    <row r="35" spans="1:4" x14ac:dyDescent="0.25">
      <c r="A35" s="24" t="s">
        <v>65</v>
      </c>
      <c r="B35" s="24" t="s">
        <v>97</v>
      </c>
      <c r="C35" s="32">
        <v>24.087</v>
      </c>
      <c r="D35" s="28">
        <v>1.9444444444444445E-2</v>
      </c>
    </row>
    <row r="36" spans="1:4" x14ac:dyDescent="0.25">
      <c r="A36" s="24" t="s">
        <v>65</v>
      </c>
      <c r="B36" s="24" t="s">
        <v>98</v>
      </c>
      <c r="C36" s="32">
        <v>13.949</v>
      </c>
      <c r="D36" s="28">
        <v>1.1111111111111112E-2</v>
      </c>
    </row>
    <row r="37" spans="1:4" x14ac:dyDescent="0.25">
      <c r="A37" s="24" t="s">
        <v>65</v>
      </c>
      <c r="B37" s="24" t="s">
        <v>99</v>
      </c>
      <c r="C37" s="32">
        <v>20.446999999999999</v>
      </c>
      <c r="D37" s="28">
        <v>1.5972222222222224E-2</v>
      </c>
    </row>
    <row r="38" spans="1:4" x14ac:dyDescent="0.25">
      <c r="A38" s="24" t="s">
        <v>65</v>
      </c>
      <c r="B38" s="24" t="s">
        <v>100</v>
      </c>
      <c r="C38" s="32">
        <v>10.015000000000001</v>
      </c>
      <c r="D38" s="28">
        <v>8.3333333333333332E-3</v>
      </c>
    </row>
    <row r="39" spans="1:4" x14ac:dyDescent="0.25">
      <c r="A39" s="24" t="s">
        <v>65</v>
      </c>
      <c r="B39" s="24" t="s">
        <v>101</v>
      </c>
      <c r="C39" s="32">
        <v>15.645</v>
      </c>
      <c r="D39" s="28">
        <v>1.2499999999999999E-2</v>
      </c>
    </row>
    <row r="40" spans="1:4" x14ac:dyDescent="0.25">
      <c r="A40" s="24" t="s">
        <v>65</v>
      </c>
      <c r="B40" s="24" t="s">
        <v>102</v>
      </c>
      <c r="C40" s="32">
        <v>16.149999999999999</v>
      </c>
      <c r="D40" s="28">
        <v>1.4583333333333332E-2</v>
      </c>
    </row>
    <row r="41" spans="1:4" x14ac:dyDescent="0.25">
      <c r="A41" s="24" t="s">
        <v>65</v>
      </c>
      <c r="B41" s="24" t="s">
        <v>103</v>
      </c>
      <c r="C41" s="32">
        <v>8.1059999999999999</v>
      </c>
      <c r="D41" s="28">
        <v>6.9444444444444441E-3</v>
      </c>
    </row>
    <row r="42" spans="1:4" x14ac:dyDescent="0.25">
      <c r="A42" s="24" t="s">
        <v>65</v>
      </c>
      <c r="B42" s="24" t="s">
        <v>104</v>
      </c>
      <c r="C42" s="32">
        <v>6.2859999999999996</v>
      </c>
      <c r="D42" s="28">
        <v>4.8611111111111112E-3</v>
      </c>
    </row>
    <row r="43" spans="1:4" x14ac:dyDescent="0.25">
      <c r="A43" s="24" t="s">
        <v>65</v>
      </c>
      <c r="B43" s="24" t="s">
        <v>105</v>
      </c>
      <c r="C43" s="32">
        <v>6.1529999999999996</v>
      </c>
      <c r="D43" s="28">
        <v>8.3333333333333332E-3</v>
      </c>
    </row>
    <row r="44" spans="1:4" x14ac:dyDescent="0.25">
      <c r="A44" s="24" t="s">
        <v>65</v>
      </c>
      <c r="B44" s="24" t="s">
        <v>106</v>
      </c>
      <c r="C44" s="32">
        <v>10.913</v>
      </c>
      <c r="D44" s="28">
        <v>8.3333333333333332E-3</v>
      </c>
    </row>
    <row r="45" spans="1:4" x14ac:dyDescent="0.25">
      <c r="A45" s="24" t="s">
        <v>65</v>
      </c>
      <c r="B45" s="24" t="s">
        <v>107</v>
      </c>
      <c r="C45" s="32">
        <v>14.913</v>
      </c>
      <c r="D45" s="28">
        <v>1.3194444444444444E-2</v>
      </c>
    </row>
    <row r="46" spans="1:4" x14ac:dyDescent="0.25">
      <c r="A46" s="24" t="s">
        <v>65</v>
      </c>
      <c r="B46" s="24" t="s">
        <v>108</v>
      </c>
      <c r="C46" s="32">
        <v>15.51</v>
      </c>
      <c r="D46" s="28">
        <v>1.1805555555555555E-2</v>
      </c>
    </row>
    <row r="47" spans="1:4" x14ac:dyDescent="0.25">
      <c r="A47" s="24" t="s">
        <v>65</v>
      </c>
      <c r="B47" s="24" t="s">
        <v>109</v>
      </c>
      <c r="C47" s="32">
        <v>15.48</v>
      </c>
      <c r="D47" s="28">
        <v>1.1805555555555555E-2</v>
      </c>
    </row>
    <row r="48" spans="1:4" x14ac:dyDescent="0.25">
      <c r="A48" s="24" t="s">
        <v>65</v>
      </c>
      <c r="B48" s="24" t="s">
        <v>110</v>
      </c>
      <c r="C48" s="32">
        <v>8.6669999999999998</v>
      </c>
      <c r="D48" s="28">
        <v>8.3333333333333332E-3</v>
      </c>
    </row>
    <row r="49" spans="1:4" x14ac:dyDescent="0.25">
      <c r="A49" s="24" t="s">
        <v>65</v>
      </c>
      <c r="B49" s="24" t="s">
        <v>111</v>
      </c>
      <c r="C49" s="32">
        <v>5.1210000000000004</v>
      </c>
      <c r="D49" s="28">
        <v>4.1666666666666666E-3</v>
      </c>
    </row>
    <row r="50" spans="1:4" x14ac:dyDescent="0.25">
      <c r="A50" s="24" t="s">
        <v>65</v>
      </c>
      <c r="B50" s="24" t="s">
        <v>112</v>
      </c>
      <c r="C50" s="32">
        <v>14.587</v>
      </c>
      <c r="D50" s="28">
        <v>1.1805555555555555E-2</v>
      </c>
    </row>
    <row r="51" spans="1:4" x14ac:dyDescent="0.25">
      <c r="A51" s="24" t="s">
        <v>65</v>
      </c>
      <c r="B51" s="24" t="s">
        <v>113</v>
      </c>
      <c r="C51" s="32">
        <v>18.210999999999999</v>
      </c>
      <c r="D51" s="28">
        <v>1.3888888888888888E-2</v>
      </c>
    </row>
    <row r="52" spans="1:4" x14ac:dyDescent="0.25">
      <c r="A52" s="24" t="s">
        <v>65</v>
      </c>
      <c r="B52" s="24" t="s">
        <v>114</v>
      </c>
      <c r="C52" s="32">
        <v>7.6719999999999997</v>
      </c>
      <c r="D52" s="28">
        <v>4.8611111111111112E-3</v>
      </c>
    </row>
    <row r="53" spans="1:4" x14ac:dyDescent="0.25">
      <c r="A53" s="24" t="s">
        <v>65</v>
      </c>
      <c r="B53" s="24" t="s">
        <v>115</v>
      </c>
      <c r="C53" s="32">
        <v>7.5229999999999997</v>
      </c>
      <c r="D53" s="28">
        <v>5.5555555555555558E-3</v>
      </c>
    </row>
    <row r="54" spans="1:4" x14ac:dyDescent="0.25">
      <c r="A54" s="24" t="s">
        <v>65</v>
      </c>
      <c r="B54" s="24" t="s">
        <v>116</v>
      </c>
      <c r="C54" s="32">
        <v>1.1120000000000001</v>
      </c>
      <c r="D54" s="28">
        <v>2.0833333333333333E-3</v>
      </c>
    </row>
    <row r="55" spans="1:4" x14ac:dyDescent="0.25">
      <c r="A55" s="24" t="s">
        <v>65</v>
      </c>
      <c r="B55" s="24" t="s">
        <v>117</v>
      </c>
      <c r="C55" s="32">
        <v>7.5970000000000004</v>
      </c>
      <c r="D55" s="28">
        <v>7.6388888888888886E-3</v>
      </c>
    </row>
    <row r="56" spans="1:4" x14ac:dyDescent="0.25">
      <c r="A56" s="24" t="s">
        <v>65</v>
      </c>
      <c r="B56" s="24" t="s">
        <v>118</v>
      </c>
      <c r="C56" s="32">
        <v>13.353</v>
      </c>
      <c r="D56" s="28">
        <v>1.0416666666666666E-2</v>
      </c>
    </row>
    <row r="57" spans="1:4" x14ac:dyDescent="0.25">
      <c r="A57" s="24" t="s">
        <v>65</v>
      </c>
      <c r="B57" s="24" t="s">
        <v>119</v>
      </c>
      <c r="C57" s="32">
        <v>22.170999999999999</v>
      </c>
      <c r="D57" s="28">
        <v>1.4583333333333332E-2</v>
      </c>
    </row>
    <row r="58" spans="1:4" x14ac:dyDescent="0.25">
      <c r="A58" s="24" t="s">
        <v>65</v>
      </c>
      <c r="B58" s="24" t="s">
        <v>120</v>
      </c>
      <c r="C58" s="32">
        <v>27.132000000000001</v>
      </c>
      <c r="D58" s="28">
        <v>1.9444444444444445E-2</v>
      </c>
    </row>
    <row r="59" spans="1:4" x14ac:dyDescent="0.25">
      <c r="A59" s="24" t="s">
        <v>65</v>
      </c>
      <c r="B59" s="24" t="s">
        <v>121</v>
      </c>
      <c r="C59" s="32">
        <v>40.398000000000003</v>
      </c>
      <c r="D59" s="28">
        <v>2.7777777777777776E-2</v>
      </c>
    </row>
    <row r="60" spans="1:4" x14ac:dyDescent="0.25">
      <c r="A60" s="24" t="s">
        <v>65</v>
      </c>
      <c r="B60" s="24" t="s">
        <v>122</v>
      </c>
      <c r="C60" s="32">
        <v>25.288</v>
      </c>
      <c r="D60" s="28">
        <v>1.5972222222222224E-2</v>
      </c>
    </row>
    <row r="61" spans="1:4" x14ac:dyDescent="0.25">
      <c r="A61" s="24" t="s">
        <v>65</v>
      </c>
      <c r="B61" s="24" t="s">
        <v>123</v>
      </c>
      <c r="C61" s="32">
        <v>33.982999999999997</v>
      </c>
      <c r="D61" s="28">
        <v>2.361111111111111E-2</v>
      </c>
    </row>
    <row r="62" spans="1:4" x14ac:dyDescent="0.25">
      <c r="A62" s="24" t="s">
        <v>65</v>
      </c>
      <c r="B62" s="24" t="s">
        <v>124</v>
      </c>
      <c r="C62" s="32">
        <v>33.982999999999997</v>
      </c>
      <c r="D62" s="28">
        <v>2.361111111111111E-2</v>
      </c>
    </row>
    <row r="63" spans="1:4" x14ac:dyDescent="0.25">
      <c r="A63" s="24" t="s">
        <v>65</v>
      </c>
      <c r="B63" s="24" t="s">
        <v>125</v>
      </c>
      <c r="C63" s="32">
        <v>19.422000000000001</v>
      </c>
      <c r="D63" s="28">
        <v>1.4583333333333332E-2</v>
      </c>
    </row>
    <row r="64" spans="1:4" x14ac:dyDescent="0.25">
      <c r="A64" s="24" t="s">
        <v>65</v>
      </c>
      <c r="B64" s="24" t="s">
        <v>126</v>
      </c>
      <c r="C64" s="32">
        <v>19.16</v>
      </c>
      <c r="D64" s="28">
        <v>1.3888888888888888E-2</v>
      </c>
    </row>
    <row r="65" spans="1:4" x14ac:dyDescent="0.25">
      <c r="A65" s="24" t="s">
        <v>65</v>
      </c>
      <c r="B65" s="24" t="s">
        <v>127</v>
      </c>
      <c r="C65" s="32">
        <v>16.405000000000001</v>
      </c>
      <c r="D65" s="28">
        <v>1.3194444444444444E-2</v>
      </c>
    </row>
    <row r="66" spans="1:4" x14ac:dyDescent="0.25">
      <c r="A66" s="24" t="s">
        <v>65</v>
      </c>
      <c r="B66" s="24" t="s">
        <v>128</v>
      </c>
      <c r="C66" s="32">
        <v>18.233000000000001</v>
      </c>
      <c r="D66" s="28">
        <v>1.2499999999999999E-2</v>
      </c>
    </row>
    <row r="67" spans="1:4" x14ac:dyDescent="0.25">
      <c r="A67" s="24" t="s">
        <v>65</v>
      </c>
      <c r="B67" s="24" t="s">
        <v>129</v>
      </c>
      <c r="C67" s="32">
        <v>18.233000000000001</v>
      </c>
      <c r="D67" s="28">
        <v>1.2499999999999999E-2</v>
      </c>
    </row>
    <row r="68" spans="1:4" x14ac:dyDescent="0.25">
      <c r="A68" s="24" t="s">
        <v>65</v>
      </c>
      <c r="B68" s="24" t="s">
        <v>130</v>
      </c>
      <c r="C68" s="32">
        <v>17.611999999999998</v>
      </c>
      <c r="D68" s="28">
        <v>1.4583333333333332E-2</v>
      </c>
    </row>
    <row r="69" spans="1:4" x14ac:dyDescent="0.25">
      <c r="A69" s="24" t="s">
        <v>65</v>
      </c>
      <c r="B69" s="24" t="s">
        <v>131</v>
      </c>
      <c r="C69" s="32">
        <v>15.397</v>
      </c>
      <c r="D69" s="28">
        <v>1.3888888888888888E-2</v>
      </c>
    </row>
    <row r="70" spans="1:4" x14ac:dyDescent="0.25">
      <c r="A70" s="24" t="s">
        <v>65</v>
      </c>
      <c r="B70" s="24" t="s">
        <v>132</v>
      </c>
      <c r="C70" s="32">
        <v>24.53</v>
      </c>
      <c r="D70" s="28">
        <v>1.8749999999999999E-2</v>
      </c>
    </row>
    <row r="71" spans="1:4" x14ac:dyDescent="0.25">
      <c r="A71" s="24" t="s">
        <v>65</v>
      </c>
      <c r="B71" s="24" t="s">
        <v>133</v>
      </c>
      <c r="C71" s="32">
        <v>17.846</v>
      </c>
      <c r="D71" s="28">
        <v>1.9444444444444445E-2</v>
      </c>
    </row>
    <row r="72" spans="1:4" x14ac:dyDescent="0.25">
      <c r="A72" s="24" t="s">
        <v>65</v>
      </c>
      <c r="B72" s="24" t="s">
        <v>134</v>
      </c>
      <c r="C72" s="32">
        <v>17.38</v>
      </c>
      <c r="D72" s="28">
        <v>1.8749999999999999E-2</v>
      </c>
    </row>
    <row r="73" spans="1:4" x14ac:dyDescent="0.25">
      <c r="A73" s="24" t="s">
        <v>65</v>
      </c>
      <c r="B73" s="24" t="s">
        <v>135</v>
      </c>
      <c r="C73" s="32">
        <v>18.710999999999999</v>
      </c>
      <c r="D73" s="28">
        <v>2.013888888888889E-2</v>
      </c>
    </row>
    <row r="74" spans="1:4" x14ac:dyDescent="0.25">
      <c r="A74" s="24" t="s">
        <v>65</v>
      </c>
      <c r="B74" s="24" t="s">
        <v>136</v>
      </c>
      <c r="C74" s="32">
        <v>18.710999999999999</v>
      </c>
      <c r="D74" s="28">
        <v>2.013888888888889E-2</v>
      </c>
    </row>
    <row r="75" spans="1:4" x14ac:dyDescent="0.25">
      <c r="A75" s="24" t="s">
        <v>65</v>
      </c>
      <c r="B75" s="24" t="s">
        <v>137</v>
      </c>
      <c r="C75" s="32">
        <v>18.923999999999999</v>
      </c>
      <c r="D75" s="28">
        <v>2.013888888888889E-2</v>
      </c>
    </row>
    <row r="76" spans="1:4" x14ac:dyDescent="0.25">
      <c r="A76" s="24" t="s">
        <v>65</v>
      </c>
      <c r="B76" s="24" t="s">
        <v>138</v>
      </c>
      <c r="C76" s="32">
        <v>25.986000000000001</v>
      </c>
      <c r="D76" s="28">
        <v>1.9444444444444445E-2</v>
      </c>
    </row>
    <row r="77" spans="1:4" x14ac:dyDescent="0.25">
      <c r="A77" s="24" t="s">
        <v>65</v>
      </c>
      <c r="B77" s="24" t="s">
        <v>139</v>
      </c>
      <c r="C77" s="32">
        <v>34.426000000000002</v>
      </c>
      <c r="D77" s="28">
        <v>2.0833333333333332E-2</v>
      </c>
    </row>
    <row r="78" spans="1:4" x14ac:dyDescent="0.25">
      <c r="A78" s="24" t="s">
        <v>65</v>
      </c>
      <c r="B78" s="24" t="s">
        <v>140</v>
      </c>
      <c r="C78" s="32">
        <v>34.738</v>
      </c>
      <c r="D78" s="28">
        <v>2.361111111111111E-2</v>
      </c>
    </row>
    <row r="79" spans="1:4" x14ac:dyDescent="0.25">
      <c r="A79" s="24" t="s">
        <v>65</v>
      </c>
      <c r="B79" s="24" t="s">
        <v>141</v>
      </c>
      <c r="C79" s="32">
        <v>59.137</v>
      </c>
      <c r="D79" s="28">
        <v>4.027777777777778E-2</v>
      </c>
    </row>
    <row r="80" spans="1:4" x14ac:dyDescent="0.25">
      <c r="A80" s="24" t="s">
        <v>65</v>
      </c>
      <c r="B80" s="24" t="s">
        <v>142</v>
      </c>
      <c r="C80" s="32">
        <v>57.225000000000001</v>
      </c>
      <c r="D80" s="28">
        <v>3.2638888888888891E-2</v>
      </c>
    </row>
    <row r="81" spans="1:4" x14ac:dyDescent="0.25">
      <c r="A81" s="24" t="s">
        <v>65</v>
      </c>
      <c r="B81" s="24" t="s">
        <v>143</v>
      </c>
      <c r="C81" s="32">
        <v>75.602999999999994</v>
      </c>
      <c r="D81" s="28">
        <v>4.027777777777778E-2</v>
      </c>
    </row>
    <row r="82" spans="1:4" x14ac:dyDescent="0.25">
      <c r="A82" s="24" t="s">
        <v>65</v>
      </c>
      <c r="B82" s="24" t="s">
        <v>144</v>
      </c>
      <c r="C82" s="32">
        <v>94.718999999999994</v>
      </c>
      <c r="D82" s="28">
        <v>5.1388888888888894E-2</v>
      </c>
    </row>
    <row r="83" spans="1:4" x14ac:dyDescent="0.25">
      <c r="A83" s="24" t="s">
        <v>65</v>
      </c>
      <c r="B83" s="24" t="s">
        <v>145</v>
      </c>
      <c r="C83" s="32">
        <v>39.232999999999997</v>
      </c>
      <c r="D83" s="28">
        <v>2.5694444444444447E-2</v>
      </c>
    </row>
    <row r="84" spans="1:4" x14ac:dyDescent="0.25">
      <c r="A84" s="24" t="s">
        <v>65</v>
      </c>
      <c r="B84" s="24" t="s">
        <v>146</v>
      </c>
      <c r="C84" s="32">
        <v>54.692</v>
      </c>
      <c r="D84" s="28">
        <v>3.3333333333333333E-2</v>
      </c>
    </row>
    <row r="85" spans="1:4" x14ac:dyDescent="0.25">
      <c r="A85" s="24" t="s">
        <v>65</v>
      </c>
      <c r="B85" s="24" t="s">
        <v>147</v>
      </c>
      <c r="C85" s="32">
        <v>11.066000000000001</v>
      </c>
      <c r="D85" s="28">
        <v>7.6388888888888886E-3</v>
      </c>
    </row>
    <row r="86" spans="1:4" x14ac:dyDescent="0.25">
      <c r="A86" s="24" t="s">
        <v>65</v>
      </c>
      <c r="B86" s="24" t="s">
        <v>148</v>
      </c>
      <c r="C86" s="32">
        <v>14.14</v>
      </c>
      <c r="D86" s="28">
        <v>9.7222222222222224E-3</v>
      </c>
    </row>
    <row r="87" spans="1:4" x14ac:dyDescent="0.25">
      <c r="A87" s="24" t="s">
        <v>65</v>
      </c>
      <c r="B87" s="24" t="s">
        <v>149</v>
      </c>
      <c r="C87" s="32">
        <v>24.635999999999999</v>
      </c>
      <c r="D87" s="28">
        <v>1.8749999999999999E-2</v>
      </c>
    </row>
    <row r="88" spans="1:4" x14ac:dyDescent="0.25">
      <c r="A88" s="24" t="s">
        <v>65</v>
      </c>
      <c r="B88" s="24" t="s">
        <v>150</v>
      </c>
      <c r="C88" s="32">
        <v>34.122999999999998</v>
      </c>
      <c r="D88" s="28">
        <v>2.7777777777777776E-2</v>
      </c>
    </row>
    <row r="89" spans="1:4" x14ac:dyDescent="0.25">
      <c r="A89" s="24" t="s">
        <v>65</v>
      </c>
      <c r="B89" s="24" t="s">
        <v>151</v>
      </c>
      <c r="C89" s="32">
        <v>33.381</v>
      </c>
      <c r="D89" s="28">
        <v>2.7777777777777776E-2</v>
      </c>
    </row>
    <row r="90" spans="1:4" x14ac:dyDescent="0.25">
      <c r="A90" s="24" t="s">
        <v>65</v>
      </c>
      <c r="B90" s="24" t="s">
        <v>152</v>
      </c>
      <c r="C90" s="32">
        <v>34.072000000000003</v>
      </c>
      <c r="D90" s="28">
        <v>3.0555555555555555E-2</v>
      </c>
    </row>
    <row r="91" spans="1:4" x14ac:dyDescent="0.25">
      <c r="A91" s="24" t="s">
        <v>65</v>
      </c>
      <c r="B91" s="24" t="s">
        <v>153</v>
      </c>
      <c r="C91" s="32">
        <v>38.598999999999997</v>
      </c>
      <c r="D91" s="28">
        <v>3.6805555555555557E-2</v>
      </c>
    </row>
    <row r="92" spans="1:4" x14ac:dyDescent="0.25">
      <c r="A92" s="24" t="s">
        <v>65</v>
      </c>
      <c r="B92" s="24" t="s">
        <v>154</v>
      </c>
      <c r="C92" s="32">
        <v>37.798000000000002</v>
      </c>
      <c r="D92" s="28">
        <v>3.0555555555555555E-2</v>
      </c>
    </row>
    <row r="93" spans="1:4" x14ac:dyDescent="0.25">
      <c r="A93" s="24" t="s">
        <v>65</v>
      </c>
      <c r="B93" s="24" t="s">
        <v>155</v>
      </c>
      <c r="C93" s="32">
        <v>33.984999999999999</v>
      </c>
      <c r="D93" s="28">
        <v>2.7777777777777776E-2</v>
      </c>
    </row>
    <row r="94" spans="1:4" x14ac:dyDescent="0.25">
      <c r="A94" s="24" t="s">
        <v>65</v>
      </c>
      <c r="B94" s="24" t="s">
        <v>156</v>
      </c>
      <c r="C94" s="32">
        <v>33.969000000000001</v>
      </c>
      <c r="D94" s="28">
        <v>2.7777777777777776E-2</v>
      </c>
    </row>
    <row r="95" spans="1:4" x14ac:dyDescent="0.25">
      <c r="A95" s="24" t="s">
        <v>65</v>
      </c>
      <c r="B95" s="24" t="s">
        <v>157</v>
      </c>
      <c r="C95" s="32">
        <v>30.225999999999999</v>
      </c>
      <c r="D95" s="28">
        <v>2.4999999999999998E-2</v>
      </c>
    </row>
    <row r="96" spans="1:4" x14ac:dyDescent="0.25">
      <c r="A96" s="24" t="s">
        <v>65</v>
      </c>
      <c r="B96" s="24" t="s">
        <v>158</v>
      </c>
      <c r="C96" s="32">
        <v>40.98</v>
      </c>
      <c r="D96" s="28">
        <v>3.2638888888888891E-2</v>
      </c>
    </row>
    <row r="97" spans="1:4" x14ac:dyDescent="0.25">
      <c r="A97" s="24" t="s">
        <v>65</v>
      </c>
      <c r="B97" s="24" t="s">
        <v>159</v>
      </c>
      <c r="C97" s="32">
        <v>41.470999999999997</v>
      </c>
      <c r="D97" s="28">
        <v>3.4027777777777775E-2</v>
      </c>
    </row>
    <row r="98" spans="1:4" x14ac:dyDescent="0.25">
      <c r="A98" s="24" t="s">
        <v>64</v>
      </c>
      <c r="B98" s="24" t="s">
        <v>65</v>
      </c>
      <c r="C98" s="32">
        <v>14.516999999999999</v>
      </c>
      <c r="D98" s="28">
        <v>1.0416666666666666E-2</v>
      </c>
    </row>
    <row r="99" spans="1:4" x14ac:dyDescent="0.25">
      <c r="A99" s="24" t="s">
        <v>64</v>
      </c>
      <c r="B99" s="24" t="s">
        <v>64</v>
      </c>
      <c r="C99" s="32">
        <v>0</v>
      </c>
      <c r="D99" s="28">
        <v>0</v>
      </c>
    </row>
    <row r="100" spans="1:4" x14ac:dyDescent="0.25">
      <c r="A100" s="24" t="s">
        <v>64</v>
      </c>
      <c r="B100" s="24" t="s">
        <v>66</v>
      </c>
      <c r="C100" s="32">
        <v>7.23</v>
      </c>
      <c r="D100" s="28">
        <v>9.7222222222222224E-3</v>
      </c>
    </row>
    <row r="101" spans="1:4" x14ac:dyDescent="0.25">
      <c r="A101" s="24" t="s">
        <v>64</v>
      </c>
      <c r="B101" s="24" t="s">
        <v>67</v>
      </c>
      <c r="C101" s="32">
        <v>5.5990000000000002</v>
      </c>
      <c r="D101" s="28">
        <v>9.0277777777777787E-3</v>
      </c>
    </row>
    <row r="102" spans="1:4" x14ac:dyDescent="0.25">
      <c r="A102" s="24" t="s">
        <v>64</v>
      </c>
      <c r="B102" s="24" t="s">
        <v>68</v>
      </c>
      <c r="C102" s="32">
        <v>6.1139999999999999</v>
      </c>
      <c r="D102" s="28">
        <v>9.7222222222222224E-3</v>
      </c>
    </row>
    <row r="103" spans="1:4" x14ac:dyDescent="0.25">
      <c r="A103" s="24" t="s">
        <v>64</v>
      </c>
      <c r="B103" s="24" t="s">
        <v>69</v>
      </c>
      <c r="C103" s="32">
        <v>5.1219999999999999</v>
      </c>
      <c r="D103" s="28">
        <v>8.3333333333333332E-3</v>
      </c>
    </row>
    <row r="104" spans="1:4" x14ac:dyDescent="0.25">
      <c r="A104" s="24" t="s">
        <v>64</v>
      </c>
      <c r="B104" s="24" t="s">
        <v>70</v>
      </c>
      <c r="C104" s="32">
        <v>5.5060000000000002</v>
      </c>
      <c r="D104" s="28">
        <v>9.0277777777777787E-3</v>
      </c>
    </row>
    <row r="105" spans="1:4" x14ac:dyDescent="0.25">
      <c r="A105" s="24" t="s">
        <v>64</v>
      </c>
      <c r="B105" s="24" t="s">
        <v>71</v>
      </c>
      <c r="C105" s="32">
        <v>5.6989999999999998</v>
      </c>
      <c r="D105" s="28">
        <v>9.0277777777777787E-3</v>
      </c>
    </row>
    <row r="106" spans="1:4" x14ac:dyDescent="0.25">
      <c r="A106" s="24" t="s">
        <v>64</v>
      </c>
      <c r="B106" s="24" t="s">
        <v>72</v>
      </c>
      <c r="C106" s="32">
        <v>6.8319999999999999</v>
      </c>
      <c r="D106" s="28">
        <v>1.1805555555555555E-2</v>
      </c>
    </row>
    <row r="107" spans="1:4" x14ac:dyDescent="0.25">
      <c r="A107" s="24" t="s">
        <v>64</v>
      </c>
      <c r="B107" s="24" t="s">
        <v>73</v>
      </c>
      <c r="C107" s="32">
        <v>5.36</v>
      </c>
      <c r="D107" s="28">
        <v>9.0277777777777787E-3</v>
      </c>
    </row>
    <row r="108" spans="1:4" x14ac:dyDescent="0.25">
      <c r="A108" s="24" t="s">
        <v>64</v>
      </c>
      <c r="B108" s="24" t="s">
        <v>74</v>
      </c>
      <c r="C108" s="32">
        <v>8.9600000000000009</v>
      </c>
      <c r="D108" s="28">
        <v>1.2499999999999999E-2</v>
      </c>
    </row>
    <row r="109" spans="1:4" x14ac:dyDescent="0.25">
      <c r="A109" s="24" t="s">
        <v>64</v>
      </c>
      <c r="B109" s="24" t="s">
        <v>75</v>
      </c>
      <c r="C109" s="32">
        <v>7.9960000000000004</v>
      </c>
      <c r="D109" s="28">
        <v>1.1111111111111112E-2</v>
      </c>
    </row>
    <row r="110" spans="1:4" x14ac:dyDescent="0.25">
      <c r="A110" s="24" t="s">
        <v>64</v>
      </c>
      <c r="B110" s="24" t="s">
        <v>76</v>
      </c>
      <c r="C110" s="32">
        <v>12.103</v>
      </c>
      <c r="D110" s="28">
        <v>1.6666666666666666E-2</v>
      </c>
    </row>
    <row r="111" spans="1:4" x14ac:dyDescent="0.25">
      <c r="A111" s="24" t="s">
        <v>64</v>
      </c>
      <c r="B111" s="24" t="s">
        <v>77</v>
      </c>
      <c r="C111" s="32">
        <v>12.847</v>
      </c>
      <c r="D111" s="28">
        <v>1.0416666666666666E-2</v>
      </c>
    </row>
    <row r="112" spans="1:4" x14ac:dyDescent="0.25">
      <c r="A112" s="24" t="s">
        <v>64</v>
      </c>
      <c r="B112" s="24" t="s">
        <v>78</v>
      </c>
      <c r="C112" s="32">
        <v>9.5619999999999994</v>
      </c>
      <c r="D112" s="28">
        <v>1.1805555555555555E-2</v>
      </c>
    </row>
    <row r="113" spans="1:4" x14ac:dyDescent="0.25">
      <c r="A113" s="24" t="s">
        <v>64</v>
      </c>
      <c r="B113" s="24" t="s">
        <v>79</v>
      </c>
      <c r="C113" s="32">
        <v>27.928000000000001</v>
      </c>
      <c r="D113" s="28">
        <v>2.8472222222222222E-2</v>
      </c>
    </row>
    <row r="114" spans="1:4" x14ac:dyDescent="0.25">
      <c r="A114" s="24" t="s">
        <v>64</v>
      </c>
      <c r="B114" s="24" t="s">
        <v>80</v>
      </c>
      <c r="C114" s="32">
        <v>17.741</v>
      </c>
      <c r="D114" s="28">
        <v>1.2499999999999999E-2</v>
      </c>
    </row>
    <row r="115" spans="1:4" x14ac:dyDescent="0.25">
      <c r="A115" s="24" t="s">
        <v>64</v>
      </c>
      <c r="B115" s="24" t="s">
        <v>81</v>
      </c>
      <c r="C115" s="32">
        <v>22.263000000000002</v>
      </c>
      <c r="D115" s="28">
        <v>1.5277777777777777E-2</v>
      </c>
    </row>
    <row r="116" spans="1:4" x14ac:dyDescent="0.25">
      <c r="A116" s="24" t="s">
        <v>64</v>
      </c>
      <c r="B116" s="24" t="s">
        <v>82</v>
      </c>
      <c r="C116" s="32">
        <v>22.315000000000001</v>
      </c>
      <c r="D116" s="28">
        <v>1.5277777777777777E-2</v>
      </c>
    </row>
    <row r="117" spans="1:4" x14ac:dyDescent="0.25">
      <c r="A117" s="24" t="s">
        <v>64</v>
      </c>
      <c r="B117" s="24" t="s">
        <v>83</v>
      </c>
      <c r="C117" s="32">
        <v>5.0309999999999997</v>
      </c>
      <c r="D117" s="28">
        <v>6.2499999999999995E-3</v>
      </c>
    </row>
    <row r="118" spans="1:4" x14ac:dyDescent="0.25">
      <c r="A118" s="24" t="s">
        <v>64</v>
      </c>
      <c r="B118" s="24" t="s">
        <v>84</v>
      </c>
      <c r="C118" s="32">
        <v>6.165</v>
      </c>
      <c r="D118" s="28">
        <v>8.3333333333333332E-3</v>
      </c>
    </row>
    <row r="119" spans="1:4" x14ac:dyDescent="0.25">
      <c r="A119" s="24" t="s">
        <v>64</v>
      </c>
      <c r="B119" s="24" t="s">
        <v>85</v>
      </c>
      <c r="C119" s="32">
        <v>7.8019999999999996</v>
      </c>
      <c r="D119" s="28">
        <v>9.0277777777777787E-3</v>
      </c>
    </row>
    <row r="120" spans="1:4" x14ac:dyDescent="0.25">
      <c r="A120" s="24" t="s">
        <v>64</v>
      </c>
      <c r="B120" s="24" t="s">
        <v>86</v>
      </c>
      <c r="C120" s="32">
        <v>5.4279999999999999</v>
      </c>
      <c r="D120" s="28">
        <v>6.2499999999999995E-3</v>
      </c>
    </row>
    <row r="121" spans="1:4" x14ac:dyDescent="0.25">
      <c r="A121" s="24" t="s">
        <v>64</v>
      </c>
      <c r="B121" s="24" t="s">
        <v>87</v>
      </c>
      <c r="C121" s="32">
        <v>5.5430000000000001</v>
      </c>
      <c r="D121" s="28">
        <v>6.2499999999999995E-3</v>
      </c>
    </row>
    <row r="122" spans="1:4" x14ac:dyDescent="0.25">
      <c r="A122" s="24" t="s">
        <v>64</v>
      </c>
      <c r="B122" s="24" t="s">
        <v>88</v>
      </c>
      <c r="C122" s="32">
        <v>6.9219999999999997</v>
      </c>
      <c r="D122" s="28">
        <v>7.6388888888888886E-3</v>
      </c>
    </row>
    <row r="123" spans="1:4" x14ac:dyDescent="0.25">
      <c r="A123" s="24" t="s">
        <v>64</v>
      </c>
      <c r="B123" s="24" t="s">
        <v>89</v>
      </c>
      <c r="C123" s="32">
        <v>9.0350000000000001</v>
      </c>
      <c r="D123" s="28">
        <v>1.1805555555555555E-2</v>
      </c>
    </row>
    <row r="124" spans="1:4" x14ac:dyDescent="0.25">
      <c r="A124" s="24" t="s">
        <v>64</v>
      </c>
      <c r="B124" s="24" t="s">
        <v>90</v>
      </c>
      <c r="C124" s="32">
        <v>17.765000000000001</v>
      </c>
      <c r="D124" s="28">
        <v>1.3194444444444444E-2</v>
      </c>
    </row>
    <row r="125" spans="1:4" x14ac:dyDescent="0.25">
      <c r="A125" s="24" t="s">
        <v>64</v>
      </c>
      <c r="B125" s="24" t="s">
        <v>91</v>
      </c>
      <c r="C125" s="32">
        <v>8.109</v>
      </c>
      <c r="D125" s="28">
        <v>9.7222222222222224E-3</v>
      </c>
    </row>
    <row r="126" spans="1:4" x14ac:dyDescent="0.25">
      <c r="A126" s="24" t="s">
        <v>64</v>
      </c>
      <c r="B126" s="24" t="s">
        <v>92</v>
      </c>
      <c r="C126" s="32">
        <v>15.817</v>
      </c>
      <c r="D126" s="28">
        <v>1.1805555555555555E-2</v>
      </c>
    </row>
    <row r="127" spans="1:4" x14ac:dyDescent="0.25">
      <c r="A127" s="24" t="s">
        <v>64</v>
      </c>
      <c r="B127" s="24" t="s">
        <v>93</v>
      </c>
      <c r="C127" s="32">
        <v>39.539000000000001</v>
      </c>
      <c r="D127" s="28">
        <v>2.4999999999999998E-2</v>
      </c>
    </row>
    <row r="128" spans="1:4" x14ac:dyDescent="0.25">
      <c r="A128" s="24" t="s">
        <v>64</v>
      </c>
      <c r="B128" s="24" t="s">
        <v>94</v>
      </c>
      <c r="C128" s="32">
        <v>40.17</v>
      </c>
      <c r="D128" s="28">
        <v>2.361111111111111E-2</v>
      </c>
    </row>
    <row r="129" spans="1:4" x14ac:dyDescent="0.25">
      <c r="A129" s="24" t="s">
        <v>64</v>
      </c>
      <c r="B129" s="24" t="s">
        <v>95</v>
      </c>
      <c r="C129" s="32">
        <v>22.599</v>
      </c>
      <c r="D129" s="28">
        <v>1.5972222222222224E-2</v>
      </c>
    </row>
    <row r="130" spans="1:4" x14ac:dyDescent="0.25">
      <c r="A130" s="24" t="s">
        <v>64</v>
      </c>
      <c r="B130" s="24" t="s">
        <v>96</v>
      </c>
      <c r="C130" s="32">
        <v>14.135</v>
      </c>
      <c r="D130" s="28">
        <v>1.2499999999999999E-2</v>
      </c>
    </row>
    <row r="131" spans="1:4" x14ac:dyDescent="0.25">
      <c r="A131" s="24" t="s">
        <v>64</v>
      </c>
      <c r="B131" s="24" t="s">
        <v>97</v>
      </c>
      <c r="C131" s="32">
        <v>22.454000000000001</v>
      </c>
      <c r="D131" s="28">
        <v>1.8055555555555557E-2</v>
      </c>
    </row>
    <row r="132" spans="1:4" x14ac:dyDescent="0.25">
      <c r="A132" s="24" t="s">
        <v>64</v>
      </c>
      <c r="B132" s="24" t="s">
        <v>98</v>
      </c>
      <c r="C132" s="32">
        <v>20.922000000000001</v>
      </c>
      <c r="D132" s="28">
        <v>1.6666666666666666E-2</v>
      </c>
    </row>
    <row r="133" spans="1:4" x14ac:dyDescent="0.25">
      <c r="A133" s="24" t="s">
        <v>64</v>
      </c>
      <c r="B133" s="24" t="s">
        <v>99</v>
      </c>
      <c r="C133" s="32">
        <v>23.907</v>
      </c>
      <c r="D133" s="28">
        <v>2.013888888888889E-2</v>
      </c>
    </row>
    <row r="134" spans="1:4" x14ac:dyDescent="0.25">
      <c r="A134" s="24" t="s">
        <v>64</v>
      </c>
      <c r="B134" s="24" t="s">
        <v>100</v>
      </c>
      <c r="C134" s="32">
        <v>22.757000000000001</v>
      </c>
      <c r="D134" s="28">
        <v>1.5972222222222224E-2</v>
      </c>
    </row>
    <row r="135" spans="1:4" x14ac:dyDescent="0.25">
      <c r="A135" s="24" t="s">
        <v>64</v>
      </c>
      <c r="B135" s="24" t="s">
        <v>101</v>
      </c>
      <c r="C135" s="32">
        <v>21.024000000000001</v>
      </c>
      <c r="D135" s="28">
        <v>1.8055555555555557E-2</v>
      </c>
    </row>
    <row r="136" spans="1:4" x14ac:dyDescent="0.25">
      <c r="A136" s="24" t="s">
        <v>64</v>
      </c>
      <c r="B136" s="24" t="s">
        <v>102</v>
      </c>
      <c r="C136" s="32">
        <v>20.451000000000001</v>
      </c>
      <c r="D136" s="28">
        <v>1.7361111111111112E-2</v>
      </c>
    </row>
    <row r="137" spans="1:4" x14ac:dyDescent="0.25">
      <c r="A137" s="24" t="s">
        <v>64</v>
      </c>
      <c r="B137" s="24" t="s">
        <v>103</v>
      </c>
      <c r="C137" s="32">
        <v>11.331</v>
      </c>
      <c r="D137" s="28">
        <v>9.7222222222222224E-3</v>
      </c>
    </row>
    <row r="138" spans="1:4" x14ac:dyDescent="0.25">
      <c r="A138" s="24" t="s">
        <v>64</v>
      </c>
      <c r="B138" s="24" t="s">
        <v>104</v>
      </c>
      <c r="C138" s="32">
        <v>14.711</v>
      </c>
      <c r="D138" s="28">
        <v>1.1111111111111112E-2</v>
      </c>
    </row>
    <row r="139" spans="1:4" x14ac:dyDescent="0.25">
      <c r="A139" s="24" t="s">
        <v>64</v>
      </c>
      <c r="B139" s="24" t="s">
        <v>105</v>
      </c>
      <c r="C139" s="32">
        <v>13.141999999999999</v>
      </c>
      <c r="D139" s="28">
        <v>1.3888888888888888E-2</v>
      </c>
    </row>
    <row r="140" spans="1:4" x14ac:dyDescent="0.25">
      <c r="A140" s="24" t="s">
        <v>64</v>
      </c>
      <c r="B140" s="24" t="s">
        <v>106</v>
      </c>
      <c r="C140" s="32">
        <v>7.8869999999999996</v>
      </c>
      <c r="D140" s="28">
        <v>6.9444444444444441E-3</v>
      </c>
    </row>
    <row r="141" spans="1:4" x14ac:dyDescent="0.25">
      <c r="A141" s="24" t="s">
        <v>64</v>
      </c>
      <c r="B141" s="24" t="s">
        <v>107</v>
      </c>
      <c r="C141" s="32">
        <v>14.898999999999999</v>
      </c>
      <c r="D141" s="28">
        <v>1.5277777777777777E-2</v>
      </c>
    </row>
    <row r="142" spans="1:4" x14ac:dyDescent="0.25">
      <c r="A142" s="24" t="s">
        <v>64</v>
      </c>
      <c r="B142" s="24" t="s">
        <v>108</v>
      </c>
      <c r="C142" s="32">
        <v>13.285</v>
      </c>
      <c r="D142" s="28">
        <v>1.3194444444444444E-2</v>
      </c>
    </row>
    <row r="143" spans="1:4" x14ac:dyDescent="0.25">
      <c r="A143" s="24" t="s">
        <v>64</v>
      </c>
      <c r="B143" s="24" t="s">
        <v>109</v>
      </c>
      <c r="C143" s="32">
        <v>13.315</v>
      </c>
      <c r="D143" s="28">
        <v>1.3194444444444444E-2</v>
      </c>
    </row>
    <row r="144" spans="1:4" x14ac:dyDescent="0.25">
      <c r="A144" s="24" t="s">
        <v>64</v>
      </c>
      <c r="B144" s="24" t="s">
        <v>110</v>
      </c>
      <c r="C144" s="32">
        <v>9.9819999999999993</v>
      </c>
      <c r="D144" s="28">
        <v>1.1111111111111112E-2</v>
      </c>
    </row>
    <row r="145" spans="1:4" x14ac:dyDescent="0.25">
      <c r="A145" s="24" t="s">
        <v>64</v>
      </c>
      <c r="B145" s="24" t="s">
        <v>111</v>
      </c>
      <c r="C145" s="32">
        <v>11.329000000000001</v>
      </c>
      <c r="D145" s="28">
        <v>8.3333333333333332E-3</v>
      </c>
    </row>
    <row r="146" spans="1:4" x14ac:dyDescent="0.25">
      <c r="A146" s="24" t="s">
        <v>64</v>
      </c>
      <c r="B146" s="24" t="s">
        <v>112</v>
      </c>
      <c r="C146" s="32">
        <v>15.879</v>
      </c>
      <c r="D146" s="28">
        <v>1.8055555555555557E-2</v>
      </c>
    </row>
    <row r="147" spans="1:4" x14ac:dyDescent="0.25">
      <c r="A147" s="24" t="s">
        <v>64</v>
      </c>
      <c r="B147" s="24" t="s">
        <v>113</v>
      </c>
      <c r="C147" s="32">
        <v>19.207999999999998</v>
      </c>
      <c r="D147" s="28">
        <v>1.8055555555555557E-2</v>
      </c>
    </row>
    <row r="148" spans="1:4" x14ac:dyDescent="0.25">
      <c r="A148" s="24" t="s">
        <v>64</v>
      </c>
      <c r="B148" s="24" t="s">
        <v>114</v>
      </c>
      <c r="C148" s="32">
        <v>20.808</v>
      </c>
      <c r="D148" s="28">
        <v>1.3194444444444444E-2</v>
      </c>
    </row>
    <row r="149" spans="1:4" x14ac:dyDescent="0.25">
      <c r="A149" s="24" t="s">
        <v>64</v>
      </c>
      <c r="B149" s="24" t="s">
        <v>115</v>
      </c>
      <c r="C149" s="32">
        <v>20.658999999999999</v>
      </c>
      <c r="D149" s="28">
        <v>1.3888888888888888E-2</v>
      </c>
    </row>
    <row r="150" spans="1:4" x14ac:dyDescent="0.25">
      <c r="A150" s="24" t="s">
        <v>64</v>
      </c>
      <c r="B150" s="24" t="s">
        <v>116</v>
      </c>
      <c r="C150" s="32">
        <v>14.898999999999999</v>
      </c>
      <c r="D150" s="28">
        <v>1.1805555555555555E-2</v>
      </c>
    </row>
    <row r="151" spans="1:4" x14ac:dyDescent="0.25">
      <c r="A151" s="24" t="s">
        <v>64</v>
      </c>
      <c r="B151" s="24" t="s">
        <v>117</v>
      </c>
      <c r="C151" s="32">
        <v>22.103000000000002</v>
      </c>
      <c r="D151" s="28">
        <v>1.6666666666666666E-2</v>
      </c>
    </row>
    <row r="152" spans="1:4" x14ac:dyDescent="0.25">
      <c r="A152" s="24" t="s">
        <v>64</v>
      </c>
      <c r="B152" s="24" t="s">
        <v>118</v>
      </c>
      <c r="C152" s="32">
        <v>21.821999999999999</v>
      </c>
      <c r="D152" s="28">
        <v>1.5972222222222224E-2</v>
      </c>
    </row>
    <row r="153" spans="1:4" x14ac:dyDescent="0.25">
      <c r="A153" s="24" t="s">
        <v>64</v>
      </c>
      <c r="B153" s="24" t="s">
        <v>119</v>
      </c>
      <c r="C153" s="32">
        <v>35.906999999999996</v>
      </c>
      <c r="D153" s="28">
        <v>2.2916666666666669E-2</v>
      </c>
    </row>
    <row r="154" spans="1:4" x14ac:dyDescent="0.25">
      <c r="A154" s="24" t="s">
        <v>64</v>
      </c>
      <c r="B154" s="24" t="s">
        <v>120</v>
      </c>
      <c r="C154" s="32">
        <v>36.942999999999998</v>
      </c>
      <c r="D154" s="28">
        <v>2.7083333333333334E-2</v>
      </c>
    </row>
    <row r="155" spans="1:4" x14ac:dyDescent="0.25">
      <c r="A155" s="24" t="s">
        <v>64</v>
      </c>
      <c r="B155" s="24" t="s">
        <v>121</v>
      </c>
      <c r="C155" s="32">
        <v>53.048000000000002</v>
      </c>
      <c r="D155" s="28">
        <v>3.3333333333333333E-2</v>
      </c>
    </row>
    <row r="156" spans="1:4" x14ac:dyDescent="0.25">
      <c r="A156" s="24" t="s">
        <v>64</v>
      </c>
      <c r="B156" s="24" t="s">
        <v>122</v>
      </c>
      <c r="C156" s="32">
        <v>38.409999999999997</v>
      </c>
      <c r="D156" s="28">
        <v>2.4305555555555556E-2</v>
      </c>
    </row>
    <row r="157" spans="1:4" x14ac:dyDescent="0.25">
      <c r="A157" s="24" t="s">
        <v>64</v>
      </c>
      <c r="B157" s="24" t="s">
        <v>123</v>
      </c>
      <c r="C157" s="32">
        <v>46.633000000000003</v>
      </c>
      <c r="D157" s="28">
        <v>2.9861111111111113E-2</v>
      </c>
    </row>
    <row r="158" spans="1:4" x14ac:dyDescent="0.25">
      <c r="A158" s="24" t="s">
        <v>64</v>
      </c>
      <c r="B158" s="24" t="s">
        <v>124</v>
      </c>
      <c r="C158" s="32">
        <v>46.633000000000003</v>
      </c>
      <c r="D158" s="28">
        <v>2.9861111111111113E-2</v>
      </c>
    </row>
    <row r="159" spans="1:4" x14ac:dyDescent="0.25">
      <c r="A159" s="24" t="s">
        <v>64</v>
      </c>
      <c r="B159" s="24" t="s">
        <v>125</v>
      </c>
      <c r="C159" s="32">
        <v>4.3810000000000002</v>
      </c>
      <c r="D159" s="28">
        <v>5.5555555555555558E-3</v>
      </c>
    </row>
    <row r="160" spans="1:4" x14ac:dyDescent="0.25">
      <c r="A160" s="24" t="s">
        <v>64</v>
      </c>
      <c r="B160" s="24" t="s">
        <v>126</v>
      </c>
      <c r="C160" s="32">
        <v>4.1189999999999998</v>
      </c>
      <c r="D160" s="28">
        <v>4.8611111111111112E-3</v>
      </c>
    </row>
    <row r="161" spans="1:4" x14ac:dyDescent="0.25">
      <c r="A161" s="24" t="s">
        <v>64</v>
      </c>
      <c r="B161" s="24" t="s">
        <v>127</v>
      </c>
      <c r="C161" s="32">
        <v>4.8639999999999999</v>
      </c>
      <c r="D161" s="28">
        <v>5.5555555555555558E-3</v>
      </c>
    </row>
    <row r="162" spans="1:4" x14ac:dyDescent="0.25">
      <c r="A162" s="24" t="s">
        <v>64</v>
      </c>
      <c r="B162" s="24" t="s">
        <v>128</v>
      </c>
      <c r="C162" s="32">
        <v>3.4980000000000002</v>
      </c>
      <c r="D162" s="28">
        <v>4.8611111111111112E-3</v>
      </c>
    </row>
    <row r="163" spans="1:4" x14ac:dyDescent="0.25">
      <c r="A163" s="24" t="s">
        <v>64</v>
      </c>
      <c r="B163" s="24" t="s">
        <v>129</v>
      </c>
      <c r="C163" s="32">
        <v>3.4980000000000002</v>
      </c>
      <c r="D163" s="28">
        <v>4.8611111111111112E-3</v>
      </c>
    </row>
    <row r="164" spans="1:4" x14ac:dyDescent="0.25">
      <c r="A164" s="24" t="s">
        <v>64</v>
      </c>
      <c r="B164" s="24" t="s">
        <v>130</v>
      </c>
      <c r="C164" s="32">
        <v>4.782</v>
      </c>
      <c r="D164" s="28">
        <v>6.2499999999999995E-3</v>
      </c>
    </row>
    <row r="165" spans="1:4" x14ac:dyDescent="0.25">
      <c r="A165" s="24" t="s">
        <v>64</v>
      </c>
      <c r="B165" s="24" t="s">
        <v>131</v>
      </c>
      <c r="C165" s="32">
        <v>7.2530000000000001</v>
      </c>
      <c r="D165" s="28">
        <v>9.0277777777777787E-3</v>
      </c>
    </row>
    <row r="166" spans="1:4" x14ac:dyDescent="0.25">
      <c r="A166" s="24" t="s">
        <v>64</v>
      </c>
      <c r="B166" s="24" t="s">
        <v>132</v>
      </c>
      <c r="C166" s="32">
        <v>9.3030000000000008</v>
      </c>
      <c r="D166" s="28">
        <v>9.0277777777777787E-3</v>
      </c>
    </row>
    <row r="167" spans="1:4" x14ac:dyDescent="0.25">
      <c r="A167" s="24" t="s">
        <v>64</v>
      </c>
      <c r="B167" s="24" t="s">
        <v>133</v>
      </c>
      <c r="C167" s="32">
        <v>9.6509999999999998</v>
      </c>
      <c r="D167" s="28">
        <v>1.1111111111111112E-2</v>
      </c>
    </row>
    <row r="168" spans="1:4" x14ac:dyDescent="0.25">
      <c r="A168" s="24" t="s">
        <v>64</v>
      </c>
      <c r="B168" s="24" t="s">
        <v>134</v>
      </c>
      <c r="C168" s="32">
        <v>9.1850000000000005</v>
      </c>
      <c r="D168" s="28">
        <v>1.0416666666666666E-2</v>
      </c>
    </row>
    <row r="169" spans="1:4" x14ac:dyDescent="0.25">
      <c r="A169" s="24" t="s">
        <v>64</v>
      </c>
      <c r="B169" s="24" t="s">
        <v>135</v>
      </c>
      <c r="C169" s="32">
        <v>9.7289999999999992</v>
      </c>
      <c r="D169" s="28">
        <v>1.1805555555555555E-2</v>
      </c>
    </row>
    <row r="170" spans="1:4" x14ac:dyDescent="0.25">
      <c r="A170" s="24" t="s">
        <v>64</v>
      </c>
      <c r="B170" s="24" t="s">
        <v>136</v>
      </c>
      <c r="C170" s="32">
        <v>9.7289999999999992</v>
      </c>
      <c r="D170" s="28">
        <v>1.1805555555555555E-2</v>
      </c>
    </row>
    <row r="171" spans="1:4" x14ac:dyDescent="0.25">
      <c r="A171" s="24" t="s">
        <v>64</v>
      </c>
      <c r="B171" s="24" t="s">
        <v>137</v>
      </c>
      <c r="C171" s="32">
        <v>9.3379999999999992</v>
      </c>
      <c r="D171" s="28">
        <v>1.1111111111111112E-2</v>
      </c>
    </row>
    <row r="172" spans="1:4" x14ac:dyDescent="0.25">
      <c r="A172" s="24" t="s">
        <v>64</v>
      </c>
      <c r="B172" s="24" t="s">
        <v>138</v>
      </c>
      <c r="C172" s="32">
        <v>15.214</v>
      </c>
      <c r="D172" s="28">
        <v>1.3194444444444444E-2</v>
      </c>
    </row>
    <row r="173" spans="1:4" x14ac:dyDescent="0.25">
      <c r="A173" s="24" t="s">
        <v>64</v>
      </c>
      <c r="B173" s="24" t="s">
        <v>139</v>
      </c>
      <c r="C173" s="32">
        <v>25.335000000000001</v>
      </c>
      <c r="D173" s="28">
        <v>1.8749999999999999E-2</v>
      </c>
    </row>
    <row r="174" spans="1:4" x14ac:dyDescent="0.25">
      <c r="A174" s="24" t="s">
        <v>64</v>
      </c>
      <c r="B174" s="24" t="s">
        <v>140</v>
      </c>
      <c r="C174" s="32">
        <v>17.931000000000001</v>
      </c>
      <c r="D174" s="28">
        <v>1.8749999999999999E-2</v>
      </c>
    </row>
    <row r="175" spans="1:4" x14ac:dyDescent="0.25">
      <c r="A175" s="24" t="s">
        <v>64</v>
      </c>
      <c r="B175" s="24" t="s">
        <v>141</v>
      </c>
      <c r="C175" s="32">
        <v>50.045999999999999</v>
      </c>
      <c r="D175" s="28">
        <v>3.8194444444444441E-2</v>
      </c>
    </row>
    <row r="176" spans="1:4" x14ac:dyDescent="0.25">
      <c r="A176" s="24" t="s">
        <v>64</v>
      </c>
      <c r="B176" s="24" t="s">
        <v>142</v>
      </c>
      <c r="C176" s="32">
        <v>39.146000000000001</v>
      </c>
      <c r="D176" s="28">
        <v>3.0555555555555555E-2</v>
      </c>
    </row>
    <row r="177" spans="1:4" x14ac:dyDescent="0.25">
      <c r="A177" s="24" t="s">
        <v>64</v>
      </c>
      <c r="B177" s="24" t="s">
        <v>143</v>
      </c>
      <c r="C177" s="32">
        <v>57.524000000000001</v>
      </c>
      <c r="D177" s="28">
        <v>3.7499999999999999E-2</v>
      </c>
    </row>
    <row r="178" spans="1:4" x14ac:dyDescent="0.25">
      <c r="A178" s="24" t="s">
        <v>64</v>
      </c>
      <c r="B178" s="24" t="s">
        <v>144</v>
      </c>
      <c r="C178" s="32">
        <v>76.64</v>
      </c>
      <c r="D178" s="28">
        <v>4.8611111111111112E-2</v>
      </c>
    </row>
    <row r="179" spans="1:4" x14ac:dyDescent="0.25">
      <c r="A179" s="24" t="s">
        <v>64</v>
      </c>
      <c r="B179" s="24" t="s">
        <v>145</v>
      </c>
      <c r="C179" s="32">
        <v>30.021000000000001</v>
      </c>
      <c r="D179" s="28">
        <v>2.2222222222222223E-2</v>
      </c>
    </row>
    <row r="180" spans="1:4" x14ac:dyDescent="0.25">
      <c r="A180" s="24" t="s">
        <v>64</v>
      </c>
      <c r="B180" s="24" t="s">
        <v>146</v>
      </c>
      <c r="C180" s="32">
        <v>45.48</v>
      </c>
      <c r="D180" s="28">
        <v>2.9861111111111113E-2</v>
      </c>
    </row>
    <row r="181" spans="1:4" x14ac:dyDescent="0.25">
      <c r="A181" s="24" t="s">
        <v>64</v>
      </c>
      <c r="B181" s="24" t="s">
        <v>147</v>
      </c>
      <c r="C181" s="32">
        <v>7.8140000000000001</v>
      </c>
      <c r="D181" s="28">
        <v>6.2499999999999995E-3</v>
      </c>
    </row>
    <row r="182" spans="1:4" x14ac:dyDescent="0.25">
      <c r="A182" s="24" t="s">
        <v>64</v>
      </c>
      <c r="B182" s="24" t="s">
        <v>148</v>
      </c>
      <c r="C182" s="32">
        <v>5.891</v>
      </c>
      <c r="D182" s="28">
        <v>6.2499999999999995E-3</v>
      </c>
    </row>
    <row r="183" spans="1:4" x14ac:dyDescent="0.25">
      <c r="A183" s="24" t="s">
        <v>64</v>
      </c>
      <c r="B183" s="24" t="s">
        <v>149</v>
      </c>
      <c r="C183" s="32">
        <v>9.4090000000000007</v>
      </c>
      <c r="D183" s="28">
        <v>9.7222222222222224E-3</v>
      </c>
    </row>
    <row r="184" spans="1:4" x14ac:dyDescent="0.25">
      <c r="A184" s="24" t="s">
        <v>64</v>
      </c>
      <c r="B184" s="24" t="s">
        <v>150</v>
      </c>
      <c r="C184" s="32">
        <v>16.34</v>
      </c>
      <c r="D184" s="28">
        <v>1.7361111111111112E-2</v>
      </c>
    </row>
    <row r="185" spans="1:4" x14ac:dyDescent="0.25">
      <c r="A185" s="24" t="s">
        <v>64</v>
      </c>
      <c r="B185" s="24" t="s">
        <v>151</v>
      </c>
      <c r="C185" s="32">
        <v>15.598000000000001</v>
      </c>
      <c r="D185" s="28">
        <v>1.7361111111111112E-2</v>
      </c>
    </row>
    <row r="186" spans="1:4" x14ac:dyDescent="0.25">
      <c r="A186" s="24" t="s">
        <v>64</v>
      </c>
      <c r="B186" s="24" t="s">
        <v>152</v>
      </c>
      <c r="C186" s="32">
        <v>22.515999999999998</v>
      </c>
      <c r="D186" s="28">
        <v>2.1527777777777781E-2</v>
      </c>
    </row>
    <row r="187" spans="1:4" x14ac:dyDescent="0.25">
      <c r="A187" s="24" t="s">
        <v>64</v>
      </c>
      <c r="B187" s="24" t="s">
        <v>153</v>
      </c>
      <c r="C187" s="32">
        <v>25.196999999999999</v>
      </c>
      <c r="D187" s="28">
        <v>2.5694444444444447E-2</v>
      </c>
    </row>
    <row r="188" spans="1:4" x14ac:dyDescent="0.25">
      <c r="A188" s="24" t="s">
        <v>64</v>
      </c>
      <c r="B188" s="24" t="s">
        <v>154</v>
      </c>
      <c r="C188" s="32">
        <v>20.015000000000001</v>
      </c>
      <c r="D188" s="28">
        <v>2.013888888888889E-2</v>
      </c>
    </row>
    <row r="189" spans="1:4" x14ac:dyDescent="0.25">
      <c r="A189" s="24" t="s">
        <v>64</v>
      </c>
      <c r="B189" s="24" t="s">
        <v>155</v>
      </c>
      <c r="C189" s="32">
        <v>16.202000000000002</v>
      </c>
      <c r="D189" s="28">
        <v>1.7361111111111112E-2</v>
      </c>
    </row>
    <row r="190" spans="1:4" x14ac:dyDescent="0.25">
      <c r="A190" s="24" t="s">
        <v>64</v>
      </c>
      <c r="B190" s="24" t="s">
        <v>156</v>
      </c>
      <c r="C190" s="32">
        <v>16.186</v>
      </c>
      <c r="D190" s="28">
        <v>1.7361111111111112E-2</v>
      </c>
    </row>
    <row r="191" spans="1:4" x14ac:dyDescent="0.25">
      <c r="A191" s="24" t="s">
        <v>64</v>
      </c>
      <c r="B191" s="24" t="s">
        <v>157</v>
      </c>
      <c r="C191" s="32">
        <v>25.853000000000002</v>
      </c>
      <c r="D191" s="28">
        <v>2.2222222222222223E-2</v>
      </c>
    </row>
    <row r="192" spans="1:4" x14ac:dyDescent="0.25">
      <c r="A192" s="24" t="s">
        <v>64</v>
      </c>
      <c r="B192" s="24" t="s">
        <v>158</v>
      </c>
      <c r="C192" s="32">
        <v>36.606999999999999</v>
      </c>
      <c r="D192" s="28">
        <v>2.9861111111111113E-2</v>
      </c>
    </row>
    <row r="193" spans="1:4" x14ac:dyDescent="0.25">
      <c r="A193" s="24" t="s">
        <v>64</v>
      </c>
      <c r="B193" s="24" t="s">
        <v>159</v>
      </c>
      <c r="C193" s="32">
        <v>41.976999999999997</v>
      </c>
      <c r="D193" s="28">
        <v>3.4722222222222224E-2</v>
      </c>
    </row>
    <row r="194" spans="1:4" x14ac:dyDescent="0.25">
      <c r="A194" s="24" t="s">
        <v>66</v>
      </c>
      <c r="B194" s="24" t="s">
        <v>65</v>
      </c>
      <c r="C194" s="32">
        <v>17.024000000000001</v>
      </c>
      <c r="D194" s="28">
        <v>1.3888888888888888E-2</v>
      </c>
    </row>
    <row r="195" spans="1:4" x14ac:dyDescent="0.25">
      <c r="A195" s="24" t="s">
        <v>66</v>
      </c>
      <c r="B195" s="24" t="s">
        <v>64</v>
      </c>
      <c r="C195" s="32">
        <v>4.0069999999999997</v>
      </c>
      <c r="D195" s="28">
        <v>5.5555555555555558E-3</v>
      </c>
    </row>
    <row r="196" spans="1:4" x14ac:dyDescent="0.25">
      <c r="A196" s="24" t="s">
        <v>66</v>
      </c>
      <c r="B196" s="24" t="s">
        <v>66</v>
      </c>
      <c r="C196" s="32">
        <v>0</v>
      </c>
      <c r="D196" s="28">
        <v>0</v>
      </c>
    </row>
    <row r="197" spans="1:4" x14ac:dyDescent="0.25">
      <c r="A197" s="24" t="s">
        <v>66</v>
      </c>
      <c r="B197" s="24" t="s">
        <v>67</v>
      </c>
      <c r="C197" s="32">
        <v>6.5119999999999996</v>
      </c>
      <c r="D197" s="28">
        <v>8.3333333333333332E-3</v>
      </c>
    </row>
    <row r="198" spans="1:4" x14ac:dyDescent="0.25">
      <c r="A198" s="24" t="s">
        <v>66</v>
      </c>
      <c r="B198" s="24" t="s">
        <v>68</v>
      </c>
      <c r="C198" s="32">
        <v>6.1950000000000003</v>
      </c>
      <c r="D198" s="28">
        <v>7.6388888888888886E-3</v>
      </c>
    </row>
    <row r="199" spans="1:4" x14ac:dyDescent="0.25">
      <c r="A199" s="24" t="s">
        <v>66</v>
      </c>
      <c r="B199" s="24" t="s">
        <v>69</v>
      </c>
      <c r="C199" s="32">
        <v>5.2030000000000003</v>
      </c>
      <c r="D199" s="28">
        <v>6.2499999999999995E-3</v>
      </c>
    </row>
    <row r="200" spans="1:4" x14ac:dyDescent="0.25">
      <c r="A200" s="24" t="s">
        <v>66</v>
      </c>
      <c r="B200" s="24" t="s">
        <v>70</v>
      </c>
      <c r="C200" s="32">
        <v>5.5869999999999997</v>
      </c>
      <c r="D200" s="28">
        <v>6.9444444444444441E-3</v>
      </c>
    </row>
    <row r="201" spans="1:4" x14ac:dyDescent="0.25">
      <c r="A201" s="24" t="s">
        <v>66</v>
      </c>
      <c r="B201" s="24" t="s">
        <v>71</v>
      </c>
      <c r="C201" s="32">
        <v>5.78</v>
      </c>
      <c r="D201" s="28">
        <v>6.9444444444444441E-3</v>
      </c>
    </row>
    <row r="202" spans="1:4" x14ac:dyDescent="0.25">
      <c r="A202" s="24" t="s">
        <v>66</v>
      </c>
      <c r="B202" s="24" t="s">
        <v>72</v>
      </c>
      <c r="C202" s="32">
        <v>7.7450000000000001</v>
      </c>
      <c r="D202" s="28">
        <v>1.0416666666666666E-2</v>
      </c>
    </row>
    <row r="203" spans="1:4" x14ac:dyDescent="0.25">
      <c r="A203" s="24" t="s">
        <v>66</v>
      </c>
      <c r="B203" s="24" t="s">
        <v>73</v>
      </c>
      <c r="C203" s="32">
        <v>6.6820000000000004</v>
      </c>
      <c r="D203" s="28">
        <v>9.0277777777777787E-3</v>
      </c>
    </row>
    <row r="204" spans="1:4" x14ac:dyDescent="0.25">
      <c r="A204" s="24" t="s">
        <v>66</v>
      </c>
      <c r="B204" s="24" t="s">
        <v>74</v>
      </c>
      <c r="C204" s="32">
        <v>10.625999999999999</v>
      </c>
      <c r="D204" s="28">
        <v>1.3194444444444444E-2</v>
      </c>
    </row>
    <row r="205" spans="1:4" x14ac:dyDescent="0.25">
      <c r="A205" s="24" t="s">
        <v>66</v>
      </c>
      <c r="B205" s="24" t="s">
        <v>75</v>
      </c>
      <c r="C205" s="32">
        <v>9.6620000000000008</v>
      </c>
      <c r="D205" s="28">
        <v>1.1111111111111112E-2</v>
      </c>
    </row>
    <row r="206" spans="1:4" x14ac:dyDescent="0.25">
      <c r="A206" s="24" t="s">
        <v>66</v>
      </c>
      <c r="B206" s="24" t="s">
        <v>76</v>
      </c>
      <c r="C206" s="32">
        <v>13.769</v>
      </c>
      <c r="D206" s="28">
        <v>1.7361111111111112E-2</v>
      </c>
    </row>
    <row r="207" spans="1:4" x14ac:dyDescent="0.25">
      <c r="A207" s="24" t="s">
        <v>66</v>
      </c>
      <c r="B207" s="24" t="s">
        <v>77</v>
      </c>
      <c r="C207" s="32">
        <v>14.56</v>
      </c>
      <c r="D207" s="28">
        <v>1.4583333333333332E-2</v>
      </c>
    </row>
    <row r="208" spans="1:4" x14ac:dyDescent="0.25">
      <c r="A208" s="24" t="s">
        <v>66</v>
      </c>
      <c r="B208" s="24" t="s">
        <v>78</v>
      </c>
      <c r="C208" s="32">
        <v>9.6010000000000009</v>
      </c>
      <c r="D208" s="28">
        <v>1.1111111111111112E-2</v>
      </c>
    </row>
    <row r="209" spans="1:4" x14ac:dyDescent="0.25">
      <c r="A209" s="24" t="s">
        <v>66</v>
      </c>
      <c r="B209" s="24" t="s">
        <v>79</v>
      </c>
      <c r="C209" s="32">
        <v>27.666</v>
      </c>
      <c r="D209" s="28">
        <v>2.8472222222222222E-2</v>
      </c>
    </row>
    <row r="210" spans="1:4" x14ac:dyDescent="0.25">
      <c r="A210" s="24" t="s">
        <v>66</v>
      </c>
      <c r="B210" s="24" t="s">
        <v>80</v>
      </c>
      <c r="C210" s="32">
        <v>20.248000000000001</v>
      </c>
      <c r="D210" s="28">
        <v>1.5972222222222224E-2</v>
      </c>
    </row>
    <row r="211" spans="1:4" x14ac:dyDescent="0.25">
      <c r="A211" s="24" t="s">
        <v>66</v>
      </c>
      <c r="B211" s="24" t="s">
        <v>81</v>
      </c>
      <c r="C211" s="32">
        <v>24.77</v>
      </c>
      <c r="D211" s="28">
        <v>1.8055555555555557E-2</v>
      </c>
    </row>
    <row r="212" spans="1:4" x14ac:dyDescent="0.25">
      <c r="A212" s="24" t="s">
        <v>66</v>
      </c>
      <c r="B212" s="24" t="s">
        <v>82</v>
      </c>
      <c r="C212" s="32">
        <v>24.821999999999999</v>
      </c>
      <c r="D212" s="28">
        <v>1.8055555555555557E-2</v>
      </c>
    </row>
    <row r="213" spans="1:4" x14ac:dyDescent="0.25">
      <c r="A213" s="24" t="s">
        <v>66</v>
      </c>
      <c r="B213" s="24" t="s">
        <v>83</v>
      </c>
      <c r="C213" s="32">
        <v>7.5380000000000003</v>
      </c>
      <c r="D213" s="28">
        <v>9.7222222222222224E-3</v>
      </c>
    </row>
    <row r="214" spans="1:4" x14ac:dyDescent="0.25">
      <c r="A214" s="24" t="s">
        <v>66</v>
      </c>
      <c r="B214" s="24" t="s">
        <v>84</v>
      </c>
      <c r="C214" s="32">
        <v>7.5650000000000004</v>
      </c>
      <c r="D214" s="28">
        <v>9.0277777777777787E-3</v>
      </c>
    </row>
    <row r="215" spans="1:4" x14ac:dyDescent="0.25">
      <c r="A215" s="24" t="s">
        <v>66</v>
      </c>
      <c r="B215" s="24" t="s">
        <v>85</v>
      </c>
      <c r="C215" s="32">
        <v>7.7469999999999999</v>
      </c>
      <c r="D215" s="28">
        <v>1.0416666666666666E-2</v>
      </c>
    </row>
    <row r="216" spans="1:4" x14ac:dyDescent="0.25">
      <c r="A216" s="24" t="s">
        <v>66</v>
      </c>
      <c r="B216" s="24" t="s">
        <v>86</v>
      </c>
      <c r="C216" s="32">
        <v>7.9349999999999996</v>
      </c>
      <c r="D216" s="28">
        <v>9.7222222222222224E-3</v>
      </c>
    </row>
    <row r="217" spans="1:4" x14ac:dyDescent="0.25">
      <c r="A217" s="24" t="s">
        <v>66</v>
      </c>
      <c r="B217" s="24" t="s">
        <v>87</v>
      </c>
      <c r="C217" s="32">
        <v>8.0500000000000007</v>
      </c>
      <c r="D217" s="28">
        <v>9.7222222222222224E-3</v>
      </c>
    </row>
    <row r="218" spans="1:4" x14ac:dyDescent="0.25">
      <c r="A218" s="24" t="s">
        <v>66</v>
      </c>
      <c r="B218" s="24" t="s">
        <v>88</v>
      </c>
      <c r="C218" s="32">
        <v>9.4290000000000003</v>
      </c>
      <c r="D218" s="28">
        <v>1.1111111111111112E-2</v>
      </c>
    </row>
    <row r="219" spans="1:4" x14ac:dyDescent="0.25">
      <c r="A219" s="24" t="s">
        <v>66</v>
      </c>
      <c r="B219" s="24" t="s">
        <v>89</v>
      </c>
      <c r="C219" s="32">
        <v>11.542</v>
      </c>
      <c r="D219" s="28">
        <v>1.5277777777777777E-2</v>
      </c>
    </row>
    <row r="220" spans="1:4" x14ac:dyDescent="0.25">
      <c r="A220" s="24" t="s">
        <v>66</v>
      </c>
      <c r="B220" s="24" t="s">
        <v>90</v>
      </c>
      <c r="C220" s="32">
        <v>20.271999999999998</v>
      </c>
      <c r="D220" s="28">
        <v>1.6666666666666666E-2</v>
      </c>
    </row>
    <row r="221" spans="1:4" x14ac:dyDescent="0.25">
      <c r="A221" s="24" t="s">
        <v>66</v>
      </c>
      <c r="B221" s="24" t="s">
        <v>91</v>
      </c>
      <c r="C221" s="32">
        <v>10.616</v>
      </c>
      <c r="D221" s="28">
        <v>1.3194444444444444E-2</v>
      </c>
    </row>
    <row r="222" spans="1:4" x14ac:dyDescent="0.25">
      <c r="A222" s="24" t="s">
        <v>66</v>
      </c>
      <c r="B222" s="24" t="s">
        <v>92</v>
      </c>
      <c r="C222" s="32">
        <v>18.324000000000002</v>
      </c>
      <c r="D222" s="28">
        <v>1.5277777777777777E-2</v>
      </c>
    </row>
    <row r="223" spans="1:4" x14ac:dyDescent="0.25">
      <c r="A223" s="24" t="s">
        <v>66</v>
      </c>
      <c r="B223" s="24" t="s">
        <v>93</v>
      </c>
      <c r="C223" s="32">
        <v>42.045999999999999</v>
      </c>
      <c r="D223" s="28">
        <v>2.8472222222222222E-2</v>
      </c>
    </row>
    <row r="224" spans="1:4" x14ac:dyDescent="0.25">
      <c r="A224" s="24" t="s">
        <v>66</v>
      </c>
      <c r="B224" s="24" t="s">
        <v>94</v>
      </c>
      <c r="C224" s="32">
        <v>42.674999999999997</v>
      </c>
      <c r="D224" s="28">
        <v>2.9166666666666664E-2</v>
      </c>
    </row>
    <row r="225" spans="1:4" x14ac:dyDescent="0.25">
      <c r="A225" s="24" t="s">
        <v>66</v>
      </c>
      <c r="B225" s="24" t="s">
        <v>95</v>
      </c>
      <c r="C225" s="32">
        <v>25.106000000000002</v>
      </c>
      <c r="D225" s="28">
        <v>1.9444444444444445E-2</v>
      </c>
    </row>
    <row r="226" spans="1:4" x14ac:dyDescent="0.25">
      <c r="A226" s="24" t="s">
        <v>66</v>
      </c>
      <c r="B226" s="24" t="s">
        <v>96</v>
      </c>
      <c r="C226" s="32">
        <v>14.742000000000001</v>
      </c>
      <c r="D226" s="28">
        <v>1.5277777777777777E-2</v>
      </c>
    </row>
    <row r="227" spans="1:4" x14ac:dyDescent="0.25">
      <c r="A227" s="24" t="s">
        <v>66</v>
      </c>
      <c r="B227" s="24" t="s">
        <v>97</v>
      </c>
      <c r="C227" s="32">
        <v>23.061</v>
      </c>
      <c r="D227" s="28">
        <v>2.1527777777777781E-2</v>
      </c>
    </row>
    <row r="228" spans="1:4" x14ac:dyDescent="0.25">
      <c r="A228" s="24" t="s">
        <v>66</v>
      </c>
      <c r="B228" s="24" t="s">
        <v>98</v>
      </c>
      <c r="C228" s="32">
        <v>23.407</v>
      </c>
      <c r="D228" s="28">
        <v>1.9444444444444445E-2</v>
      </c>
    </row>
    <row r="229" spans="1:4" x14ac:dyDescent="0.25">
      <c r="A229" s="24" t="s">
        <v>66</v>
      </c>
      <c r="B229" s="24" t="s">
        <v>99</v>
      </c>
      <c r="C229" s="32">
        <v>24.513999999999999</v>
      </c>
      <c r="D229" s="28">
        <v>2.2916666666666669E-2</v>
      </c>
    </row>
    <row r="230" spans="1:4" x14ac:dyDescent="0.25">
      <c r="A230" s="24" t="s">
        <v>66</v>
      </c>
      <c r="B230" s="24" t="s">
        <v>100</v>
      </c>
      <c r="C230" s="32">
        <v>25.263999999999999</v>
      </c>
      <c r="D230" s="28">
        <v>1.9444444444444445E-2</v>
      </c>
    </row>
    <row r="231" spans="1:4" x14ac:dyDescent="0.25">
      <c r="A231" s="24" t="s">
        <v>66</v>
      </c>
      <c r="B231" s="24" t="s">
        <v>101</v>
      </c>
      <c r="C231" s="32">
        <v>23.509</v>
      </c>
      <c r="D231" s="28">
        <v>2.0833333333333332E-2</v>
      </c>
    </row>
    <row r="232" spans="1:4" x14ac:dyDescent="0.25">
      <c r="A232" s="24" t="s">
        <v>66</v>
      </c>
      <c r="B232" s="24" t="s">
        <v>102</v>
      </c>
      <c r="C232" s="32">
        <v>22.936</v>
      </c>
      <c r="D232" s="28">
        <v>2.013888888888889E-2</v>
      </c>
    </row>
    <row r="233" spans="1:4" x14ac:dyDescent="0.25">
      <c r="A233" s="24" t="s">
        <v>66</v>
      </c>
      <c r="B233" s="24" t="s">
        <v>103</v>
      </c>
      <c r="C233" s="32">
        <v>13.837999999999999</v>
      </c>
      <c r="D233" s="28">
        <v>1.3194444444444444E-2</v>
      </c>
    </row>
    <row r="234" spans="1:4" x14ac:dyDescent="0.25">
      <c r="A234" s="24" t="s">
        <v>66</v>
      </c>
      <c r="B234" s="24" t="s">
        <v>104</v>
      </c>
      <c r="C234" s="32">
        <v>17.218</v>
      </c>
      <c r="D234" s="28">
        <v>1.4583333333333332E-2</v>
      </c>
    </row>
    <row r="235" spans="1:4" x14ac:dyDescent="0.25">
      <c r="A235" s="24" t="s">
        <v>66</v>
      </c>
      <c r="B235" s="24" t="s">
        <v>105</v>
      </c>
      <c r="C235" s="32">
        <v>15.648999999999999</v>
      </c>
      <c r="D235" s="28">
        <v>1.6666666666666666E-2</v>
      </c>
    </row>
    <row r="236" spans="1:4" x14ac:dyDescent="0.25">
      <c r="A236" s="24" t="s">
        <v>66</v>
      </c>
      <c r="B236" s="24" t="s">
        <v>106</v>
      </c>
      <c r="C236" s="32">
        <v>10.394</v>
      </c>
      <c r="D236" s="28">
        <v>1.0416666666666666E-2</v>
      </c>
    </row>
    <row r="237" spans="1:4" x14ac:dyDescent="0.25">
      <c r="A237" s="24" t="s">
        <v>66</v>
      </c>
      <c r="B237" s="24" t="s">
        <v>107</v>
      </c>
      <c r="C237" s="32">
        <v>17.268000000000001</v>
      </c>
      <c r="D237" s="28">
        <v>1.8749999999999999E-2</v>
      </c>
    </row>
    <row r="238" spans="1:4" x14ac:dyDescent="0.25">
      <c r="A238" s="24" t="s">
        <v>66</v>
      </c>
      <c r="B238" s="24" t="s">
        <v>108</v>
      </c>
      <c r="C238" s="32">
        <v>15.654</v>
      </c>
      <c r="D238" s="28">
        <v>1.5972222222222224E-2</v>
      </c>
    </row>
    <row r="239" spans="1:4" x14ac:dyDescent="0.25">
      <c r="A239" s="24" t="s">
        <v>66</v>
      </c>
      <c r="B239" s="24" t="s">
        <v>109</v>
      </c>
      <c r="C239" s="32">
        <v>15.683999999999999</v>
      </c>
      <c r="D239" s="28">
        <v>1.5972222222222224E-2</v>
      </c>
    </row>
    <row r="240" spans="1:4" x14ac:dyDescent="0.25">
      <c r="A240" s="24" t="s">
        <v>66</v>
      </c>
      <c r="B240" s="24" t="s">
        <v>110</v>
      </c>
      <c r="C240" s="32">
        <v>12.489000000000001</v>
      </c>
      <c r="D240" s="28">
        <v>1.4583333333333332E-2</v>
      </c>
    </row>
    <row r="241" spans="1:4" x14ac:dyDescent="0.25">
      <c r="A241" s="24" t="s">
        <v>66</v>
      </c>
      <c r="B241" s="24" t="s">
        <v>111</v>
      </c>
      <c r="C241" s="32">
        <v>13.836</v>
      </c>
      <c r="D241" s="28">
        <v>1.1805555555555555E-2</v>
      </c>
    </row>
    <row r="242" spans="1:4" x14ac:dyDescent="0.25">
      <c r="A242" s="24" t="s">
        <v>66</v>
      </c>
      <c r="B242" s="24" t="s">
        <v>112</v>
      </c>
      <c r="C242" s="32">
        <v>18.248000000000001</v>
      </c>
      <c r="D242" s="28">
        <v>2.0833333333333332E-2</v>
      </c>
    </row>
    <row r="243" spans="1:4" x14ac:dyDescent="0.25">
      <c r="A243" s="24" t="s">
        <v>66</v>
      </c>
      <c r="B243" s="24" t="s">
        <v>113</v>
      </c>
      <c r="C243" s="32">
        <v>21.100999999999999</v>
      </c>
      <c r="D243" s="28">
        <v>1.8749999999999999E-2</v>
      </c>
    </row>
    <row r="244" spans="1:4" x14ac:dyDescent="0.25">
      <c r="A244" s="24" t="s">
        <v>66</v>
      </c>
      <c r="B244" s="24" t="s">
        <v>114</v>
      </c>
      <c r="C244" s="32">
        <v>23.315000000000001</v>
      </c>
      <c r="D244" s="28">
        <v>1.6666666666666666E-2</v>
      </c>
    </row>
    <row r="245" spans="1:4" x14ac:dyDescent="0.25">
      <c r="A245" s="24" t="s">
        <v>66</v>
      </c>
      <c r="B245" s="24" t="s">
        <v>115</v>
      </c>
      <c r="C245" s="32">
        <v>23.166</v>
      </c>
      <c r="D245" s="28">
        <v>1.7361111111111112E-2</v>
      </c>
    </row>
    <row r="246" spans="1:4" x14ac:dyDescent="0.25">
      <c r="A246" s="24" t="s">
        <v>66</v>
      </c>
      <c r="B246" s="24" t="s">
        <v>116</v>
      </c>
      <c r="C246" s="32">
        <v>17.405999999999999</v>
      </c>
      <c r="D246" s="28">
        <v>1.5277777777777777E-2</v>
      </c>
    </row>
    <row r="247" spans="1:4" x14ac:dyDescent="0.25">
      <c r="A247" s="24" t="s">
        <v>66</v>
      </c>
      <c r="B247" s="24" t="s">
        <v>117</v>
      </c>
      <c r="C247" s="32">
        <v>24.61</v>
      </c>
      <c r="D247" s="28">
        <v>2.013888888888889E-2</v>
      </c>
    </row>
    <row r="248" spans="1:4" x14ac:dyDescent="0.25">
      <c r="A248" s="24" t="s">
        <v>66</v>
      </c>
      <c r="B248" s="24" t="s">
        <v>118</v>
      </c>
      <c r="C248" s="32">
        <v>24.329000000000001</v>
      </c>
      <c r="D248" s="28">
        <v>1.9444444444444445E-2</v>
      </c>
    </row>
    <row r="249" spans="1:4" x14ac:dyDescent="0.25">
      <c r="A249" s="24" t="s">
        <v>66</v>
      </c>
      <c r="B249" s="24" t="s">
        <v>119</v>
      </c>
      <c r="C249" s="32">
        <v>36.042999999999999</v>
      </c>
      <c r="D249" s="28">
        <v>2.4999999999999998E-2</v>
      </c>
    </row>
    <row r="250" spans="1:4" x14ac:dyDescent="0.25">
      <c r="A250" s="24" t="s">
        <v>66</v>
      </c>
      <c r="B250" s="24" t="s">
        <v>120</v>
      </c>
      <c r="C250" s="32">
        <v>38.832999999999998</v>
      </c>
      <c r="D250" s="28">
        <v>2.7777777777777776E-2</v>
      </c>
    </row>
    <row r="251" spans="1:4" x14ac:dyDescent="0.25">
      <c r="A251" s="24" t="s">
        <v>66</v>
      </c>
      <c r="B251" s="24" t="s">
        <v>121</v>
      </c>
      <c r="C251" s="32">
        <v>53.183999999999997</v>
      </c>
      <c r="D251" s="28">
        <v>3.4722222222222224E-2</v>
      </c>
    </row>
    <row r="252" spans="1:4" x14ac:dyDescent="0.25">
      <c r="A252" s="24" t="s">
        <v>66</v>
      </c>
      <c r="B252" s="24" t="s">
        <v>122</v>
      </c>
      <c r="C252" s="32">
        <v>40.917000000000002</v>
      </c>
      <c r="D252" s="28">
        <v>2.7083333333333334E-2</v>
      </c>
    </row>
    <row r="253" spans="1:4" x14ac:dyDescent="0.25">
      <c r="A253" s="24" t="s">
        <v>66</v>
      </c>
      <c r="B253" s="24" t="s">
        <v>123</v>
      </c>
      <c r="C253" s="32">
        <v>46.768999999999998</v>
      </c>
      <c r="D253" s="28">
        <v>3.125E-2</v>
      </c>
    </row>
    <row r="254" spans="1:4" x14ac:dyDescent="0.25">
      <c r="A254" s="24" t="s">
        <v>66</v>
      </c>
      <c r="B254" s="24" t="s">
        <v>124</v>
      </c>
      <c r="C254" s="32">
        <v>46.768999999999998</v>
      </c>
      <c r="D254" s="28">
        <v>3.125E-2</v>
      </c>
    </row>
    <row r="255" spans="1:4" x14ac:dyDescent="0.25">
      <c r="A255" s="24" t="s">
        <v>66</v>
      </c>
      <c r="B255" s="24" t="s">
        <v>125</v>
      </c>
      <c r="C255" s="32">
        <v>4.9850000000000003</v>
      </c>
      <c r="D255" s="28">
        <v>7.6388888888888886E-3</v>
      </c>
    </row>
    <row r="256" spans="1:4" x14ac:dyDescent="0.25">
      <c r="A256" s="24" t="s">
        <v>66</v>
      </c>
      <c r="B256" s="24" t="s">
        <v>126</v>
      </c>
      <c r="C256" s="32">
        <v>4.7229999999999999</v>
      </c>
      <c r="D256" s="28">
        <v>6.9444444444444441E-3</v>
      </c>
    </row>
    <row r="257" spans="1:4" x14ac:dyDescent="0.25">
      <c r="A257" s="24" t="s">
        <v>66</v>
      </c>
      <c r="B257" s="24" t="s">
        <v>127</v>
      </c>
      <c r="C257" s="32">
        <v>5.468</v>
      </c>
      <c r="D257" s="28">
        <v>7.6388888888888886E-3</v>
      </c>
    </row>
    <row r="258" spans="1:4" x14ac:dyDescent="0.25">
      <c r="A258" s="24" t="s">
        <v>66</v>
      </c>
      <c r="B258" s="24" t="s">
        <v>128</v>
      </c>
      <c r="C258" s="32">
        <v>5.9829999999999997</v>
      </c>
      <c r="D258" s="28">
        <v>8.3333333333333332E-3</v>
      </c>
    </row>
    <row r="259" spans="1:4" x14ac:dyDescent="0.25">
      <c r="A259" s="24" t="s">
        <v>66</v>
      </c>
      <c r="B259" s="24" t="s">
        <v>129</v>
      </c>
      <c r="C259" s="32">
        <v>5.9829999999999997</v>
      </c>
      <c r="D259" s="28">
        <v>8.3333333333333332E-3</v>
      </c>
    </row>
    <row r="260" spans="1:4" x14ac:dyDescent="0.25">
      <c r="A260" s="24" t="s">
        <v>66</v>
      </c>
      <c r="B260" s="24" t="s">
        <v>130</v>
      </c>
      <c r="C260" s="32">
        <v>5.3860000000000001</v>
      </c>
      <c r="D260" s="28">
        <v>8.3333333333333332E-3</v>
      </c>
    </row>
    <row r="261" spans="1:4" x14ac:dyDescent="0.25">
      <c r="A261" s="24" t="s">
        <v>66</v>
      </c>
      <c r="B261" s="24" t="s">
        <v>131</v>
      </c>
      <c r="C261" s="32">
        <v>7.8570000000000002</v>
      </c>
      <c r="D261" s="28">
        <v>1.1111111111111112E-2</v>
      </c>
    </row>
    <row r="262" spans="1:4" x14ac:dyDescent="0.25">
      <c r="A262" s="24" t="s">
        <v>66</v>
      </c>
      <c r="B262" s="24" t="s">
        <v>132</v>
      </c>
      <c r="C262" s="32">
        <v>7.6269999999999998</v>
      </c>
      <c r="D262" s="28">
        <v>9.7222222222222224E-3</v>
      </c>
    </row>
    <row r="263" spans="1:4" x14ac:dyDescent="0.25">
      <c r="A263" s="24" t="s">
        <v>66</v>
      </c>
      <c r="B263" s="24" t="s">
        <v>133</v>
      </c>
      <c r="C263" s="32">
        <v>11.051</v>
      </c>
      <c r="D263" s="28">
        <v>1.1805555555555555E-2</v>
      </c>
    </row>
    <row r="264" spans="1:4" x14ac:dyDescent="0.25">
      <c r="A264" s="24" t="s">
        <v>66</v>
      </c>
      <c r="B264" s="24" t="s">
        <v>134</v>
      </c>
      <c r="C264" s="32">
        <v>10.585000000000001</v>
      </c>
      <c r="D264" s="28">
        <v>1.1111111111111112E-2</v>
      </c>
    </row>
    <row r="265" spans="1:4" x14ac:dyDescent="0.25">
      <c r="A265" s="24" t="s">
        <v>66</v>
      </c>
      <c r="B265" s="24" t="s">
        <v>135</v>
      </c>
      <c r="C265" s="32">
        <v>11.129</v>
      </c>
      <c r="D265" s="28">
        <v>1.2499999999999999E-2</v>
      </c>
    </row>
    <row r="266" spans="1:4" x14ac:dyDescent="0.25">
      <c r="A266" s="24" t="s">
        <v>66</v>
      </c>
      <c r="B266" s="24" t="s">
        <v>136</v>
      </c>
      <c r="C266" s="32">
        <v>11.129</v>
      </c>
      <c r="D266" s="28">
        <v>1.2499999999999999E-2</v>
      </c>
    </row>
    <row r="267" spans="1:4" x14ac:dyDescent="0.25">
      <c r="A267" s="24" t="s">
        <v>66</v>
      </c>
      <c r="B267" s="24" t="s">
        <v>137</v>
      </c>
      <c r="C267" s="32">
        <v>10.738</v>
      </c>
      <c r="D267" s="28">
        <v>1.1805555555555555E-2</v>
      </c>
    </row>
    <row r="268" spans="1:4" x14ac:dyDescent="0.25">
      <c r="A268" s="24" t="s">
        <v>66</v>
      </c>
      <c r="B268" s="24" t="s">
        <v>138</v>
      </c>
      <c r="C268" s="32">
        <v>17.106999999999999</v>
      </c>
      <c r="D268" s="28">
        <v>1.4583333333333332E-2</v>
      </c>
    </row>
    <row r="269" spans="1:4" x14ac:dyDescent="0.25">
      <c r="A269" s="24" t="s">
        <v>66</v>
      </c>
      <c r="B269" s="24" t="s">
        <v>139</v>
      </c>
      <c r="C269" s="32">
        <v>21.448</v>
      </c>
      <c r="D269" s="28">
        <v>1.9444444444444445E-2</v>
      </c>
    </row>
    <row r="270" spans="1:4" x14ac:dyDescent="0.25">
      <c r="A270" s="24" t="s">
        <v>66</v>
      </c>
      <c r="B270" s="24" t="s">
        <v>140</v>
      </c>
      <c r="C270" s="32">
        <v>18.670999999999999</v>
      </c>
      <c r="D270" s="28">
        <v>1.7361111111111112E-2</v>
      </c>
    </row>
    <row r="271" spans="1:4" x14ac:dyDescent="0.25">
      <c r="A271" s="24" t="s">
        <v>66</v>
      </c>
      <c r="B271" s="24" t="s">
        <v>141</v>
      </c>
      <c r="C271" s="32">
        <v>46.158999999999999</v>
      </c>
      <c r="D271" s="28">
        <v>3.888888888888889E-2</v>
      </c>
    </row>
    <row r="272" spans="1:4" x14ac:dyDescent="0.25">
      <c r="A272" s="24" t="s">
        <v>66</v>
      </c>
      <c r="B272" s="24" t="s">
        <v>142</v>
      </c>
      <c r="C272" s="32">
        <v>40.347000000000001</v>
      </c>
      <c r="D272" s="28">
        <v>3.0555555555555555E-2</v>
      </c>
    </row>
    <row r="273" spans="1:4" x14ac:dyDescent="0.25">
      <c r="A273" s="24" t="s">
        <v>66</v>
      </c>
      <c r="B273" s="24" t="s">
        <v>143</v>
      </c>
      <c r="C273" s="32">
        <v>58.725000000000001</v>
      </c>
      <c r="D273" s="28">
        <v>3.7499999999999999E-2</v>
      </c>
    </row>
    <row r="274" spans="1:4" x14ac:dyDescent="0.25">
      <c r="A274" s="24" t="s">
        <v>66</v>
      </c>
      <c r="B274" s="24" t="s">
        <v>144</v>
      </c>
      <c r="C274" s="32">
        <v>78.040000000000006</v>
      </c>
      <c r="D274" s="28">
        <v>4.8611111111111112E-2</v>
      </c>
    </row>
    <row r="275" spans="1:4" x14ac:dyDescent="0.25">
      <c r="A275" s="24" t="s">
        <v>66</v>
      </c>
      <c r="B275" s="24" t="s">
        <v>145</v>
      </c>
      <c r="C275" s="32">
        <v>31.907</v>
      </c>
      <c r="D275" s="28">
        <v>2.2916666666666669E-2</v>
      </c>
    </row>
    <row r="276" spans="1:4" x14ac:dyDescent="0.25">
      <c r="A276" s="24" t="s">
        <v>66</v>
      </c>
      <c r="B276" s="24" t="s">
        <v>146</v>
      </c>
      <c r="C276" s="32">
        <v>47.366</v>
      </c>
      <c r="D276" s="28">
        <v>3.0555555555555555E-2</v>
      </c>
    </row>
    <row r="277" spans="1:4" x14ac:dyDescent="0.25">
      <c r="A277" s="24" t="s">
        <v>66</v>
      </c>
      <c r="B277" s="24" t="s">
        <v>147</v>
      </c>
      <c r="C277" s="32">
        <v>10.321</v>
      </c>
      <c r="D277" s="28">
        <v>9.7222222222222224E-3</v>
      </c>
    </row>
    <row r="278" spans="1:4" x14ac:dyDescent="0.25">
      <c r="A278" s="24" t="s">
        <v>66</v>
      </c>
      <c r="B278" s="24" t="s">
        <v>148</v>
      </c>
      <c r="C278" s="32">
        <v>8.3979999999999997</v>
      </c>
      <c r="D278" s="28">
        <v>9.7222222222222224E-3</v>
      </c>
    </row>
    <row r="279" spans="1:4" x14ac:dyDescent="0.25">
      <c r="A279" s="24" t="s">
        <v>66</v>
      </c>
      <c r="B279" s="24" t="s">
        <v>149</v>
      </c>
      <c r="C279" s="32">
        <v>8.1539999999999999</v>
      </c>
      <c r="D279" s="28">
        <v>9.7222222222222224E-3</v>
      </c>
    </row>
    <row r="280" spans="1:4" x14ac:dyDescent="0.25">
      <c r="A280" s="24" t="s">
        <v>66</v>
      </c>
      <c r="B280" s="24" t="s">
        <v>150</v>
      </c>
      <c r="C280" s="32">
        <v>16.074000000000002</v>
      </c>
      <c r="D280" s="28">
        <v>1.8055555555555557E-2</v>
      </c>
    </row>
    <row r="281" spans="1:4" x14ac:dyDescent="0.25">
      <c r="A281" s="24" t="s">
        <v>66</v>
      </c>
      <c r="B281" s="24" t="s">
        <v>151</v>
      </c>
      <c r="C281" s="32">
        <v>15.332000000000001</v>
      </c>
      <c r="D281" s="28">
        <v>1.7361111111111112E-2</v>
      </c>
    </row>
    <row r="282" spans="1:4" x14ac:dyDescent="0.25">
      <c r="A282" s="24" t="s">
        <v>66</v>
      </c>
      <c r="B282" s="24" t="s">
        <v>152</v>
      </c>
      <c r="C282" s="32">
        <v>19.977</v>
      </c>
      <c r="D282" s="28">
        <v>2.2222222222222223E-2</v>
      </c>
    </row>
    <row r="283" spans="1:4" x14ac:dyDescent="0.25">
      <c r="A283" s="24" t="s">
        <v>66</v>
      </c>
      <c r="B283" s="24" t="s">
        <v>153</v>
      </c>
      <c r="C283" s="32">
        <v>24.931000000000001</v>
      </c>
      <c r="D283" s="28">
        <v>2.6388888888888889E-2</v>
      </c>
    </row>
    <row r="284" spans="1:4" x14ac:dyDescent="0.25">
      <c r="A284" s="24" t="s">
        <v>66</v>
      </c>
      <c r="B284" s="24" t="s">
        <v>154</v>
      </c>
      <c r="C284" s="32">
        <v>19.748999999999999</v>
      </c>
      <c r="D284" s="28">
        <v>2.013888888888889E-2</v>
      </c>
    </row>
    <row r="285" spans="1:4" x14ac:dyDescent="0.25">
      <c r="A285" s="24" t="s">
        <v>66</v>
      </c>
      <c r="B285" s="24" t="s">
        <v>155</v>
      </c>
      <c r="C285" s="32">
        <v>15.936</v>
      </c>
      <c r="D285" s="28">
        <v>1.8055555555555557E-2</v>
      </c>
    </row>
    <row r="286" spans="1:4" x14ac:dyDescent="0.25">
      <c r="A286" s="24" t="s">
        <v>66</v>
      </c>
      <c r="B286" s="24" t="s">
        <v>156</v>
      </c>
      <c r="C286" s="32">
        <v>15.92</v>
      </c>
      <c r="D286" s="28">
        <v>1.8055555555555557E-2</v>
      </c>
    </row>
    <row r="287" spans="1:4" x14ac:dyDescent="0.25">
      <c r="A287" s="24" t="s">
        <v>66</v>
      </c>
      <c r="B287" s="24" t="s">
        <v>157</v>
      </c>
      <c r="C287" s="32">
        <v>26.46</v>
      </c>
      <c r="D287" s="28">
        <v>2.4999999999999998E-2</v>
      </c>
    </row>
    <row r="288" spans="1:4" x14ac:dyDescent="0.25">
      <c r="A288" s="24" t="s">
        <v>66</v>
      </c>
      <c r="B288" s="24" t="s">
        <v>158</v>
      </c>
      <c r="C288" s="32">
        <v>36.924999999999997</v>
      </c>
      <c r="D288" s="28">
        <v>3.1944444444444449E-2</v>
      </c>
    </row>
    <row r="289" spans="1:4" x14ac:dyDescent="0.25">
      <c r="A289" s="24" t="s">
        <v>66</v>
      </c>
      <c r="B289" s="24" t="s">
        <v>159</v>
      </c>
      <c r="C289" s="32">
        <v>42.584000000000003</v>
      </c>
      <c r="D289" s="28">
        <v>3.7499999999999999E-2</v>
      </c>
    </row>
    <row r="290" spans="1:4" x14ac:dyDescent="0.25">
      <c r="A290" s="24" t="s">
        <v>67</v>
      </c>
      <c r="B290" s="24" t="s">
        <v>65</v>
      </c>
      <c r="C290" s="32">
        <v>18.559999999999999</v>
      </c>
      <c r="D290" s="28">
        <v>1.8055555555555557E-2</v>
      </c>
    </row>
    <row r="291" spans="1:4" x14ac:dyDescent="0.25">
      <c r="A291" s="24" t="s">
        <v>67</v>
      </c>
      <c r="B291" s="24" t="s">
        <v>64</v>
      </c>
      <c r="C291" s="32">
        <v>5.5430000000000001</v>
      </c>
      <c r="D291" s="28">
        <v>9.7222222222222224E-3</v>
      </c>
    </row>
    <row r="292" spans="1:4" x14ac:dyDescent="0.25">
      <c r="A292" s="24" t="s">
        <v>67</v>
      </c>
      <c r="B292" s="24" t="s">
        <v>66</v>
      </c>
      <c r="C292" s="32">
        <v>4.9340000000000002</v>
      </c>
      <c r="D292" s="28">
        <v>6.2499999999999995E-3</v>
      </c>
    </row>
    <row r="293" spans="1:4" x14ac:dyDescent="0.25">
      <c r="A293" s="24" t="s">
        <v>67</v>
      </c>
      <c r="B293" s="24" t="s">
        <v>67</v>
      </c>
      <c r="C293" s="32">
        <v>0</v>
      </c>
      <c r="D293" s="28">
        <v>0</v>
      </c>
    </row>
    <row r="294" spans="1:4" x14ac:dyDescent="0.25">
      <c r="A294" s="24" t="s">
        <v>67</v>
      </c>
      <c r="B294" s="24" t="s">
        <v>68</v>
      </c>
      <c r="C294" s="32">
        <v>1.1619999999999999</v>
      </c>
      <c r="D294" s="28">
        <v>2.7777777777777779E-3</v>
      </c>
    </row>
    <row r="295" spans="1:4" x14ac:dyDescent="0.25">
      <c r="A295" s="24" t="s">
        <v>67</v>
      </c>
      <c r="B295" s="24" t="s">
        <v>69</v>
      </c>
      <c r="C295" s="32">
        <v>1.962</v>
      </c>
      <c r="D295" s="28">
        <v>3.472222222222222E-3</v>
      </c>
    </row>
    <row r="296" spans="1:4" x14ac:dyDescent="0.25">
      <c r="A296" s="24" t="s">
        <v>67</v>
      </c>
      <c r="B296" s="24" t="s">
        <v>70</v>
      </c>
      <c r="C296" s="32">
        <v>1.6259999999999999</v>
      </c>
      <c r="D296" s="28">
        <v>2.7777777777777779E-3</v>
      </c>
    </row>
    <row r="297" spans="1:4" x14ac:dyDescent="0.25">
      <c r="A297" s="24" t="s">
        <v>67</v>
      </c>
      <c r="B297" s="24" t="s">
        <v>71</v>
      </c>
      <c r="C297" s="32">
        <v>0.747</v>
      </c>
      <c r="D297" s="28">
        <v>2.0833333333333333E-3</v>
      </c>
    </row>
    <row r="298" spans="1:4" x14ac:dyDescent="0.25">
      <c r="A298" s="24" t="s">
        <v>67</v>
      </c>
      <c r="B298" s="24" t="s">
        <v>72</v>
      </c>
      <c r="C298" s="32">
        <v>2.2570000000000001</v>
      </c>
      <c r="D298" s="28">
        <v>4.1666666666666666E-3</v>
      </c>
    </row>
    <row r="299" spans="1:4" x14ac:dyDescent="0.25">
      <c r="A299" s="24" t="s">
        <v>67</v>
      </c>
      <c r="B299" s="24" t="s">
        <v>73</v>
      </c>
      <c r="C299" s="32">
        <v>2.2120000000000002</v>
      </c>
      <c r="D299" s="28">
        <v>4.1666666666666666E-3</v>
      </c>
    </row>
    <row r="300" spans="1:4" x14ac:dyDescent="0.25">
      <c r="A300" s="24" t="s">
        <v>67</v>
      </c>
      <c r="B300" s="24" t="s">
        <v>74</v>
      </c>
      <c r="C300" s="32">
        <v>7.3479999999999999</v>
      </c>
      <c r="D300" s="28">
        <v>9.7222222222222224E-3</v>
      </c>
    </row>
    <row r="301" spans="1:4" x14ac:dyDescent="0.25">
      <c r="A301" s="24" t="s">
        <v>67</v>
      </c>
      <c r="B301" s="24" t="s">
        <v>75</v>
      </c>
      <c r="C301" s="32">
        <v>6.3840000000000003</v>
      </c>
      <c r="D301" s="28">
        <v>8.3333333333333332E-3</v>
      </c>
    </row>
    <row r="302" spans="1:4" x14ac:dyDescent="0.25">
      <c r="A302" s="24" t="s">
        <v>67</v>
      </c>
      <c r="B302" s="24" t="s">
        <v>76</v>
      </c>
      <c r="C302" s="32">
        <v>9.766</v>
      </c>
      <c r="D302" s="28">
        <v>1.1805555555555555E-2</v>
      </c>
    </row>
    <row r="303" spans="1:4" x14ac:dyDescent="0.25">
      <c r="A303" s="24" t="s">
        <v>67</v>
      </c>
      <c r="B303" s="24" t="s">
        <v>77</v>
      </c>
      <c r="C303" s="32">
        <v>9.1869999999999994</v>
      </c>
      <c r="D303" s="28">
        <v>9.7222222222222224E-3</v>
      </c>
    </row>
    <row r="304" spans="1:4" x14ac:dyDescent="0.25">
      <c r="A304" s="24" t="s">
        <v>67</v>
      </c>
      <c r="B304" s="24" t="s">
        <v>78</v>
      </c>
      <c r="C304" s="32">
        <v>4.2279999999999998</v>
      </c>
      <c r="D304" s="28">
        <v>6.2499999999999995E-3</v>
      </c>
    </row>
    <row r="305" spans="1:4" x14ac:dyDescent="0.25">
      <c r="A305" s="24" t="s">
        <v>67</v>
      </c>
      <c r="B305" s="24" t="s">
        <v>79</v>
      </c>
      <c r="C305" s="32">
        <v>25.722999999999999</v>
      </c>
      <c r="D305" s="28">
        <v>2.361111111111111E-2</v>
      </c>
    </row>
    <row r="306" spans="1:4" x14ac:dyDescent="0.25">
      <c r="A306" s="24" t="s">
        <v>67</v>
      </c>
      <c r="B306" s="24" t="s">
        <v>80</v>
      </c>
      <c r="C306" s="32">
        <v>21.783999999999999</v>
      </c>
      <c r="D306" s="28">
        <v>1.9444444444444445E-2</v>
      </c>
    </row>
    <row r="307" spans="1:4" x14ac:dyDescent="0.25">
      <c r="A307" s="24" t="s">
        <v>67</v>
      </c>
      <c r="B307" s="24" t="s">
        <v>81</v>
      </c>
      <c r="C307" s="32">
        <v>26.306000000000001</v>
      </c>
      <c r="D307" s="28">
        <v>2.2222222222222223E-2</v>
      </c>
    </row>
    <row r="308" spans="1:4" x14ac:dyDescent="0.25">
      <c r="A308" s="24" t="s">
        <v>67</v>
      </c>
      <c r="B308" s="24" t="s">
        <v>82</v>
      </c>
      <c r="C308" s="32">
        <v>26.358000000000001</v>
      </c>
      <c r="D308" s="28">
        <v>2.2222222222222223E-2</v>
      </c>
    </row>
    <row r="309" spans="1:4" x14ac:dyDescent="0.25">
      <c r="A309" s="24" t="s">
        <v>67</v>
      </c>
      <c r="B309" s="24" t="s">
        <v>83</v>
      </c>
      <c r="C309" s="32">
        <v>8.5739999999999998</v>
      </c>
      <c r="D309" s="28">
        <v>1.2499999999999999E-2</v>
      </c>
    </row>
    <row r="310" spans="1:4" x14ac:dyDescent="0.25">
      <c r="A310" s="24" t="s">
        <v>67</v>
      </c>
      <c r="B310" s="24" t="s">
        <v>84</v>
      </c>
      <c r="C310" s="32">
        <v>7.0250000000000004</v>
      </c>
      <c r="D310" s="28">
        <v>9.7222222222222224E-3</v>
      </c>
    </row>
    <row r="311" spans="1:4" x14ac:dyDescent="0.25">
      <c r="A311" s="24" t="s">
        <v>67</v>
      </c>
      <c r="B311" s="24" t="s">
        <v>85</v>
      </c>
      <c r="C311" s="32">
        <v>7.2069999999999999</v>
      </c>
      <c r="D311" s="28">
        <v>1.1111111111111112E-2</v>
      </c>
    </row>
    <row r="312" spans="1:4" x14ac:dyDescent="0.25">
      <c r="A312" s="24" t="s">
        <v>67</v>
      </c>
      <c r="B312" s="24" t="s">
        <v>86</v>
      </c>
      <c r="C312" s="32">
        <v>8.5830000000000002</v>
      </c>
      <c r="D312" s="28">
        <v>1.2499999999999999E-2</v>
      </c>
    </row>
    <row r="313" spans="1:4" x14ac:dyDescent="0.25">
      <c r="A313" s="24" t="s">
        <v>67</v>
      </c>
      <c r="B313" s="24" t="s">
        <v>87</v>
      </c>
      <c r="C313" s="32">
        <v>8.7260000000000009</v>
      </c>
      <c r="D313" s="28">
        <v>1.2499999999999999E-2</v>
      </c>
    </row>
    <row r="314" spans="1:4" x14ac:dyDescent="0.25">
      <c r="A314" s="24" t="s">
        <v>67</v>
      </c>
      <c r="B314" s="24" t="s">
        <v>88</v>
      </c>
      <c r="C314" s="32">
        <v>10.077</v>
      </c>
      <c r="D314" s="28">
        <v>1.3888888888888888E-2</v>
      </c>
    </row>
    <row r="315" spans="1:4" x14ac:dyDescent="0.25">
      <c r="A315" s="24" t="s">
        <v>67</v>
      </c>
      <c r="B315" s="24" t="s">
        <v>89</v>
      </c>
      <c r="C315" s="32">
        <v>12.52</v>
      </c>
      <c r="D315" s="28">
        <v>1.8055555555555557E-2</v>
      </c>
    </row>
    <row r="316" spans="1:4" x14ac:dyDescent="0.25">
      <c r="A316" s="24" t="s">
        <v>67</v>
      </c>
      <c r="B316" s="24" t="s">
        <v>90</v>
      </c>
      <c r="C316" s="32">
        <v>21.808</v>
      </c>
      <c r="D316" s="28">
        <v>2.013888888888889E-2</v>
      </c>
    </row>
    <row r="317" spans="1:4" x14ac:dyDescent="0.25">
      <c r="A317" s="24" t="s">
        <v>67</v>
      </c>
      <c r="B317" s="24" t="s">
        <v>91</v>
      </c>
      <c r="C317" s="32">
        <v>11.413</v>
      </c>
      <c r="D317" s="28">
        <v>1.5972222222222224E-2</v>
      </c>
    </row>
    <row r="318" spans="1:4" x14ac:dyDescent="0.25">
      <c r="A318" s="24" t="s">
        <v>67</v>
      </c>
      <c r="B318" s="24" t="s">
        <v>92</v>
      </c>
      <c r="C318" s="32">
        <v>19.86</v>
      </c>
      <c r="D318" s="28">
        <v>1.9444444444444445E-2</v>
      </c>
    </row>
    <row r="319" spans="1:4" x14ac:dyDescent="0.25">
      <c r="A319" s="24" t="s">
        <v>67</v>
      </c>
      <c r="B319" s="24" t="s">
        <v>93</v>
      </c>
      <c r="C319" s="32">
        <v>43.582000000000001</v>
      </c>
      <c r="D319" s="28">
        <v>3.1944444444444449E-2</v>
      </c>
    </row>
    <row r="320" spans="1:4" x14ac:dyDescent="0.25">
      <c r="A320" s="24" t="s">
        <v>67</v>
      </c>
      <c r="B320" s="24" t="s">
        <v>94</v>
      </c>
      <c r="C320" s="32">
        <v>44.210999999999999</v>
      </c>
      <c r="D320" s="28">
        <v>3.2638888888888891E-2</v>
      </c>
    </row>
    <row r="321" spans="1:4" x14ac:dyDescent="0.25">
      <c r="A321" s="24" t="s">
        <v>67</v>
      </c>
      <c r="B321" s="24" t="s">
        <v>95</v>
      </c>
      <c r="C321" s="32">
        <v>26.641999999999999</v>
      </c>
      <c r="D321" s="28">
        <v>2.361111111111111E-2</v>
      </c>
    </row>
    <row r="322" spans="1:4" x14ac:dyDescent="0.25">
      <c r="A322" s="24" t="s">
        <v>67</v>
      </c>
      <c r="B322" s="24" t="s">
        <v>96</v>
      </c>
      <c r="C322" s="32">
        <v>18.155999999999999</v>
      </c>
      <c r="D322" s="28">
        <v>1.9444444444444445E-2</v>
      </c>
    </row>
    <row r="323" spans="1:4" x14ac:dyDescent="0.25">
      <c r="A323" s="24" t="s">
        <v>67</v>
      </c>
      <c r="B323" s="24" t="s">
        <v>97</v>
      </c>
      <c r="C323" s="32">
        <v>26.475000000000001</v>
      </c>
      <c r="D323" s="28">
        <v>2.5694444444444447E-2</v>
      </c>
    </row>
    <row r="324" spans="1:4" x14ac:dyDescent="0.25">
      <c r="A324" s="24" t="s">
        <v>67</v>
      </c>
      <c r="B324" s="24" t="s">
        <v>98</v>
      </c>
      <c r="C324" s="32">
        <v>24.943000000000001</v>
      </c>
      <c r="D324" s="28">
        <v>2.361111111111111E-2</v>
      </c>
    </row>
    <row r="325" spans="1:4" x14ac:dyDescent="0.25">
      <c r="A325" s="24" t="s">
        <v>67</v>
      </c>
      <c r="B325" s="24" t="s">
        <v>99</v>
      </c>
      <c r="C325" s="32">
        <v>27.928000000000001</v>
      </c>
      <c r="D325" s="28">
        <v>2.7083333333333334E-2</v>
      </c>
    </row>
    <row r="326" spans="1:4" x14ac:dyDescent="0.25">
      <c r="A326" s="24" t="s">
        <v>67</v>
      </c>
      <c r="B326" s="24" t="s">
        <v>100</v>
      </c>
      <c r="C326" s="32">
        <v>26.8</v>
      </c>
      <c r="D326" s="28">
        <v>2.361111111111111E-2</v>
      </c>
    </row>
    <row r="327" spans="1:4" x14ac:dyDescent="0.25">
      <c r="A327" s="24" t="s">
        <v>67</v>
      </c>
      <c r="B327" s="24" t="s">
        <v>101</v>
      </c>
      <c r="C327" s="32">
        <v>25.045000000000002</v>
      </c>
      <c r="D327" s="28">
        <v>2.4999999999999998E-2</v>
      </c>
    </row>
    <row r="328" spans="1:4" x14ac:dyDescent="0.25">
      <c r="A328" s="24" t="s">
        <v>67</v>
      </c>
      <c r="B328" s="24" t="s">
        <v>102</v>
      </c>
      <c r="C328" s="32">
        <v>24.472000000000001</v>
      </c>
      <c r="D328" s="28">
        <v>2.4305555555555556E-2</v>
      </c>
    </row>
    <row r="329" spans="1:4" x14ac:dyDescent="0.25">
      <c r="A329" s="24" t="s">
        <v>67</v>
      </c>
      <c r="B329" s="24" t="s">
        <v>103</v>
      </c>
      <c r="C329" s="32">
        <v>15.374000000000001</v>
      </c>
      <c r="D329" s="28">
        <v>1.6666666666666666E-2</v>
      </c>
    </row>
    <row r="330" spans="1:4" x14ac:dyDescent="0.25">
      <c r="A330" s="24" t="s">
        <v>67</v>
      </c>
      <c r="B330" s="24" t="s">
        <v>104</v>
      </c>
      <c r="C330" s="32">
        <v>18.754000000000001</v>
      </c>
      <c r="D330" s="28">
        <v>1.8055555555555557E-2</v>
      </c>
    </row>
    <row r="331" spans="1:4" x14ac:dyDescent="0.25">
      <c r="A331" s="24" t="s">
        <v>67</v>
      </c>
      <c r="B331" s="24" t="s">
        <v>105</v>
      </c>
      <c r="C331" s="32">
        <v>17.184999999999999</v>
      </c>
      <c r="D331" s="28">
        <v>2.0833333333333332E-2</v>
      </c>
    </row>
    <row r="332" spans="1:4" x14ac:dyDescent="0.25">
      <c r="A332" s="24" t="s">
        <v>67</v>
      </c>
      <c r="B332" s="24" t="s">
        <v>106</v>
      </c>
      <c r="C332" s="32">
        <v>11.93</v>
      </c>
      <c r="D332" s="28">
        <v>1.3888888888888888E-2</v>
      </c>
    </row>
    <row r="333" spans="1:4" x14ac:dyDescent="0.25">
      <c r="A333" s="24" t="s">
        <v>67</v>
      </c>
      <c r="B333" s="24" t="s">
        <v>107</v>
      </c>
      <c r="C333" s="32">
        <v>16.728000000000002</v>
      </c>
      <c r="D333" s="28">
        <v>1.9444444444444445E-2</v>
      </c>
    </row>
    <row r="334" spans="1:4" x14ac:dyDescent="0.25">
      <c r="A334" s="24" t="s">
        <v>67</v>
      </c>
      <c r="B334" s="24" t="s">
        <v>108</v>
      </c>
      <c r="C334" s="32">
        <v>15.114000000000001</v>
      </c>
      <c r="D334" s="28">
        <v>1.6666666666666666E-2</v>
      </c>
    </row>
    <row r="335" spans="1:4" x14ac:dyDescent="0.25">
      <c r="A335" s="24" t="s">
        <v>67</v>
      </c>
      <c r="B335" s="24" t="s">
        <v>109</v>
      </c>
      <c r="C335" s="32">
        <v>15.144</v>
      </c>
      <c r="D335" s="28">
        <v>1.6666666666666666E-2</v>
      </c>
    </row>
    <row r="336" spans="1:4" x14ac:dyDescent="0.25">
      <c r="A336" s="24" t="s">
        <v>67</v>
      </c>
      <c r="B336" s="24" t="s">
        <v>110</v>
      </c>
      <c r="C336" s="32">
        <v>13.103</v>
      </c>
      <c r="D336" s="28">
        <v>1.7361111111111112E-2</v>
      </c>
    </row>
    <row r="337" spans="1:4" x14ac:dyDescent="0.25">
      <c r="A337" s="24" t="s">
        <v>67</v>
      </c>
      <c r="B337" s="24" t="s">
        <v>111</v>
      </c>
      <c r="C337" s="32">
        <v>15.372</v>
      </c>
      <c r="D337" s="28">
        <v>1.5972222222222224E-2</v>
      </c>
    </row>
    <row r="338" spans="1:4" x14ac:dyDescent="0.25">
      <c r="A338" s="24" t="s">
        <v>67</v>
      </c>
      <c r="B338" s="24" t="s">
        <v>112</v>
      </c>
      <c r="C338" s="32">
        <v>25.722999999999999</v>
      </c>
      <c r="D338" s="28">
        <v>1.9444444444444445E-2</v>
      </c>
    </row>
    <row r="339" spans="1:4" x14ac:dyDescent="0.25">
      <c r="A339" s="24" t="s">
        <v>67</v>
      </c>
      <c r="B339" s="24" t="s">
        <v>113</v>
      </c>
      <c r="C339" s="32">
        <v>22.856000000000002</v>
      </c>
      <c r="D339" s="28">
        <v>1.8055555555555557E-2</v>
      </c>
    </row>
    <row r="340" spans="1:4" x14ac:dyDescent="0.25">
      <c r="A340" s="24" t="s">
        <v>67</v>
      </c>
      <c r="B340" s="24" t="s">
        <v>114</v>
      </c>
      <c r="C340" s="32">
        <v>24.850999999999999</v>
      </c>
      <c r="D340" s="28">
        <v>2.0833333333333332E-2</v>
      </c>
    </row>
    <row r="341" spans="1:4" x14ac:dyDescent="0.25">
      <c r="A341" s="24" t="s">
        <v>67</v>
      </c>
      <c r="B341" s="24" t="s">
        <v>115</v>
      </c>
      <c r="C341" s="32">
        <v>24.702000000000002</v>
      </c>
      <c r="D341" s="28">
        <v>2.1527777777777781E-2</v>
      </c>
    </row>
    <row r="342" spans="1:4" x14ac:dyDescent="0.25">
      <c r="A342" s="24" t="s">
        <v>67</v>
      </c>
      <c r="B342" s="24" t="s">
        <v>116</v>
      </c>
      <c r="C342" s="32">
        <v>18.942</v>
      </c>
      <c r="D342" s="28">
        <v>1.9444444444444445E-2</v>
      </c>
    </row>
    <row r="343" spans="1:4" x14ac:dyDescent="0.25">
      <c r="A343" s="24" t="s">
        <v>67</v>
      </c>
      <c r="B343" s="24" t="s">
        <v>117</v>
      </c>
      <c r="C343" s="32">
        <v>26.146000000000001</v>
      </c>
      <c r="D343" s="28">
        <v>2.4305555555555556E-2</v>
      </c>
    </row>
    <row r="344" spans="1:4" x14ac:dyDescent="0.25">
      <c r="A344" s="24" t="s">
        <v>67</v>
      </c>
      <c r="B344" s="24" t="s">
        <v>118</v>
      </c>
      <c r="C344" s="32">
        <v>32.56</v>
      </c>
      <c r="D344" s="28">
        <v>2.2916666666666669E-2</v>
      </c>
    </row>
    <row r="345" spans="1:4" x14ac:dyDescent="0.25">
      <c r="A345" s="24" t="s">
        <v>67</v>
      </c>
      <c r="B345" s="24" t="s">
        <v>119</v>
      </c>
      <c r="C345" s="32">
        <v>37.218000000000004</v>
      </c>
      <c r="D345" s="28">
        <v>2.4999999999999998E-2</v>
      </c>
    </row>
    <row r="346" spans="1:4" x14ac:dyDescent="0.25">
      <c r="A346" s="24" t="s">
        <v>67</v>
      </c>
      <c r="B346" s="24" t="s">
        <v>120</v>
      </c>
      <c r="C346" s="32">
        <v>40.008000000000003</v>
      </c>
      <c r="D346" s="28">
        <v>2.8472222222222222E-2</v>
      </c>
    </row>
    <row r="347" spans="1:4" x14ac:dyDescent="0.25">
      <c r="A347" s="24" t="s">
        <v>67</v>
      </c>
      <c r="B347" s="24" t="s">
        <v>121</v>
      </c>
      <c r="C347" s="32">
        <v>52.643999999999998</v>
      </c>
      <c r="D347" s="28">
        <v>3.5416666666666666E-2</v>
      </c>
    </row>
    <row r="348" spans="1:4" x14ac:dyDescent="0.25">
      <c r="A348" s="24" t="s">
        <v>67</v>
      </c>
      <c r="B348" s="24" t="s">
        <v>122</v>
      </c>
      <c r="C348" s="32">
        <v>42.453000000000003</v>
      </c>
      <c r="D348" s="28">
        <v>3.125E-2</v>
      </c>
    </row>
    <row r="349" spans="1:4" x14ac:dyDescent="0.25">
      <c r="A349" s="24" t="s">
        <v>67</v>
      </c>
      <c r="B349" s="24" t="s">
        <v>123</v>
      </c>
      <c r="C349" s="32">
        <v>46.228999999999999</v>
      </c>
      <c r="D349" s="28">
        <v>3.1944444444444449E-2</v>
      </c>
    </row>
    <row r="350" spans="1:4" x14ac:dyDescent="0.25">
      <c r="A350" s="24" t="s">
        <v>67</v>
      </c>
      <c r="B350" s="24" t="s">
        <v>124</v>
      </c>
      <c r="C350" s="32">
        <v>46.228999999999999</v>
      </c>
      <c r="D350" s="28">
        <v>3.1944444444444449E-2</v>
      </c>
    </row>
    <row r="351" spans="1:4" x14ac:dyDescent="0.25">
      <c r="A351" s="24" t="s">
        <v>67</v>
      </c>
      <c r="B351" s="24" t="s">
        <v>125</v>
      </c>
      <c r="C351" s="32">
        <v>8.2390000000000008</v>
      </c>
      <c r="D351" s="28">
        <v>1.2499999999999999E-2</v>
      </c>
    </row>
    <row r="352" spans="1:4" x14ac:dyDescent="0.25">
      <c r="A352" s="24" t="s">
        <v>67</v>
      </c>
      <c r="B352" s="24" t="s">
        <v>126</v>
      </c>
      <c r="C352" s="32">
        <v>7.9770000000000003</v>
      </c>
      <c r="D352" s="28">
        <v>1.1805555555555555E-2</v>
      </c>
    </row>
    <row r="353" spans="1:4" x14ac:dyDescent="0.25">
      <c r="A353" s="24" t="s">
        <v>67</v>
      </c>
      <c r="B353" s="24" t="s">
        <v>127</v>
      </c>
      <c r="C353" s="32">
        <v>8.7219999999999995</v>
      </c>
      <c r="D353" s="28">
        <v>1.2499999999999999E-2</v>
      </c>
    </row>
    <row r="354" spans="1:4" x14ac:dyDescent="0.25">
      <c r="A354" s="24" t="s">
        <v>67</v>
      </c>
      <c r="B354" s="24" t="s">
        <v>128</v>
      </c>
      <c r="C354" s="32">
        <v>7.5190000000000001</v>
      </c>
      <c r="D354" s="28">
        <v>1.1805555555555555E-2</v>
      </c>
    </row>
    <row r="355" spans="1:4" x14ac:dyDescent="0.25">
      <c r="A355" s="24" t="s">
        <v>67</v>
      </c>
      <c r="B355" s="24" t="s">
        <v>129</v>
      </c>
      <c r="C355" s="32">
        <v>7.5190000000000001</v>
      </c>
      <c r="D355" s="28">
        <v>1.1805555555555555E-2</v>
      </c>
    </row>
    <row r="356" spans="1:4" x14ac:dyDescent="0.25">
      <c r="A356" s="24" t="s">
        <v>67</v>
      </c>
      <c r="B356" s="24" t="s">
        <v>130</v>
      </c>
      <c r="C356" s="32">
        <v>8.64</v>
      </c>
      <c r="D356" s="28">
        <v>1.3194444444444444E-2</v>
      </c>
    </row>
    <row r="357" spans="1:4" x14ac:dyDescent="0.25">
      <c r="A357" s="24" t="s">
        <v>67</v>
      </c>
      <c r="B357" s="24" t="s">
        <v>131</v>
      </c>
      <c r="C357" s="32">
        <v>11.111000000000001</v>
      </c>
      <c r="D357" s="28">
        <v>1.5972222222222224E-2</v>
      </c>
    </row>
    <row r="358" spans="1:4" x14ac:dyDescent="0.25">
      <c r="A358" s="24" t="s">
        <v>67</v>
      </c>
      <c r="B358" s="24" t="s">
        <v>132</v>
      </c>
      <c r="C358" s="32">
        <v>8.4410000000000007</v>
      </c>
      <c r="D358" s="28">
        <v>1.1111111111111112E-2</v>
      </c>
    </row>
    <row r="359" spans="1:4" x14ac:dyDescent="0.25">
      <c r="A359" s="24" t="s">
        <v>67</v>
      </c>
      <c r="B359" s="24" t="s">
        <v>133</v>
      </c>
      <c r="C359" s="32">
        <v>10.510999999999999</v>
      </c>
      <c r="D359" s="28">
        <v>1.2499999999999999E-2</v>
      </c>
    </row>
    <row r="360" spans="1:4" x14ac:dyDescent="0.25">
      <c r="A360" s="24" t="s">
        <v>67</v>
      </c>
      <c r="B360" s="24" t="s">
        <v>134</v>
      </c>
      <c r="C360" s="32">
        <v>10.045</v>
      </c>
      <c r="D360" s="28">
        <v>1.1805555555555555E-2</v>
      </c>
    </row>
    <row r="361" spans="1:4" x14ac:dyDescent="0.25">
      <c r="A361" s="24" t="s">
        <v>67</v>
      </c>
      <c r="B361" s="24" t="s">
        <v>135</v>
      </c>
      <c r="C361" s="32">
        <v>10.151</v>
      </c>
      <c r="D361" s="28">
        <v>1.2499999999999999E-2</v>
      </c>
    </row>
    <row r="362" spans="1:4" x14ac:dyDescent="0.25">
      <c r="A362" s="24" t="s">
        <v>67</v>
      </c>
      <c r="B362" s="24" t="s">
        <v>136</v>
      </c>
      <c r="C362" s="32">
        <v>10.151</v>
      </c>
      <c r="D362" s="28">
        <v>1.2499999999999999E-2</v>
      </c>
    </row>
    <row r="363" spans="1:4" x14ac:dyDescent="0.25">
      <c r="A363" s="24" t="s">
        <v>67</v>
      </c>
      <c r="B363" s="24" t="s">
        <v>137</v>
      </c>
      <c r="C363" s="32">
        <v>10.198</v>
      </c>
      <c r="D363" s="28">
        <v>1.2499999999999999E-2</v>
      </c>
    </row>
    <row r="364" spans="1:4" x14ac:dyDescent="0.25">
      <c r="A364" s="24" t="s">
        <v>67</v>
      </c>
      <c r="B364" s="24" t="s">
        <v>138</v>
      </c>
      <c r="C364" s="32">
        <v>18.713999999999999</v>
      </c>
      <c r="D364" s="28">
        <v>1.4583333333333332E-2</v>
      </c>
    </row>
    <row r="365" spans="1:4" x14ac:dyDescent="0.25">
      <c r="A365" s="24" t="s">
        <v>67</v>
      </c>
      <c r="B365" s="24" t="s">
        <v>139</v>
      </c>
      <c r="C365" s="32">
        <v>15.762</v>
      </c>
      <c r="D365" s="28">
        <v>1.3888888888888888E-2</v>
      </c>
    </row>
    <row r="366" spans="1:4" x14ac:dyDescent="0.25">
      <c r="A366" s="24" t="s">
        <v>67</v>
      </c>
      <c r="B366" s="24" t="s">
        <v>140</v>
      </c>
      <c r="C366" s="32">
        <v>12.984999999999999</v>
      </c>
      <c r="D366" s="28">
        <v>1.1111111111111112E-2</v>
      </c>
    </row>
    <row r="367" spans="1:4" x14ac:dyDescent="0.25">
      <c r="A367" s="24" t="s">
        <v>67</v>
      </c>
      <c r="B367" s="24" t="s">
        <v>141</v>
      </c>
      <c r="C367" s="32">
        <v>40.472999999999999</v>
      </c>
      <c r="D367" s="28">
        <v>3.2638888888888891E-2</v>
      </c>
    </row>
    <row r="368" spans="1:4" x14ac:dyDescent="0.25">
      <c r="A368" s="24" t="s">
        <v>67</v>
      </c>
      <c r="B368" s="24" t="s">
        <v>142</v>
      </c>
      <c r="C368" s="32">
        <v>34.661000000000001</v>
      </c>
      <c r="D368" s="28">
        <v>2.4999999999999998E-2</v>
      </c>
    </row>
    <row r="369" spans="1:4" x14ac:dyDescent="0.25">
      <c r="A369" s="24" t="s">
        <v>67</v>
      </c>
      <c r="B369" s="24" t="s">
        <v>143</v>
      </c>
      <c r="C369" s="32">
        <v>53.039000000000001</v>
      </c>
      <c r="D369" s="28">
        <v>3.1944444444444449E-2</v>
      </c>
    </row>
    <row r="370" spans="1:4" x14ac:dyDescent="0.25">
      <c r="A370" s="24" t="s">
        <v>67</v>
      </c>
      <c r="B370" s="24" t="s">
        <v>144</v>
      </c>
      <c r="C370" s="32">
        <v>72.155000000000001</v>
      </c>
      <c r="D370" s="28">
        <v>4.3055555555555562E-2</v>
      </c>
    </row>
    <row r="371" spans="1:4" x14ac:dyDescent="0.25">
      <c r="A371" s="24" t="s">
        <v>67</v>
      </c>
      <c r="B371" s="24" t="s">
        <v>145</v>
      </c>
      <c r="C371" s="32">
        <v>31.367000000000001</v>
      </c>
      <c r="D371" s="28">
        <v>2.361111111111111E-2</v>
      </c>
    </row>
    <row r="372" spans="1:4" x14ac:dyDescent="0.25">
      <c r="A372" s="24" t="s">
        <v>67</v>
      </c>
      <c r="B372" s="24" t="s">
        <v>146</v>
      </c>
      <c r="C372" s="32">
        <v>39.933999999999997</v>
      </c>
      <c r="D372" s="28">
        <v>3.125E-2</v>
      </c>
    </row>
    <row r="373" spans="1:4" x14ac:dyDescent="0.25">
      <c r="A373" s="24" t="s">
        <v>67</v>
      </c>
      <c r="B373" s="24" t="s">
        <v>147</v>
      </c>
      <c r="C373" s="32">
        <v>11.856999999999999</v>
      </c>
      <c r="D373" s="28">
        <v>1.3888888888888888E-2</v>
      </c>
    </row>
    <row r="374" spans="1:4" x14ac:dyDescent="0.25">
      <c r="A374" s="24" t="s">
        <v>67</v>
      </c>
      <c r="B374" s="24" t="s">
        <v>148</v>
      </c>
      <c r="C374" s="32">
        <v>9.9339999999999993</v>
      </c>
      <c r="D374" s="28">
        <v>1.3888888888888888E-2</v>
      </c>
    </row>
    <row r="375" spans="1:4" x14ac:dyDescent="0.25">
      <c r="A375" s="24" t="s">
        <v>67</v>
      </c>
      <c r="B375" s="24" t="s">
        <v>149</v>
      </c>
      <c r="C375" s="32">
        <v>9.6880000000000006</v>
      </c>
      <c r="D375" s="28">
        <v>1.1805555555555555E-2</v>
      </c>
    </row>
    <row r="376" spans="1:4" x14ac:dyDescent="0.25">
      <c r="A376" s="24" t="s">
        <v>67</v>
      </c>
      <c r="B376" s="24" t="s">
        <v>150</v>
      </c>
      <c r="C376" s="32">
        <v>15.938000000000001</v>
      </c>
      <c r="D376" s="28">
        <v>1.8055555555555557E-2</v>
      </c>
    </row>
    <row r="377" spans="1:4" x14ac:dyDescent="0.25">
      <c r="A377" s="24" t="s">
        <v>67</v>
      </c>
      <c r="B377" s="24" t="s">
        <v>151</v>
      </c>
      <c r="C377" s="32">
        <v>15.196</v>
      </c>
      <c r="D377" s="28">
        <v>1.8055555555555557E-2</v>
      </c>
    </row>
    <row r="378" spans="1:4" x14ac:dyDescent="0.25">
      <c r="A378" s="24" t="s">
        <v>67</v>
      </c>
      <c r="B378" s="24" t="s">
        <v>152</v>
      </c>
      <c r="C378" s="32">
        <v>19.841000000000001</v>
      </c>
      <c r="D378" s="28">
        <v>2.2222222222222223E-2</v>
      </c>
    </row>
    <row r="379" spans="1:4" x14ac:dyDescent="0.25">
      <c r="A379" s="24" t="s">
        <v>67</v>
      </c>
      <c r="B379" s="24" t="s">
        <v>153</v>
      </c>
      <c r="C379" s="32">
        <v>24.795000000000002</v>
      </c>
      <c r="D379" s="28">
        <v>2.6388888888888889E-2</v>
      </c>
    </row>
    <row r="380" spans="1:4" x14ac:dyDescent="0.25">
      <c r="A380" s="24" t="s">
        <v>67</v>
      </c>
      <c r="B380" s="24" t="s">
        <v>154</v>
      </c>
      <c r="C380" s="32">
        <v>19.613</v>
      </c>
      <c r="D380" s="28">
        <v>2.0833333333333332E-2</v>
      </c>
    </row>
    <row r="381" spans="1:4" x14ac:dyDescent="0.25">
      <c r="A381" s="24" t="s">
        <v>67</v>
      </c>
      <c r="B381" s="24" t="s">
        <v>155</v>
      </c>
      <c r="C381" s="32">
        <v>15.257</v>
      </c>
      <c r="D381" s="28">
        <v>1.8055555555555557E-2</v>
      </c>
    </row>
    <row r="382" spans="1:4" x14ac:dyDescent="0.25">
      <c r="A382" s="24" t="s">
        <v>67</v>
      </c>
      <c r="B382" s="24" t="s">
        <v>156</v>
      </c>
      <c r="C382" s="32">
        <v>15.241</v>
      </c>
      <c r="D382" s="28">
        <v>1.7361111111111112E-2</v>
      </c>
    </row>
    <row r="383" spans="1:4" x14ac:dyDescent="0.25">
      <c r="A383" s="24" t="s">
        <v>67</v>
      </c>
      <c r="B383" s="24" t="s">
        <v>157</v>
      </c>
      <c r="C383" s="32">
        <v>28.765000000000001</v>
      </c>
      <c r="D383" s="28">
        <v>2.9861111111111113E-2</v>
      </c>
    </row>
    <row r="384" spans="1:4" x14ac:dyDescent="0.25">
      <c r="A384" s="24" t="s">
        <v>67</v>
      </c>
      <c r="B384" s="24" t="s">
        <v>158</v>
      </c>
      <c r="C384" s="32">
        <v>40.179000000000002</v>
      </c>
      <c r="D384" s="28">
        <v>3.7499999999999999E-2</v>
      </c>
    </row>
    <row r="385" spans="1:4" x14ac:dyDescent="0.25">
      <c r="A385" s="24" t="s">
        <v>67</v>
      </c>
      <c r="B385" s="24" t="s">
        <v>159</v>
      </c>
      <c r="C385" s="32">
        <v>45.997999999999998</v>
      </c>
      <c r="D385" s="28">
        <v>4.1666666666666664E-2</v>
      </c>
    </row>
    <row r="386" spans="1:4" x14ac:dyDescent="0.25">
      <c r="A386" s="24" t="s">
        <v>68</v>
      </c>
      <c r="B386" s="24" t="s">
        <v>65</v>
      </c>
      <c r="C386" s="32">
        <v>19.556999999999999</v>
      </c>
      <c r="D386" s="28">
        <v>1.8055555555555557E-2</v>
      </c>
    </row>
    <row r="387" spans="1:4" x14ac:dyDescent="0.25">
      <c r="A387" s="24" t="s">
        <v>68</v>
      </c>
      <c r="B387" s="24" t="s">
        <v>64</v>
      </c>
      <c r="C387" s="32">
        <v>6.54</v>
      </c>
      <c r="D387" s="28">
        <v>9.7222222222222224E-3</v>
      </c>
    </row>
    <row r="388" spans="1:4" x14ac:dyDescent="0.25">
      <c r="A388" s="24" t="s">
        <v>68</v>
      </c>
      <c r="B388" s="24" t="s">
        <v>66</v>
      </c>
      <c r="C388" s="32">
        <v>4.01</v>
      </c>
      <c r="D388" s="28">
        <v>4.1666666666666666E-3</v>
      </c>
    </row>
    <row r="389" spans="1:4" x14ac:dyDescent="0.25">
      <c r="A389" s="24" t="s">
        <v>68</v>
      </c>
      <c r="B389" s="24" t="s">
        <v>67</v>
      </c>
      <c r="C389" s="32">
        <v>2.1280000000000001</v>
      </c>
      <c r="D389" s="28">
        <v>3.472222222222222E-3</v>
      </c>
    </row>
    <row r="390" spans="1:4" x14ac:dyDescent="0.25">
      <c r="A390" s="24" t="s">
        <v>68</v>
      </c>
      <c r="B390" s="24" t="s">
        <v>68</v>
      </c>
      <c r="C390" s="32">
        <v>0</v>
      </c>
      <c r="D390" s="28">
        <v>0</v>
      </c>
    </row>
    <row r="391" spans="1:4" x14ac:dyDescent="0.25">
      <c r="A391" s="24" t="s">
        <v>68</v>
      </c>
      <c r="B391" s="24" t="s">
        <v>69</v>
      </c>
      <c r="C391" s="32">
        <v>0.79900000000000004</v>
      </c>
      <c r="D391" s="28">
        <v>1.3888888888888889E-3</v>
      </c>
    </row>
    <row r="392" spans="1:4" x14ac:dyDescent="0.25">
      <c r="A392" s="24" t="s">
        <v>68</v>
      </c>
      <c r="B392" s="24" t="s">
        <v>70</v>
      </c>
      <c r="C392" s="32">
        <v>0.46300000000000002</v>
      </c>
      <c r="D392" s="28">
        <v>6.9444444444444447E-4</v>
      </c>
    </row>
    <row r="393" spans="1:4" x14ac:dyDescent="0.25">
      <c r="A393" s="24" t="s">
        <v>68</v>
      </c>
      <c r="B393" s="24" t="s">
        <v>71</v>
      </c>
      <c r="C393" s="32">
        <v>0.95499999999999996</v>
      </c>
      <c r="D393" s="28">
        <v>2.0833333333333333E-3</v>
      </c>
    </row>
    <row r="394" spans="1:4" x14ac:dyDescent="0.25">
      <c r="A394" s="24" t="s">
        <v>68</v>
      </c>
      <c r="B394" s="24" t="s">
        <v>72</v>
      </c>
      <c r="C394" s="32">
        <v>3.319</v>
      </c>
      <c r="D394" s="28">
        <v>6.2499999999999995E-3</v>
      </c>
    </row>
    <row r="395" spans="1:4" x14ac:dyDescent="0.25">
      <c r="A395" s="24" t="s">
        <v>68</v>
      </c>
      <c r="B395" s="24" t="s">
        <v>73</v>
      </c>
      <c r="C395" s="32">
        <v>4.1369999999999996</v>
      </c>
      <c r="D395" s="28">
        <v>6.2499999999999995E-3</v>
      </c>
    </row>
    <row r="396" spans="1:4" x14ac:dyDescent="0.25">
      <c r="A396" s="24" t="s">
        <v>68</v>
      </c>
      <c r="B396" s="24" t="s">
        <v>74</v>
      </c>
      <c r="C396" s="32">
        <v>6.9859999999999998</v>
      </c>
      <c r="D396" s="28">
        <v>1.0416666666666666E-2</v>
      </c>
    </row>
    <row r="397" spans="1:4" x14ac:dyDescent="0.25">
      <c r="A397" s="24" t="s">
        <v>68</v>
      </c>
      <c r="B397" s="24" t="s">
        <v>75</v>
      </c>
      <c r="C397" s="32">
        <v>8.1340000000000003</v>
      </c>
      <c r="D397" s="28">
        <v>9.7222222222222224E-3</v>
      </c>
    </row>
    <row r="398" spans="1:4" x14ac:dyDescent="0.25">
      <c r="A398" s="24" t="s">
        <v>68</v>
      </c>
      <c r="B398" s="24" t="s">
        <v>76</v>
      </c>
      <c r="C398" s="32">
        <v>10.755000000000001</v>
      </c>
      <c r="D398" s="28">
        <v>1.2499999999999999E-2</v>
      </c>
    </row>
    <row r="399" spans="1:4" x14ac:dyDescent="0.25">
      <c r="A399" s="24" t="s">
        <v>68</v>
      </c>
      <c r="B399" s="24" t="s">
        <v>77</v>
      </c>
      <c r="C399" s="32">
        <v>9.8629999999999995</v>
      </c>
      <c r="D399" s="28">
        <v>9.0277777777777787E-3</v>
      </c>
    </row>
    <row r="400" spans="1:4" x14ac:dyDescent="0.25">
      <c r="A400" s="24" t="s">
        <v>68</v>
      </c>
      <c r="B400" s="24" t="s">
        <v>78</v>
      </c>
      <c r="C400" s="32">
        <v>4.9039999999999999</v>
      </c>
      <c r="D400" s="28">
        <v>5.5555555555555558E-3</v>
      </c>
    </row>
    <row r="401" spans="1:4" x14ac:dyDescent="0.25">
      <c r="A401" s="24" t="s">
        <v>68</v>
      </c>
      <c r="B401" s="24" t="s">
        <v>79</v>
      </c>
      <c r="C401" s="32">
        <v>23.73</v>
      </c>
      <c r="D401" s="28">
        <v>2.361111111111111E-2</v>
      </c>
    </row>
    <row r="402" spans="1:4" x14ac:dyDescent="0.25">
      <c r="A402" s="24" t="s">
        <v>68</v>
      </c>
      <c r="B402" s="24" t="s">
        <v>80</v>
      </c>
      <c r="C402" s="32">
        <v>22.780999999999999</v>
      </c>
      <c r="D402" s="28">
        <v>2.013888888888889E-2</v>
      </c>
    </row>
    <row r="403" spans="1:4" x14ac:dyDescent="0.25">
      <c r="A403" s="24" t="s">
        <v>68</v>
      </c>
      <c r="B403" s="24" t="s">
        <v>81</v>
      </c>
      <c r="C403" s="32">
        <v>27.303000000000001</v>
      </c>
      <c r="D403" s="28">
        <v>2.2222222222222223E-2</v>
      </c>
    </row>
    <row r="404" spans="1:4" x14ac:dyDescent="0.25">
      <c r="A404" s="24" t="s">
        <v>68</v>
      </c>
      <c r="B404" s="24" t="s">
        <v>82</v>
      </c>
      <c r="C404" s="32">
        <v>27.355</v>
      </c>
      <c r="D404" s="28">
        <v>2.2222222222222223E-2</v>
      </c>
    </row>
    <row r="405" spans="1:4" x14ac:dyDescent="0.25">
      <c r="A405" s="24" t="s">
        <v>68</v>
      </c>
      <c r="B405" s="24" t="s">
        <v>83</v>
      </c>
      <c r="C405" s="32">
        <v>9.82</v>
      </c>
      <c r="D405" s="28">
        <v>1.3194444444444444E-2</v>
      </c>
    </row>
    <row r="406" spans="1:4" x14ac:dyDescent="0.25">
      <c r="A406" s="24" t="s">
        <v>68</v>
      </c>
      <c r="B406" s="24" t="s">
        <v>84</v>
      </c>
      <c r="C406" s="32">
        <v>8.6</v>
      </c>
      <c r="D406" s="28">
        <v>1.1111111111111112E-2</v>
      </c>
    </row>
    <row r="407" spans="1:4" x14ac:dyDescent="0.25">
      <c r="A407" s="24" t="s">
        <v>68</v>
      </c>
      <c r="B407" s="24" t="s">
        <v>85</v>
      </c>
      <c r="C407" s="32">
        <v>8.782</v>
      </c>
      <c r="D407" s="28">
        <v>1.1805555555555555E-2</v>
      </c>
    </row>
    <row r="408" spans="1:4" x14ac:dyDescent="0.25">
      <c r="A408" s="24" t="s">
        <v>68</v>
      </c>
      <c r="B408" s="24" t="s">
        <v>86</v>
      </c>
      <c r="C408" s="32">
        <v>10.217000000000001</v>
      </c>
      <c r="D408" s="28">
        <v>1.2499999999999999E-2</v>
      </c>
    </row>
    <row r="409" spans="1:4" x14ac:dyDescent="0.25">
      <c r="A409" s="24" t="s">
        <v>68</v>
      </c>
      <c r="B409" s="24" t="s">
        <v>87</v>
      </c>
      <c r="C409" s="32">
        <v>10.332000000000001</v>
      </c>
      <c r="D409" s="28">
        <v>1.3194444444444444E-2</v>
      </c>
    </row>
    <row r="410" spans="1:4" x14ac:dyDescent="0.25">
      <c r="A410" s="24" t="s">
        <v>68</v>
      </c>
      <c r="B410" s="24" t="s">
        <v>88</v>
      </c>
      <c r="C410" s="32">
        <v>11.711</v>
      </c>
      <c r="D410" s="28">
        <v>1.4583333333333332E-2</v>
      </c>
    </row>
    <row r="411" spans="1:4" x14ac:dyDescent="0.25">
      <c r="A411" s="24" t="s">
        <v>68</v>
      </c>
      <c r="B411" s="24" t="s">
        <v>89</v>
      </c>
      <c r="C411" s="32">
        <v>13.824</v>
      </c>
      <c r="D411" s="28">
        <v>1.8749999999999999E-2</v>
      </c>
    </row>
    <row r="412" spans="1:4" x14ac:dyDescent="0.25">
      <c r="A412" s="24" t="s">
        <v>68</v>
      </c>
      <c r="B412" s="24" t="s">
        <v>90</v>
      </c>
      <c r="C412" s="32">
        <v>22.805</v>
      </c>
      <c r="D412" s="28">
        <v>2.013888888888889E-2</v>
      </c>
    </row>
    <row r="413" spans="1:4" x14ac:dyDescent="0.25">
      <c r="A413" s="24" t="s">
        <v>68</v>
      </c>
      <c r="B413" s="24" t="s">
        <v>91</v>
      </c>
      <c r="C413" s="32">
        <v>12.898</v>
      </c>
      <c r="D413" s="28">
        <v>1.6666666666666666E-2</v>
      </c>
    </row>
    <row r="414" spans="1:4" x14ac:dyDescent="0.25">
      <c r="A414" s="24" t="s">
        <v>68</v>
      </c>
      <c r="B414" s="24" t="s">
        <v>92</v>
      </c>
      <c r="C414" s="32">
        <v>20.856999999999999</v>
      </c>
      <c r="D414" s="28">
        <v>1.9444444444444445E-2</v>
      </c>
    </row>
    <row r="415" spans="1:4" x14ac:dyDescent="0.25">
      <c r="A415" s="24" t="s">
        <v>68</v>
      </c>
      <c r="B415" s="24" t="s">
        <v>93</v>
      </c>
      <c r="C415" s="32">
        <v>44.579000000000001</v>
      </c>
      <c r="D415" s="28">
        <v>3.1944444444444449E-2</v>
      </c>
    </row>
    <row r="416" spans="1:4" x14ac:dyDescent="0.25">
      <c r="A416" s="24" t="s">
        <v>68</v>
      </c>
      <c r="B416" s="24" t="s">
        <v>94</v>
      </c>
      <c r="C416" s="32">
        <v>45.207999999999998</v>
      </c>
      <c r="D416" s="28">
        <v>3.2638888888888891E-2</v>
      </c>
    </row>
    <row r="417" spans="1:4" x14ac:dyDescent="0.25">
      <c r="A417" s="24" t="s">
        <v>68</v>
      </c>
      <c r="B417" s="24" t="s">
        <v>95</v>
      </c>
      <c r="C417" s="32">
        <v>27.638999999999999</v>
      </c>
      <c r="D417" s="28">
        <v>2.361111111111111E-2</v>
      </c>
    </row>
    <row r="418" spans="1:4" x14ac:dyDescent="0.25">
      <c r="A418" s="24" t="s">
        <v>68</v>
      </c>
      <c r="B418" s="24" t="s">
        <v>96</v>
      </c>
      <c r="C418" s="32">
        <v>17.498000000000001</v>
      </c>
      <c r="D418" s="28">
        <v>1.8055555555555557E-2</v>
      </c>
    </row>
    <row r="419" spans="1:4" x14ac:dyDescent="0.25">
      <c r="A419" s="24" t="s">
        <v>68</v>
      </c>
      <c r="B419" s="24" t="s">
        <v>97</v>
      </c>
      <c r="C419" s="32">
        <v>25.817</v>
      </c>
      <c r="D419" s="28">
        <v>2.4305555555555556E-2</v>
      </c>
    </row>
    <row r="420" spans="1:4" x14ac:dyDescent="0.25">
      <c r="A420" s="24" t="s">
        <v>68</v>
      </c>
      <c r="B420" s="24" t="s">
        <v>98</v>
      </c>
      <c r="C420" s="32">
        <v>24.454000000000001</v>
      </c>
      <c r="D420" s="28">
        <v>2.2916666666666669E-2</v>
      </c>
    </row>
    <row r="421" spans="1:4" x14ac:dyDescent="0.25">
      <c r="A421" s="24" t="s">
        <v>68</v>
      </c>
      <c r="B421" s="24" t="s">
        <v>99</v>
      </c>
      <c r="C421" s="32">
        <v>27.077000000000002</v>
      </c>
      <c r="D421" s="28">
        <v>2.6388888888888889E-2</v>
      </c>
    </row>
    <row r="422" spans="1:4" x14ac:dyDescent="0.25">
      <c r="A422" s="24" t="s">
        <v>68</v>
      </c>
      <c r="B422" s="24" t="s">
        <v>100</v>
      </c>
      <c r="C422" s="32">
        <v>27.797000000000001</v>
      </c>
      <c r="D422" s="28">
        <v>2.361111111111111E-2</v>
      </c>
    </row>
    <row r="423" spans="1:4" x14ac:dyDescent="0.25">
      <c r="A423" s="24" t="s">
        <v>68</v>
      </c>
      <c r="B423" s="24" t="s">
        <v>101</v>
      </c>
      <c r="C423" s="32">
        <v>24.556000000000001</v>
      </c>
      <c r="D423" s="28">
        <v>2.4305555555555556E-2</v>
      </c>
    </row>
    <row r="424" spans="1:4" x14ac:dyDescent="0.25">
      <c r="A424" s="24" t="s">
        <v>68</v>
      </c>
      <c r="B424" s="24" t="s">
        <v>102</v>
      </c>
      <c r="C424" s="32">
        <v>23.983000000000001</v>
      </c>
      <c r="D424" s="28">
        <v>2.361111111111111E-2</v>
      </c>
    </row>
    <row r="425" spans="1:4" x14ac:dyDescent="0.25">
      <c r="A425" s="24" t="s">
        <v>68</v>
      </c>
      <c r="B425" s="24" t="s">
        <v>103</v>
      </c>
      <c r="C425" s="32">
        <v>16.370999999999999</v>
      </c>
      <c r="D425" s="28">
        <v>1.6666666666666666E-2</v>
      </c>
    </row>
    <row r="426" spans="1:4" x14ac:dyDescent="0.25">
      <c r="A426" s="24" t="s">
        <v>68</v>
      </c>
      <c r="B426" s="24" t="s">
        <v>104</v>
      </c>
      <c r="C426" s="32">
        <v>19.751000000000001</v>
      </c>
      <c r="D426" s="28">
        <v>1.8749999999999999E-2</v>
      </c>
    </row>
    <row r="427" spans="1:4" x14ac:dyDescent="0.25">
      <c r="A427" s="24" t="s">
        <v>68</v>
      </c>
      <c r="B427" s="24" t="s">
        <v>105</v>
      </c>
      <c r="C427" s="32">
        <v>18.181999999999999</v>
      </c>
      <c r="D427" s="28">
        <v>2.0833333333333332E-2</v>
      </c>
    </row>
    <row r="428" spans="1:4" x14ac:dyDescent="0.25">
      <c r="A428" s="24" t="s">
        <v>68</v>
      </c>
      <c r="B428" s="24" t="s">
        <v>106</v>
      </c>
      <c r="C428" s="32">
        <v>12.927</v>
      </c>
      <c r="D428" s="28">
        <v>1.4583333333333332E-2</v>
      </c>
    </row>
    <row r="429" spans="1:4" x14ac:dyDescent="0.25">
      <c r="A429" s="24" t="s">
        <v>68</v>
      </c>
      <c r="B429" s="24" t="s">
        <v>107</v>
      </c>
      <c r="C429" s="32">
        <v>18.710999999999999</v>
      </c>
      <c r="D429" s="28">
        <v>2.0833333333333332E-2</v>
      </c>
    </row>
    <row r="430" spans="1:4" x14ac:dyDescent="0.25">
      <c r="A430" s="24" t="s">
        <v>68</v>
      </c>
      <c r="B430" s="24" t="s">
        <v>108</v>
      </c>
      <c r="C430" s="32">
        <v>17.097000000000001</v>
      </c>
      <c r="D430" s="28">
        <v>1.8055555555555557E-2</v>
      </c>
    </row>
    <row r="431" spans="1:4" x14ac:dyDescent="0.25">
      <c r="A431" s="24" t="s">
        <v>68</v>
      </c>
      <c r="B431" s="24" t="s">
        <v>109</v>
      </c>
      <c r="C431" s="32">
        <v>17.126999999999999</v>
      </c>
      <c r="D431" s="28">
        <v>1.8055555555555557E-2</v>
      </c>
    </row>
    <row r="432" spans="1:4" x14ac:dyDescent="0.25">
      <c r="A432" s="24" t="s">
        <v>68</v>
      </c>
      <c r="B432" s="24" t="s">
        <v>110</v>
      </c>
      <c r="C432" s="32">
        <v>14.263</v>
      </c>
      <c r="D432" s="28">
        <v>1.7361111111111112E-2</v>
      </c>
    </row>
    <row r="433" spans="1:4" x14ac:dyDescent="0.25">
      <c r="A433" s="24" t="s">
        <v>68</v>
      </c>
      <c r="B433" s="24" t="s">
        <v>111</v>
      </c>
      <c r="C433" s="32">
        <v>16.369</v>
      </c>
      <c r="D433" s="28">
        <v>1.5972222222222224E-2</v>
      </c>
    </row>
    <row r="434" spans="1:4" x14ac:dyDescent="0.25">
      <c r="A434" s="24" t="s">
        <v>68</v>
      </c>
      <c r="B434" s="24" t="s">
        <v>112</v>
      </c>
      <c r="C434" s="32">
        <v>26.712</v>
      </c>
      <c r="D434" s="28">
        <v>2.013888888888889E-2</v>
      </c>
    </row>
    <row r="435" spans="1:4" x14ac:dyDescent="0.25">
      <c r="A435" s="24" t="s">
        <v>68</v>
      </c>
      <c r="B435" s="24" t="s">
        <v>113</v>
      </c>
      <c r="C435" s="32">
        <v>23.844999999999999</v>
      </c>
      <c r="D435" s="28">
        <v>1.8055555555555557E-2</v>
      </c>
    </row>
    <row r="436" spans="1:4" x14ac:dyDescent="0.25">
      <c r="A436" s="24" t="s">
        <v>68</v>
      </c>
      <c r="B436" s="24" t="s">
        <v>114</v>
      </c>
      <c r="C436" s="32">
        <v>25.847999999999999</v>
      </c>
      <c r="D436" s="28">
        <v>2.0833333333333332E-2</v>
      </c>
    </row>
    <row r="437" spans="1:4" x14ac:dyDescent="0.25">
      <c r="A437" s="24" t="s">
        <v>68</v>
      </c>
      <c r="B437" s="24" t="s">
        <v>115</v>
      </c>
      <c r="C437" s="32">
        <v>25.699000000000002</v>
      </c>
      <c r="D437" s="28">
        <v>2.1527777777777781E-2</v>
      </c>
    </row>
    <row r="438" spans="1:4" x14ac:dyDescent="0.25">
      <c r="A438" s="24" t="s">
        <v>68</v>
      </c>
      <c r="B438" s="24" t="s">
        <v>116</v>
      </c>
      <c r="C438" s="32">
        <v>19.939</v>
      </c>
      <c r="D438" s="28">
        <v>1.9444444444444445E-2</v>
      </c>
    </row>
    <row r="439" spans="1:4" x14ac:dyDescent="0.25">
      <c r="A439" s="24" t="s">
        <v>68</v>
      </c>
      <c r="B439" s="24" t="s">
        <v>117</v>
      </c>
      <c r="C439" s="32">
        <v>27.143000000000001</v>
      </c>
      <c r="D439" s="28">
        <v>2.4305555555555556E-2</v>
      </c>
    </row>
    <row r="440" spans="1:4" x14ac:dyDescent="0.25">
      <c r="A440" s="24" t="s">
        <v>68</v>
      </c>
      <c r="B440" s="24" t="s">
        <v>118</v>
      </c>
      <c r="C440" s="32">
        <v>26.861999999999998</v>
      </c>
      <c r="D440" s="28">
        <v>2.361111111111111E-2</v>
      </c>
    </row>
    <row r="441" spans="1:4" x14ac:dyDescent="0.25">
      <c r="A441" s="24" t="s">
        <v>68</v>
      </c>
      <c r="B441" s="24" t="s">
        <v>119</v>
      </c>
      <c r="C441" s="32">
        <v>37.485999999999997</v>
      </c>
      <c r="D441" s="28">
        <v>2.6388888888888889E-2</v>
      </c>
    </row>
    <row r="442" spans="1:4" x14ac:dyDescent="0.25">
      <c r="A442" s="24" t="s">
        <v>68</v>
      </c>
      <c r="B442" s="24" t="s">
        <v>120</v>
      </c>
      <c r="C442" s="32">
        <v>40.997</v>
      </c>
      <c r="D442" s="28">
        <v>2.8472222222222222E-2</v>
      </c>
    </row>
    <row r="443" spans="1:4" x14ac:dyDescent="0.25">
      <c r="A443" s="24" t="s">
        <v>68</v>
      </c>
      <c r="B443" s="24" t="s">
        <v>121</v>
      </c>
      <c r="C443" s="32">
        <v>54.627000000000002</v>
      </c>
      <c r="D443" s="28">
        <v>3.6805555555555557E-2</v>
      </c>
    </row>
    <row r="444" spans="1:4" x14ac:dyDescent="0.25">
      <c r="A444" s="24" t="s">
        <v>68</v>
      </c>
      <c r="B444" s="24" t="s">
        <v>122</v>
      </c>
      <c r="C444" s="32">
        <v>43.45</v>
      </c>
      <c r="D444" s="28">
        <v>3.125E-2</v>
      </c>
    </row>
    <row r="445" spans="1:4" x14ac:dyDescent="0.25">
      <c r="A445" s="24" t="s">
        <v>68</v>
      </c>
      <c r="B445" s="24" t="s">
        <v>123</v>
      </c>
      <c r="C445" s="32">
        <v>48.212000000000003</v>
      </c>
      <c r="D445" s="28">
        <v>3.3333333333333333E-2</v>
      </c>
    </row>
    <row r="446" spans="1:4" x14ac:dyDescent="0.25">
      <c r="A446" s="24" t="s">
        <v>68</v>
      </c>
      <c r="B446" s="24" t="s">
        <v>124</v>
      </c>
      <c r="C446" s="32">
        <v>48.212000000000003</v>
      </c>
      <c r="D446" s="28">
        <v>3.3333333333333333E-2</v>
      </c>
    </row>
    <row r="447" spans="1:4" x14ac:dyDescent="0.25">
      <c r="A447" s="24" t="s">
        <v>68</v>
      </c>
      <c r="B447" s="24" t="s">
        <v>125</v>
      </c>
      <c r="C447" s="32">
        <v>7.7409999999999997</v>
      </c>
      <c r="D447" s="28">
        <v>1.0416666666666666E-2</v>
      </c>
    </row>
    <row r="448" spans="1:4" x14ac:dyDescent="0.25">
      <c r="A448" s="24" t="s">
        <v>68</v>
      </c>
      <c r="B448" s="24" t="s">
        <v>126</v>
      </c>
      <c r="C448" s="32">
        <v>7.4790000000000001</v>
      </c>
      <c r="D448" s="28">
        <v>9.7222222222222224E-3</v>
      </c>
    </row>
    <row r="449" spans="1:4" x14ac:dyDescent="0.25">
      <c r="A449" s="24" t="s">
        <v>68</v>
      </c>
      <c r="B449" s="24" t="s">
        <v>127</v>
      </c>
      <c r="C449" s="32">
        <v>8.2240000000000002</v>
      </c>
      <c r="D449" s="28">
        <v>1.0416666666666666E-2</v>
      </c>
    </row>
    <row r="450" spans="1:4" x14ac:dyDescent="0.25">
      <c r="A450" s="24" t="s">
        <v>68</v>
      </c>
      <c r="B450" s="24" t="s">
        <v>128</v>
      </c>
      <c r="C450" s="32">
        <v>8.0389999999999997</v>
      </c>
      <c r="D450" s="28">
        <v>1.1111111111111112E-2</v>
      </c>
    </row>
    <row r="451" spans="1:4" x14ac:dyDescent="0.25">
      <c r="A451" s="24" t="s">
        <v>68</v>
      </c>
      <c r="B451" s="24" t="s">
        <v>129</v>
      </c>
      <c r="C451" s="32">
        <v>8.0389999999999997</v>
      </c>
      <c r="D451" s="28">
        <v>1.1111111111111112E-2</v>
      </c>
    </row>
    <row r="452" spans="1:4" x14ac:dyDescent="0.25">
      <c r="A452" s="24" t="s">
        <v>68</v>
      </c>
      <c r="B452" s="24" t="s">
        <v>130</v>
      </c>
      <c r="C452" s="32">
        <v>8.1419999999999995</v>
      </c>
      <c r="D452" s="28">
        <v>1.1111111111111112E-2</v>
      </c>
    </row>
    <row r="453" spans="1:4" x14ac:dyDescent="0.25">
      <c r="A453" s="24" t="s">
        <v>68</v>
      </c>
      <c r="B453" s="24" t="s">
        <v>131</v>
      </c>
      <c r="C453" s="32">
        <v>10.613</v>
      </c>
      <c r="D453" s="28">
        <v>1.3888888888888888E-2</v>
      </c>
    </row>
    <row r="454" spans="1:4" x14ac:dyDescent="0.25">
      <c r="A454" s="24" t="s">
        <v>68</v>
      </c>
      <c r="B454" s="24" t="s">
        <v>132</v>
      </c>
      <c r="C454" s="32">
        <v>7.5170000000000003</v>
      </c>
      <c r="D454" s="28">
        <v>9.0277777777777787E-3</v>
      </c>
    </row>
    <row r="455" spans="1:4" x14ac:dyDescent="0.25">
      <c r="A455" s="24" t="s">
        <v>68</v>
      </c>
      <c r="B455" s="24" t="s">
        <v>133</v>
      </c>
      <c r="C455" s="32">
        <v>12.086</v>
      </c>
      <c r="D455" s="28">
        <v>1.3888888888888888E-2</v>
      </c>
    </row>
    <row r="456" spans="1:4" x14ac:dyDescent="0.25">
      <c r="A456" s="24" t="s">
        <v>68</v>
      </c>
      <c r="B456" s="24" t="s">
        <v>134</v>
      </c>
      <c r="C456" s="32">
        <v>11.62</v>
      </c>
      <c r="D456" s="28">
        <v>1.2499999999999999E-2</v>
      </c>
    </row>
    <row r="457" spans="1:4" x14ac:dyDescent="0.25">
      <c r="A457" s="24" t="s">
        <v>68</v>
      </c>
      <c r="B457" s="24" t="s">
        <v>135</v>
      </c>
      <c r="C457" s="32">
        <v>11.256</v>
      </c>
      <c r="D457" s="28">
        <v>1.2499999999999999E-2</v>
      </c>
    </row>
    <row r="458" spans="1:4" x14ac:dyDescent="0.25">
      <c r="A458" s="24" t="s">
        <v>68</v>
      </c>
      <c r="B458" s="24" t="s">
        <v>136</v>
      </c>
      <c r="C458" s="32">
        <v>11.256</v>
      </c>
      <c r="D458" s="28">
        <v>1.2499999999999999E-2</v>
      </c>
    </row>
    <row r="459" spans="1:4" x14ac:dyDescent="0.25">
      <c r="A459" s="24" t="s">
        <v>68</v>
      </c>
      <c r="B459" s="24" t="s">
        <v>137</v>
      </c>
      <c r="C459" s="32">
        <v>11.773</v>
      </c>
      <c r="D459" s="28">
        <v>1.3194444444444444E-2</v>
      </c>
    </row>
    <row r="460" spans="1:4" x14ac:dyDescent="0.25">
      <c r="A460" s="24" t="s">
        <v>68</v>
      </c>
      <c r="B460" s="24" t="s">
        <v>138</v>
      </c>
      <c r="C460" s="32">
        <v>19.702999999999999</v>
      </c>
      <c r="D460" s="28">
        <v>1.5277777777777777E-2</v>
      </c>
    </row>
    <row r="461" spans="1:4" x14ac:dyDescent="0.25">
      <c r="A461" s="24" t="s">
        <v>68</v>
      </c>
      <c r="B461" s="24" t="s">
        <v>139</v>
      </c>
      <c r="C461" s="32">
        <v>16.751000000000001</v>
      </c>
      <c r="D461" s="28">
        <v>1.3888888888888888E-2</v>
      </c>
    </row>
    <row r="462" spans="1:4" x14ac:dyDescent="0.25">
      <c r="A462" s="24" t="s">
        <v>68</v>
      </c>
      <c r="B462" s="24" t="s">
        <v>140</v>
      </c>
      <c r="C462" s="32">
        <v>13.974</v>
      </c>
      <c r="D462" s="28">
        <v>1.1805555555555555E-2</v>
      </c>
    </row>
    <row r="463" spans="1:4" x14ac:dyDescent="0.25">
      <c r="A463" s="24" t="s">
        <v>68</v>
      </c>
      <c r="B463" s="24" t="s">
        <v>141</v>
      </c>
      <c r="C463" s="32">
        <v>41.462000000000003</v>
      </c>
      <c r="D463" s="28">
        <v>3.3333333333333333E-2</v>
      </c>
    </row>
    <row r="464" spans="1:4" x14ac:dyDescent="0.25">
      <c r="A464" s="24" t="s">
        <v>68</v>
      </c>
      <c r="B464" s="24" t="s">
        <v>142</v>
      </c>
      <c r="C464" s="32">
        <v>35.65</v>
      </c>
      <c r="D464" s="28">
        <v>2.4999999999999998E-2</v>
      </c>
    </row>
    <row r="465" spans="1:4" x14ac:dyDescent="0.25">
      <c r="A465" s="24" t="s">
        <v>68</v>
      </c>
      <c r="B465" s="24" t="s">
        <v>143</v>
      </c>
      <c r="C465" s="32">
        <v>54.027999999999999</v>
      </c>
      <c r="D465" s="28">
        <v>3.1944444444444449E-2</v>
      </c>
    </row>
    <row r="466" spans="1:4" x14ac:dyDescent="0.25">
      <c r="A466" s="24" t="s">
        <v>68</v>
      </c>
      <c r="B466" s="24" t="s">
        <v>144</v>
      </c>
      <c r="C466" s="32">
        <v>73.144000000000005</v>
      </c>
      <c r="D466" s="28">
        <v>4.3055555555555562E-2</v>
      </c>
    </row>
    <row r="467" spans="1:4" x14ac:dyDescent="0.25">
      <c r="A467" s="24" t="s">
        <v>68</v>
      </c>
      <c r="B467" s="24" t="s">
        <v>145</v>
      </c>
      <c r="C467" s="32">
        <v>34.515000000000001</v>
      </c>
      <c r="D467" s="28">
        <v>2.4305555555555556E-2</v>
      </c>
    </row>
    <row r="468" spans="1:4" x14ac:dyDescent="0.25">
      <c r="A468" s="24" t="s">
        <v>68</v>
      </c>
      <c r="B468" s="24" t="s">
        <v>146</v>
      </c>
      <c r="C468" s="32">
        <v>40.923000000000002</v>
      </c>
      <c r="D468" s="28">
        <v>3.125E-2</v>
      </c>
    </row>
    <row r="469" spans="1:4" x14ac:dyDescent="0.25">
      <c r="A469" s="24" t="s">
        <v>68</v>
      </c>
      <c r="B469" s="24" t="s">
        <v>147</v>
      </c>
      <c r="C469" s="32">
        <v>12.853999999999999</v>
      </c>
      <c r="D469" s="28">
        <v>1.3888888888888888E-2</v>
      </c>
    </row>
    <row r="470" spans="1:4" x14ac:dyDescent="0.25">
      <c r="A470" s="24" t="s">
        <v>68</v>
      </c>
      <c r="B470" s="24" t="s">
        <v>148</v>
      </c>
      <c r="C470" s="32">
        <v>10.930999999999999</v>
      </c>
      <c r="D470" s="28">
        <v>1.3888888888888888E-2</v>
      </c>
    </row>
    <row r="471" spans="1:4" x14ac:dyDescent="0.25">
      <c r="A471" s="24" t="s">
        <v>68</v>
      </c>
      <c r="B471" s="24" t="s">
        <v>149</v>
      </c>
      <c r="C471" s="32">
        <v>8.7639999999999993</v>
      </c>
      <c r="D471" s="28">
        <v>9.7222222222222224E-3</v>
      </c>
    </row>
    <row r="472" spans="1:4" x14ac:dyDescent="0.25">
      <c r="A472" s="24" t="s">
        <v>68</v>
      </c>
      <c r="B472" s="24" t="s">
        <v>150</v>
      </c>
      <c r="C472" s="32">
        <v>15.013999999999999</v>
      </c>
      <c r="D472" s="28">
        <v>1.5972222222222224E-2</v>
      </c>
    </row>
    <row r="473" spans="1:4" x14ac:dyDescent="0.25">
      <c r="A473" s="24" t="s">
        <v>68</v>
      </c>
      <c r="B473" s="24" t="s">
        <v>151</v>
      </c>
      <c r="C473" s="32">
        <v>14.272</v>
      </c>
      <c r="D473" s="28">
        <v>1.5277777777777777E-2</v>
      </c>
    </row>
    <row r="474" spans="1:4" x14ac:dyDescent="0.25">
      <c r="A474" s="24" t="s">
        <v>68</v>
      </c>
      <c r="B474" s="24" t="s">
        <v>152</v>
      </c>
      <c r="C474" s="32">
        <v>18.917000000000002</v>
      </c>
      <c r="D474" s="28">
        <v>2.013888888888889E-2</v>
      </c>
    </row>
    <row r="475" spans="1:4" x14ac:dyDescent="0.25">
      <c r="A475" s="24" t="s">
        <v>68</v>
      </c>
      <c r="B475" s="24" t="s">
        <v>153</v>
      </c>
      <c r="C475" s="32">
        <v>23.870999999999999</v>
      </c>
      <c r="D475" s="28">
        <v>2.4305555555555556E-2</v>
      </c>
    </row>
    <row r="476" spans="1:4" x14ac:dyDescent="0.25">
      <c r="A476" s="24" t="s">
        <v>68</v>
      </c>
      <c r="B476" s="24" t="s">
        <v>154</v>
      </c>
      <c r="C476" s="32">
        <v>18.689</v>
      </c>
      <c r="D476" s="28">
        <v>1.8749999999999999E-2</v>
      </c>
    </row>
    <row r="477" spans="1:4" x14ac:dyDescent="0.25">
      <c r="A477" s="24" t="s">
        <v>68</v>
      </c>
      <c r="B477" s="24" t="s">
        <v>155</v>
      </c>
      <c r="C477" s="32">
        <v>14.333</v>
      </c>
      <c r="D477" s="28">
        <v>1.5277777777777777E-2</v>
      </c>
    </row>
    <row r="478" spans="1:4" x14ac:dyDescent="0.25">
      <c r="A478" s="24" t="s">
        <v>68</v>
      </c>
      <c r="B478" s="24" t="s">
        <v>156</v>
      </c>
      <c r="C478" s="32">
        <v>14.317</v>
      </c>
      <c r="D478" s="28">
        <v>1.5277777777777777E-2</v>
      </c>
    </row>
    <row r="479" spans="1:4" x14ac:dyDescent="0.25">
      <c r="A479" s="24" t="s">
        <v>68</v>
      </c>
      <c r="B479" s="24" t="s">
        <v>157</v>
      </c>
      <c r="C479" s="32">
        <v>28.266999999999999</v>
      </c>
      <c r="D479" s="28">
        <v>2.7777777777777776E-2</v>
      </c>
    </row>
    <row r="480" spans="1:4" x14ac:dyDescent="0.25">
      <c r="A480" s="24" t="s">
        <v>68</v>
      </c>
      <c r="B480" s="24" t="s">
        <v>158</v>
      </c>
      <c r="C480" s="32">
        <v>37.216999999999999</v>
      </c>
      <c r="D480" s="28">
        <v>3.6111111111111115E-2</v>
      </c>
    </row>
    <row r="481" spans="1:4" x14ac:dyDescent="0.25">
      <c r="A481" s="24" t="s">
        <v>68</v>
      </c>
      <c r="B481" s="24" t="s">
        <v>159</v>
      </c>
      <c r="C481" s="32">
        <v>45.146999999999998</v>
      </c>
      <c r="D481" s="28">
        <v>4.0972222222222222E-2</v>
      </c>
    </row>
    <row r="482" spans="1:4" x14ac:dyDescent="0.25">
      <c r="A482" s="24" t="s">
        <v>69</v>
      </c>
      <c r="B482" s="24" t="s">
        <v>65</v>
      </c>
      <c r="C482" s="32">
        <v>19.643999999999998</v>
      </c>
      <c r="D482" s="28">
        <v>1.8055555555555557E-2</v>
      </c>
    </row>
    <row r="483" spans="1:4" x14ac:dyDescent="0.25">
      <c r="A483" s="24" t="s">
        <v>69</v>
      </c>
      <c r="B483" s="24" t="s">
        <v>64</v>
      </c>
      <c r="C483" s="32">
        <v>6.6269999999999998</v>
      </c>
      <c r="D483" s="28">
        <v>9.7222222222222224E-3</v>
      </c>
    </row>
    <row r="484" spans="1:4" x14ac:dyDescent="0.25">
      <c r="A484" s="24" t="s">
        <v>69</v>
      </c>
      <c r="B484" s="24" t="s">
        <v>66</v>
      </c>
      <c r="C484" s="32">
        <v>4.0970000000000004</v>
      </c>
      <c r="D484" s="28">
        <v>4.1666666666666666E-3</v>
      </c>
    </row>
    <row r="485" spans="1:4" x14ac:dyDescent="0.25">
      <c r="A485" s="24" t="s">
        <v>69</v>
      </c>
      <c r="B485" s="24" t="s">
        <v>67</v>
      </c>
      <c r="C485" s="32">
        <v>1.4950000000000001</v>
      </c>
      <c r="D485" s="28">
        <v>2.7777777777777779E-3</v>
      </c>
    </row>
    <row r="486" spans="1:4" x14ac:dyDescent="0.25">
      <c r="A486" s="24" t="s">
        <v>69</v>
      </c>
      <c r="B486" s="24" t="s">
        <v>68</v>
      </c>
      <c r="C486" s="32">
        <v>0.86399999999999999</v>
      </c>
      <c r="D486" s="28">
        <v>2.0833333333333333E-3</v>
      </c>
    </row>
    <row r="487" spans="1:4" x14ac:dyDescent="0.25">
      <c r="A487" s="24" t="s">
        <v>69</v>
      </c>
      <c r="B487" s="24" t="s">
        <v>69</v>
      </c>
      <c r="C487" s="32">
        <v>0</v>
      </c>
      <c r="D487" s="28">
        <v>0</v>
      </c>
    </row>
    <row r="488" spans="1:4" x14ac:dyDescent="0.25">
      <c r="A488" s="24" t="s">
        <v>69</v>
      </c>
      <c r="B488" s="24" t="s">
        <v>70</v>
      </c>
      <c r="C488" s="32">
        <v>0.55000000000000004</v>
      </c>
      <c r="D488" s="28">
        <v>6.9444444444444447E-4</v>
      </c>
    </row>
    <row r="489" spans="1:4" x14ac:dyDescent="0.25">
      <c r="A489" s="24" t="s">
        <v>69</v>
      </c>
      <c r="B489" s="24" t="s">
        <v>71</v>
      </c>
      <c r="C489" s="32">
        <v>1.147</v>
      </c>
      <c r="D489" s="28">
        <v>1.3888888888888889E-3</v>
      </c>
    </row>
    <row r="490" spans="1:4" x14ac:dyDescent="0.25">
      <c r="A490" s="24" t="s">
        <v>69</v>
      </c>
      <c r="B490" s="24" t="s">
        <v>72</v>
      </c>
      <c r="C490" s="32">
        <v>2.6859999999999999</v>
      </c>
      <c r="D490" s="28">
        <v>6.2499999999999995E-3</v>
      </c>
    </row>
    <row r="491" spans="1:4" x14ac:dyDescent="0.25">
      <c r="A491" s="24" t="s">
        <v>69</v>
      </c>
      <c r="B491" s="24" t="s">
        <v>73</v>
      </c>
      <c r="C491" s="32">
        <v>2.8660000000000001</v>
      </c>
      <c r="D491" s="28">
        <v>6.2499999999999995E-3</v>
      </c>
    </row>
    <row r="492" spans="1:4" x14ac:dyDescent="0.25">
      <c r="A492" s="24" t="s">
        <v>69</v>
      </c>
      <c r="B492" s="24" t="s">
        <v>74</v>
      </c>
      <c r="C492" s="32">
        <v>6.3170000000000002</v>
      </c>
      <c r="D492" s="28">
        <v>1.0416666666666666E-2</v>
      </c>
    </row>
    <row r="493" spans="1:4" x14ac:dyDescent="0.25">
      <c r="A493" s="24" t="s">
        <v>69</v>
      </c>
      <c r="B493" s="24" t="s">
        <v>75</v>
      </c>
      <c r="C493" s="32">
        <v>6.5670000000000002</v>
      </c>
      <c r="D493" s="28">
        <v>1.0416666666666666E-2</v>
      </c>
    </row>
    <row r="494" spans="1:4" x14ac:dyDescent="0.25">
      <c r="A494" s="24" t="s">
        <v>69</v>
      </c>
      <c r="B494" s="24" t="s">
        <v>76</v>
      </c>
      <c r="C494" s="32">
        <v>10.086</v>
      </c>
      <c r="D494" s="28">
        <v>1.2499999999999999E-2</v>
      </c>
    </row>
    <row r="495" spans="1:4" x14ac:dyDescent="0.25">
      <c r="A495" s="24" t="s">
        <v>69</v>
      </c>
      <c r="B495" s="24" t="s">
        <v>77</v>
      </c>
      <c r="C495" s="32">
        <v>9.1940000000000008</v>
      </c>
      <c r="D495" s="28">
        <v>9.0277777777777787E-3</v>
      </c>
    </row>
    <row r="496" spans="1:4" x14ac:dyDescent="0.25">
      <c r="A496" s="24" t="s">
        <v>69</v>
      </c>
      <c r="B496" s="24" t="s">
        <v>78</v>
      </c>
      <c r="C496" s="32">
        <v>4.2350000000000003</v>
      </c>
      <c r="D496" s="28">
        <v>5.5555555555555558E-3</v>
      </c>
    </row>
    <row r="497" spans="1:4" x14ac:dyDescent="0.25">
      <c r="A497" s="24" t="s">
        <v>69</v>
      </c>
      <c r="B497" s="24" t="s">
        <v>79</v>
      </c>
      <c r="C497" s="32">
        <v>23.061</v>
      </c>
      <c r="D497" s="28">
        <v>2.4305555555555556E-2</v>
      </c>
    </row>
    <row r="498" spans="1:4" x14ac:dyDescent="0.25">
      <c r="A498" s="24" t="s">
        <v>69</v>
      </c>
      <c r="B498" s="24" t="s">
        <v>80</v>
      </c>
      <c r="C498" s="32">
        <v>22.867999999999999</v>
      </c>
      <c r="D498" s="28">
        <v>2.013888888888889E-2</v>
      </c>
    </row>
    <row r="499" spans="1:4" x14ac:dyDescent="0.25">
      <c r="A499" s="24" t="s">
        <v>69</v>
      </c>
      <c r="B499" s="24" t="s">
        <v>81</v>
      </c>
      <c r="C499" s="32">
        <v>27.39</v>
      </c>
      <c r="D499" s="28">
        <v>2.2916666666666669E-2</v>
      </c>
    </row>
    <row r="500" spans="1:4" x14ac:dyDescent="0.25">
      <c r="A500" s="24" t="s">
        <v>69</v>
      </c>
      <c r="B500" s="24" t="s">
        <v>82</v>
      </c>
      <c r="C500" s="32">
        <v>27.442</v>
      </c>
      <c r="D500" s="28">
        <v>2.2916666666666669E-2</v>
      </c>
    </row>
    <row r="501" spans="1:4" x14ac:dyDescent="0.25">
      <c r="A501" s="24" t="s">
        <v>69</v>
      </c>
      <c r="B501" s="24" t="s">
        <v>83</v>
      </c>
      <c r="C501" s="32">
        <v>9.907</v>
      </c>
      <c r="D501" s="28">
        <v>1.3194444444444444E-2</v>
      </c>
    </row>
    <row r="502" spans="1:4" x14ac:dyDescent="0.25">
      <c r="A502" s="24" t="s">
        <v>69</v>
      </c>
      <c r="B502" s="24" t="s">
        <v>84</v>
      </c>
      <c r="C502" s="32">
        <v>8.6869999999999994</v>
      </c>
      <c r="D502" s="28">
        <v>1.1111111111111112E-2</v>
      </c>
    </row>
    <row r="503" spans="1:4" x14ac:dyDescent="0.25">
      <c r="A503" s="24" t="s">
        <v>69</v>
      </c>
      <c r="B503" s="24" t="s">
        <v>85</v>
      </c>
      <c r="C503" s="32">
        <v>8.8689999999999998</v>
      </c>
      <c r="D503" s="28">
        <v>1.2499999999999999E-2</v>
      </c>
    </row>
    <row r="504" spans="1:4" x14ac:dyDescent="0.25">
      <c r="A504" s="24" t="s">
        <v>69</v>
      </c>
      <c r="B504" s="24" t="s">
        <v>86</v>
      </c>
      <c r="C504" s="32">
        <v>10.304</v>
      </c>
      <c r="D504" s="28">
        <v>1.3194444444444444E-2</v>
      </c>
    </row>
    <row r="505" spans="1:4" x14ac:dyDescent="0.25">
      <c r="A505" s="24" t="s">
        <v>69</v>
      </c>
      <c r="B505" s="24" t="s">
        <v>87</v>
      </c>
      <c r="C505" s="32">
        <v>10.419</v>
      </c>
      <c r="D505" s="28">
        <v>1.3194444444444444E-2</v>
      </c>
    </row>
    <row r="506" spans="1:4" x14ac:dyDescent="0.25">
      <c r="A506" s="24" t="s">
        <v>69</v>
      </c>
      <c r="B506" s="24" t="s">
        <v>88</v>
      </c>
      <c r="C506" s="32">
        <v>11.798</v>
      </c>
      <c r="D506" s="28">
        <v>1.5277777777777777E-2</v>
      </c>
    </row>
    <row r="507" spans="1:4" x14ac:dyDescent="0.25">
      <c r="A507" s="24" t="s">
        <v>69</v>
      </c>
      <c r="B507" s="24" t="s">
        <v>89</v>
      </c>
      <c r="C507" s="32">
        <v>13.911</v>
      </c>
      <c r="D507" s="28">
        <v>1.9444444444444445E-2</v>
      </c>
    </row>
    <row r="508" spans="1:4" x14ac:dyDescent="0.25">
      <c r="A508" s="24" t="s">
        <v>69</v>
      </c>
      <c r="B508" s="24" t="s">
        <v>90</v>
      </c>
      <c r="C508" s="32">
        <v>22.891999999999999</v>
      </c>
      <c r="D508" s="28">
        <v>2.0833333333333332E-2</v>
      </c>
    </row>
    <row r="509" spans="1:4" x14ac:dyDescent="0.25">
      <c r="A509" s="24" t="s">
        <v>69</v>
      </c>
      <c r="B509" s="24" t="s">
        <v>91</v>
      </c>
      <c r="C509" s="32">
        <v>12.984999999999999</v>
      </c>
      <c r="D509" s="28">
        <v>1.7361111111111112E-2</v>
      </c>
    </row>
    <row r="510" spans="1:4" x14ac:dyDescent="0.25">
      <c r="A510" s="24" t="s">
        <v>69</v>
      </c>
      <c r="B510" s="24" t="s">
        <v>92</v>
      </c>
      <c r="C510" s="32">
        <v>20.943999999999999</v>
      </c>
      <c r="D510" s="28">
        <v>1.9444444444444445E-2</v>
      </c>
    </row>
    <row r="511" spans="1:4" x14ac:dyDescent="0.25">
      <c r="A511" s="24" t="s">
        <v>69</v>
      </c>
      <c r="B511" s="24" t="s">
        <v>93</v>
      </c>
      <c r="C511" s="32">
        <v>44.665999999999997</v>
      </c>
      <c r="D511" s="28">
        <v>3.2638888888888891E-2</v>
      </c>
    </row>
    <row r="512" spans="1:4" x14ac:dyDescent="0.25">
      <c r="A512" s="24" t="s">
        <v>69</v>
      </c>
      <c r="B512" s="24" t="s">
        <v>94</v>
      </c>
      <c r="C512" s="32">
        <v>45.295000000000002</v>
      </c>
      <c r="D512" s="28">
        <v>3.3333333333333333E-2</v>
      </c>
    </row>
    <row r="513" spans="1:4" x14ac:dyDescent="0.25">
      <c r="A513" s="24" t="s">
        <v>69</v>
      </c>
      <c r="B513" s="24" t="s">
        <v>95</v>
      </c>
      <c r="C513" s="32">
        <v>27.725999999999999</v>
      </c>
      <c r="D513" s="28">
        <v>2.361111111111111E-2</v>
      </c>
    </row>
    <row r="514" spans="1:4" x14ac:dyDescent="0.25">
      <c r="A514" s="24" t="s">
        <v>69</v>
      </c>
      <c r="B514" s="24" t="s">
        <v>96</v>
      </c>
      <c r="C514" s="32">
        <v>17.585000000000001</v>
      </c>
      <c r="D514" s="28">
        <v>1.8055555555555557E-2</v>
      </c>
    </row>
    <row r="515" spans="1:4" x14ac:dyDescent="0.25">
      <c r="A515" s="24" t="s">
        <v>69</v>
      </c>
      <c r="B515" s="24" t="s">
        <v>97</v>
      </c>
      <c r="C515" s="32">
        <v>25.904</v>
      </c>
      <c r="D515" s="28">
        <v>2.4305555555555556E-2</v>
      </c>
    </row>
    <row r="516" spans="1:4" x14ac:dyDescent="0.25">
      <c r="A516" s="24" t="s">
        <v>69</v>
      </c>
      <c r="B516" s="24" t="s">
        <v>98</v>
      </c>
      <c r="C516" s="32">
        <v>24.541</v>
      </c>
      <c r="D516" s="28">
        <v>2.361111111111111E-2</v>
      </c>
    </row>
    <row r="517" spans="1:4" x14ac:dyDescent="0.25">
      <c r="A517" s="24" t="s">
        <v>69</v>
      </c>
      <c r="B517" s="24" t="s">
        <v>99</v>
      </c>
      <c r="C517" s="32">
        <v>27.164000000000001</v>
      </c>
      <c r="D517" s="28">
        <v>2.6388888888888889E-2</v>
      </c>
    </row>
    <row r="518" spans="1:4" x14ac:dyDescent="0.25">
      <c r="A518" s="24" t="s">
        <v>69</v>
      </c>
      <c r="B518" s="24" t="s">
        <v>100</v>
      </c>
      <c r="C518" s="32">
        <v>27.884</v>
      </c>
      <c r="D518" s="28">
        <v>2.4305555555555556E-2</v>
      </c>
    </row>
    <row r="519" spans="1:4" x14ac:dyDescent="0.25">
      <c r="A519" s="24" t="s">
        <v>69</v>
      </c>
      <c r="B519" s="24" t="s">
        <v>101</v>
      </c>
      <c r="C519" s="32">
        <v>24.643000000000001</v>
      </c>
      <c r="D519" s="28">
        <v>2.4305555555555556E-2</v>
      </c>
    </row>
    <row r="520" spans="1:4" x14ac:dyDescent="0.25">
      <c r="A520" s="24" t="s">
        <v>69</v>
      </c>
      <c r="B520" s="24" t="s">
        <v>102</v>
      </c>
      <c r="C520" s="32">
        <v>24.07</v>
      </c>
      <c r="D520" s="28">
        <v>2.361111111111111E-2</v>
      </c>
    </row>
    <row r="521" spans="1:4" x14ac:dyDescent="0.25">
      <c r="A521" s="24" t="s">
        <v>69</v>
      </c>
      <c r="B521" s="24" t="s">
        <v>103</v>
      </c>
      <c r="C521" s="32">
        <v>16.457999999999998</v>
      </c>
      <c r="D521" s="28">
        <v>1.7361111111111112E-2</v>
      </c>
    </row>
    <row r="522" spans="1:4" x14ac:dyDescent="0.25">
      <c r="A522" s="24" t="s">
        <v>69</v>
      </c>
      <c r="B522" s="24" t="s">
        <v>104</v>
      </c>
      <c r="C522" s="32">
        <v>19.838000000000001</v>
      </c>
      <c r="D522" s="28">
        <v>1.8749999999999999E-2</v>
      </c>
    </row>
    <row r="523" spans="1:4" x14ac:dyDescent="0.25">
      <c r="A523" s="24" t="s">
        <v>69</v>
      </c>
      <c r="B523" s="24" t="s">
        <v>105</v>
      </c>
      <c r="C523" s="32">
        <v>18.268999999999998</v>
      </c>
      <c r="D523" s="28">
        <v>2.1527777777777781E-2</v>
      </c>
    </row>
    <row r="524" spans="1:4" x14ac:dyDescent="0.25">
      <c r="A524" s="24" t="s">
        <v>69</v>
      </c>
      <c r="B524" s="24" t="s">
        <v>106</v>
      </c>
      <c r="C524" s="32">
        <v>13.013999999999999</v>
      </c>
      <c r="D524" s="28">
        <v>1.4583333333333332E-2</v>
      </c>
    </row>
    <row r="525" spans="1:4" x14ac:dyDescent="0.25">
      <c r="A525" s="24" t="s">
        <v>69</v>
      </c>
      <c r="B525" s="24" t="s">
        <v>107</v>
      </c>
      <c r="C525" s="32">
        <v>18.797999999999998</v>
      </c>
      <c r="D525" s="28">
        <v>2.0833333333333332E-2</v>
      </c>
    </row>
    <row r="526" spans="1:4" x14ac:dyDescent="0.25">
      <c r="A526" s="24" t="s">
        <v>69</v>
      </c>
      <c r="B526" s="24" t="s">
        <v>108</v>
      </c>
      <c r="C526" s="32">
        <v>17.184000000000001</v>
      </c>
      <c r="D526" s="28">
        <v>1.8055555555555557E-2</v>
      </c>
    </row>
    <row r="527" spans="1:4" x14ac:dyDescent="0.25">
      <c r="A527" s="24" t="s">
        <v>69</v>
      </c>
      <c r="B527" s="24" t="s">
        <v>109</v>
      </c>
      <c r="C527" s="32">
        <v>17.213999999999999</v>
      </c>
      <c r="D527" s="28">
        <v>1.8055555555555557E-2</v>
      </c>
    </row>
    <row r="528" spans="1:4" x14ac:dyDescent="0.25">
      <c r="A528" s="24" t="s">
        <v>69</v>
      </c>
      <c r="B528" s="24" t="s">
        <v>110</v>
      </c>
      <c r="C528" s="32">
        <v>14.35</v>
      </c>
      <c r="D528" s="28">
        <v>1.8055555555555557E-2</v>
      </c>
    </row>
    <row r="529" spans="1:4" x14ac:dyDescent="0.25">
      <c r="A529" s="24" t="s">
        <v>69</v>
      </c>
      <c r="B529" s="24" t="s">
        <v>111</v>
      </c>
      <c r="C529" s="32">
        <v>16.456</v>
      </c>
      <c r="D529" s="28">
        <v>1.5972222222222224E-2</v>
      </c>
    </row>
    <row r="530" spans="1:4" x14ac:dyDescent="0.25">
      <c r="A530" s="24" t="s">
        <v>69</v>
      </c>
      <c r="B530" s="24" t="s">
        <v>112</v>
      </c>
      <c r="C530" s="32">
        <v>26.042999999999999</v>
      </c>
      <c r="D530" s="28">
        <v>2.013888888888889E-2</v>
      </c>
    </row>
    <row r="531" spans="1:4" x14ac:dyDescent="0.25">
      <c r="A531" s="24" t="s">
        <v>69</v>
      </c>
      <c r="B531" s="24" t="s">
        <v>113</v>
      </c>
      <c r="C531" s="32">
        <v>23.175999999999998</v>
      </c>
      <c r="D531" s="28">
        <v>1.8055555555555557E-2</v>
      </c>
    </row>
    <row r="532" spans="1:4" x14ac:dyDescent="0.25">
      <c r="A532" s="24" t="s">
        <v>69</v>
      </c>
      <c r="B532" s="24" t="s">
        <v>114</v>
      </c>
      <c r="C532" s="32">
        <v>25.934999999999999</v>
      </c>
      <c r="D532" s="28">
        <v>2.1527777777777781E-2</v>
      </c>
    </row>
    <row r="533" spans="1:4" x14ac:dyDescent="0.25">
      <c r="A533" s="24" t="s">
        <v>69</v>
      </c>
      <c r="B533" s="24" t="s">
        <v>115</v>
      </c>
      <c r="C533" s="32">
        <v>25.786000000000001</v>
      </c>
      <c r="D533" s="28">
        <v>2.1527777777777781E-2</v>
      </c>
    </row>
    <row r="534" spans="1:4" x14ac:dyDescent="0.25">
      <c r="A534" s="24" t="s">
        <v>69</v>
      </c>
      <c r="B534" s="24" t="s">
        <v>116</v>
      </c>
      <c r="C534" s="32">
        <v>20.026</v>
      </c>
      <c r="D534" s="28">
        <v>1.9444444444444445E-2</v>
      </c>
    </row>
    <row r="535" spans="1:4" x14ac:dyDescent="0.25">
      <c r="A535" s="24" t="s">
        <v>69</v>
      </c>
      <c r="B535" s="24" t="s">
        <v>117</v>
      </c>
      <c r="C535" s="32">
        <v>27.23</v>
      </c>
      <c r="D535" s="28">
        <v>2.4999999999999998E-2</v>
      </c>
    </row>
    <row r="536" spans="1:4" x14ac:dyDescent="0.25">
      <c r="A536" s="24" t="s">
        <v>69</v>
      </c>
      <c r="B536" s="24" t="s">
        <v>118</v>
      </c>
      <c r="C536" s="32">
        <v>26.949000000000002</v>
      </c>
      <c r="D536" s="28">
        <v>2.361111111111111E-2</v>
      </c>
    </row>
    <row r="537" spans="1:4" x14ac:dyDescent="0.25">
      <c r="A537" s="24" t="s">
        <v>69</v>
      </c>
      <c r="B537" s="24" t="s">
        <v>119</v>
      </c>
      <c r="C537" s="32">
        <v>37.537999999999997</v>
      </c>
      <c r="D537" s="28">
        <v>2.5694444444444447E-2</v>
      </c>
    </row>
    <row r="538" spans="1:4" x14ac:dyDescent="0.25">
      <c r="A538" s="24" t="s">
        <v>69</v>
      </c>
      <c r="B538" s="24" t="s">
        <v>120</v>
      </c>
      <c r="C538" s="32">
        <v>40.328000000000003</v>
      </c>
      <c r="D538" s="28">
        <v>2.9166666666666664E-2</v>
      </c>
    </row>
    <row r="539" spans="1:4" x14ac:dyDescent="0.25">
      <c r="A539" s="24" t="s">
        <v>69</v>
      </c>
      <c r="B539" s="24" t="s">
        <v>121</v>
      </c>
      <c r="C539" s="32">
        <v>54.713999999999999</v>
      </c>
      <c r="D539" s="28">
        <v>3.7499999999999999E-2</v>
      </c>
    </row>
    <row r="540" spans="1:4" x14ac:dyDescent="0.25">
      <c r="A540" s="24" t="s">
        <v>69</v>
      </c>
      <c r="B540" s="24" t="s">
        <v>122</v>
      </c>
      <c r="C540" s="32">
        <v>43.536999999999999</v>
      </c>
      <c r="D540" s="28">
        <v>3.1944444444444449E-2</v>
      </c>
    </row>
    <row r="541" spans="1:4" x14ac:dyDescent="0.25">
      <c r="A541" s="24" t="s">
        <v>69</v>
      </c>
      <c r="B541" s="24" t="s">
        <v>123</v>
      </c>
      <c r="C541" s="32">
        <v>48.298999999999999</v>
      </c>
      <c r="D541" s="28">
        <v>3.3333333333333333E-2</v>
      </c>
    </row>
    <row r="542" spans="1:4" x14ac:dyDescent="0.25">
      <c r="A542" s="24" t="s">
        <v>69</v>
      </c>
      <c r="B542" s="24" t="s">
        <v>124</v>
      </c>
      <c r="C542" s="32">
        <v>48.298999999999999</v>
      </c>
      <c r="D542" s="28">
        <v>3.3333333333333333E-2</v>
      </c>
    </row>
    <row r="543" spans="1:4" x14ac:dyDescent="0.25">
      <c r="A543" s="24" t="s">
        <v>69</v>
      </c>
      <c r="B543" s="24" t="s">
        <v>125</v>
      </c>
      <c r="C543" s="32">
        <v>7.8280000000000003</v>
      </c>
      <c r="D543" s="28">
        <v>1.1111111111111112E-2</v>
      </c>
    </row>
    <row r="544" spans="1:4" x14ac:dyDescent="0.25">
      <c r="A544" s="24" t="s">
        <v>69</v>
      </c>
      <c r="B544" s="24" t="s">
        <v>126</v>
      </c>
      <c r="C544" s="32">
        <v>7.5659999999999998</v>
      </c>
      <c r="D544" s="28">
        <v>9.7222222222222224E-3</v>
      </c>
    </row>
    <row r="545" spans="1:4" x14ac:dyDescent="0.25">
      <c r="A545" s="24" t="s">
        <v>69</v>
      </c>
      <c r="B545" s="24" t="s">
        <v>127</v>
      </c>
      <c r="C545" s="32">
        <v>8.3109999999999999</v>
      </c>
      <c r="D545" s="28">
        <v>1.1111111111111112E-2</v>
      </c>
    </row>
    <row r="546" spans="1:4" x14ac:dyDescent="0.25">
      <c r="A546" s="24" t="s">
        <v>69</v>
      </c>
      <c r="B546" s="24" t="s">
        <v>128</v>
      </c>
      <c r="C546" s="32">
        <v>8.1259999999999994</v>
      </c>
      <c r="D546" s="28">
        <v>1.1805555555555555E-2</v>
      </c>
    </row>
    <row r="547" spans="1:4" x14ac:dyDescent="0.25">
      <c r="A547" s="24" t="s">
        <v>69</v>
      </c>
      <c r="B547" s="24" t="s">
        <v>129</v>
      </c>
      <c r="C547" s="32">
        <v>8.1259999999999994</v>
      </c>
      <c r="D547" s="28">
        <v>1.1805555555555555E-2</v>
      </c>
    </row>
    <row r="548" spans="1:4" x14ac:dyDescent="0.25">
      <c r="A548" s="24" t="s">
        <v>69</v>
      </c>
      <c r="B548" s="24" t="s">
        <v>130</v>
      </c>
      <c r="C548" s="32">
        <v>8.2289999999999992</v>
      </c>
      <c r="D548" s="28">
        <v>1.1805555555555555E-2</v>
      </c>
    </row>
    <row r="549" spans="1:4" x14ac:dyDescent="0.25">
      <c r="A549" s="24" t="s">
        <v>69</v>
      </c>
      <c r="B549" s="24" t="s">
        <v>131</v>
      </c>
      <c r="C549" s="32">
        <v>10.7</v>
      </c>
      <c r="D549" s="28">
        <v>1.4583333333333332E-2</v>
      </c>
    </row>
    <row r="550" spans="1:4" x14ac:dyDescent="0.25">
      <c r="A550" s="24" t="s">
        <v>69</v>
      </c>
      <c r="B550" s="24" t="s">
        <v>132</v>
      </c>
      <c r="C550" s="32">
        <v>7.6040000000000001</v>
      </c>
      <c r="D550" s="28">
        <v>9.0277777777777787E-3</v>
      </c>
    </row>
    <row r="551" spans="1:4" x14ac:dyDescent="0.25">
      <c r="A551" s="24" t="s">
        <v>69</v>
      </c>
      <c r="B551" s="24" t="s">
        <v>133</v>
      </c>
      <c r="C551" s="32">
        <v>12.173</v>
      </c>
      <c r="D551" s="28">
        <v>1.3888888888888888E-2</v>
      </c>
    </row>
    <row r="552" spans="1:4" x14ac:dyDescent="0.25">
      <c r="A552" s="24" t="s">
        <v>69</v>
      </c>
      <c r="B552" s="24" t="s">
        <v>134</v>
      </c>
      <c r="C552" s="32">
        <v>11.707000000000001</v>
      </c>
      <c r="D552" s="28">
        <v>1.3194444444444444E-2</v>
      </c>
    </row>
    <row r="553" spans="1:4" x14ac:dyDescent="0.25">
      <c r="A553" s="24" t="s">
        <v>69</v>
      </c>
      <c r="B553" s="24" t="s">
        <v>135</v>
      </c>
      <c r="C553" s="32">
        <v>10.587</v>
      </c>
      <c r="D553" s="28">
        <v>1.2499999999999999E-2</v>
      </c>
    </row>
    <row r="554" spans="1:4" x14ac:dyDescent="0.25">
      <c r="A554" s="24" t="s">
        <v>69</v>
      </c>
      <c r="B554" s="24" t="s">
        <v>136</v>
      </c>
      <c r="C554" s="32">
        <v>10.587</v>
      </c>
      <c r="D554" s="28">
        <v>1.2499999999999999E-2</v>
      </c>
    </row>
    <row r="555" spans="1:4" x14ac:dyDescent="0.25">
      <c r="A555" s="24" t="s">
        <v>69</v>
      </c>
      <c r="B555" s="24" t="s">
        <v>137</v>
      </c>
      <c r="C555" s="32">
        <v>11.86</v>
      </c>
      <c r="D555" s="28">
        <v>1.3888888888888888E-2</v>
      </c>
    </row>
    <row r="556" spans="1:4" x14ac:dyDescent="0.25">
      <c r="A556" s="24" t="s">
        <v>69</v>
      </c>
      <c r="B556" s="24" t="s">
        <v>138</v>
      </c>
      <c r="C556" s="32">
        <v>19.033999999999999</v>
      </c>
      <c r="D556" s="28">
        <v>1.5277777777777777E-2</v>
      </c>
    </row>
    <row r="557" spans="1:4" x14ac:dyDescent="0.25">
      <c r="A557" s="24" t="s">
        <v>69</v>
      </c>
      <c r="B557" s="24" t="s">
        <v>139</v>
      </c>
      <c r="C557" s="32">
        <v>16.082000000000001</v>
      </c>
      <c r="D557" s="28">
        <v>1.3888888888888888E-2</v>
      </c>
    </row>
    <row r="558" spans="1:4" x14ac:dyDescent="0.25">
      <c r="A558" s="24" t="s">
        <v>69</v>
      </c>
      <c r="B558" s="24" t="s">
        <v>140</v>
      </c>
      <c r="C558" s="32">
        <v>13.305</v>
      </c>
      <c r="D558" s="28">
        <v>1.1805555555555555E-2</v>
      </c>
    </row>
    <row r="559" spans="1:4" x14ac:dyDescent="0.25">
      <c r="A559" s="24" t="s">
        <v>69</v>
      </c>
      <c r="B559" s="24" t="s">
        <v>141</v>
      </c>
      <c r="C559" s="32">
        <v>40.792999999999999</v>
      </c>
      <c r="D559" s="28">
        <v>3.3333333333333333E-2</v>
      </c>
    </row>
    <row r="560" spans="1:4" x14ac:dyDescent="0.25">
      <c r="A560" s="24" t="s">
        <v>69</v>
      </c>
      <c r="B560" s="24" t="s">
        <v>142</v>
      </c>
      <c r="C560" s="32">
        <v>34.981000000000002</v>
      </c>
      <c r="D560" s="28">
        <v>2.4999999999999998E-2</v>
      </c>
    </row>
    <row r="561" spans="1:4" x14ac:dyDescent="0.25">
      <c r="A561" s="24" t="s">
        <v>69</v>
      </c>
      <c r="B561" s="24" t="s">
        <v>143</v>
      </c>
      <c r="C561" s="32">
        <v>53.359000000000002</v>
      </c>
      <c r="D561" s="28">
        <v>3.2638888888888891E-2</v>
      </c>
    </row>
    <row r="562" spans="1:4" x14ac:dyDescent="0.25">
      <c r="A562" s="24" t="s">
        <v>69</v>
      </c>
      <c r="B562" s="24" t="s">
        <v>144</v>
      </c>
      <c r="C562" s="32">
        <v>72.474999999999994</v>
      </c>
      <c r="D562" s="28">
        <v>4.3055555555555562E-2</v>
      </c>
    </row>
    <row r="563" spans="1:4" x14ac:dyDescent="0.25">
      <c r="A563" s="24" t="s">
        <v>69</v>
      </c>
      <c r="B563" s="24" t="s">
        <v>145</v>
      </c>
      <c r="C563" s="32">
        <v>33.845999999999997</v>
      </c>
      <c r="D563" s="28">
        <v>2.4305555555555556E-2</v>
      </c>
    </row>
    <row r="564" spans="1:4" x14ac:dyDescent="0.25">
      <c r="A564" s="24" t="s">
        <v>69</v>
      </c>
      <c r="B564" s="24" t="s">
        <v>146</v>
      </c>
      <c r="C564" s="32">
        <v>40.253999999999998</v>
      </c>
      <c r="D564" s="28">
        <v>3.125E-2</v>
      </c>
    </row>
    <row r="565" spans="1:4" x14ac:dyDescent="0.25">
      <c r="A565" s="24" t="s">
        <v>69</v>
      </c>
      <c r="B565" s="24" t="s">
        <v>147</v>
      </c>
      <c r="C565" s="32">
        <v>12.941000000000001</v>
      </c>
      <c r="D565" s="28">
        <v>1.3888888888888888E-2</v>
      </c>
    </row>
    <row r="566" spans="1:4" x14ac:dyDescent="0.25">
      <c r="A566" s="24" t="s">
        <v>69</v>
      </c>
      <c r="B566" s="24" t="s">
        <v>148</v>
      </c>
      <c r="C566" s="32">
        <v>11.018000000000001</v>
      </c>
      <c r="D566" s="28">
        <v>1.4583333333333332E-2</v>
      </c>
    </row>
    <row r="567" spans="1:4" x14ac:dyDescent="0.25">
      <c r="A567" s="24" t="s">
        <v>69</v>
      </c>
      <c r="B567" s="24" t="s">
        <v>149</v>
      </c>
      <c r="C567" s="32">
        <v>8.8510000000000009</v>
      </c>
      <c r="D567" s="28">
        <v>9.7222222222222224E-3</v>
      </c>
    </row>
    <row r="568" spans="1:4" x14ac:dyDescent="0.25">
      <c r="A568" s="24" t="s">
        <v>69</v>
      </c>
      <c r="B568" s="24" t="s">
        <v>150</v>
      </c>
      <c r="C568" s="32">
        <v>15.101000000000001</v>
      </c>
      <c r="D568" s="28">
        <v>1.6666666666666666E-2</v>
      </c>
    </row>
    <row r="569" spans="1:4" x14ac:dyDescent="0.25">
      <c r="A569" s="24" t="s">
        <v>69</v>
      </c>
      <c r="B569" s="24" t="s">
        <v>151</v>
      </c>
      <c r="C569" s="32">
        <v>14.359</v>
      </c>
      <c r="D569" s="28">
        <v>1.5972222222222224E-2</v>
      </c>
    </row>
    <row r="570" spans="1:4" x14ac:dyDescent="0.25">
      <c r="A570" s="24" t="s">
        <v>69</v>
      </c>
      <c r="B570" s="24" t="s">
        <v>152</v>
      </c>
      <c r="C570" s="32">
        <v>19.004000000000001</v>
      </c>
      <c r="D570" s="28">
        <v>2.0833333333333332E-2</v>
      </c>
    </row>
    <row r="571" spans="1:4" x14ac:dyDescent="0.25">
      <c r="A571" s="24" t="s">
        <v>69</v>
      </c>
      <c r="B571" s="24" t="s">
        <v>153</v>
      </c>
      <c r="C571" s="32">
        <v>23.957999999999998</v>
      </c>
      <c r="D571" s="28">
        <v>2.4999999999999998E-2</v>
      </c>
    </row>
    <row r="572" spans="1:4" x14ac:dyDescent="0.25">
      <c r="A572" s="24" t="s">
        <v>69</v>
      </c>
      <c r="B572" s="24" t="s">
        <v>154</v>
      </c>
      <c r="C572" s="32">
        <v>18.776</v>
      </c>
      <c r="D572" s="28">
        <v>1.8749999999999999E-2</v>
      </c>
    </row>
    <row r="573" spans="1:4" x14ac:dyDescent="0.25">
      <c r="A573" s="24" t="s">
        <v>69</v>
      </c>
      <c r="B573" s="24" t="s">
        <v>155</v>
      </c>
      <c r="C573" s="32">
        <v>14.42</v>
      </c>
      <c r="D573" s="28">
        <v>1.5972222222222224E-2</v>
      </c>
    </row>
    <row r="574" spans="1:4" x14ac:dyDescent="0.25">
      <c r="A574" s="24" t="s">
        <v>69</v>
      </c>
      <c r="B574" s="24" t="s">
        <v>156</v>
      </c>
      <c r="C574" s="32">
        <v>14.404</v>
      </c>
      <c r="D574" s="28">
        <v>1.5972222222222224E-2</v>
      </c>
    </row>
    <row r="575" spans="1:4" x14ac:dyDescent="0.25">
      <c r="A575" s="24" t="s">
        <v>69</v>
      </c>
      <c r="B575" s="24" t="s">
        <v>157</v>
      </c>
      <c r="C575" s="32">
        <v>28.353999999999999</v>
      </c>
      <c r="D575" s="28">
        <v>2.7777777777777776E-2</v>
      </c>
    </row>
    <row r="576" spans="1:4" x14ac:dyDescent="0.25">
      <c r="A576" s="24" t="s">
        <v>69</v>
      </c>
      <c r="B576" s="24" t="s">
        <v>158</v>
      </c>
      <c r="C576" s="32">
        <v>37.304000000000002</v>
      </c>
      <c r="D576" s="28">
        <v>3.6805555555555557E-2</v>
      </c>
    </row>
    <row r="577" spans="1:4" x14ac:dyDescent="0.25">
      <c r="A577" s="24" t="s">
        <v>69</v>
      </c>
      <c r="B577" s="24" t="s">
        <v>159</v>
      </c>
      <c r="C577" s="32">
        <v>45.234000000000002</v>
      </c>
      <c r="D577" s="28">
        <v>4.1666666666666664E-2</v>
      </c>
    </row>
    <row r="578" spans="1:4" x14ac:dyDescent="0.25">
      <c r="A578" s="24" t="s">
        <v>70</v>
      </c>
      <c r="B578" s="24" t="s">
        <v>65</v>
      </c>
      <c r="C578" s="32">
        <v>19.093</v>
      </c>
      <c r="D578" s="28">
        <v>1.7361111111111112E-2</v>
      </c>
    </row>
    <row r="579" spans="1:4" x14ac:dyDescent="0.25">
      <c r="A579" s="24" t="s">
        <v>70</v>
      </c>
      <c r="B579" s="24" t="s">
        <v>64</v>
      </c>
      <c r="C579" s="32">
        <v>6.0759999999999996</v>
      </c>
      <c r="D579" s="28">
        <v>9.0277777777777787E-3</v>
      </c>
    </row>
    <row r="580" spans="1:4" x14ac:dyDescent="0.25">
      <c r="A580" s="24" t="s">
        <v>70</v>
      </c>
      <c r="B580" s="24" t="s">
        <v>66</v>
      </c>
      <c r="C580" s="32">
        <v>3.5459999999999998</v>
      </c>
      <c r="D580" s="28">
        <v>3.472222222222222E-3</v>
      </c>
    </row>
    <row r="581" spans="1:4" x14ac:dyDescent="0.25">
      <c r="A581" s="24" t="s">
        <v>70</v>
      </c>
      <c r="B581" s="24" t="s">
        <v>67</v>
      </c>
      <c r="C581" s="32">
        <v>2.2850000000000001</v>
      </c>
      <c r="D581" s="28">
        <v>3.472222222222222E-3</v>
      </c>
    </row>
    <row r="582" spans="1:4" x14ac:dyDescent="0.25">
      <c r="A582" s="24" t="s">
        <v>70</v>
      </c>
      <c r="B582" s="24" t="s">
        <v>68</v>
      </c>
      <c r="C582" s="32">
        <v>1.4450000000000001</v>
      </c>
      <c r="D582" s="28">
        <v>2.7777777777777779E-3</v>
      </c>
    </row>
    <row r="583" spans="1:4" x14ac:dyDescent="0.25">
      <c r="A583" s="24" t="s">
        <v>70</v>
      </c>
      <c r="B583" s="24" t="s">
        <v>69</v>
      </c>
      <c r="C583" s="32">
        <v>1.1160000000000001</v>
      </c>
      <c r="D583" s="28">
        <v>1.3888888888888889E-3</v>
      </c>
    </row>
    <row r="584" spans="1:4" x14ac:dyDescent="0.25">
      <c r="A584" s="24" t="s">
        <v>70</v>
      </c>
      <c r="B584" s="24" t="s">
        <v>70</v>
      </c>
      <c r="C584" s="32">
        <v>0</v>
      </c>
      <c r="D584" s="28">
        <v>0</v>
      </c>
    </row>
    <row r="585" spans="1:4" x14ac:dyDescent="0.25">
      <c r="A585" s="24" t="s">
        <v>70</v>
      </c>
      <c r="B585" s="24" t="s">
        <v>71</v>
      </c>
      <c r="C585" s="32">
        <v>1.9370000000000001</v>
      </c>
      <c r="D585" s="28">
        <v>2.0833333333333333E-3</v>
      </c>
    </row>
    <row r="586" spans="1:4" x14ac:dyDescent="0.25">
      <c r="A586" s="24" t="s">
        <v>70</v>
      </c>
      <c r="B586" s="24" t="s">
        <v>72</v>
      </c>
      <c r="C586" s="32">
        <v>3.33</v>
      </c>
      <c r="D586" s="28">
        <v>6.2499999999999995E-3</v>
      </c>
    </row>
    <row r="587" spans="1:4" x14ac:dyDescent="0.25">
      <c r="A587" s="24" t="s">
        <v>70</v>
      </c>
      <c r="B587" s="24" t="s">
        <v>73</v>
      </c>
      <c r="C587" s="32">
        <v>3.673</v>
      </c>
      <c r="D587" s="28">
        <v>5.5555555555555558E-3</v>
      </c>
    </row>
    <row r="588" spans="1:4" x14ac:dyDescent="0.25">
      <c r="A588" s="24" t="s">
        <v>70</v>
      </c>
      <c r="B588" s="24" t="s">
        <v>74</v>
      </c>
      <c r="C588" s="32">
        <v>6.5220000000000002</v>
      </c>
      <c r="D588" s="28">
        <v>9.7222222222222224E-3</v>
      </c>
    </row>
    <row r="589" spans="1:4" x14ac:dyDescent="0.25">
      <c r="A589" s="24" t="s">
        <v>70</v>
      </c>
      <c r="B589" s="24" t="s">
        <v>75</v>
      </c>
      <c r="C589" s="32">
        <v>7.67</v>
      </c>
      <c r="D589" s="28">
        <v>9.7222222222222224E-3</v>
      </c>
    </row>
    <row r="590" spans="1:4" x14ac:dyDescent="0.25">
      <c r="A590" s="24" t="s">
        <v>70</v>
      </c>
      <c r="B590" s="24" t="s">
        <v>76</v>
      </c>
      <c r="C590" s="32">
        <v>10.291</v>
      </c>
      <c r="D590" s="28">
        <v>1.1805555555555555E-2</v>
      </c>
    </row>
    <row r="591" spans="1:4" x14ac:dyDescent="0.25">
      <c r="A591" s="24" t="s">
        <v>70</v>
      </c>
      <c r="B591" s="24" t="s">
        <v>77</v>
      </c>
      <c r="C591" s="32">
        <v>9.3989999999999991</v>
      </c>
      <c r="D591" s="28">
        <v>8.3333333333333332E-3</v>
      </c>
    </row>
    <row r="592" spans="1:4" x14ac:dyDescent="0.25">
      <c r="A592" s="24" t="s">
        <v>70</v>
      </c>
      <c r="B592" s="24" t="s">
        <v>78</v>
      </c>
      <c r="C592" s="32">
        <v>4.4400000000000004</v>
      </c>
      <c r="D592" s="28">
        <v>5.5555555555555558E-3</v>
      </c>
    </row>
    <row r="593" spans="1:4" x14ac:dyDescent="0.25">
      <c r="A593" s="24" t="s">
        <v>70</v>
      </c>
      <c r="B593" s="24" t="s">
        <v>79</v>
      </c>
      <c r="C593" s="32">
        <v>23.265999999999998</v>
      </c>
      <c r="D593" s="28">
        <v>2.361111111111111E-2</v>
      </c>
    </row>
    <row r="594" spans="1:4" x14ac:dyDescent="0.25">
      <c r="A594" s="24" t="s">
        <v>70</v>
      </c>
      <c r="B594" s="24" t="s">
        <v>80</v>
      </c>
      <c r="C594" s="32">
        <v>22.317</v>
      </c>
      <c r="D594" s="28">
        <v>1.9444444444444445E-2</v>
      </c>
    </row>
    <row r="595" spans="1:4" x14ac:dyDescent="0.25">
      <c r="A595" s="24" t="s">
        <v>70</v>
      </c>
      <c r="B595" s="24" t="s">
        <v>81</v>
      </c>
      <c r="C595" s="32">
        <v>26.838999999999999</v>
      </c>
      <c r="D595" s="28">
        <v>2.2222222222222223E-2</v>
      </c>
    </row>
    <row r="596" spans="1:4" x14ac:dyDescent="0.25">
      <c r="A596" s="24" t="s">
        <v>70</v>
      </c>
      <c r="B596" s="24" t="s">
        <v>82</v>
      </c>
      <c r="C596" s="32">
        <v>26.890999999999998</v>
      </c>
      <c r="D596" s="28">
        <v>2.2222222222222223E-2</v>
      </c>
    </row>
    <row r="597" spans="1:4" x14ac:dyDescent="0.25">
      <c r="A597" s="24" t="s">
        <v>70</v>
      </c>
      <c r="B597" s="24" t="s">
        <v>83</v>
      </c>
      <c r="C597" s="32">
        <v>9.3559999999999999</v>
      </c>
      <c r="D597" s="28">
        <v>1.2499999999999999E-2</v>
      </c>
    </row>
    <row r="598" spans="1:4" x14ac:dyDescent="0.25">
      <c r="A598" s="24" t="s">
        <v>70</v>
      </c>
      <c r="B598" s="24" t="s">
        <v>84</v>
      </c>
      <c r="C598" s="32">
        <v>8.1359999999999992</v>
      </c>
      <c r="D598" s="28">
        <v>1.0416666666666666E-2</v>
      </c>
    </row>
    <row r="599" spans="1:4" x14ac:dyDescent="0.25">
      <c r="A599" s="24" t="s">
        <v>70</v>
      </c>
      <c r="B599" s="24" t="s">
        <v>85</v>
      </c>
      <c r="C599" s="32">
        <v>8.3179999999999996</v>
      </c>
      <c r="D599" s="28">
        <v>1.1805555555555555E-2</v>
      </c>
    </row>
    <row r="600" spans="1:4" x14ac:dyDescent="0.25">
      <c r="A600" s="24" t="s">
        <v>70</v>
      </c>
      <c r="B600" s="24" t="s">
        <v>86</v>
      </c>
      <c r="C600" s="32">
        <v>9.7530000000000001</v>
      </c>
      <c r="D600" s="28">
        <v>1.2499999999999999E-2</v>
      </c>
    </row>
    <row r="601" spans="1:4" x14ac:dyDescent="0.25">
      <c r="A601" s="24" t="s">
        <v>70</v>
      </c>
      <c r="B601" s="24" t="s">
        <v>87</v>
      </c>
      <c r="C601" s="32">
        <v>9.8680000000000003</v>
      </c>
      <c r="D601" s="28">
        <v>1.2499999999999999E-2</v>
      </c>
    </row>
    <row r="602" spans="1:4" x14ac:dyDescent="0.25">
      <c r="A602" s="24" t="s">
        <v>70</v>
      </c>
      <c r="B602" s="24" t="s">
        <v>88</v>
      </c>
      <c r="C602" s="32">
        <v>11.247</v>
      </c>
      <c r="D602" s="28">
        <v>1.3888888888888888E-2</v>
      </c>
    </row>
    <row r="603" spans="1:4" x14ac:dyDescent="0.25">
      <c r="A603" s="24" t="s">
        <v>70</v>
      </c>
      <c r="B603" s="24" t="s">
        <v>89</v>
      </c>
      <c r="C603" s="32">
        <v>13.36</v>
      </c>
      <c r="D603" s="28">
        <v>1.8055555555555557E-2</v>
      </c>
    </row>
    <row r="604" spans="1:4" x14ac:dyDescent="0.25">
      <c r="A604" s="24" t="s">
        <v>70</v>
      </c>
      <c r="B604" s="24" t="s">
        <v>90</v>
      </c>
      <c r="C604" s="32">
        <v>22.341000000000001</v>
      </c>
      <c r="D604" s="28">
        <v>2.013888888888889E-2</v>
      </c>
    </row>
    <row r="605" spans="1:4" x14ac:dyDescent="0.25">
      <c r="A605" s="24" t="s">
        <v>70</v>
      </c>
      <c r="B605" s="24" t="s">
        <v>91</v>
      </c>
      <c r="C605" s="32">
        <v>12.433999999999999</v>
      </c>
      <c r="D605" s="28">
        <v>1.6666666666666666E-2</v>
      </c>
    </row>
    <row r="606" spans="1:4" x14ac:dyDescent="0.25">
      <c r="A606" s="24" t="s">
        <v>70</v>
      </c>
      <c r="B606" s="24" t="s">
        <v>92</v>
      </c>
      <c r="C606" s="32">
        <v>20.393000000000001</v>
      </c>
      <c r="D606" s="28">
        <v>1.8749999999999999E-2</v>
      </c>
    </row>
    <row r="607" spans="1:4" x14ac:dyDescent="0.25">
      <c r="A607" s="24" t="s">
        <v>70</v>
      </c>
      <c r="B607" s="24" t="s">
        <v>93</v>
      </c>
      <c r="C607" s="32">
        <v>44.115000000000002</v>
      </c>
      <c r="D607" s="28">
        <v>3.1944444444444449E-2</v>
      </c>
    </row>
    <row r="608" spans="1:4" x14ac:dyDescent="0.25">
      <c r="A608" s="24" t="s">
        <v>70</v>
      </c>
      <c r="B608" s="24" t="s">
        <v>94</v>
      </c>
      <c r="C608" s="32">
        <v>44.744</v>
      </c>
      <c r="D608" s="28">
        <v>3.2638888888888891E-2</v>
      </c>
    </row>
    <row r="609" spans="1:4" x14ac:dyDescent="0.25">
      <c r="A609" s="24" t="s">
        <v>70</v>
      </c>
      <c r="B609" s="24" t="s">
        <v>95</v>
      </c>
      <c r="C609" s="32">
        <v>27.175000000000001</v>
      </c>
      <c r="D609" s="28">
        <v>2.2916666666666669E-2</v>
      </c>
    </row>
    <row r="610" spans="1:4" x14ac:dyDescent="0.25">
      <c r="A610" s="24" t="s">
        <v>70</v>
      </c>
      <c r="B610" s="24" t="s">
        <v>96</v>
      </c>
      <c r="C610" s="32">
        <v>17.033999999999999</v>
      </c>
      <c r="D610" s="28">
        <v>1.7361111111111112E-2</v>
      </c>
    </row>
    <row r="611" spans="1:4" x14ac:dyDescent="0.25">
      <c r="A611" s="24" t="s">
        <v>70</v>
      </c>
      <c r="B611" s="24" t="s">
        <v>97</v>
      </c>
      <c r="C611" s="32">
        <v>25.353000000000002</v>
      </c>
      <c r="D611" s="28">
        <v>2.361111111111111E-2</v>
      </c>
    </row>
    <row r="612" spans="1:4" x14ac:dyDescent="0.25">
      <c r="A612" s="24" t="s">
        <v>70</v>
      </c>
      <c r="B612" s="24" t="s">
        <v>98</v>
      </c>
      <c r="C612" s="32">
        <v>23.99</v>
      </c>
      <c r="D612" s="28">
        <v>2.2222222222222223E-2</v>
      </c>
    </row>
    <row r="613" spans="1:4" x14ac:dyDescent="0.25">
      <c r="A613" s="24" t="s">
        <v>70</v>
      </c>
      <c r="B613" s="24" t="s">
        <v>99</v>
      </c>
      <c r="C613" s="32">
        <v>26.613</v>
      </c>
      <c r="D613" s="28">
        <v>2.5694444444444447E-2</v>
      </c>
    </row>
    <row r="614" spans="1:4" x14ac:dyDescent="0.25">
      <c r="A614" s="24" t="s">
        <v>70</v>
      </c>
      <c r="B614" s="24" t="s">
        <v>100</v>
      </c>
      <c r="C614" s="32">
        <v>27.332999999999998</v>
      </c>
      <c r="D614" s="28">
        <v>2.361111111111111E-2</v>
      </c>
    </row>
    <row r="615" spans="1:4" x14ac:dyDescent="0.25">
      <c r="A615" s="24" t="s">
        <v>70</v>
      </c>
      <c r="B615" s="24" t="s">
        <v>101</v>
      </c>
      <c r="C615" s="32">
        <v>24.091999999999999</v>
      </c>
      <c r="D615" s="28">
        <v>2.361111111111111E-2</v>
      </c>
    </row>
    <row r="616" spans="1:4" x14ac:dyDescent="0.25">
      <c r="A616" s="24" t="s">
        <v>70</v>
      </c>
      <c r="B616" s="24" t="s">
        <v>102</v>
      </c>
      <c r="C616" s="32">
        <v>23.518999999999998</v>
      </c>
      <c r="D616" s="28">
        <v>2.2916666666666669E-2</v>
      </c>
    </row>
    <row r="617" spans="1:4" x14ac:dyDescent="0.25">
      <c r="A617" s="24" t="s">
        <v>70</v>
      </c>
      <c r="B617" s="24" t="s">
        <v>103</v>
      </c>
      <c r="C617" s="32">
        <v>15.907</v>
      </c>
      <c r="D617" s="28">
        <v>1.6666666666666666E-2</v>
      </c>
    </row>
    <row r="618" spans="1:4" x14ac:dyDescent="0.25">
      <c r="A618" s="24" t="s">
        <v>70</v>
      </c>
      <c r="B618" s="24" t="s">
        <v>104</v>
      </c>
      <c r="C618" s="32">
        <v>19.286999999999999</v>
      </c>
      <c r="D618" s="28">
        <v>1.8055555555555557E-2</v>
      </c>
    </row>
    <row r="619" spans="1:4" x14ac:dyDescent="0.25">
      <c r="A619" s="24" t="s">
        <v>70</v>
      </c>
      <c r="B619" s="24" t="s">
        <v>105</v>
      </c>
      <c r="C619" s="32">
        <v>17.718</v>
      </c>
      <c r="D619" s="28">
        <v>2.0833333333333332E-2</v>
      </c>
    </row>
    <row r="620" spans="1:4" x14ac:dyDescent="0.25">
      <c r="A620" s="24" t="s">
        <v>70</v>
      </c>
      <c r="B620" s="24" t="s">
        <v>106</v>
      </c>
      <c r="C620" s="32">
        <v>12.462999999999999</v>
      </c>
      <c r="D620" s="28">
        <v>1.3888888888888888E-2</v>
      </c>
    </row>
    <row r="621" spans="1:4" x14ac:dyDescent="0.25">
      <c r="A621" s="24" t="s">
        <v>70</v>
      </c>
      <c r="B621" s="24" t="s">
        <v>107</v>
      </c>
      <c r="C621" s="32">
        <v>18.247</v>
      </c>
      <c r="D621" s="28">
        <v>2.013888888888889E-2</v>
      </c>
    </row>
    <row r="622" spans="1:4" x14ac:dyDescent="0.25">
      <c r="A622" s="24" t="s">
        <v>70</v>
      </c>
      <c r="B622" s="24" t="s">
        <v>108</v>
      </c>
      <c r="C622" s="32">
        <v>16.632999999999999</v>
      </c>
      <c r="D622" s="28">
        <v>1.7361111111111112E-2</v>
      </c>
    </row>
    <row r="623" spans="1:4" x14ac:dyDescent="0.25">
      <c r="A623" s="24" t="s">
        <v>70</v>
      </c>
      <c r="B623" s="24" t="s">
        <v>109</v>
      </c>
      <c r="C623" s="32">
        <v>16.663</v>
      </c>
      <c r="D623" s="28">
        <v>1.7361111111111112E-2</v>
      </c>
    </row>
    <row r="624" spans="1:4" x14ac:dyDescent="0.25">
      <c r="A624" s="24" t="s">
        <v>70</v>
      </c>
      <c r="B624" s="24" t="s">
        <v>110</v>
      </c>
      <c r="C624" s="32">
        <v>13.798999999999999</v>
      </c>
      <c r="D624" s="28">
        <v>1.7361111111111112E-2</v>
      </c>
    </row>
    <row r="625" spans="1:4" x14ac:dyDescent="0.25">
      <c r="A625" s="24" t="s">
        <v>70</v>
      </c>
      <c r="B625" s="24" t="s">
        <v>111</v>
      </c>
      <c r="C625" s="32">
        <v>15.904999999999999</v>
      </c>
      <c r="D625" s="28">
        <v>1.5277777777777777E-2</v>
      </c>
    </row>
    <row r="626" spans="1:4" x14ac:dyDescent="0.25">
      <c r="A626" s="24" t="s">
        <v>70</v>
      </c>
      <c r="B626" s="24" t="s">
        <v>112</v>
      </c>
      <c r="C626" s="32">
        <v>26.248000000000001</v>
      </c>
      <c r="D626" s="28">
        <v>1.9444444444444445E-2</v>
      </c>
    </row>
    <row r="627" spans="1:4" x14ac:dyDescent="0.25">
      <c r="A627" s="24" t="s">
        <v>70</v>
      </c>
      <c r="B627" s="24" t="s">
        <v>113</v>
      </c>
      <c r="C627" s="32">
        <v>23.381</v>
      </c>
      <c r="D627" s="28">
        <v>1.7361111111111112E-2</v>
      </c>
    </row>
    <row r="628" spans="1:4" x14ac:dyDescent="0.25">
      <c r="A628" s="24" t="s">
        <v>70</v>
      </c>
      <c r="B628" s="24" t="s">
        <v>114</v>
      </c>
      <c r="C628" s="32">
        <v>25.384</v>
      </c>
      <c r="D628" s="28">
        <v>2.0833333333333332E-2</v>
      </c>
    </row>
    <row r="629" spans="1:4" x14ac:dyDescent="0.25">
      <c r="A629" s="24" t="s">
        <v>70</v>
      </c>
      <c r="B629" s="24" t="s">
        <v>115</v>
      </c>
      <c r="C629" s="32">
        <v>25.234999999999999</v>
      </c>
      <c r="D629" s="28">
        <v>2.0833333333333332E-2</v>
      </c>
    </row>
    <row r="630" spans="1:4" x14ac:dyDescent="0.25">
      <c r="A630" s="24" t="s">
        <v>70</v>
      </c>
      <c r="B630" s="24" t="s">
        <v>116</v>
      </c>
      <c r="C630" s="32">
        <v>19.475000000000001</v>
      </c>
      <c r="D630" s="28">
        <v>1.8749999999999999E-2</v>
      </c>
    </row>
    <row r="631" spans="1:4" x14ac:dyDescent="0.25">
      <c r="A631" s="24" t="s">
        <v>70</v>
      </c>
      <c r="B631" s="24" t="s">
        <v>117</v>
      </c>
      <c r="C631" s="32">
        <v>26.678999999999998</v>
      </c>
      <c r="D631" s="28">
        <v>2.361111111111111E-2</v>
      </c>
    </row>
    <row r="632" spans="1:4" x14ac:dyDescent="0.25">
      <c r="A632" s="24" t="s">
        <v>70</v>
      </c>
      <c r="B632" s="24" t="s">
        <v>118</v>
      </c>
      <c r="C632" s="32">
        <v>26.398</v>
      </c>
      <c r="D632" s="28">
        <v>2.2916666666666669E-2</v>
      </c>
    </row>
    <row r="633" spans="1:4" x14ac:dyDescent="0.25">
      <c r="A633" s="24" t="s">
        <v>70</v>
      </c>
      <c r="B633" s="24" t="s">
        <v>119</v>
      </c>
      <c r="C633" s="32">
        <v>37.021999999999998</v>
      </c>
      <c r="D633" s="28">
        <v>2.6388888888888889E-2</v>
      </c>
    </row>
    <row r="634" spans="1:4" x14ac:dyDescent="0.25">
      <c r="A634" s="24" t="s">
        <v>70</v>
      </c>
      <c r="B634" s="24" t="s">
        <v>120</v>
      </c>
      <c r="C634" s="32">
        <v>40.533000000000001</v>
      </c>
      <c r="D634" s="28">
        <v>2.8472222222222222E-2</v>
      </c>
    </row>
    <row r="635" spans="1:4" x14ac:dyDescent="0.25">
      <c r="A635" s="24" t="s">
        <v>70</v>
      </c>
      <c r="B635" s="24" t="s">
        <v>121</v>
      </c>
      <c r="C635" s="32">
        <v>54.162999999999997</v>
      </c>
      <c r="D635" s="28">
        <v>3.6111111111111115E-2</v>
      </c>
    </row>
    <row r="636" spans="1:4" x14ac:dyDescent="0.25">
      <c r="A636" s="24" t="s">
        <v>70</v>
      </c>
      <c r="B636" s="24" t="s">
        <v>122</v>
      </c>
      <c r="C636" s="32">
        <v>42.985999999999997</v>
      </c>
      <c r="D636" s="28">
        <v>3.125E-2</v>
      </c>
    </row>
    <row r="637" spans="1:4" x14ac:dyDescent="0.25">
      <c r="A637" s="24" t="s">
        <v>70</v>
      </c>
      <c r="B637" s="24" t="s">
        <v>123</v>
      </c>
      <c r="C637" s="32">
        <v>47.747999999999998</v>
      </c>
      <c r="D637" s="28">
        <v>3.2638888888888891E-2</v>
      </c>
    </row>
    <row r="638" spans="1:4" x14ac:dyDescent="0.25">
      <c r="A638" s="24" t="s">
        <v>70</v>
      </c>
      <c r="B638" s="24" t="s">
        <v>124</v>
      </c>
      <c r="C638" s="32">
        <v>47.747999999999998</v>
      </c>
      <c r="D638" s="28">
        <v>3.2638888888888891E-2</v>
      </c>
    </row>
    <row r="639" spans="1:4" x14ac:dyDescent="0.25">
      <c r="A639" s="24" t="s">
        <v>70</v>
      </c>
      <c r="B639" s="24" t="s">
        <v>125</v>
      </c>
      <c r="C639" s="32">
        <v>7.2770000000000001</v>
      </c>
      <c r="D639" s="28">
        <v>1.0416666666666666E-2</v>
      </c>
    </row>
    <row r="640" spans="1:4" x14ac:dyDescent="0.25">
      <c r="A640" s="24" t="s">
        <v>70</v>
      </c>
      <c r="B640" s="24" t="s">
        <v>126</v>
      </c>
      <c r="C640" s="32">
        <v>7.0149999999999997</v>
      </c>
      <c r="D640" s="28">
        <v>9.0277777777777787E-3</v>
      </c>
    </row>
    <row r="641" spans="1:4" x14ac:dyDescent="0.25">
      <c r="A641" s="24" t="s">
        <v>70</v>
      </c>
      <c r="B641" s="24" t="s">
        <v>127</v>
      </c>
      <c r="C641" s="32">
        <v>7.76</v>
      </c>
      <c r="D641" s="28">
        <v>1.0416666666666666E-2</v>
      </c>
    </row>
    <row r="642" spans="1:4" x14ac:dyDescent="0.25">
      <c r="A642" s="24" t="s">
        <v>70</v>
      </c>
      <c r="B642" s="24" t="s">
        <v>128</v>
      </c>
      <c r="C642" s="32">
        <v>7.5750000000000002</v>
      </c>
      <c r="D642" s="28">
        <v>1.1111111111111112E-2</v>
      </c>
    </row>
    <row r="643" spans="1:4" x14ac:dyDescent="0.25">
      <c r="A643" s="24" t="s">
        <v>70</v>
      </c>
      <c r="B643" s="24" t="s">
        <v>129</v>
      </c>
      <c r="C643" s="32">
        <v>7.5750000000000002</v>
      </c>
      <c r="D643" s="28">
        <v>1.1111111111111112E-2</v>
      </c>
    </row>
    <row r="644" spans="1:4" x14ac:dyDescent="0.25">
      <c r="A644" s="24" t="s">
        <v>70</v>
      </c>
      <c r="B644" s="24" t="s">
        <v>130</v>
      </c>
      <c r="C644" s="32">
        <v>7.6779999999999999</v>
      </c>
      <c r="D644" s="28">
        <v>1.1111111111111112E-2</v>
      </c>
    </row>
    <row r="645" spans="1:4" x14ac:dyDescent="0.25">
      <c r="A645" s="24" t="s">
        <v>70</v>
      </c>
      <c r="B645" s="24" t="s">
        <v>131</v>
      </c>
      <c r="C645" s="32">
        <v>10.148999999999999</v>
      </c>
      <c r="D645" s="28">
        <v>1.3888888888888888E-2</v>
      </c>
    </row>
    <row r="646" spans="1:4" x14ac:dyDescent="0.25">
      <c r="A646" s="24" t="s">
        <v>70</v>
      </c>
      <c r="B646" s="24" t="s">
        <v>132</v>
      </c>
      <c r="C646" s="32">
        <v>7.0529999999999999</v>
      </c>
      <c r="D646" s="28">
        <v>8.3333333333333332E-3</v>
      </c>
    </row>
    <row r="647" spans="1:4" x14ac:dyDescent="0.25">
      <c r="A647" s="24" t="s">
        <v>70</v>
      </c>
      <c r="B647" s="24" t="s">
        <v>133</v>
      </c>
      <c r="C647" s="32">
        <v>11.622</v>
      </c>
      <c r="D647" s="28">
        <v>1.3194444444444444E-2</v>
      </c>
    </row>
    <row r="648" spans="1:4" x14ac:dyDescent="0.25">
      <c r="A648" s="24" t="s">
        <v>70</v>
      </c>
      <c r="B648" s="24" t="s">
        <v>134</v>
      </c>
      <c r="C648" s="32">
        <v>11.156000000000001</v>
      </c>
      <c r="D648" s="28">
        <v>1.2499999999999999E-2</v>
      </c>
    </row>
    <row r="649" spans="1:4" x14ac:dyDescent="0.25">
      <c r="A649" s="24" t="s">
        <v>70</v>
      </c>
      <c r="B649" s="24" t="s">
        <v>135</v>
      </c>
      <c r="C649" s="32">
        <v>10.792</v>
      </c>
      <c r="D649" s="28">
        <v>1.2499999999999999E-2</v>
      </c>
    </row>
    <row r="650" spans="1:4" x14ac:dyDescent="0.25">
      <c r="A650" s="24" t="s">
        <v>70</v>
      </c>
      <c r="B650" s="24" t="s">
        <v>136</v>
      </c>
      <c r="C650" s="32">
        <v>10.792</v>
      </c>
      <c r="D650" s="28">
        <v>1.2499999999999999E-2</v>
      </c>
    </row>
    <row r="651" spans="1:4" x14ac:dyDescent="0.25">
      <c r="A651" s="24" t="s">
        <v>70</v>
      </c>
      <c r="B651" s="24" t="s">
        <v>137</v>
      </c>
      <c r="C651" s="32">
        <v>11.308999999999999</v>
      </c>
      <c r="D651" s="28">
        <v>1.3194444444444444E-2</v>
      </c>
    </row>
    <row r="652" spans="1:4" x14ac:dyDescent="0.25">
      <c r="A652" s="24" t="s">
        <v>70</v>
      </c>
      <c r="B652" s="24" t="s">
        <v>138</v>
      </c>
      <c r="C652" s="32">
        <v>19.239000000000001</v>
      </c>
      <c r="D652" s="28">
        <v>1.4583333333333332E-2</v>
      </c>
    </row>
    <row r="653" spans="1:4" x14ac:dyDescent="0.25">
      <c r="A653" s="24" t="s">
        <v>70</v>
      </c>
      <c r="B653" s="24" t="s">
        <v>139</v>
      </c>
      <c r="C653" s="32">
        <v>16.286999999999999</v>
      </c>
      <c r="D653" s="28">
        <v>1.3194444444444444E-2</v>
      </c>
    </row>
    <row r="654" spans="1:4" x14ac:dyDescent="0.25">
      <c r="A654" s="24" t="s">
        <v>70</v>
      </c>
      <c r="B654" s="24" t="s">
        <v>140</v>
      </c>
      <c r="C654" s="32">
        <v>13.51</v>
      </c>
      <c r="D654" s="28">
        <v>1.1111111111111112E-2</v>
      </c>
    </row>
    <row r="655" spans="1:4" x14ac:dyDescent="0.25">
      <c r="A655" s="24" t="s">
        <v>70</v>
      </c>
      <c r="B655" s="24" t="s">
        <v>141</v>
      </c>
      <c r="C655" s="32">
        <v>40.997999999999998</v>
      </c>
      <c r="D655" s="28">
        <v>3.2638888888888891E-2</v>
      </c>
    </row>
    <row r="656" spans="1:4" x14ac:dyDescent="0.25">
      <c r="A656" s="24" t="s">
        <v>70</v>
      </c>
      <c r="B656" s="24" t="s">
        <v>142</v>
      </c>
      <c r="C656" s="32">
        <v>35.186</v>
      </c>
      <c r="D656" s="28">
        <v>2.4305555555555556E-2</v>
      </c>
    </row>
    <row r="657" spans="1:4" x14ac:dyDescent="0.25">
      <c r="A657" s="24" t="s">
        <v>70</v>
      </c>
      <c r="B657" s="24" t="s">
        <v>143</v>
      </c>
      <c r="C657" s="32">
        <v>53.564</v>
      </c>
      <c r="D657" s="28">
        <v>3.1944444444444449E-2</v>
      </c>
    </row>
    <row r="658" spans="1:4" x14ac:dyDescent="0.25">
      <c r="A658" s="24" t="s">
        <v>70</v>
      </c>
      <c r="B658" s="24" t="s">
        <v>144</v>
      </c>
      <c r="C658" s="32">
        <v>72.680000000000007</v>
      </c>
      <c r="D658" s="28">
        <v>4.3055555555555562E-2</v>
      </c>
    </row>
    <row r="659" spans="1:4" x14ac:dyDescent="0.25">
      <c r="A659" s="24" t="s">
        <v>70</v>
      </c>
      <c r="B659" s="24" t="s">
        <v>145</v>
      </c>
      <c r="C659" s="32">
        <v>34.051000000000002</v>
      </c>
      <c r="D659" s="28">
        <v>2.361111111111111E-2</v>
      </c>
    </row>
    <row r="660" spans="1:4" x14ac:dyDescent="0.25">
      <c r="A660" s="24" t="s">
        <v>70</v>
      </c>
      <c r="B660" s="24" t="s">
        <v>146</v>
      </c>
      <c r="C660" s="32">
        <v>40.459000000000003</v>
      </c>
      <c r="D660" s="28">
        <v>3.125E-2</v>
      </c>
    </row>
    <row r="661" spans="1:4" x14ac:dyDescent="0.25">
      <c r="A661" s="24" t="s">
        <v>70</v>
      </c>
      <c r="B661" s="24" t="s">
        <v>147</v>
      </c>
      <c r="C661" s="32">
        <v>12.39</v>
      </c>
      <c r="D661" s="28">
        <v>1.3194444444444444E-2</v>
      </c>
    </row>
    <row r="662" spans="1:4" x14ac:dyDescent="0.25">
      <c r="A662" s="24" t="s">
        <v>70</v>
      </c>
      <c r="B662" s="24" t="s">
        <v>148</v>
      </c>
      <c r="C662" s="32">
        <v>10.467000000000001</v>
      </c>
      <c r="D662" s="28">
        <v>1.3888888888888888E-2</v>
      </c>
    </row>
    <row r="663" spans="1:4" x14ac:dyDescent="0.25">
      <c r="A663" s="24" t="s">
        <v>70</v>
      </c>
      <c r="B663" s="24" t="s">
        <v>149</v>
      </c>
      <c r="C663" s="32">
        <v>8.3000000000000007</v>
      </c>
      <c r="D663" s="28">
        <v>9.0277777777777787E-3</v>
      </c>
    </row>
    <row r="664" spans="1:4" x14ac:dyDescent="0.25">
      <c r="A664" s="24" t="s">
        <v>70</v>
      </c>
      <c r="B664" s="24" t="s">
        <v>150</v>
      </c>
      <c r="C664" s="32">
        <v>14.55</v>
      </c>
      <c r="D664" s="28">
        <v>1.5277777777777777E-2</v>
      </c>
    </row>
    <row r="665" spans="1:4" x14ac:dyDescent="0.25">
      <c r="A665" s="24" t="s">
        <v>70</v>
      </c>
      <c r="B665" s="24" t="s">
        <v>151</v>
      </c>
      <c r="C665" s="32">
        <v>13.808</v>
      </c>
      <c r="D665" s="28">
        <v>1.5277777777777777E-2</v>
      </c>
    </row>
    <row r="666" spans="1:4" x14ac:dyDescent="0.25">
      <c r="A666" s="24" t="s">
        <v>70</v>
      </c>
      <c r="B666" s="24" t="s">
        <v>152</v>
      </c>
      <c r="C666" s="32">
        <v>18.452999999999999</v>
      </c>
      <c r="D666" s="28">
        <v>1.9444444444444445E-2</v>
      </c>
    </row>
    <row r="667" spans="1:4" x14ac:dyDescent="0.25">
      <c r="A667" s="24" t="s">
        <v>70</v>
      </c>
      <c r="B667" s="24" t="s">
        <v>153</v>
      </c>
      <c r="C667" s="32">
        <v>23.407</v>
      </c>
      <c r="D667" s="28">
        <v>2.4305555555555556E-2</v>
      </c>
    </row>
    <row r="668" spans="1:4" x14ac:dyDescent="0.25">
      <c r="A668" s="24" t="s">
        <v>70</v>
      </c>
      <c r="B668" s="24" t="s">
        <v>154</v>
      </c>
      <c r="C668" s="32">
        <v>18.225000000000001</v>
      </c>
      <c r="D668" s="28">
        <v>1.8055555555555557E-2</v>
      </c>
    </row>
    <row r="669" spans="1:4" x14ac:dyDescent="0.25">
      <c r="A669" s="24" t="s">
        <v>70</v>
      </c>
      <c r="B669" s="24" t="s">
        <v>155</v>
      </c>
      <c r="C669" s="32">
        <v>13.869</v>
      </c>
      <c r="D669" s="28">
        <v>1.5277777777777777E-2</v>
      </c>
    </row>
    <row r="670" spans="1:4" x14ac:dyDescent="0.25">
      <c r="A670" s="24" t="s">
        <v>70</v>
      </c>
      <c r="B670" s="24" t="s">
        <v>156</v>
      </c>
      <c r="C670" s="32">
        <v>13.853</v>
      </c>
      <c r="D670" s="28">
        <v>1.5277777777777777E-2</v>
      </c>
    </row>
    <row r="671" spans="1:4" x14ac:dyDescent="0.25">
      <c r="A671" s="24" t="s">
        <v>70</v>
      </c>
      <c r="B671" s="24" t="s">
        <v>157</v>
      </c>
      <c r="C671" s="32">
        <v>27.803000000000001</v>
      </c>
      <c r="D671" s="28">
        <v>2.7083333333333334E-2</v>
      </c>
    </row>
    <row r="672" spans="1:4" x14ac:dyDescent="0.25">
      <c r="A672" s="24" t="s">
        <v>70</v>
      </c>
      <c r="B672" s="24" t="s">
        <v>158</v>
      </c>
      <c r="C672" s="32">
        <v>36.753</v>
      </c>
      <c r="D672" s="28">
        <v>3.6111111111111115E-2</v>
      </c>
    </row>
    <row r="673" spans="1:4" x14ac:dyDescent="0.25">
      <c r="A673" s="24" t="s">
        <v>70</v>
      </c>
      <c r="B673" s="24" t="s">
        <v>159</v>
      </c>
      <c r="C673" s="32">
        <v>44.683</v>
      </c>
      <c r="D673" s="28">
        <v>4.027777777777778E-2</v>
      </c>
    </row>
    <row r="674" spans="1:4" x14ac:dyDescent="0.25">
      <c r="A674" s="24" t="s">
        <v>71</v>
      </c>
      <c r="B674" s="24" t="s">
        <v>65</v>
      </c>
      <c r="C674" s="32">
        <v>19.972000000000001</v>
      </c>
      <c r="D674" s="28">
        <v>1.8055555555555557E-2</v>
      </c>
    </row>
    <row r="675" spans="1:4" x14ac:dyDescent="0.25">
      <c r="A675" s="24" t="s">
        <v>71</v>
      </c>
      <c r="B675" s="24" t="s">
        <v>64</v>
      </c>
      <c r="C675" s="32">
        <v>6.9550000000000001</v>
      </c>
      <c r="D675" s="28">
        <v>1.0416666666666666E-2</v>
      </c>
    </row>
    <row r="676" spans="1:4" x14ac:dyDescent="0.25">
      <c r="A676" s="24" t="s">
        <v>71</v>
      </c>
      <c r="B676" s="24" t="s">
        <v>66</v>
      </c>
      <c r="C676" s="32">
        <v>4.4249999999999998</v>
      </c>
      <c r="D676" s="28">
        <v>4.1666666666666666E-3</v>
      </c>
    </row>
    <row r="677" spans="1:4" x14ac:dyDescent="0.25">
      <c r="A677" s="24" t="s">
        <v>71</v>
      </c>
      <c r="B677" s="24" t="s">
        <v>67</v>
      </c>
      <c r="C677" s="32">
        <v>1.2849999999999999</v>
      </c>
      <c r="D677" s="28">
        <v>2.7777777777777779E-3</v>
      </c>
    </row>
    <row r="678" spans="1:4" x14ac:dyDescent="0.25">
      <c r="A678" s="24" t="s">
        <v>71</v>
      </c>
      <c r="B678" s="24" t="s">
        <v>68</v>
      </c>
      <c r="C678" s="32">
        <v>0.41399999999999998</v>
      </c>
      <c r="D678" s="28">
        <v>6.9444444444444447E-4</v>
      </c>
    </row>
    <row r="679" spans="1:4" x14ac:dyDescent="0.25">
      <c r="A679" s="24" t="s">
        <v>71</v>
      </c>
      <c r="B679" s="24" t="s">
        <v>69</v>
      </c>
      <c r="C679" s="32">
        <v>1.214</v>
      </c>
      <c r="D679" s="28">
        <v>1.3888888888888889E-3</v>
      </c>
    </row>
    <row r="680" spans="1:4" x14ac:dyDescent="0.25">
      <c r="A680" s="24" t="s">
        <v>71</v>
      </c>
      <c r="B680" s="24" t="s">
        <v>70</v>
      </c>
      <c r="C680" s="32">
        <v>0.878</v>
      </c>
      <c r="D680" s="28">
        <v>1.3888888888888889E-3</v>
      </c>
    </row>
    <row r="681" spans="1:4" x14ac:dyDescent="0.25">
      <c r="A681" s="24" t="s">
        <v>71</v>
      </c>
      <c r="B681" s="24" t="s">
        <v>71</v>
      </c>
      <c r="C681" s="32">
        <v>0</v>
      </c>
      <c r="D681" s="28">
        <v>0</v>
      </c>
    </row>
    <row r="682" spans="1:4" x14ac:dyDescent="0.25">
      <c r="A682" s="24" t="s">
        <v>71</v>
      </c>
      <c r="B682" s="24" t="s">
        <v>72</v>
      </c>
      <c r="C682" s="32">
        <v>2.37</v>
      </c>
      <c r="D682" s="28">
        <v>5.5555555555555558E-3</v>
      </c>
    </row>
    <row r="683" spans="1:4" x14ac:dyDescent="0.25">
      <c r="A683" s="24" t="s">
        <v>71</v>
      </c>
      <c r="B683" s="24" t="s">
        <v>73</v>
      </c>
      <c r="C683" s="32">
        <v>2.6560000000000001</v>
      </c>
      <c r="D683" s="28">
        <v>6.2499999999999995E-3</v>
      </c>
    </row>
    <row r="684" spans="1:4" x14ac:dyDescent="0.25">
      <c r="A684" s="24" t="s">
        <v>71</v>
      </c>
      <c r="B684" s="24" t="s">
        <v>74</v>
      </c>
      <c r="C684" s="32">
        <v>5.5620000000000003</v>
      </c>
      <c r="D684" s="28">
        <v>9.0277777777777787E-3</v>
      </c>
    </row>
    <row r="685" spans="1:4" x14ac:dyDescent="0.25">
      <c r="A685" s="24" t="s">
        <v>71</v>
      </c>
      <c r="B685" s="24" t="s">
        <v>75</v>
      </c>
      <c r="C685" s="32">
        <v>5.8120000000000003</v>
      </c>
      <c r="D685" s="28">
        <v>8.3333333333333332E-3</v>
      </c>
    </row>
    <row r="686" spans="1:4" x14ac:dyDescent="0.25">
      <c r="A686" s="24" t="s">
        <v>71</v>
      </c>
      <c r="B686" s="24" t="s">
        <v>76</v>
      </c>
      <c r="C686" s="32">
        <v>9.3309999999999995</v>
      </c>
      <c r="D686" s="28">
        <v>1.1111111111111112E-2</v>
      </c>
    </row>
    <row r="687" spans="1:4" x14ac:dyDescent="0.25">
      <c r="A687" s="24" t="s">
        <v>71</v>
      </c>
      <c r="B687" s="24" t="s">
        <v>77</v>
      </c>
      <c r="C687" s="32">
        <v>8.4390000000000001</v>
      </c>
      <c r="D687" s="28">
        <v>7.6388888888888886E-3</v>
      </c>
    </row>
    <row r="688" spans="1:4" x14ac:dyDescent="0.25">
      <c r="A688" s="24" t="s">
        <v>71</v>
      </c>
      <c r="B688" s="24" t="s">
        <v>78</v>
      </c>
      <c r="C688" s="32">
        <v>3.48</v>
      </c>
      <c r="D688" s="28">
        <v>4.8611111111111112E-3</v>
      </c>
    </row>
    <row r="689" spans="1:4" x14ac:dyDescent="0.25">
      <c r="A689" s="24" t="s">
        <v>71</v>
      </c>
      <c r="B689" s="24" t="s">
        <v>79</v>
      </c>
      <c r="C689" s="32">
        <v>22.306000000000001</v>
      </c>
      <c r="D689" s="28">
        <v>2.2916666666666669E-2</v>
      </c>
    </row>
    <row r="690" spans="1:4" x14ac:dyDescent="0.25">
      <c r="A690" s="24" t="s">
        <v>71</v>
      </c>
      <c r="B690" s="24" t="s">
        <v>80</v>
      </c>
      <c r="C690" s="32">
        <v>23.196000000000002</v>
      </c>
      <c r="D690" s="28">
        <v>2.013888888888889E-2</v>
      </c>
    </row>
    <row r="691" spans="1:4" x14ac:dyDescent="0.25">
      <c r="A691" s="24" t="s">
        <v>71</v>
      </c>
      <c r="B691" s="24" t="s">
        <v>81</v>
      </c>
      <c r="C691" s="32">
        <v>27.718</v>
      </c>
      <c r="D691" s="28">
        <v>2.2916666666666669E-2</v>
      </c>
    </row>
    <row r="692" spans="1:4" x14ac:dyDescent="0.25">
      <c r="A692" s="24" t="s">
        <v>71</v>
      </c>
      <c r="B692" s="24" t="s">
        <v>82</v>
      </c>
      <c r="C692" s="32">
        <v>27.77</v>
      </c>
      <c r="D692" s="28">
        <v>2.2916666666666669E-2</v>
      </c>
    </row>
    <row r="693" spans="1:4" x14ac:dyDescent="0.25">
      <c r="A693" s="24" t="s">
        <v>71</v>
      </c>
      <c r="B693" s="24" t="s">
        <v>83</v>
      </c>
      <c r="C693" s="32">
        <v>10.234999999999999</v>
      </c>
      <c r="D693" s="28">
        <v>1.3888888888888888E-2</v>
      </c>
    </row>
    <row r="694" spans="1:4" x14ac:dyDescent="0.25">
      <c r="A694" s="24" t="s">
        <v>71</v>
      </c>
      <c r="B694" s="24" t="s">
        <v>84</v>
      </c>
      <c r="C694" s="32">
        <v>9.7780000000000005</v>
      </c>
      <c r="D694" s="28">
        <v>1.1111111111111112E-2</v>
      </c>
    </row>
    <row r="695" spans="1:4" x14ac:dyDescent="0.25">
      <c r="A695" s="24" t="s">
        <v>71</v>
      </c>
      <c r="B695" s="24" t="s">
        <v>85</v>
      </c>
      <c r="C695" s="32">
        <v>9.9600000000000009</v>
      </c>
      <c r="D695" s="28">
        <v>1.2499999999999999E-2</v>
      </c>
    </row>
    <row r="696" spans="1:4" x14ac:dyDescent="0.25">
      <c r="A696" s="24" t="s">
        <v>71</v>
      </c>
      <c r="B696" s="24" t="s">
        <v>86</v>
      </c>
      <c r="C696" s="32">
        <v>10.632</v>
      </c>
      <c r="D696" s="28">
        <v>1.3194444444444444E-2</v>
      </c>
    </row>
    <row r="697" spans="1:4" x14ac:dyDescent="0.25">
      <c r="A697" s="24" t="s">
        <v>71</v>
      </c>
      <c r="B697" s="24" t="s">
        <v>87</v>
      </c>
      <c r="C697" s="32">
        <v>10.747</v>
      </c>
      <c r="D697" s="28">
        <v>1.3888888888888888E-2</v>
      </c>
    </row>
    <row r="698" spans="1:4" x14ac:dyDescent="0.25">
      <c r="A698" s="24" t="s">
        <v>71</v>
      </c>
      <c r="B698" s="24" t="s">
        <v>88</v>
      </c>
      <c r="C698" s="32">
        <v>12.125999999999999</v>
      </c>
      <c r="D698" s="28">
        <v>1.5277777777777777E-2</v>
      </c>
    </row>
    <row r="699" spans="1:4" x14ac:dyDescent="0.25">
      <c r="A699" s="24" t="s">
        <v>71</v>
      </c>
      <c r="B699" s="24" t="s">
        <v>89</v>
      </c>
      <c r="C699" s="32">
        <v>14.239000000000001</v>
      </c>
      <c r="D699" s="28">
        <v>1.9444444444444445E-2</v>
      </c>
    </row>
    <row r="700" spans="1:4" x14ac:dyDescent="0.25">
      <c r="A700" s="24" t="s">
        <v>71</v>
      </c>
      <c r="B700" s="24" t="s">
        <v>90</v>
      </c>
      <c r="C700" s="32">
        <v>23.22</v>
      </c>
      <c r="D700" s="28">
        <v>2.0833333333333332E-2</v>
      </c>
    </row>
    <row r="701" spans="1:4" x14ac:dyDescent="0.25">
      <c r="A701" s="24" t="s">
        <v>71</v>
      </c>
      <c r="B701" s="24" t="s">
        <v>91</v>
      </c>
      <c r="C701" s="32">
        <v>13.313000000000001</v>
      </c>
      <c r="D701" s="28">
        <v>1.7361111111111112E-2</v>
      </c>
    </row>
    <row r="702" spans="1:4" x14ac:dyDescent="0.25">
      <c r="A702" s="24" t="s">
        <v>71</v>
      </c>
      <c r="B702" s="24" t="s">
        <v>92</v>
      </c>
      <c r="C702" s="32">
        <v>21.271999999999998</v>
      </c>
      <c r="D702" s="28">
        <v>2.013888888888889E-2</v>
      </c>
    </row>
    <row r="703" spans="1:4" x14ac:dyDescent="0.25">
      <c r="A703" s="24" t="s">
        <v>71</v>
      </c>
      <c r="B703" s="24" t="s">
        <v>93</v>
      </c>
      <c r="C703" s="32">
        <v>44.994</v>
      </c>
      <c r="D703" s="28">
        <v>3.2638888888888891E-2</v>
      </c>
    </row>
    <row r="704" spans="1:4" x14ac:dyDescent="0.25">
      <c r="A704" s="24" t="s">
        <v>71</v>
      </c>
      <c r="B704" s="24" t="s">
        <v>94</v>
      </c>
      <c r="C704" s="32">
        <v>45.622999999999998</v>
      </c>
      <c r="D704" s="28">
        <v>3.3333333333333333E-2</v>
      </c>
    </row>
    <row r="705" spans="1:4" x14ac:dyDescent="0.25">
      <c r="A705" s="24" t="s">
        <v>71</v>
      </c>
      <c r="B705" s="24" t="s">
        <v>95</v>
      </c>
      <c r="C705" s="32">
        <v>28.053999999999998</v>
      </c>
      <c r="D705" s="28">
        <v>2.4305555555555556E-2</v>
      </c>
    </row>
    <row r="706" spans="1:4" x14ac:dyDescent="0.25">
      <c r="A706" s="24" t="s">
        <v>71</v>
      </c>
      <c r="B706" s="24" t="s">
        <v>96</v>
      </c>
      <c r="C706" s="32">
        <v>17.913</v>
      </c>
      <c r="D706" s="28">
        <v>1.8749999999999999E-2</v>
      </c>
    </row>
    <row r="707" spans="1:4" x14ac:dyDescent="0.25">
      <c r="A707" s="24" t="s">
        <v>71</v>
      </c>
      <c r="B707" s="24" t="s">
        <v>97</v>
      </c>
      <c r="C707" s="32">
        <v>26.231999999999999</v>
      </c>
      <c r="D707" s="28">
        <v>2.4999999999999998E-2</v>
      </c>
    </row>
    <row r="708" spans="1:4" x14ac:dyDescent="0.25">
      <c r="A708" s="24" t="s">
        <v>71</v>
      </c>
      <c r="B708" s="24" t="s">
        <v>98</v>
      </c>
      <c r="C708" s="32">
        <v>24.869</v>
      </c>
      <c r="D708" s="28">
        <v>2.361111111111111E-2</v>
      </c>
    </row>
    <row r="709" spans="1:4" x14ac:dyDescent="0.25">
      <c r="A709" s="24" t="s">
        <v>71</v>
      </c>
      <c r="B709" s="24" t="s">
        <v>99</v>
      </c>
      <c r="C709" s="32">
        <v>27.492000000000001</v>
      </c>
      <c r="D709" s="28">
        <v>2.6388888888888889E-2</v>
      </c>
    </row>
    <row r="710" spans="1:4" x14ac:dyDescent="0.25">
      <c r="A710" s="24" t="s">
        <v>71</v>
      </c>
      <c r="B710" s="24" t="s">
        <v>100</v>
      </c>
      <c r="C710" s="32">
        <v>28.212</v>
      </c>
      <c r="D710" s="28">
        <v>2.4305555555555556E-2</v>
      </c>
    </row>
    <row r="711" spans="1:4" x14ac:dyDescent="0.25">
      <c r="A711" s="24" t="s">
        <v>71</v>
      </c>
      <c r="B711" s="24" t="s">
        <v>101</v>
      </c>
      <c r="C711" s="32">
        <v>24.971</v>
      </c>
      <c r="D711" s="28">
        <v>2.4999999999999998E-2</v>
      </c>
    </row>
    <row r="712" spans="1:4" x14ac:dyDescent="0.25">
      <c r="A712" s="24" t="s">
        <v>71</v>
      </c>
      <c r="B712" s="24" t="s">
        <v>102</v>
      </c>
      <c r="C712" s="32">
        <v>24.398</v>
      </c>
      <c r="D712" s="28">
        <v>2.4305555555555556E-2</v>
      </c>
    </row>
    <row r="713" spans="1:4" x14ac:dyDescent="0.25">
      <c r="A713" s="24" t="s">
        <v>71</v>
      </c>
      <c r="B713" s="24" t="s">
        <v>103</v>
      </c>
      <c r="C713" s="32">
        <v>16.786000000000001</v>
      </c>
      <c r="D713" s="28">
        <v>1.7361111111111112E-2</v>
      </c>
    </row>
    <row r="714" spans="1:4" x14ac:dyDescent="0.25">
      <c r="A714" s="24" t="s">
        <v>71</v>
      </c>
      <c r="B714" s="24" t="s">
        <v>104</v>
      </c>
      <c r="C714" s="32">
        <v>20.166</v>
      </c>
      <c r="D714" s="28">
        <v>1.8749999999999999E-2</v>
      </c>
    </row>
    <row r="715" spans="1:4" x14ac:dyDescent="0.25">
      <c r="A715" s="24" t="s">
        <v>71</v>
      </c>
      <c r="B715" s="24" t="s">
        <v>105</v>
      </c>
      <c r="C715" s="32">
        <v>18.597000000000001</v>
      </c>
      <c r="D715" s="28">
        <v>2.1527777777777781E-2</v>
      </c>
    </row>
    <row r="716" spans="1:4" x14ac:dyDescent="0.25">
      <c r="A716" s="24" t="s">
        <v>71</v>
      </c>
      <c r="B716" s="24" t="s">
        <v>106</v>
      </c>
      <c r="C716" s="32">
        <v>13.342000000000001</v>
      </c>
      <c r="D716" s="28">
        <v>1.4583333333333332E-2</v>
      </c>
    </row>
    <row r="717" spans="1:4" x14ac:dyDescent="0.25">
      <c r="A717" s="24" t="s">
        <v>71</v>
      </c>
      <c r="B717" s="24" t="s">
        <v>107</v>
      </c>
      <c r="C717" s="32">
        <v>19.704999999999998</v>
      </c>
      <c r="D717" s="28">
        <v>2.0833333333333332E-2</v>
      </c>
    </row>
    <row r="718" spans="1:4" x14ac:dyDescent="0.25">
      <c r="A718" s="24" t="s">
        <v>71</v>
      </c>
      <c r="B718" s="24" t="s">
        <v>108</v>
      </c>
      <c r="C718" s="32">
        <v>18.091000000000001</v>
      </c>
      <c r="D718" s="28">
        <v>1.8055555555555557E-2</v>
      </c>
    </row>
    <row r="719" spans="1:4" x14ac:dyDescent="0.25">
      <c r="A719" s="24" t="s">
        <v>71</v>
      </c>
      <c r="B719" s="24" t="s">
        <v>109</v>
      </c>
      <c r="C719" s="32">
        <v>18.120999999999999</v>
      </c>
      <c r="D719" s="28">
        <v>1.8055555555555557E-2</v>
      </c>
    </row>
    <row r="720" spans="1:4" x14ac:dyDescent="0.25">
      <c r="A720" s="24" t="s">
        <v>71</v>
      </c>
      <c r="B720" s="24" t="s">
        <v>110</v>
      </c>
      <c r="C720" s="32">
        <v>14.678000000000001</v>
      </c>
      <c r="D720" s="28">
        <v>1.8055555555555557E-2</v>
      </c>
    </row>
    <row r="721" spans="1:4" x14ac:dyDescent="0.25">
      <c r="A721" s="24" t="s">
        <v>71</v>
      </c>
      <c r="B721" s="24" t="s">
        <v>111</v>
      </c>
      <c r="C721" s="32">
        <v>16.783999999999999</v>
      </c>
      <c r="D721" s="28">
        <v>1.6666666666666666E-2</v>
      </c>
    </row>
    <row r="722" spans="1:4" x14ac:dyDescent="0.25">
      <c r="A722" s="24" t="s">
        <v>71</v>
      </c>
      <c r="B722" s="24" t="s">
        <v>112</v>
      </c>
      <c r="C722" s="32">
        <v>25.288</v>
      </c>
      <c r="D722" s="28">
        <v>1.8749999999999999E-2</v>
      </c>
    </row>
    <row r="723" spans="1:4" x14ac:dyDescent="0.25">
      <c r="A723" s="24" t="s">
        <v>71</v>
      </c>
      <c r="B723" s="24" t="s">
        <v>113</v>
      </c>
      <c r="C723" s="32">
        <v>22.420999999999999</v>
      </c>
      <c r="D723" s="28">
        <v>1.6666666666666666E-2</v>
      </c>
    </row>
    <row r="724" spans="1:4" x14ac:dyDescent="0.25">
      <c r="A724" s="24" t="s">
        <v>71</v>
      </c>
      <c r="B724" s="24" t="s">
        <v>114</v>
      </c>
      <c r="C724" s="32">
        <v>26.263000000000002</v>
      </c>
      <c r="D724" s="28">
        <v>2.1527777777777781E-2</v>
      </c>
    </row>
    <row r="725" spans="1:4" x14ac:dyDescent="0.25">
      <c r="A725" s="24" t="s">
        <v>71</v>
      </c>
      <c r="B725" s="24" t="s">
        <v>115</v>
      </c>
      <c r="C725" s="32">
        <v>26.114000000000001</v>
      </c>
      <c r="D725" s="28">
        <v>2.2222222222222223E-2</v>
      </c>
    </row>
    <row r="726" spans="1:4" x14ac:dyDescent="0.25">
      <c r="A726" s="24" t="s">
        <v>71</v>
      </c>
      <c r="B726" s="24" t="s">
        <v>116</v>
      </c>
      <c r="C726" s="32">
        <v>20.353999999999999</v>
      </c>
      <c r="D726" s="28">
        <v>1.9444444444444445E-2</v>
      </c>
    </row>
    <row r="727" spans="1:4" x14ac:dyDescent="0.25">
      <c r="A727" s="24" t="s">
        <v>71</v>
      </c>
      <c r="B727" s="24" t="s">
        <v>117</v>
      </c>
      <c r="C727" s="32">
        <v>27.558</v>
      </c>
      <c r="D727" s="28">
        <v>2.4999999999999998E-2</v>
      </c>
    </row>
    <row r="728" spans="1:4" x14ac:dyDescent="0.25">
      <c r="A728" s="24" t="s">
        <v>71</v>
      </c>
      <c r="B728" s="24" t="s">
        <v>118</v>
      </c>
      <c r="C728" s="32">
        <v>32.125</v>
      </c>
      <c r="D728" s="28">
        <v>2.1527777777777781E-2</v>
      </c>
    </row>
    <row r="729" spans="1:4" x14ac:dyDescent="0.25">
      <c r="A729" s="24" t="s">
        <v>71</v>
      </c>
      <c r="B729" s="24" t="s">
        <v>119</v>
      </c>
      <c r="C729" s="32">
        <v>36.783000000000001</v>
      </c>
      <c r="D729" s="28">
        <v>2.4305555555555556E-2</v>
      </c>
    </row>
    <row r="730" spans="1:4" x14ac:dyDescent="0.25">
      <c r="A730" s="24" t="s">
        <v>71</v>
      </c>
      <c r="B730" s="24" t="s">
        <v>120</v>
      </c>
      <c r="C730" s="32">
        <v>39.573</v>
      </c>
      <c r="D730" s="28">
        <v>2.7083333333333334E-2</v>
      </c>
    </row>
    <row r="731" spans="1:4" x14ac:dyDescent="0.25">
      <c r="A731" s="24" t="s">
        <v>71</v>
      </c>
      <c r="B731" s="24" t="s">
        <v>121</v>
      </c>
      <c r="C731" s="32">
        <v>53.923999999999999</v>
      </c>
      <c r="D731" s="28">
        <v>3.4027777777777775E-2</v>
      </c>
    </row>
    <row r="732" spans="1:4" x14ac:dyDescent="0.25">
      <c r="A732" s="24" t="s">
        <v>71</v>
      </c>
      <c r="B732" s="24" t="s">
        <v>122</v>
      </c>
      <c r="C732" s="32">
        <v>43.865000000000002</v>
      </c>
      <c r="D732" s="28">
        <v>3.1944444444444449E-2</v>
      </c>
    </row>
    <row r="733" spans="1:4" x14ac:dyDescent="0.25">
      <c r="A733" s="24" t="s">
        <v>71</v>
      </c>
      <c r="B733" s="24" t="s">
        <v>123</v>
      </c>
      <c r="C733" s="32">
        <v>47.509</v>
      </c>
      <c r="D733" s="28">
        <v>3.0555555555555555E-2</v>
      </c>
    </row>
    <row r="734" spans="1:4" x14ac:dyDescent="0.25">
      <c r="A734" s="24" t="s">
        <v>71</v>
      </c>
      <c r="B734" s="24" t="s">
        <v>124</v>
      </c>
      <c r="C734" s="32">
        <v>47.509</v>
      </c>
      <c r="D734" s="28">
        <v>3.0555555555555555E-2</v>
      </c>
    </row>
    <row r="735" spans="1:4" x14ac:dyDescent="0.25">
      <c r="A735" s="24" t="s">
        <v>71</v>
      </c>
      <c r="B735" s="24" t="s">
        <v>125</v>
      </c>
      <c r="C735" s="32">
        <v>8.1560000000000006</v>
      </c>
      <c r="D735" s="28">
        <v>1.1111111111111112E-2</v>
      </c>
    </row>
    <row r="736" spans="1:4" x14ac:dyDescent="0.25">
      <c r="A736" s="24" t="s">
        <v>71</v>
      </c>
      <c r="B736" s="24" t="s">
        <v>126</v>
      </c>
      <c r="C736" s="32">
        <v>7.8940000000000001</v>
      </c>
      <c r="D736" s="28">
        <v>1.0416666666666666E-2</v>
      </c>
    </row>
    <row r="737" spans="1:4" x14ac:dyDescent="0.25">
      <c r="A737" s="24" t="s">
        <v>71</v>
      </c>
      <c r="B737" s="24" t="s">
        <v>127</v>
      </c>
      <c r="C737" s="32">
        <v>8.6389999999999993</v>
      </c>
      <c r="D737" s="28">
        <v>1.1111111111111112E-2</v>
      </c>
    </row>
    <row r="738" spans="1:4" x14ac:dyDescent="0.25">
      <c r="A738" s="24" t="s">
        <v>71</v>
      </c>
      <c r="B738" s="24" t="s">
        <v>128</v>
      </c>
      <c r="C738" s="32">
        <v>8.4540000000000006</v>
      </c>
      <c r="D738" s="28">
        <v>1.1805555555555555E-2</v>
      </c>
    </row>
    <row r="739" spans="1:4" x14ac:dyDescent="0.25">
      <c r="A739" s="24" t="s">
        <v>71</v>
      </c>
      <c r="B739" s="24" t="s">
        <v>129</v>
      </c>
      <c r="C739" s="32">
        <v>8.4540000000000006</v>
      </c>
      <c r="D739" s="28">
        <v>1.1805555555555555E-2</v>
      </c>
    </row>
    <row r="740" spans="1:4" x14ac:dyDescent="0.25">
      <c r="A740" s="24" t="s">
        <v>71</v>
      </c>
      <c r="B740" s="24" t="s">
        <v>130</v>
      </c>
      <c r="C740" s="32">
        <v>8.5570000000000004</v>
      </c>
      <c r="D740" s="28">
        <v>1.1805555555555555E-2</v>
      </c>
    </row>
    <row r="741" spans="1:4" x14ac:dyDescent="0.25">
      <c r="A741" s="24" t="s">
        <v>71</v>
      </c>
      <c r="B741" s="24" t="s">
        <v>131</v>
      </c>
      <c r="C741" s="32">
        <v>11.028</v>
      </c>
      <c r="D741" s="28">
        <v>1.4583333333333332E-2</v>
      </c>
    </row>
    <row r="742" spans="1:4" x14ac:dyDescent="0.25">
      <c r="A742" s="24" t="s">
        <v>71</v>
      </c>
      <c r="B742" s="24" t="s">
        <v>132</v>
      </c>
      <c r="C742" s="32">
        <v>7.9320000000000004</v>
      </c>
      <c r="D742" s="28">
        <v>9.7222222222222224E-3</v>
      </c>
    </row>
    <row r="743" spans="1:4" x14ac:dyDescent="0.25">
      <c r="A743" s="24" t="s">
        <v>71</v>
      </c>
      <c r="B743" s="24" t="s">
        <v>133</v>
      </c>
      <c r="C743" s="32">
        <v>12.757</v>
      </c>
      <c r="D743" s="28">
        <v>1.3888888888888888E-2</v>
      </c>
    </row>
    <row r="744" spans="1:4" x14ac:dyDescent="0.25">
      <c r="A744" s="24" t="s">
        <v>71</v>
      </c>
      <c r="B744" s="24" t="s">
        <v>134</v>
      </c>
      <c r="C744" s="32">
        <v>12.291</v>
      </c>
      <c r="D744" s="28">
        <v>1.2499999999999999E-2</v>
      </c>
    </row>
    <row r="745" spans="1:4" x14ac:dyDescent="0.25">
      <c r="A745" s="24" t="s">
        <v>71</v>
      </c>
      <c r="B745" s="24" t="s">
        <v>135</v>
      </c>
      <c r="C745" s="32">
        <v>9.8320000000000007</v>
      </c>
      <c r="D745" s="28">
        <v>1.1111111111111112E-2</v>
      </c>
    </row>
    <row r="746" spans="1:4" x14ac:dyDescent="0.25">
      <c r="A746" s="24" t="s">
        <v>71</v>
      </c>
      <c r="B746" s="24" t="s">
        <v>136</v>
      </c>
      <c r="C746" s="32">
        <v>9.8320000000000007</v>
      </c>
      <c r="D746" s="28">
        <v>1.1111111111111112E-2</v>
      </c>
    </row>
    <row r="747" spans="1:4" x14ac:dyDescent="0.25">
      <c r="A747" s="24" t="s">
        <v>71</v>
      </c>
      <c r="B747" s="24" t="s">
        <v>137</v>
      </c>
      <c r="C747" s="32">
        <v>10.079000000000001</v>
      </c>
      <c r="D747" s="28">
        <v>1.2499999999999999E-2</v>
      </c>
    </row>
    <row r="748" spans="1:4" x14ac:dyDescent="0.25">
      <c r="A748" s="24" t="s">
        <v>71</v>
      </c>
      <c r="B748" s="24" t="s">
        <v>138</v>
      </c>
      <c r="C748" s="32">
        <v>18.279</v>
      </c>
      <c r="D748" s="28">
        <v>1.3888888888888888E-2</v>
      </c>
    </row>
    <row r="749" spans="1:4" x14ac:dyDescent="0.25">
      <c r="A749" s="24" t="s">
        <v>71</v>
      </c>
      <c r="B749" s="24" t="s">
        <v>139</v>
      </c>
      <c r="C749" s="32">
        <v>15.327</v>
      </c>
      <c r="D749" s="28">
        <v>1.2499999999999999E-2</v>
      </c>
    </row>
    <row r="750" spans="1:4" x14ac:dyDescent="0.25">
      <c r="A750" s="24" t="s">
        <v>71</v>
      </c>
      <c r="B750" s="24" t="s">
        <v>140</v>
      </c>
      <c r="C750" s="32">
        <v>12.55</v>
      </c>
      <c r="D750" s="28">
        <v>1.0416666666666666E-2</v>
      </c>
    </row>
    <row r="751" spans="1:4" x14ac:dyDescent="0.25">
      <c r="A751" s="24" t="s">
        <v>71</v>
      </c>
      <c r="B751" s="24" t="s">
        <v>141</v>
      </c>
      <c r="C751" s="32">
        <v>40.037999999999997</v>
      </c>
      <c r="D751" s="28">
        <v>3.1944444444444449E-2</v>
      </c>
    </row>
    <row r="752" spans="1:4" x14ac:dyDescent="0.25">
      <c r="A752" s="24" t="s">
        <v>71</v>
      </c>
      <c r="B752" s="24" t="s">
        <v>142</v>
      </c>
      <c r="C752" s="32">
        <v>34.225999999999999</v>
      </c>
      <c r="D752" s="28">
        <v>2.361111111111111E-2</v>
      </c>
    </row>
    <row r="753" spans="1:4" x14ac:dyDescent="0.25">
      <c r="A753" s="24" t="s">
        <v>71</v>
      </c>
      <c r="B753" s="24" t="s">
        <v>143</v>
      </c>
      <c r="C753" s="32">
        <v>52.603999999999999</v>
      </c>
      <c r="D753" s="28">
        <v>3.0555555555555555E-2</v>
      </c>
    </row>
    <row r="754" spans="1:4" x14ac:dyDescent="0.25">
      <c r="A754" s="24" t="s">
        <v>71</v>
      </c>
      <c r="B754" s="24" t="s">
        <v>144</v>
      </c>
      <c r="C754" s="32">
        <v>71.72</v>
      </c>
      <c r="D754" s="28">
        <v>4.1666666666666664E-2</v>
      </c>
    </row>
    <row r="755" spans="1:4" x14ac:dyDescent="0.25">
      <c r="A755" s="24" t="s">
        <v>71</v>
      </c>
      <c r="B755" s="24" t="s">
        <v>145</v>
      </c>
      <c r="C755" s="32">
        <v>33.091000000000001</v>
      </c>
      <c r="D755" s="28">
        <v>2.2916666666666669E-2</v>
      </c>
    </row>
    <row r="756" spans="1:4" x14ac:dyDescent="0.25">
      <c r="A756" s="24" t="s">
        <v>71</v>
      </c>
      <c r="B756" s="24" t="s">
        <v>146</v>
      </c>
      <c r="C756" s="32">
        <v>39.499000000000002</v>
      </c>
      <c r="D756" s="28">
        <v>2.9861111111111113E-2</v>
      </c>
    </row>
    <row r="757" spans="1:4" x14ac:dyDescent="0.25">
      <c r="A757" s="24" t="s">
        <v>71</v>
      </c>
      <c r="B757" s="24" t="s">
        <v>147</v>
      </c>
      <c r="C757" s="32">
        <v>13.269</v>
      </c>
      <c r="D757" s="28">
        <v>1.4583333333333332E-2</v>
      </c>
    </row>
    <row r="758" spans="1:4" x14ac:dyDescent="0.25">
      <c r="A758" s="24" t="s">
        <v>71</v>
      </c>
      <c r="B758" s="24" t="s">
        <v>148</v>
      </c>
      <c r="C758" s="32">
        <v>11.346</v>
      </c>
      <c r="D758" s="28">
        <v>1.4583333333333332E-2</v>
      </c>
    </row>
    <row r="759" spans="1:4" x14ac:dyDescent="0.25">
      <c r="A759" s="24" t="s">
        <v>71</v>
      </c>
      <c r="B759" s="24" t="s">
        <v>149</v>
      </c>
      <c r="C759" s="32">
        <v>9.1790000000000003</v>
      </c>
      <c r="D759" s="28">
        <v>1.0416666666666666E-2</v>
      </c>
    </row>
    <row r="760" spans="1:4" x14ac:dyDescent="0.25">
      <c r="A760" s="24" t="s">
        <v>71</v>
      </c>
      <c r="B760" s="24" t="s">
        <v>150</v>
      </c>
      <c r="C760" s="32">
        <v>15.429</v>
      </c>
      <c r="D760" s="28">
        <v>1.6666666666666666E-2</v>
      </c>
    </row>
    <row r="761" spans="1:4" x14ac:dyDescent="0.25">
      <c r="A761" s="24" t="s">
        <v>71</v>
      </c>
      <c r="B761" s="24" t="s">
        <v>151</v>
      </c>
      <c r="C761" s="32">
        <v>14.686999999999999</v>
      </c>
      <c r="D761" s="28">
        <v>1.5972222222222224E-2</v>
      </c>
    </row>
    <row r="762" spans="1:4" x14ac:dyDescent="0.25">
      <c r="A762" s="24" t="s">
        <v>71</v>
      </c>
      <c r="B762" s="24" t="s">
        <v>152</v>
      </c>
      <c r="C762" s="32">
        <v>19.332000000000001</v>
      </c>
      <c r="D762" s="28">
        <v>2.0833333333333332E-2</v>
      </c>
    </row>
    <row r="763" spans="1:4" x14ac:dyDescent="0.25">
      <c r="A763" s="24" t="s">
        <v>71</v>
      </c>
      <c r="B763" s="24" t="s">
        <v>153</v>
      </c>
      <c r="C763" s="32">
        <v>24.286000000000001</v>
      </c>
      <c r="D763" s="28">
        <v>2.4999999999999998E-2</v>
      </c>
    </row>
    <row r="764" spans="1:4" x14ac:dyDescent="0.25">
      <c r="A764" s="24" t="s">
        <v>71</v>
      </c>
      <c r="B764" s="24" t="s">
        <v>154</v>
      </c>
      <c r="C764" s="32">
        <v>19.103999999999999</v>
      </c>
      <c r="D764" s="28">
        <v>1.9444444444444445E-2</v>
      </c>
    </row>
    <row r="765" spans="1:4" x14ac:dyDescent="0.25">
      <c r="A765" s="24" t="s">
        <v>71</v>
      </c>
      <c r="B765" s="24" t="s">
        <v>155</v>
      </c>
      <c r="C765" s="32">
        <v>14.747999999999999</v>
      </c>
      <c r="D765" s="28">
        <v>1.5972222222222224E-2</v>
      </c>
    </row>
    <row r="766" spans="1:4" x14ac:dyDescent="0.25">
      <c r="A766" s="24" t="s">
        <v>71</v>
      </c>
      <c r="B766" s="24" t="s">
        <v>156</v>
      </c>
      <c r="C766" s="32">
        <v>14.731999999999999</v>
      </c>
      <c r="D766" s="28">
        <v>1.5972222222222224E-2</v>
      </c>
    </row>
    <row r="767" spans="1:4" x14ac:dyDescent="0.25">
      <c r="A767" s="24" t="s">
        <v>71</v>
      </c>
      <c r="B767" s="24" t="s">
        <v>157</v>
      </c>
      <c r="C767" s="32">
        <v>28.681999999999999</v>
      </c>
      <c r="D767" s="28">
        <v>2.8472222222222222E-2</v>
      </c>
    </row>
    <row r="768" spans="1:4" x14ac:dyDescent="0.25">
      <c r="A768" s="24" t="s">
        <v>71</v>
      </c>
      <c r="B768" s="24" t="s">
        <v>158</v>
      </c>
      <c r="C768" s="32">
        <v>37.631999999999998</v>
      </c>
      <c r="D768" s="28">
        <v>3.6805555555555557E-2</v>
      </c>
    </row>
    <row r="769" spans="1:4" x14ac:dyDescent="0.25">
      <c r="A769" s="24" t="s">
        <v>71</v>
      </c>
      <c r="B769" s="24" t="s">
        <v>159</v>
      </c>
      <c r="C769" s="32">
        <v>45.561999999999998</v>
      </c>
      <c r="D769" s="28">
        <v>4.1666666666666664E-2</v>
      </c>
    </row>
    <row r="770" spans="1:4" x14ac:dyDescent="0.25">
      <c r="A770" s="24" t="s">
        <v>72</v>
      </c>
      <c r="B770" s="24" t="s">
        <v>65</v>
      </c>
      <c r="C770" s="32">
        <v>20.776</v>
      </c>
      <c r="D770" s="28">
        <v>2.013888888888889E-2</v>
      </c>
    </row>
    <row r="771" spans="1:4" x14ac:dyDescent="0.25">
      <c r="A771" s="24" t="s">
        <v>72</v>
      </c>
      <c r="B771" s="24" t="s">
        <v>64</v>
      </c>
      <c r="C771" s="32">
        <v>6.5890000000000004</v>
      </c>
      <c r="D771" s="28">
        <v>1.1805555555555555E-2</v>
      </c>
    </row>
    <row r="772" spans="1:4" x14ac:dyDescent="0.25">
      <c r="A772" s="24" t="s">
        <v>72</v>
      </c>
      <c r="B772" s="24" t="s">
        <v>66</v>
      </c>
      <c r="C772" s="32">
        <v>5.7530000000000001</v>
      </c>
      <c r="D772" s="28">
        <v>6.9444444444444441E-3</v>
      </c>
    </row>
    <row r="773" spans="1:4" x14ac:dyDescent="0.25">
      <c r="A773" s="24" t="s">
        <v>72</v>
      </c>
      <c r="B773" s="24" t="s">
        <v>67</v>
      </c>
      <c r="C773" s="32">
        <v>1.8779999999999999</v>
      </c>
      <c r="D773" s="28">
        <v>3.472222222222222E-3</v>
      </c>
    </row>
    <row r="774" spans="1:4" x14ac:dyDescent="0.25">
      <c r="A774" s="24" t="s">
        <v>72</v>
      </c>
      <c r="B774" s="24" t="s">
        <v>68</v>
      </c>
      <c r="C774" s="32">
        <v>1.742</v>
      </c>
      <c r="D774" s="28">
        <v>3.472222222222222E-3</v>
      </c>
    </row>
    <row r="775" spans="1:4" x14ac:dyDescent="0.25">
      <c r="A775" s="24" t="s">
        <v>72</v>
      </c>
      <c r="B775" s="24" t="s">
        <v>69</v>
      </c>
      <c r="C775" s="32">
        <v>2.5419999999999998</v>
      </c>
      <c r="D775" s="28">
        <v>4.1666666666666666E-3</v>
      </c>
    </row>
    <row r="776" spans="1:4" x14ac:dyDescent="0.25">
      <c r="A776" s="24" t="s">
        <v>72</v>
      </c>
      <c r="B776" s="24" t="s">
        <v>70</v>
      </c>
      <c r="C776" s="32">
        <v>2.206</v>
      </c>
      <c r="D776" s="28">
        <v>4.1666666666666666E-3</v>
      </c>
    </row>
    <row r="777" spans="1:4" x14ac:dyDescent="0.25">
      <c r="A777" s="24" t="s">
        <v>72</v>
      </c>
      <c r="B777" s="24" t="s">
        <v>71</v>
      </c>
      <c r="C777" s="32">
        <v>2.173</v>
      </c>
      <c r="D777" s="28">
        <v>4.8611111111111112E-3</v>
      </c>
    </row>
    <row r="778" spans="1:4" x14ac:dyDescent="0.25">
      <c r="A778" s="24" t="s">
        <v>72</v>
      </c>
      <c r="B778" s="24" t="s">
        <v>72</v>
      </c>
      <c r="C778" s="32">
        <v>0</v>
      </c>
      <c r="D778" s="28">
        <v>0</v>
      </c>
    </row>
    <row r="779" spans="1:4" x14ac:dyDescent="0.25">
      <c r="A779" s="24" t="s">
        <v>72</v>
      </c>
      <c r="B779" s="24" t="s">
        <v>73</v>
      </c>
      <c r="C779" s="32">
        <v>2.2250000000000001</v>
      </c>
      <c r="D779" s="28">
        <v>4.1666666666666666E-3</v>
      </c>
    </row>
    <row r="780" spans="1:4" x14ac:dyDescent="0.25">
      <c r="A780" s="24" t="s">
        <v>72</v>
      </c>
      <c r="B780" s="24" t="s">
        <v>74</v>
      </c>
      <c r="C780" s="32">
        <v>5.0060000000000002</v>
      </c>
      <c r="D780" s="28">
        <v>8.3333333333333332E-3</v>
      </c>
    </row>
    <row r="781" spans="1:4" x14ac:dyDescent="0.25">
      <c r="A781" s="24" t="s">
        <v>72</v>
      </c>
      <c r="B781" s="24" t="s">
        <v>75</v>
      </c>
      <c r="C781" s="32">
        <v>5.9749999999999996</v>
      </c>
      <c r="D781" s="28">
        <v>7.6388888888888886E-3</v>
      </c>
    </row>
    <row r="782" spans="1:4" x14ac:dyDescent="0.25">
      <c r="A782" s="24" t="s">
        <v>72</v>
      </c>
      <c r="B782" s="24" t="s">
        <v>76</v>
      </c>
      <c r="C782" s="32">
        <v>8.7750000000000004</v>
      </c>
      <c r="D782" s="28">
        <v>1.1111111111111112E-2</v>
      </c>
    </row>
    <row r="783" spans="1:4" x14ac:dyDescent="0.25">
      <c r="A783" s="24" t="s">
        <v>72</v>
      </c>
      <c r="B783" s="24" t="s">
        <v>77</v>
      </c>
      <c r="C783" s="32">
        <v>8.2590000000000003</v>
      </c>
      <c r="D783" s="28">
        <v>8.3333333333333332E-3</v>
      </c>
    </row>
    <row r="784" spans="1:4" x14ac:dyDescent="0.25">
      <c r="A784" s="24" t="s">
        <v>72</v>
      </c>
      <c r="B784" s="24" t="s">
        <v>78</v>
      </c>
      <c r="C784" s="32">
        <v>4.8079999999999998</v>
      </c>
      <c r="D784" s="28">
        <v>6.9444444444444441E-3</v>
      </c>
    </row>
    <row r="785" spans="1:4" x14ac:dyDescent="0.25">
      <c r="A785" s="24" t="s">
        <v>72</v>
      </c>
      <c r="B785" s="24" t="s">
        <v>79</v>
      </c>
      <c r="C785" s="32">
        <v>24.731999999999999</v>
      </c>
      <c r="D785" s="28">
        <v>2.2916666666666669E-2</v>
      </c>
    </row>
    <row r="786" spans="1:4" x14ac:dyDescent="0.25">
      <c r="A786" s="24" t="s">
        <v>72</v>
      </c>
      <c r="B786" s="24" t="s">
        <v>80</v>
      </c>
      <c r="C786" s="32">
        <v>24</v>
      </c>
      <c r="D786" s="28">
        <v>2.2222222222222223E-2</v>
      </c>
    </row>
    <row r="787" spans="1:4" x14ac:dyDescent="0.25">
      <c r="A787" s="24" t="s">
        <v>72</v>
      </c>
      <c r="B787" s="24" t="s">
        <v>81</v>
      </c>
      <c r="C787" s="32">
        <v>28.521999999999998</v>
      </c>
      <c r="D787" s="28">
        <v>2.4305555555555556E-2</v>
      </c>
    </row>
    <row r="788" spans="1:4" x14ac:dyDescent="0.25">
      <c r="A788" s="24" t="s">
        <v>72</v>
      </c>
      <c r="B788" s="24" t="s">
        <v>82</v>
      </c>
      <c r="C788" s="32">
        <v>28.574000000000002</v>
      </c>
      <c r="D788" s="28">
        <v>2.4999999999999998E-2</v>
      </c>
    </row>
    <row r="789" spans="1:4" x14ac:dyDescent="0.25">
      <c r="A789" s="24" t="s">
        <v>72</v>
      </c>
      <c r="B789" s="24" t="s">
        <v>83</v>
      </c>
      <c r="C789" s="32">
        <v>10.093999999999999</v>
      </c>
      <c r="D789" s="28">
        <v>1.3888888888888888E-2</v>
      </c>
    </row>
    <row r="790" spans="1:4" x14ac:dyDescent="0.25">
      <c r="A790" s="24" t="s">
        <v>72</v>
      </c>
      <c r="B790" s="24" t="s">
        <v>84</v>
      </c>
      <c r="C790" s="32">
        <v>6.6159999999999997</v>
      </c>
      <c r="D790" s="28">
        <v>9.7222222222222224E-3</v>
      </c>
    </row>
    <row r="791" spans="1:4" x14ac:dyDescent="0.25">
      <c r="A791" s="24" t="s">
        <v>72</v>
      </c>
      <c r="B791" s="24" t="s">
        <v>85</v>
      </c>
      <c r="C791" s="32">
        <v>6.798</v>
      </c>
      <c r="D791" s="28">
        <v>1.0416666666666666E-2</v>
      </c>
    </row>
    <row r="792" spans="1:4" x14ac:dyDescent="0.25">
      <c r="A792" s="24" t="s">
        <v>72</v>
      </c>
      <c r="B792" s="24" t="s">
        <v>86</v>
      </c>
      <c r="C792" s="32">
        <v>8.7620000000000005</v>
      </c>
      <c r="D792" s="28">
        <v>1.2499999999999999E-2</v>
      </c>
    </row>
    <row r="793" spans="1:4" x14ac:dyDescent="0.25">
      <c r="A793" s="24" t="s">
        <v>72</v>
      </c>
      <c r="B793" s="24" t="s">
        <v>87</v>
      </c>
      <c r="C793" s="32">
        <v>8.9049999999999994</v>
      </c>
      <c r="D793" s="28">
        <v>1.2499999999999999E-2</v>
      </c>
    </row>
    <row r="794" spans="1:4" x14ac:dyDescent="0.25">
      <c r="A794" s="24" t="s">
        <v>72</v>
      </c>
      <c r="B794" s="24" t="s">
        <v>88</v>
      </c>
      <c r="C794" s="32">
        <v>10.256</v>
      </c>
      <c r="D794" s="28">
        <v>1.3888888888888888E-2</v>
      </c>
    </row>
    <row r="795" spans="1:4" x14ac:dyDescent="0.25">
      <c r="A795" s="24" t="s">
        <v>72</v>
      </c>
      <c r="B795" s="24" t="s">
        <v>89</v>
      </c>
      <c r="C795" s="32">
        <v>12.699</v>
      </c>
      <c r="D795" s="28">
        <v>1.8055555555555557E-2</v>
      </c>
    </row>
    <row r="796" spans="1:4" x14ac:dyDescent="0.25">
      <c r="A796" s="24" t="s">
        <v>72</v>
      </c>
      <c r="B796" s="24" t="s">
        <v>90</v>
      </c>
      <c r="C796" s="32">
        <v>24.024000000000001</v>
      </c>
      <c r="D796" s="28">
        <v>2.2916666666666669E-2</v>
      </c>
    </row>
    <row r="797" spans="1:4" x14ac:dyDescent="0.25">
      <c r="A797" s="24" t="s">
        <v>72</v>
      </c>
      <c r="B797" s="24" t="s">
        <v>91</v>
      </c>
      <c r="C797" s="32">
        <v>11.592000000000001</v>
      </c>
      <c r="D797" s="28">
        <v>1.6666666666666666E-2</v>
      </c>
    </row>
    <row r="798" spans="1:4" x14ac:dyDescent="0.25">
      <c r="A798" s="24" t="s">
        <v>72</v>
      </c>
      <c r="B798" s="24" t="s">
        <v>92</v>
      </c>
      <c r="C798" s="32">
        <v>22.076000000000001</v>
      </c>
      <c r="D798" s="28">
        <v>2.1527777777777781E-2</v>
      </c>
    </row>
    <row r="799" spans="1:4" x14ac:dyDescent="0.25">
      <c r="A799" s="24" t="s">
        <v>72</v>
      </c>
      <c r="B799" s="24" t="s">
        <v>93</v>
      </c>
      <c r="C799" s="32">
        <v>45.798000000000002</v>
      </c>
      <c r="D799" s="28">
        <v>3.4722222222222224E-2</v>
      </c>
    </row>
    <row r="800" spans="1:4" x14ac:dyDescent="0.25">
      <c r="A800" s="24" t="s">
        <v>72</v>
      </c>
      <c r="B800" s="24" t="s">
        <v>94</v>
      </c>
      <c r="C800" s="32">
        <v>46.427</v>
      </c>
      <c r="D800" s="28">
        <v>3.4722222222222224E-2</v>
      </c>
    </row>
    <row r="801" spans="1:4" x14ac:dyDescent="0.25">
      <c r="A801" s="24" t="s">
        <v>72</v>
      </c>
      <c r="B801" s="24" t="s">
        <v>95</v>
      </c>
      <c r="C801" s="32">
        <v>28.858000000000001</v>
      </c>
      <c r="D801" s="28">
        <v>2.5694444444444447E-2</v>
      </c>
    </row>
    <row r="802" spans="1:4" x14ac:dyDescent="0.25">
      <c r="A802" s="24" t="s">
        <v>72</v>
      </c>
      <c r="B802" s="24" t="s">
        <v>96</v>
      </c>
      <c r="C802" s="32">
        <v>19.241</v>
      </c>
      <c r="D802" s="28">
        <v>2.1527777777777781E-2</v>
      </c>
    </row>
    <row r="803" spans="1:4" x14ac:dyDescent="0.25">
      <c r="A803" s="24" t="s">
        <v>72</v>
      </c>
      <c r="B803" s="24" t="s">
        <v>97</v>
      </c>
      <c r="C803" s="32">
        <v>27.56</v>
      </c>
      <c r="D803" s="28">
        <v>2.7777777777777776E-2</v>
      </c>
    </row>
    <row r="804" spans="1:4" x14ac:dyDescent="0.25">
      <c r="A804" s="24" t="s">
        <v>72</v>
      </c>
      <c r="B804" s="24" t="s">
        <v>98</v>
      </c>
      <c r="C804" s="32">
        <v>26.196999999999999</v>
      </c>
      <c r="D804" s="28">
        <v>2.6388888888888889E-2</v>
      </c>
    </row>
    <row r="805" spans="1:4" x14ac:dyDescent="0.25">
      <c r="A805" s="24" t="s">
        <v>72</v>
      </c>
      <c r="B805" s="24" t="s">
        <v>99</v>
      </c>
      <c r="C805" s="32">
        <v>28.82</v>
      </c>
      <c r="D805" s="28">
        <v>2.9166666666666664E-2</v>
      </c>
    </row>
    <row r="806" spans="1:4" x14ac:dyDescent="0.25">
      <c r="A806" s="24" t="s">
        <v>72</v>
      </c>
      <c r="B806" s="24" t="s">
        <v>100</v>
      </c>
      <c r="C806" s="32">
        <v>29.015999999999998</v>
      </c>
      <c r="D806" s="28">
        <v>2.5694444444444447E-2</v>
      </c>
    </row>
    <row r="807" spans="1:4" x14ac:dyDescent="0.25">
      <c r="A807" s="24" t="s">
        <v>72</v>
      </c>
      <c r="B807" s="24" t="s">
        <v>101</v>
      </c>
      <c r="C807" s="32">
        <v>26.298999999999999</v>
      </c>
      <c r="D807" s="28">
        <v>2.7777777777777776E-2</v>
      </c>
    </row>
    <row r="808" spans="1:4" x14ac:dyDescent="0.25">
      <c r="A808" s="24" t="s">
        <v>72</v>
      </c>
      <c r="B808" s="24" t="s">
        <v>102</v>
      </c>
      <c r="C808" s="32">
        <v>25.725999999999999</v>
      </c>
      <c r="D808" s="28">
        <v>2.7083333333333334E-2</v>
      </c>
    </row>
    <row r="809" spans="1:4" x14ac:dyDescent="0.25">
      <c r="A809" s="24" t="s">
        <v>72</v>
      </c>
      <c r="B809" s="24" t="s">
        <v>103</v>
      </c>
      <c r="C809" s="32">
        <v>17.59</v>
      </c>
      <c r="D809" s="28">
        <v>1.9444444444444445E-2</v>
      </c>
    </row>
    <row r="810" spans="1:4" x14ac:dyDescent="0.25">
      <c r="A810" s="24" t="s">
        <v>72</v>
      </c>
      <c r="B810" s="24" t="s">
        <v>104</v>
      </c>
      <c r="C810" s="32">
        <v>20.97</v>
      </c>
      <c r="D810" s="28">
        <v>2.0833333333333332E-2</v>
      </c>
    </row>
    <row r="811" spans="1:4" x14ac:dyDescent="0.25">
      <c r="A811" s="24" t="s">
        <v>72</v>
      </c>
      <c r="B811" s="24" t="s">
        <v>105</v>
      </c>
      <c r="C811" s="32">
        <v>14.776999999999999</v>
      </c>
      <c r="D811" s="28">
        <v>2.2916666666666669E-2</v>
      </c>
    </row>
    <row r="812" spans="1:4" x14ac:dyDescent="0.25">
      <c r="A812" s="24" t="s">
        <v>72</v>
      </c>
      <c r="B812" s="24" t="s">
        <v>106</v>
      </c>
      <c r="C812" s="32">
        <v>14.146000000000001</v>
      </c>
      <c r="D812" s="28">
        <v>1.6666666666666666E-2</v>
      </c>
    </row>
    <row r="813" spans="1:4" x14ac:dyDescent="0.25">
      <c r="A813" s="24" t="s">
        <v>72</v>
      </c>
      <c r="B813" s="24" t="s">
        <v>107</v>
      </c>
      <c r="C813" s="32">
        <v>16.318999999999999</v>
      </c>
      <c r="D813" s="28">
        <v>1.8749999999999999E-2</v>
      </c>
    </row>
    <row r="814" spans="1:4" x14ac:dyDescent="0.25">
      <c r="A814" s="24" t="s">
        <v>72</v>
      </c>
      <c r="B814" s="24" t="s">
        <v>108</v>
      </c>
      <c r="C814" s="32">
        <v>14.705</v>
      </c>
      <c r="D814" s="28">
        <v>1.6666666666666666E-2</v>
      </c>
    </row>
    <row r="815" spans="1:4" x14ac:dyDescent="0.25">
      <c r="A815" s="24" t="s">
        <v>72</v>
      </c>
      <c r="B815" s="24" t="s">
        <v>109</v>
      </c>
      <c r="C815" s="32">
        <v>14.734999999999999</v>
      </c>
      <c r="D815" s="28">
        <v>1.6666666666666666E-2</v>
      </c>
    </row>
    <row r="816" spans="1:4" x14ac:dyDescent="0.25">
      <c r="A816" s="24" t="s">
        <v>72</v>
      </c>
      <c r="B816" s="24" t="s">
        <v>110</v>
      </c>
      <c r="C816" s="32">
        <v>13.965</v>
      </c>
      <c r="D816" s="28">
        <v>1.8055555555555557E-2</v>
      </c>
    </row>
    <row r="817" spans="1:4" x14ac:dyDescent="0.25">
      <c r="A817" s="24" t="s">
        <v>72</v>
      </c>
      <c r="B817" s="24" t="s">
        <v>111</v>
      </c>
      <c r="C817" s="32">
        <v>17.588000000000001</v>
      </c>
      <c r="D817" s="28">
        <v>1.8055555555555557E-2</v>
      </c>
    </row>
    <row r="818" spans="1:4" x14ac:dyDescent="0.25">
      <c r="A818" s="24" t="s">
        <v>72</v>
      </c>
      <c r="B818" s="24" t="s">
        <v>112</v>
      </c>
      <c r="C818" s="32">
        <v>24.731999999999999</v>
      </c>
      <c r="D818" s="28">
        <v>1.8055555555555557E-2</v>
      </c>
    </row>
    <row r="819" spans="1:4" x14ac:dyDescent="0.25">
      <c r="A819" s="24" t="s">
        <v>72</v>
      </c>
      <c r="B819" s="24" t="s">
        <v>113</v>
      </c>
      <c r="C819" s="32">
        <v>21.864999999999998</v>
      </c>
      <c r="D819" s="28">
        <v>1.6666666666666666E-2</v>
      </c>
    </row>
    <row r="820" spans="1:4" x14ac:dyDescent="0.25">
      <c r="A820" s="24" t="s">
        <v>72</v>
      </c>
      <c r="B820" s="24" t="s">
        <v>114</v>
      </c>
      <c r="C820" s="32">
        <v>27.067</v>
      </c>
      <c r="D820" s="28">
        <v>2.2916666666666669E-2</v>
      </c>
    </row>
    <row r="821" spans="1:4" x14ac:dyDescent="0.25">
      <c r="A821" s="24" t="s">
        <v>72</v>
      </c>
      <c r="B821" s="24" t="s">
        <v>115</v>
      </c>
      <c r="C821" s="32">
        <v>26.917999999999999</v>
      </c>
      <c r="D821" s="28">
        <v>2.361111111111111E-2</v>
      </c>
    </row>
    <row r="822" spans="1:4" x14ac:dyDescent="0.25">
      <c r="A822" s="24" t="s">
        <v>72</v>
      </c>
      <c r="B822" s="24" t="s">
        <v>116</v>
      </c>
      <c r="C822" s="32">
        <v>21.158000000000001</v>
      </c>
      <c r="D822" s="28">
        <v>2.1527777777777781E-2</v>
      </c>
    </row>
    <row r="823" spans="1:4" x14ac:dyDescent="0.25">
      <c r="A823" s="24" t="s">
        <v>72</v>
      </c>
      <c r="B823" s="24" t="s">
        <v>117</v>
      </c>
      <c r="C823" s="32">
        <v>28.361999999999998</v>
      </c>
      <c r="D823" s="28">
        <v>2.6388888888888889E-2</v>
      </c>
    </row>
    <row r="824" spans="1:4" x14ac:dyDescent="0.25">
      <c r="A824" s="24" t="s">
        <v>72</v>
      </c>
      <c r="B824" s="24" t="s">
        <v>118</v>
      </c>
      <c r="C824" s="32">
        <v>31.568999999999999</v>
      </c>
      <c r="D824" s="28">
        <v>2.1527777777777781E-2</v>
      </c>
    </row>
    <row r="825" spans="1:4" x14ac:dyDescent="0.25">
      <c r="A825" s="24" t="s">
        <v>72</v>
      </c>
      <c r="B825" s="24" t="s">
        <v>119</v>
      </c>
      <c r="C825" s="32">
        <v>36.226999999999997</v>
      </c>
      <c r="D825" s="28">
        <v>2.361111111111111E-2</v>
      </c>
    </row>
    <row r="826" spans="1:4" x14ac:dyDescent="0.25">
      <c r="A826" s="24" t="s">
        <v>72</v>
      </c>
      <c r="B826" s="24" t="s">
        <v>120</v>
      </c>
      <c r="C826" s="32">
        <v>39.017000000000003</v>
      </c>
      <c r="D826" s="28">
        <v>2.7083333333333334E-2</v>
      </c>
    </row>
    <row r="827" spans="1:4" x14ac:dyDescent="0.25">
      <c r="A827" s="24" t="s">
        <v>72</v>
      </c>
      <c r="B827" s="24" t="s">
        <v>121</v>
      </c>
      <c r="C827" s="32">
        <v>53.368000000000002</v>
      </c>
      <c r="D827" s="28">
        <v>3.4027777777777775E-2</v>
      </c>
    </row>
    <row r="828" spans="1:4" x14ac:dyDescent="0.25">
      <c r="A828" s="24" t="s">
        <v>72</v>
      </c>
      <c r="B828" s="24" t="s">
        <v>122</v>
      </c>
      <c r="C828" s="32">
        <v>51.822000000000003</v>
      </c>
      <c r="D828" s="28">
        <v>3.3333333333333333E-2</v>
      </c>
    </row>
    <row r="829" spans="1:4" x14ac:dyDescent="0.25">
      <c r="A829" s="24" t="s">
        <v>72</v>
      </c>
      <c r="B829" s="24" t="s">
        <v>123</v>
      </c>
      <c r="C829" s="32">
        <v>46.953000000000003</v>
      </c>
      <c r="D829" s="28">
        <v>3.0555555555555555E-2</v>
      </c>
    </row>
    <row r="830" spans="1:4" x14ac:dyDescent="0.25">
      <c r="A830" s="24" t="s">
        <v>72</v>
      </c>
      <c r="B830" s="24" t="s">
        <v>124</v>
      </c>
      <c r="C830" s="32">
        <v>46.953000000000003</v>
      </c>
      <c r="D830" s="28">
        <v>3.0555555555555555E-2</v>
      </c>
    </row>
    <row r="831" spans="1:4" x14ac:dyDescent="0.25">
      <c r="A831" s="24" t="s">
        <v>72</v>
      </c>
      <c r="B831" s="24" t="s">
        <v>125</v>
      </c>
      <c r="C831" s="32">
        <v>9.484</v>
      </c>
      <c r="D831" s="28">
        <v>1.3888888888888888E-2</v>
      </c>
    </row>
    <row r="832" spans="1:4" x14ac:dyDescent="0.25">
      <c r="A832" s="24" t="s">
        <v>72</v>
      </c>
      <c r="B832" s="24" t="s">
        <v>126</v>
      </c>
      <c r="C832" s="32">
        <v>9.2219999999999995</v>
      </c>
      <c r="D832" s="28">
        <v>1.3194444444444444E-2</v>
      </c>
    </row>
    <row r="833" spans="1:4" x14ac:dyDescent="0.25">
      <c r="A833" s="24" t="s">
        <v>72</v>
      </c>
      <c r="B833" s="24" t="s">
        <v>127</v>
      </c>
      <c r="C833" s="32">
        <v>9.9670000000000005</v>
      </c>
      <c r="D833" s="28">
        <v>1.3888888888888888E-2</v>
      </c>
    </row>
    <row r="834" spans="1:4" x14ac:dyDescent="0.25">
      <c r="A834" s="24" t="s">
        <v>72</v>
      </c>
      <c r="B834" s="24" t="s">
        <v>128</v>
      </c>
      <c r="C834" s="32">
        <v>10.113</v>
      </c>
      <c r="D834" s="28">
        <v>1.4583333333333332E-2</v>
      </c>
    </row>
    <row r="835" spans="1:4" x14ac:dyDescent="0.25">
      <c r="A835" s="24" t="s">
        <v>72</v>
      </c>
      <c r="B835" s="24" t="s">
        <v>129</v>
      </c>
      <c r="C835" s="32">
        <v>10.113</v>
      </c>
      <c r="D835" s="28">
        <v>1.4583333333333332E-2</v>
      </c>
    </row>
    <row r="836" spans="1:4" x14ac:dyDescent="0.25">
      <c r="A836" s="24" t="s">
        <v>72</v>
      </c>
      <c r="B836" s="24" t="s">
        <v>130</v>
      </c>
      <c r="C836" s="32">
        <v>9.8849999999999998</v>
      </c>
      <c r="D836" s="28">
        <v>1.4583333333333332E-2</v>
      </c>
    </row>
    <row r="837" spans="1:4" x14ac:dyDescent="0.25">
      <c r="A837" s="24" t="s">
        <v>72</v>
      </c>
      <c r="B837" s="24" t="s">
        <v>131</v>
      </c>
      <c r="C837" s="32">
        <v>12.356</v>
      </c>
      <c r="D837" s="28">
        <v>1.7361111111111112E-2</v>
      </c>
    </row>
    <row r="838" spans="1:4" x14ac:dyDescent="0.25">
      <c r="A838" s="24" t="s">
        <v>72</v>
      </c>
      <c r="B838" s="24" t="s">
        <v>132</v>
      </c>
      <c r="C838" s="32">
        <v>9.26</v>
      </c>
      <c r="D838" s="28">
        <v>1.2499999999999999E-2</v>
      </c>
    </row>
    <row r="839" spans="1:4" x14ac:dyDescent="0.25">
      <c r="A839" s="24" t="s">
        <v>72</v>
      </c>
      <c r="B839" s="24" t="s">
        <v>133</v>
      </c>
      <c r="C839" s="32">
        <v>10.102</v>
      </c>
      <c r="D839" s="28">
        <v>1.1805555555555555E-2</v>
      </c>
    </row>
    <row r="840" spans="1:4" x14ac:dyDescent="0.25">
      <c r="A840" s="24" t="s">
        <v>72</v>
      </c>
      <c r="B840" s="24" t="s">
        <v>134</v>
      </c>
      <c r="C840" s="32">
        <v>9.6359999999999992</v>
      </c>
      <c r="D840" s="28">
        <v>1.1111111111111112E-2</v>
      </c>
    </row>
    <row r="841" spans="1:4" x14ac:dyDescent="0.25">
      <c r="A841" s="24" t="s">
        <v>72</v>
      </c>
      <c r="B841" s="24" t="s">
        <v>135</v>
      </c>
      <c r="C841" s="32">
        <v>9.2759999999999998</v>
      </c>
      <c r="D841" s="28">
        <v>1.1111111111111112E-2</v>
      </c>
    </row>
    <row r="842" spans="1:4" x14ac:dyDescent="0.25">
      <c r="A842" s="24" t="s">
        <v>72</v>
      </c>
      <c r="B842" s="24" t="s">
        <v>136</v>
      </c>
      <c r="C842" s="32">
        <v>9.2759999999999998</v>
      </c>
      <c r="D842" s="28">
        <v>1.1111111111111112E-2</v>
      </c>
    </row>
    <row r="843" spans="1:4" x14ac:dyDescent="0.25">
      <c r="A843" s="24" t="s">
        <v>72</v>
      </c>
      <c r="B843" s="24" t="s">
        <v>137</v>
      </c>
      <c r="C843" s="32">
        <v>9.7889999999999997</v>
      </c>
      <c r="D843" s="28">
        <v>1.1805555555555555E-2</v>
      </c>
    </row>
    <row r="844" spans="1:4" x14ac:dyDescent="0.25">
      <c r="A844" s="24" t="s">
        <v>72</v>
      </c>
      <c r="B844" s="24" t="s">
        <v>138</v>
      </c>
      <c r="C844" s="32">
        <v>17.722999999999999</v>
      </c>
      <c r="D844" s="28">
        <v>1.3888888888888888E-2</v>
      </c>
    </row>
    <row r="845" spans="1:4" x14ac:dyDescent="0.25">
      <c r="A845" s="24" t="s">
        <v>72</v>
      </c>
      <c r="B845" s="24" t="s">
        <v>139</v>
      </c>
      <c r="C845" s="32">
        <v>14.771000000000001</v>
      </c>
      <c r="D845" s="28">
        <v>1.2499999999999999E-2</v>
      </c>
    </row>
    <row r="846" spans="1:4" x14ac:dyDescent="0.25">
      <c r="A846" s="24" t="s">
        <v>72</v>
      </c>
      <c r="B846" s="24" t="s">
        <v>140</v>
      </c>
      <c r="C846" s="32">
        <v>11.994</v>
      </c>
      <c r="D846" s="28">
        <v>9.7222222222222224E-3</v>
      </c>
    </row>
    <row r="847" spans="1:4" x14ac:dyDescent="0.25">
      <c r="A847" s="24" t="s">
        <v>72</v>
      </c>
      <c r="B847" s="24" t="s">
        <v>141</v>
      </c>
      <c r="C847" s="32">
        <v>39.481999999999999</v>
      </c>
      <c r="D847" s="28">
        <v>3.1944444444444449E-2</v>
      </c>
    </row>
    <row r="848" spans="1:4" x14ac:dyDescent="0.25">
      <c r="A848" s="24" t="s">
        <v>72</v>
      </c>
      <c r="B848" s="24" t="s">
        <v>142</v>
      </c>
      <c r="C848" s="32">
        <v>33.67</v>
      </c>
      <c r="D848" s="28">
        <v>2.361111111111111E-2</v>
      </c>
    </row>
    <row r="849" spans="1:4" x14ac:dyDescent="0.25">
      <c r="A849" s="24" t="s">
        <v>72</v>
      </c>
      <c r="B849" s="24" t="s">
        <v>143</v>
      </c>
      <c r="C849" s="32">
        <v>52.048000000000002</v>
      </c>
      <c r="D849" s="28">
        <v>3.0555555555555555E-2</v>
      </c>
    </row>
    <row r="850" spans="1:4" x14ac:dyDescent="0.25">
      <c r="A850" s="24" t="s">
        <v>72</v>
      </c>
      <c r="B850" s="24" t="s">
        <v>144</v>
      </c>
      <c r="C850" s="32">
        <v>71.164000000000001</v>
      </c>
      <c r="D850" s="28">
        <v>4.1666666666666664E-2</v>
      </c>
    </row>
    <row r="851" spans="1:4" x14ac:dyDescent="0.25">
      <c r="A851" s="24" t="s">
        <v>72</v>
      </c>
      <c r="B851" s="24" t="s">
        <v>145</v>
      </c>
      <c r="C851" s="32">
        <v>32.534999999999997</v>
      </c>
      <c r="D851" s="28">
        <v>2.2916666666666669E-2</v>
      </c>
    </row>
    <row r="852" spans="1:4" x14ac:dyDescent="0.25">
      <c r="A852" s="24" t="s">
        <v>72</v>
      </c>
      <c r="B852" s="24" t="s">
        <v>146</v>
      </c>
      <c r="C852" s="32">
        <v>38.942999999999998</v>
      </c>
      <c r="D852" s="28">
        <v>2.9861111111111113E-2</v>
      </c>
    </row>
    <row r="853" spans="1:4" x14ac:dyDescent="0.25">
      <c r="A853" s="24" t="s">
        <v>72</v>
      </c>
      <c r="B853" s="24" t="s">
        <v>147</v>
      </c>
      <c r="C853" s="32">
        <v>14.073</v>
      </c>
      <c r="D853" s="28">
        <v>1.5972222222222224E-2</v>
      </c>
    </row>
    <row r="854" spans="1:4" x14ac:dyDescent="0.25">
      <c r="A854" s="24" t="s">
        <v>72</v>
      </c>
      <c r="B854" s="24" t="s">
        <v>148</v>
      </c>
      <c r="C854" s="32">
        <v>12.15</v>
      </c>
      <c r="D854" s="28">
        <v>1.5972222222222224E-2</v>
      </c>
    </row>
    <row r="855" spans="1:4" x14ac:dyDescent="0.25">
      <c r="A855" s="24" t="s">
        <v>72</v>
      </c>
      <c r="B855" s="24" t="s">
        <v>149</v>
      </c>
      <c r="C855" s="32">
        <v>10.507</v>
      </c>
      <c r="D855" s="28">
        <v>1.3194444444444444E-2</v>
      </c>
    </row>
    <row r="856" spans="1:4" x14ac:dyDescent="0.25">
      <c r="A856" s="24" t="s">
        <v>72</v>
      </c>
      <c r="B856" s="24" t="s">
        <v>150</v>
      </c>
      <c r="C856" s="32">
        <v>16.757000000000001</v>
      </c>
      <c r="D856" s="28">
        <v>1.9444444444444445E-2</v>
      </c>
    </row>
    <row r="857" spans="1:4" x14ac:dyDescent="0.25">
      <c r="A857" s="24" t="s">
        <v>72</v>
      </c>
      <c r="B857" s="24" t="s">
        <v>151</v>
      </c>
      <c r="C857" s="32">
        <v>16.015000000000001</v>
      </c>
      <c r="D857" s="28">
        <v>1.8749999999999999E-2</v>
      </c>
    </row>
    <row r="858" spans="1:4" x14ac:dyDescent="0.25">
      <c r="A858" s="24" t="s">
        <v>72</v>
      </c>
      <c r="B858" s="24" t="s">
        <v>152</v>
      </c>
      <c r="C858" s="32">
        <v>20.66</v>
      </c>
      <c r="D858" s="28">
        <v>2.361111111111111E-2</v>
      </c>
    </row>
    <row r="859" spans="1:4" x14ac:dyDescent="0.25">
      <c r="A859" s="24" t="s">
        <v>72</v>
      </c>
      <c r="B859" s="24" t="s">
        <v>153</v>
      </c>
      <c r="C859" s="32">
        <v>25.614000000000001</v>
      </c>
      <c r="D859" s="28">
        <v>2.7777777777777776E-2</v>
      </c>
    </row>
    <row r="860" spans="1:4" x14ac:dyDescent="0.25">
      <c r="A860" s="24" t="s">
        <v>72</v>
      </c>
      <c r="B860" s="24" t="s">
        <v>154</v>
      </c>
      <c r="C860" s="32">
        <v>20.431999999999999</v>
      </c>
      <c r="D860" s="28">
        <v>2.2222222222222223E-2</v>
      </c>
    </row>
    <row r="861" spans="1:4" x14ac:dyDescent="0.25">
      <c r="A861" s="24" t="s">
        <v>72</v>
      </c>
      <c r="B861" s="24" t="s">
        <v>155</v>
      </c>
      <c r="C861" s="32">
        <v>16.076000000000001</v>
      </c>
      <c r="D861" s="28">
        <v>1.8749999999999999E-2</v>
      </c>
    </row>
    <row r="862" spans="1:4" x14ac:dyDescent="0.25">
      <c r="A862" s="24" t="s">
        <v>72</v>
      </c>
      <c r="B862" s="24" t="s">
        <v>156</v>
      </c>
      <c r="C862" s="32">
        <v>16.059999999999999</v>
      </c>
      <c r="D862" s="28">
        <v>1.8749999999999999E-2</v>
      </c>
    </row>
    <row r="863" spans="1:4" x14ac:dyDescent="0.25">
      <c r="A863" s="24" t="s">
        <v>72</v>
      </c>
      <c r="B863" s="24" t="s">
        <v>157</v>
      </c>
      <c r="C863" s="32">
        <v>30.959</v>
      </c>
      <c r="D863" s="28">
        <v>3.125E-2</v>
      </c>
    </row>
    <row r="864" spans="1:4" x14ac:dyDescent="0.25">
      <c r="A864" s="24" t="s">
        <v>72</v>
      </c>
      <c r="B864" s="24" t="s">
        <v>158</v>
      </c>
      <c r="C864" s="32">
        <v>41.423999999999999</v>
      </c>
      <c r="D864" s="28">
        <v>3.888888888888889E-2</v>
      </c>
    </row>
    <row r="865" spans="1:4" x14ac:dyDescent="0.25">
      <c r="A865" s="24" t="s">
        <v>72</v>
      </c>
      <c r="B865" s="24" t="s">
        <v>159</v>
      </c>
      <c r="C865" s="32">
        <v>46.89</v>
      </c>
      <c r="D865" s="28">
        <v>4.4444444444444446E-2</v>
      </c>
    </row>
    <row r="866" spans="1:4" x14ac:dyDescent="0.25">
      <c r="A866" s="24" t="s">
        <v>73</v>
      </c>
      <c r="B866" s="24" t="s">
        <v>65</v>
      </c>
      <c r="C866" s="32">
        <v>19.273</v>
      </c>
      <c r="D866" s="28">
        <v>1.8749999999999999E-2</v>
      </c>
    </row>
    <row r="867" spans="1:4" x14ac:dyDescent="0.25">
      <c r="A867" s="24" t="s">
        <v>73</v>
      </c>
      <c r="B867" s="24" t="s">
        <v>64</v>
      </c>
      <c r="C867" s="32">
        <v>5.0860000000000003</v>
      </c>
      <c r="D867" s="28">
        <v>9.7222222222222224E-3</v>
      </c>
    </row>
    <row r="868" spans="1:4" x14ac:dyDescent="0.25">
      <c r="A868" s="24" t="s">
        <v>73</v>
      </c>
      <c r="B868" s="24" t="s">
        <v>66</v>
      </c>
      <c r="C868" s="32">
        <v>5.9210000000000003</v>
      </c>
      <c r="D868" s="28">
        <v>7.6388888888888886E-3</v>
      </c>
    </row>
    <row r="869" spans="1:4" x14ac:dyDescent="0.25">
      <c r="A869" s="24" t="s">
        <v>73</v>
      </c>
      <c r="B869" s="24" t="s">
        <v>67</v>
      </c>
      <c r="C869" s="32">
        <v>2.0470000000000002</v>
      </c>
      <c r="D869" s="28">
        <v>3.472222222222222E-3</v>
      </c>
    </row>
    <row r="870" spans="1:4" x14ac:dyDescent="0.25">
      <c r="A870" s="24" t="s">
        <v>73</v>
      </c>
      <c r="B870" s="24" t="s">
        <v>68</v>
      </c>
      <c r="C870" s="32">
        <v>1.9670000000000001</v>
      </c>
      <c r="D870" s="28">
        <v>4.8611111111111112E-3</v>
      </c>
    </row>
    <row r="871" spans="1:4" x14ac:dyDescent="0.25">
      <c r="A871" s="24" t="s">
        <v>73</v>
      </c>
      <c r="B871" s="24" t="s">
        <v>69</v>
      </c>
      <c r="C871" s="32">
        <v>2.7669999999999999</v>
      </c>
      <c r="D871" s="28">
        <v>5.5555555555555558E-3</v>
      </c>
    </row>
    <row r="872" spans="1:4" x14ac:dyDescent="0.25">
      <c r="A872" s="24" t="s">
        <v>73</v>
      </c>
      <c r="B872" s="24" t="s">
        <v>70</v>
      </c>
      <c r="C872" s="32">
        <v>2.431</v>
      </c>
      <c r="D872" s="28">
        <v>4.8611111111111112E-3</v>
      </c>
    </row>
    <row r="873" spans="1:4" x14ac:dyDescent="0.25">
      <c r="A873" s="24" t="s">
        <v>73</v>
      </c>
      <c r="B873" s="24" t="s">
        <v>71</v>
      </c>
      <c r="C873" s="32">
        <v>1.552</v>
      </c>
      <c r="D873" s="28">
        <v>4.1666666666666666E-3</v>
      </c>
    </row>
    <row r="874" spans="1:4" x14ac:dyDescent="0.25">
      <c r="A874" s="24" t="s">
        <v>73</v>
      </c>
      <c r="B874" s="24" t="s">
        <v>72</v>
      </c>
      <c r="C874" s="32">
        <v>2.1749999999999998</v>
      </c>
      <c r="D874" s="28">
        <v>4.8611111111111112E-3</v>
      </c>
    </row>
    <row r="875" spans="1:4" x14ac:dyDescent="0.25">
      <c r="A875" s="24" t="s">
        <v>73</v>
      </c>
      <c r="B875" s="24" t="s">
        <v>73</v>
      </c>
      <c r="C875" s="32">
        <v>0</v>
      </c>
      <c r="D875" s="28">
        <v>0</v>
      </c>
    </row>
    <row r="876" spans="1:4" x14ac:dyDescent="0.25">
      <c r="A876" s="24" t="s">
        <v>73</v>
      </c>
      <c r="B876" s="24" t="s">
        <v>74</v>
      </c>
      <c r="C876" s="32">
        <v>7.266</v>
      </c>
      <c r="D876" s="28">
        <v>1.0416666666666666E-2</v>
      </c>
    </row>
    <row r="877" spans="1:4" x14ac:dyDescent="0.25">
      <c r="A877" s="24" t="s">
        <v>73</v>
      </c>
      <c r="B877" s="24" t="s">
        <v>75</v>
      </c>
      <c r="C877" s="32">
        <v>6.3019999999999996</v>
      </c>
      <c r="D877" s="28">
        <v>8.3333333333333332E-3</v>
      </c>
    </row>
    <row r="878" spans="1:4" x14ac:dyDescent="0.25">
      <c r="A878" s="24" t="s">
        <v>73</v>
      </c>
      <c r="B878" s="24" t="s">
        <v>76</v>
      </c>
      <c r="C878" s="32">
        <v>9.7140000000000004</v>
      </c>
      <c r="D878" s="28">
        <v>1.2499999999999999E-2</v>
      </c>
    </row>
    <row r="879" spans="1:4" x14ac:dyDescent="0.25">
      <c r="A879" s="24" t="s">
        <v>73</v>
      </c>
      <c r="B879" s="24" t="s">
        <v>77</v>
      </c>
      <c r="C879" s="32">
        <v>9.1980000000000004</v>
      </c>
      <c r="D879" s="28">
        <v>1.0416666666666666E-2</v>
      </c>
    </row>
    <row r="880" spans="1:4" x14ac:dyDescent="0.25">
      <c r="A880" s="24" t="s">
        <v>73</v>
      </c>
      <c r="B880" s="24" t="s">
        <v>78</v>
      </c>
      <c r="C880" s="32">
        <v>5.0330000000000004</v>
      </c>
      <c r="D880" s="28">
        <v>9.0277777777777787E-3</v>
      </c>
    </row>
    <row r="881" spans="1:4" x14ac:dyDescent="0.25">
      <c r="A881" s="24" t="s">
        <v>73</v>
      </c>
      <c r="B881" s="24" t="s">
        <v>79</v>
      </c>
      <c r="C881" s="32">
        <v>25.670999999999999</v>
      </c>
      <c r="D881" s="28">
        <v>2.4305555555555556E-2</v>
      </c>
    </row>
    <row r="882" spans="1:4" x14ac:dyDescent="0.25">
      <c r="A882" s="24" t="s">
        <v>73</v>
      </c>
      <c r="B882" s="24" t="s">
        <v>80</v>
      </c>
      <c r="C882" s="32">
        <v>22.497</v>
      </c>
      <c r="D882" s="28">
        <v>2.0833333333333332E-2</v>
      </c>
    </row>
    <row r="883" spans="1:4" x14ac:dyDescent="0.25">
      <c r="A883" s="24" t="s">
        <v>73</v>
      </c>
      <c r="B883" s="24" t="s">
        <v>81</v>
      </c>
      <c r="C883" s="32">
        <v>27.018999999999998</v>
      </c>
      <c r="D883" s="28">
        <v>2.2916666666666669E-2</v>
      </c>
    </row>
    <row r="884" spans="1:4" x14ac:dyDescent="0.25">
      <c r="A884" s="24" t="s">
        <v>73</v>
      </c>
      <c r="B884" s="24" t="s">
        <v>82</v>
      </c>
      <c r="C884" s="32">
        <v>27.071000000000002</v>
      </c>
      <c r="D884" s="28">
        <v>2.2916666666666669E-2</v>
      </c>
    </row>
    <row r="885" spans="1:4" x14ac:dyDescent="0.25">
      <c r="A885" s="24" t="s">
        <v>73</v>
      </c>
      <c r="B885" s="24" t="s">
        <v>83</v>
      </c>
      <c r="C885" s="32">
        <v>8.4849999999999994</v>
      </c>
      <c r="D885" s="28">
        <v>1.3194444444444444E-2</v>
      </c>
    </row>
    <row r="886" spans="1:4" x14ac:dyDescent="0.25">
      <c r="A886" s="24" t="s">
        <v>73</v>
      </c>
      <c r="B886" s="24" t="s">
        <v>84</v>
      </c>
      <c r="C886" s="32">
        <v>6.9429999999999996</v>
      </c>
      <c r="D886" s="28">
        <v>1.0416666666666666E-2</v>
      </c>
    </row>
    <row r="887" spans="1:4" x14ac:dyDescent="0.25">
      <c r="A887" s="24" t="s">
        <v>73</v>
      </c>
      <c r="B887" s="24" t="s">
        <v>85</v>
      </c>
      <c r="C887" s="32">
        <v>7.125</v>
      </c>
      <c r="D887" s="28">
        <v>1.1111111111111112E-2</v>
      </c>
    </row>
    <row r="888" spans="1:4" x14ac:dyDescent="0.25">
      <c r="A888" s="24" t="s">
        <v>73</v>
      </c>
      <c r="B888" s="24" t="s">
        <v>86</v>
      </c>
      <c r="C888" s="32">
        <v>8.0129999999999999</v>
      </c>
      <c r="D888" s="28">
        <v>1.2499999999999999E-2</v>
      </c>
    </row>
    <row r="889" spans="1:4" x14ac:dyDescent="0.25">
      <c r="A889" s="24" t="s">
        <v>73</v>
      </c>
      <c r="B889" s="24" t="s">
        <v>87</v>
      </c>
      <c r="C889" s="32">
        <v>8.1560000000000006</v>
      </c>
      <c r="D889" s="28">
        <v>1.3194444444444444E-2</v>
      </c>
    </row>
    <row r="890" spans="1:4" x14ac:dyDescent="0.25">
      <c r="A890" s="24" t="s">
        <v>73</v>
      </c>
      <c r="B890" s="24" t="s">
        <v>88</v>
      </c>
      <c r="C890" s="32">
        <v>9.5069999999999997</v>
      </c>
      <c r="D890" s="28">
        <v>1.4583333333333332E-2</v>
      </c>
    </row>
    <row r="891" spans="1:4" x14ac:dyDescent="0.25">
      <c r="A891" s="24" t="s">
        <v>73</v>
      </c>
      <c r="B891" s="24" t="s">
        <v>89</v>
      </c>
      <c r="C891" s="32">
        <v>11.95</v>
      </c>
      <c r="D891" s="28">
        <v>1.8055555555555557E-2</v>
      </c>
    </row>
    <row r="892" spans="1:4" x14ac:dyDescent="0.25">
      <c r="A892" s="24" t="s">
        <v>73</v>
      </c>
      <c r="B892" s="24" t="s">
        <v>90</v>
      </c>
      <c r="C892" s="32">
        <v>22.521000000000001</v>
      </c>
      <c r="D892" s="28">
        <v>2.0833333333333332E-2</v>
      </c>
    </row>
    <row r="893" spans="1:4" x14ac:dyDescent="0.25">
      <c r="A893" s="24" t="s">
        <v>73</v>
      </c>
      <c r="B893" s="24" t="s">
        <v>91</v>
      </c>
      <c r="C893" s="32">
        <v>10.843</v>
      </c>
      <c r="D893" s="28">
        <v>1.6666666666666666E-2</v>
      </c>
    </row>
    <row r="894" spans="1:4" x14ac:dyDescent="0.25">
      <c r="A894" s="24" t="s">
        <v>73</v>
      </c>
      <c r="B894" s="24" t="s">
        <v>92</v>
      </c>
      <c r="C894" s="32">
        <v>20.573</v>
      </c>
      <c r="D894" s="28">
        <v>2.013888888888889E-2</v>
      </c>
    </row>
    <row r="895" spans="1:4" x14ac:dyDescent="0.25">
      <c r="A895" s="24" t="s">
        <v>73</v>
      </c>
      <c r="B895" s="24" t="s">
        <v>93</v>
      </c>
      <c r="C895" s="32">
        <v>44.295000000000002</v>
      </c>
      <c r="D895" s="28">
        <v>3.2638888888888891E-2</v>
      </c>
    </row>
    <row r="896" spans="1:4" x14ac:dyDescent="0.25">
      <c r="A896" s="24" t="s">
        <v>73</v>
      </c>
      <c r="B896" s="24" t="s">
        <v>94</v>
      </c>
      <c r="C896" s="32">
        <v>44.923999999999999</v>
      </c>
      <c r="D896" s="28">
        <v>3.3333333333333333E-2</v>
      </c>
    </row>
    <row r="897" spans="1:4" x14ac:dyDescent="0.25">
      <c r="A897" s="24" t="s">
        <v>73</v>
      </c>
      <c r="B897" s="24" t="s">
        <v>95</v>
      </c>
      <c r="C897" s="32">
        <v>27.355</v>
      </c>
      <c r="D897" s="28">
        <v>2.4305555555555556E-2</v>
      </c>
    </row>
    <row r="898" spans="1:4" x14ac:dyDescent="0.25">
      <c r="A898" s="24" t="s">
        <v>73</v>
      </c>
      <c r="B898" s="24" t="s">
        <v>96</v>
      </c>
      <c r="C898" s="32">
        <v>18.829000000000001</v>
      </c>
      <c r="D898" s="28">
        <v>2.0833333333333332E-2</v>
      </c>
    </row>
    <row r="899" spans="1:4" x14ac:dyDescent="0.25">
      <c r="A899" s="24" t="s">
        <v>73</v>
      </c>
      <c r="B899" s="24" t="s">
        <v>97</v>
      </c>
      <c r="C899" s="32">
        <v>27.148</v>
      </c>
      <c r="D899" s="28">
        <v>2.7083333333333334E-2</v>
      </c>
    </row>
    <row r="900" spans="1:4" x14ac:dyDescent="0.25">
      <c r="A900" s="24" t="s">
        <v>73</v>
      </c>
      <c r="B900" s="24" t="s">
        <v>98</v>
      </c>
      <c r="C900" s="32">
        <v>25.616</v>
      </c>
      <c r="D900" s="28">
        <v>2.4999999999999998E-2</v>
      </c>
    </row>
    <row r="901" spans="1:4" x14ac:dyDescent="0.25">
      <c r="A901" s="24" t="s">
        <v>73</v>
      </c>
      <c r="B901" s="24" t="s">
        <v>99</v>
      </c>
      <c r="C901" s="32">
        <v>28.600999999999999</v>
      </c>
      <c r="D901" s="28">
        <v>2.8472222222222222E-2</v>
      </c>
    </row>
    <row r="902" spans="1:4" x14ac:dyDescent="0.25">
      <c r="A902" s="24" t="s">
        <v>73</v>
      </c>
      <c r="B902" s="24" t="s">
        <v>100</v>
      </c>
      <c r="C902" s="32">
        <v>27.513000000000002</v>
      </c>
      <c r="D902" s="28">
        <v>2.4305555555555556E-2</v>
      </c>
    </row>
    <row r="903" spans="1:4" x14ac:dyDescent="0.25">
      <c r="A903" s="24" t="s">
        <v>73</v>
      </c>
      <c r="B903" s="24" t="s">
        <v>101</v>
      </c>
      <c r="C903" s="32">
        <v>25.718</v>
      </c>
      <c r="D903" s="28">
        <v>2.6388888888888889E-2</v>
      </c>
    </row>
    <row r="904" spans="1:4" x14ac:dyDescent="0.25">
      <c r="A904" s="24" t="s">
        <v>73</v>
      </c>
      <c r="B904" s="24" t="s">
        <v>102</v>
      </c>
      <c r="C904" s="32">
        <v>25.145</v>
      </c>
      <c r="D904" s="28">
        <v>2.5694444444444447E-2</v>
      </c>
    </row>
    <row r="905" spans="1:4" x14ac:dyDescent="0.25">
      <c r="A905" s="24" t="s">
        <v>73</v>
      </c>
      <c r="B905" s="24" t="s">
        <v>103</v>
      </c>
      <c r="C905" s="32">
        <v>16.087</v>
      </c>
      <c r="D905" s="28">
        <v>1.8055555555555557E-2</v>
      </c>
    </row>
    <row r="906" spans="1:4" x14ac:dyDescent="0.25">
      <c r="A906" s="24" t="s">
        <v>73</v>
      </c>
      <c r="B906" s="24" t="s">
        <v>104</v>
      </c>
      <c r="C906" s="32">
        <v>19.466999999999999</v>
      </c>
      <c r="D906" s="28">
        <v>1.9444444444444445E-2</v>
      </c>
    </row>
    <row r="907" spans="1:4" x14ac:dyDescent="0.25">
      <c r="A907" s="24" t="s">
        <v>73</v>
      </c>
      <c r="B907" s="24" t="s">
        <v>105</v>
      </c>
      <c r="C907" s="32">
        <v>17.898</v>
      </c>
      <c r="D907" s="28">
        <v>2.1527777777777781E-2</v>
      </c>
    </row>
    <row r="908" spans="1:4" x14ac:dyDescent="0.25">
      <c r="A908" s="24" t="s">
        <v>73</v>
      </c>
      <c r="B908" s="24" t="s">
        <v>106</v>
      </c>
      <c r="C908" s="32">
        <v>12.643000000000001</v>
      </c>
      <c r="D908" s="28">
        <v>1.5277777777777777E-2</v>
      </c>
    </row>
    <row r="909" spans="1:4" x14ac:dyDescent="0.25">
      <c r="A909" s="24" t="s">
        <v>73</v>
      </c>
      <c r="B909" s="24" t="s">
        <v>107</v>
      </c>
      <c r="C909" s="32">
        <v>16.646000000000001</v>
      </c>
      <c r="D909" s="28">
        <v>1.9444444444444445E-2</v>
      </c>
    </row>
    <row r="910" spans="1:4" x14ac:dyDescent="0.25">
      <c r="A910" s="24" t="s">
        <v>73</v>
      </c>
      <c r="B910" s="24" t="s">
        <v>108</v>
      </c>
      <c r="C910" s="32">
        <v>15.032</v>
      </c>
      <c r="D910" s="28">
        <v>1.7361111111111112E-2</v>
      </c>
    </row>
    <row r="911" spans="1:4" x14ac:dyDescent="0.25">
      <c r="A911" s="24" t="s">
        <v>73</v>
      </c>
      <c r="B911" s="24" t="s">
        <v>109</v>
      </c>
      <c r="C911" s="32">
        <v>15.061999999999999</v>
      </c>
      <c r="D911" s="28">
        <v>1.7361111111111112E-2</v>
      </c>
    </row>
    <row r="912" spans="1:4" x14ac:dyDescent="0.25">
      <c r="A912" s="24" t="s">
        <v>73</v>
      </c>
      <c r="B912" s="24" t="s">
        <v>110</v>
      </c>
      <c r="C912" s="32">
        <v>13.013999999999999</v>
      </c>
      <c r="D912" s="28">
        <v>1.7361111111111112E-2</v>
      </c>
    </row>
    <row r="913" spans="1:4" x14ac:dyDescent="0.25">
      <c r="A913" s="24" t="s">
        <v>73</v>
      </c>
      <c r="B913" s="24" t="s">
        <v>111</v>
      </c>
      <c r="C913" s="32">
        <v>16.085000000000001</v>
      </c>
      <c r="D913" s="28">
        <v>1.6666666666666666E-2</v>
      </c>
    </row>
    <row r="914" spans="1:4" x14ac:dyDescent="0.25">
      <c r="A914" s="24" t="s">
        <v>73</v>
      </c>
      <c r="B914" s="24" t="s">
        <v>112</v>
      </c>
      <c r="C914" s="32">
        <v>25.670999999999999</v>
      </c>
      <c r="D914" s="28">
        <v>2.013888888888889E-2</v>
      </c>
    </row>
    <row r="915" spans="1:4" x14ac:dyDescent="0.25">
      <c r="A915" s="24" t="s">
        <v>73</v>
      </c>
      <c r="B915" s="24" t="s">
        <v>113</v>
      </c>
      <c r="C915" s="32">
        <v>22.803999999999998</v>
      </c>
      <c r="D915" s="28">
        <v>1.8055555555555557E-2</v>
      </c>
    </row>
    <row r="916" spans="1:4" x14ac:dyDescent="0.25">
      <c r="A916" s="24" t="s">
        <v>73</v>
      </c>
      <c r="B916" s="24" t="s">
        <v>114</v>
      </c>
      <c r="C916" s="32">
        <v>25.564</v>
      </c>
      <c r="D916" s="28">
        <v>2.1527777777777781E-2</v>
      </c>
    </row>
    <row r="917" spans="1:4" x14ac:dyDescent="0.25">
      <c r="A917" s="24" t="s">
        <v>73</v>
      </c>
      <c r="B917" s="24" t="s">
        <v>115</v>
      </c>
      <c r="C917" s="32">
        <v>25.414999999999999</v>
      </c>
      <c r="D917" s="28">
        <v>2.2222222222222223E-2</v>
      </c>
    </row>
    <row r="918" spans="1:4" x14ac:dyDescent="0.25">
      <c r="A918" s="24" t="s">
        <v>73</v>
      </c>
      <c r="B918" s="24" t="s">
        <v>116</v>
      </c>
      <c r="C918" s="32">
        <v>19.655000000000001</v>
      </c>
      <c r="D918" s="28">
        <v>2.013888888888889E-2</v>
      </c>
    </row>
    <row r="919" spans="1:4" x14ac:dyDescent="0.25">
      <c r="A919" s="24" t="s">
        <v>73</v>
      </c>
      <c r="B919" s="24" t="s">
        <v>117</v>
      </c>
      <c r="C919" s="32">
        <v>26.859000000000002</v>
      </c>
      <c r="D919" s="28">
        <v>2.4999999999999998E-2</v>
      </c>
    </row>
    <row r="920" spans="1:4" x14ac:dyDescent="0.25">
      <c r="A920" s="24" t="s">
        <v>73</v>
      </c>
      <c r="B920" s="24" t="s">
        <v>118</v>
      </c>
      <c r="C920" s="32">
        <v>32.508000000000003</v>
      </c>
      <c r="D920" s="28">
        <v>2.361111111111111E-2</v>
      </c>
    </row>
    <row r="921" spans="1:4" x14ac:dyDescent="0.25">
      <c r="A921" s="24" t="s">
        <v>73</v>
      </c>
      <c r="B921" s="24" t="s">
        <v>119</v>
      </c>
      <c r="C921" s="32">
        <v>37.165999999999997</v>
      </c>
      <c r="D921" s="28">
        <v>2.5694444444444447E-2</v>
      </c>
    </row>
    <row r="922" spans="1:4" x14ac:dyDescent="0.25">
      <c r="A922" s="24" t="s">
        <v>73</v>
      </c>
      <c r="B922" s="24" t="s">
        <v>120</v>
      </c>
      <c r="C922" s="32">
        <v>39.956000000000003</v>
      </c>
      <c r="D922" s="28">
        <v>2.9166666666666664E-2</v>
      </c>
    </row>
    <row r="923" spans="1:4" x14ac:dyDescent="0.25">
      <c r="A923" s="24" t="s">
        <v>73</v>
      </c>
      <c r="B923" s="24" t="s">
        <v>121</v>
      </c>
      <c r="C923" s="32">
        <v>54.307000000000002</v>
      </c>
      <c r="D923" s="28">
        <v>3.6111111111111115E-2</v>
      </c>
    </row>
    <row r="924" spans="1:4" x14ac:dyDescent="0.25">
      <c r="A924" s="24" t="s">
        <v>73</v>
      </c>
      <c r="B924" s="24" t="s">
        <v>122</v>
      </c>
      <c r="C924" s="32">
        <v>43.165999999999997</v>
      </c>
      <c r="D924" s="28">
        <v>3.1944444444444449E-2</v>
      </c>
    </row>
    <row r="925" spans="1:4" x14ac:dyDescent="0.25">
      <c r="A925" s="24" t="s">
        <v>73</v>
      </c>
      <c r="B925" s="24" t="s">
        <v>123</v>
      </c>
      <c r="C925" s="32">
        <v>46.146999999999998</v>
      </c>
      <c r="D925" s="28">
        <v>3.2638888888888891E-2</v>
      </c>
    </row>
    <row r="926" spans="1:4" x14ac:dyDescent="0.25">
      <c r="A926" s="24" t="s">
        <v>73</v>
      </c>
      <c r="B926" s="24" t="s">
        <v>124</v>
      </c>
      <c r="C926" s="32">
        <v>46.146999999999998</v>
      </c>
      <c r="D926" s="28">
        <v>3.2638888888888891E-2</v>
      </c>
    </row>
    <row r="927" spans="1:4" x14ac:dyDescent="0.25">
      <c r="A927" s="24" t="s">
        <v>73</v>
      </c>
      <c r="B927" s="24" t="s">
        <v>125</v>
      </c>
      <c r="C927" s="32">
        <v>8.9120000000000008</v>
      </c>
      <c r="D927" s="28">
        <v>1.3888888888888888E-2</v>
      </c>
    </row>
    <row r="928" spans="1:4" x14ac:dyDescent="0.25">
      <c r="A928" s="24" t="s">
        <v>73</v>
      </c>
      <c r="B928" s="24" t="s">
        <v>126</v>
      </c>
      <c r="C928" s="32">
        <v>8.65</v>
      </c>
      <c r="D928" s="28">
        <v>1.3194444444444444E-2</v>
      </c>
    </row>
    <row r="929" spans="1:4" x14ac:dyDescent="0.25">
      <c r="A929" s="24" t="s">
        <v>73</v>
      </c>
      <c r="B929" s="24" t="s">
        <v>127</v>
      </c>
      <c r="C929" s="32">
        <v>9.3949999999999996</v>
      </c>
      <c r="D929" s="28">
        <v>1.3888888888888888E-2</v>
      </c>
    </row>
    <row r="930" spans="1:4" x14ac:dyDescent="0.25">
      <c r="A930" s="24" t="s">
        <v>73</v>
      </c>
      <c r="B930" s="24" t="s">
        <v>128</v>
      </c>
      <c r="C930" s="32">
        <v>8.61</v>
      </c>
      <c r="D930" s="28">
        <v>1.3194444444444444E-2</v>
      </c>
    </row>
    <row r="931" spans="1:4" x14ac:dyDescent="0.25">
      <c r="A931" s="24" t="s">
        <v>73</v>
      </c>
      <c r="B931" s="24" t="s">
        <v>129</v>
      </c>
      <c r="C931" s="32">
        <v>8.61</v>
      </c>
      <c r="D931" s="28">
        <v>1.3194444444444444E-2</v>
      </c>
    </row>
    <row r="932" spans="1:4" x14ac:dyDescent="0.25">
      <c r="A932" s="24" t="s">
        <v>73</v>
      </c>
      <c r="B932" s="24" t="s">
        <v>130</v>
      </c>
      <c r="C932" s="32">
        <v>9.3130000000000006</v>
      </c>
      <c r="D932" s="28">
        <v>1.4583333333333332E-2</v>
      </c>
    </row>
    <row r="933" spans="1:4" x14ac:dyDescent="0.25">
      <c r="A933" s="24" t="s">
        <v>73</v>
      </c>
      <c r="B933" s="24" t="s">
        <v>131</v>
      </c>
      <c r="C933" s="32">
        <v>11.784000000000001</v>
      </c>
      <c r="D933" s="28">
        <v>1.7361111111111112E-2</v>
      </c>
    </row>
    <row r="934" spans="1:4" x14ac:dyDescent="0.25">
      <c r="A934" s="24" t="s">
        <v>73</v>
      </c>
      <c r="B934" s="24" t="s">
        <v>132</v>
      </c>
      <c r="C934" s="32">
        <v>9.4280000000000008</v>
      </c>
      <c r="D934" s="28">
        <v>1.2499999999999999E-2</v>
      </c>
    </row>
    <row r="935" spans="1:4" x14ac:dyDescent="0.25">
      <c r="A935" s="24" t="s">
        <v>73</v>
      </c>
      <c r="B935" s="24" t="s">
        <v>133</v>
      </c>
      <c r="C935" s="32">
        <v>10.429</v>
      </c>
      <c r="D935" s="28">
        <v>1.3194444444444444E-2</v>
      </c>
    </row>
    <row r="936" spans="1:4" x14ac:dyDescent="0.25">
      <c r="A936" s="24" t="s">
        <v>73</v>
      </c>
      <c r="B936" s="24" t="s">
        <v>134</v>
      </c>
      <c r="C936" s="32">
        <v>9.9629999999999992</v>
      </c>
      <c r="D936" s="28">
        <v>1.1805555555555555E-2</v>
      </c>
    </row>
    <row r="937" spans="1:4" x14ac:dyDescent="0.25">
      <c r="A937" s="24" t="s">
        <v>73</v>
      </c>
      <c r="B937" s="24" t="s">
        <v>135</v>
      </c>
      <c r="C937" s="32">
        <v>10.215</v>
      </c>
      <c r="D937" s="28">
        <v>1.2499999999999999E-2</v>
      </c>
    </row>
    <row r="938" spans="1:4" x14ac:dyDescent="0.25">
      <c r="A938" s="24" t="s">
        <v>73</v>
      </c>
      <c r="B938" s="24" t="s">
        <v>136</v>
      </c>
      <c r="C938" s="32">
        <v>10.215</v>
      </c>
      <c r="D938" s="28">
        <v>1.2499999999999999E-2</v>
      </c>
    </row>
    <row r="939" spans="1:4" x14ac:dyDescent="0.25">
      <c r="A939" s="24" t="s">
        <v>73</v>
      </c>
      <c r="B939" s="24" t="s">
        <v>137</v>
      </c>
      <c r="C939" s="32">
        <v>10.116</v>
      </c>
      <c r="D939" s="28">
        <v>1.2499999999999999E-2</v>
      </c>
    </row>
    <row r="940" spans="1:4" x14ac:dyDescent="0.25">
      <c r="A940" s="24" t="s">
        <v>73</v>
      </c>
      <c r="B940" s="24" t="s">
        <v>138</v>
      </c>
      <c r="C940" s="32">
        <v>18.661999999999999</v>
      </c>
      <c r="D940" s="28">
        <v>1.5277777777777777E-2</v>
      </c>
    </row>
    <row r="941" spans="1:4" x14ac:dyDescent="0.25">
      <c r="A941" s="24" t="s">
        <v>73</v>
      </c>
      <c r="B941" s="24" t="s">
        <v>139</v>
      </c>
      <c r="C941" s="32">
        <v>15.71</v>
      </c>
      <c r="D941" s="28">
        <v>1.3888888888888888E-2</v>
      </c>
    </row>
    <row r="942" spans="1:4" x14ac:dyDescent="0.25">
      <c r="A942" s="24" t="s">
        <v>73</v>
      </c>
      <c r="B942" s="24" t="s">
        <v>140</v>
      </c>
      <c r="C942" s="32">
        <v>12.933</v>
      </c>
      <c r="D942" s="28">
        <v>1.1805555555555555E-2</v>
      </c>
    </row>
    <row r="943" spans="1:4" x14ac:dyDescent="0.25">
      <c r="A943" s="24" t="s">
        <v>73</v>
      </c>
      <c r="B943" s="24" t="s">
        <v>141</v>
      </c>
      <c r="C943" s="32">
        <v>40.420999999999999</v>
      </c>
      <c r="D943" s="28">
        <v>3.3333333333333333E-2</v>
      </c>
    </row>
    <row r="944" spans="1:4" x14ac:dyDescent="0.25">
      <c r="A944" s="24" t="s">
        <v>73</v>
      </c>
      <c r="B944" s="24" t="s">
        <v>142</v>
      </c>
      <c r="C944" s="32">
        <v>34.609000000000002</v>
      </c>
      <c r="D944" s="28">
        <v>2.4999999999999998E-2</v>
      </c>
    </row>
    <row r="945" spans="1:4" x14ac:dyDescent="0.25">
      <c r="A945" s="24" t="s">
        <v>73</v>
      </c>
      <c r="B945" s="24" t="s">
        <v>143</v>
      </c>
      <c r="C945" s="32">
        <v>52.987000000000002</v>
      </c>
      <c r="D945" s="28">
        <v>3.2638888888888891E-2</v>
      </c>
    </row>
    <row r="946" spans="1:4" x14ac:dyDescent="0.25">
      <c r="A946" s="24" t="s">
        <v>73</v>
      </c>
      <c r="B946" s="24" t="s">
        <v>144</v>
      </c>
      <c r="C946" s="32">
        <v>72.102999999999994</v>
      </c>
      <c r="D946" s="28">
        <v>4.3055555555555562E-2</v>
      </c>
    </row>
    <row r="947" spans="1:4" x14ac:dyDescent="0.25">
      <c r="A947" s="24" t="s">
        <v>73</v>
      </c>
      <c r="B947" s="24" t="s">
        <v>145</v>
      </c>
      <c r="C947" s="32">
        <v>31.285</v>
      </c>
      <c r="D947" s="28">
        <v>2.4305555555555556E-2</v>
      </c>
    </row>
    <row r="948" spans="1:4" x14ac:dyDescent="0.25">
      <c r="A948" s="24" t="s">
        <v>73</v>
      </c>
      <c r="B948" s="24" t="s">
        <v>146</v>
      </c>
      <c r="C948" s="32">
        <v>39.881999999999998</v>
      </c>
      <c r="D948" s="28">
        <v>3.1944444444444449E-2</v>
      </c>
    </row>
    <row r="949" spans="1:4" x14ac:dyDescent="0.25">
      <c r="A949" s="24" t="s">
        <v>73</v>
      </c>
      <c r="B949" s="24" t="s">
        <v>147</v>
      </c>
      <c r="C949" s="32">
        <v>12.57</v>
      </c>
      <c r="D949" s="28">
        <v>1.4583333333333332E-2</v>
      </c>
    </row>
    <row r="950" spans="1:4" x14ac:dyDescent="0.25">
      <c r="A950" s="24" t="s">
        <v>73</v>
      </c>
      <c r="B950" s="24" t="s">
        <v>148</v>
      </c>
      <c r="C950" s="32">
        <v>10.647</v>
      </c>
      <c r="D950" s="28">
        <v>1.4583333333333332E-2</v>
      </c>
    </row>
    <row r="951" spans="1:4" x14ac:dyDescent="0.25">
      <c r="A951" s="24" t="s">
        <v>73</v>
      </c>
      <c r="B951" s="24" t="s">
        <v>149</v>
      </c>
      <c r="C951" s="32">
        <v>10.675000000000001</v>
      </c>
      <c r="D951" s="28">
        <v>1.3888888888888888E-2</v>
      </c>
    </row>
    <row r="952" spans="1:4" x14ac:dyDescent="0.25">
      <c r="A952" s="24" t="s">
        <v>73</v>
      </c>
      <c r="B952" s="24" t="s">
        <v>150</v>
      </c>
      <c r="C952" s="32">
        <v>16.925000000000001</v>
      </c>
      <c r="D952" s="28">
        <v>1.9444444444444445E-2</v>
      </c>
    </row>
    <row r="953" spans="1:4" x14ac:dyDescent="0.25">
      <c r="A953" s="24" t="s">
        <v>73</v>
      </c>
      <c r="B953" s="24" t="s">
        <v>151</v>
      </c>
      <c r="C953" s="32">
        <v>16.183</v>
      </c>
      <c r="D953" s="28">
        <v>1.9444444444444445E-2</v>
      </c>
    </row>
    <row r="954" spans="1:4" x14ac:dyDescent="0.25">
      <c r="A954" s="24" t="s">
        <v>73</v>
      </c>
      <c r="B954" s="24" t="s">
        <v>152</v>
      </c>
      <c r="C954" s="32">
        <v>20.827999999999999</v>
      </c>
      <c r="D954" s="28">
        <v>2.4305555555555556E-2</v>
      </c>
    </row>
    <row r="955" spans="1:4" x14ac:dyDescent="0.25">
      <c r="A955" s="24" t="s">
        <v>73</v>
      </c>
      <c r="B955" s="24" t="s">
        <v>153</v>
      </c>
      <c r="C955" s="32">
        <v>25.782</v>
      </c>
      <c r="D955" s="28">
        <v>2.8472222222222222E-2</v>
      </c>
    </row>
    <row r="956" spans="1:4" x14ac:dyDescent="0.25">
      <c r="A956" s="24" t="s">
        <v>73</v>
      </c>
      <c r="B956" s="24" t="s">
        <v>154</v>
      </c>
      <c r="C956" s="32">
        <v>20.6</v>
      </c>
      <c r="D956" s="28">
        <v>2.2222222222222223E-2</v>
      </c>
    </row>
    <row r="957" spans="1:4" x14ac:dyDescent="0.25">
      <c r="A957" s="24" t="s">
        <v>73</v>
      </c>
      <c r="B957" s="24" t="s">
        <v>155</v>
      </c>
      <c r="C957" s="32">
        <v>16.244</v>
      </c>
      <c r="D957" s="28">
        <v>1.9444444444444445E-2</v>
      </c>
    </row>
    <row r="958" spans="1:4" x14ac:dyDescent="0.25">
      <c r="A958" s="24" t="s">
        <v>73</v>
      </c>
      <c r="B958" s="24" t="s">
        <v>156</v>
      </c>
      <c r="C958" s="32">
        <v>16.228000000000002</v>
      </c>
      <c r="D958" s="28">
        <v>1.9444444444444445E-2</v>
      </c>
    </row>
    <row r="959" spans="1:4" x14ac:dyDescent="0.25">
      <c r="A959" s="24" t="s">
        <v>73</v>
      </c>
      <c r="B959" s="24" t="s">
        <v>157</v>
      </c>
      <c r="C959" s="32">
        <v>29.437999999999999</v>
      </c>
      <c r="D959" s="28">
        <v>3.125E-2</v>
      </c>
    </row>
    <row r="960" spans="1:4" x14ac:dyDescent="0.25">
      <c r="A960" s="24" t="s">
        <v>73</v>
      </c>
      <c r="B960" s="24" t="s">
        <v>158</v>
      </c>
      <c r="C960" s="32">
        <v>40.851999999999997</v>
      </c>
      <c r="D960" s="28">
        <v>3.888888888888889E-2</v>
      </c>
    </row>
    <row r="961" spans="1:4" x14ac:dyDescent="0.25">
      <c r="A961" s="24" t="s">
        <v>73</v>
      </c>
      <c r="B961" s="24" t="s">
        <v>159</v>
      </c>
      <c r="C961" s="32">
        <v>46.670999999999999</v>
      </c>
      <c r="D961" s="28">
        <v>4.3055555555555562E-2</v>
      </c>
    </row>
    <row r="962" spans="1:4" x14ac:dyDescent="0.25">
      <c r="A962" s="24" t="s">
        <v>74</v>
      </c>
      <c r="B962" s="24" t="s">
        <v>65</v>
      </c>
      <c r="C962" s="32">
        <v>22.423999999999999</v>
      </c>
      <c r="D962" s="28">
        <v>2.1527777777777781E-2</v>
      </c>
    </row>
    <row r="963" spans="1:4" x14ac:dyDescent="0.25">
      <c r="A963" s="24" t="s">
        <v>74</v>
      </c>
      <c r="B963" s="24" t="s">
        <v>64</v>
      </c>
      <c r="C963" s="32">
        <v>9.8420000000000005</v>
      </c>
      <c r="D963" s="28">
        <v>1.3194444444444444E-2</v>
      </c>
    </row>
    <row r="964" spans="1:4" x14ac:dyDescent="0.25">
      <c r="A964" s="24" t="s">
        <v>74</v>
      </c>
      <c r="B964" s="24" t="s">
        <v>66</v>
      </c>
      <c r="C964" s="32">
        <v>9.2590000000000003</v>
      </c>
      <c r="D964" s="28">
        <v>1.1805555555555555E-2</v>
      </c>
    </row>
    <row r="965" spans="1:4" x14ac:dyDescent="0.25">
      <c r="A965" s="24" t="s">
        <v>74</v>
      </c>
      <c r="B965" s="24" t="s">
        <v>67</v>
      </c>
      <c r="C965" s="32">
        <v>5.3840000000000003</v>
      </c>
      <c r="D965" s="28">
        <v>7.6388888888888886E-3</v>
      </c>
    </row>
    <row r="966" spans="1:4" x14ac:dyDescent="0.25">
      <c r="A966" s="24" t="s">
        <v>74</v>
      </c>
      <c r="B966" s="24" t="s">
        <v>68</v>
      </c>
      <c r="C966" s="32">
        <v>5.2480000000000002</v>
      </c>
      <c r="D966" s="28">
        <v>7.6388888888888886E-3</v>
      </c>
    </row>
    <row r="967" spans="1:4" x14ac:dyDescent="0.25">
      <c r="A967" s="24" t="s">
        <v>74</v>
      </c>
      <c r="B967" s="24" t="s">
        <v>69</v>
      </c>
      <c r="C967" s="32">
        <v>6.048</v>
      </c>
      <c r="D967" s="28">
        <v>9.0277777777777787E-3</v>
      </c>
    </row>
    <row r="968" spans="1:4" x14ac:dyDescent="0.25">
      <c r="A968" s="24" t="s">
        <v>74</v>
      </c>
      <c r="B968" s="24" t="s">
        <v>70</v>
      </c>
      <c r="C968" s="32">
        <v>5.7119999999999997</v>
      </c>
      <c r="D968" s="28">
        <v>8.3333333333333332E-3</v>
      </c>
    </row>
    <row r="969" spans="1:4" x14ac:dyDescent="0.25">
      <c r="A969" s="24" t="s">
        <v>74</v>
      </c>
      <c r="B969" s="24" t="s">
        <v>71</v>
      </c>
      <c r="C969" s="32">
        <v>5.6790000000000003</v>
      </c>
      <c r="D969" s="28">
        <v>9.0277777777777787E-3</v>
      </c>
    </row>
    <row r="970" spans="1:4" x14ac:dyDescent="0.25">
      <c r="A970" s="24" t="s">
        <v>74</v>
      </c>
      <c r="B970" s="24" t="s">
        <v>72</v>
      </c>
      <c r="C970" s="32">
        <v>4.8479999999999999</v>
      </c>
      <c r="D970" s="28">
        <v>6.9444444444444441E-3</v>
      </c>
    </row>
    <row r="971" spans="1:4" x14ac:dyDescent="0.25">
      <c r="A971" s="24" t="s">
        <v>74</v>
      </c>
      <c r="B971" s="24" t="s">
        <v>73</v>
      </c>
      <c r="C971" s="32">
        <v>5.9550000000000001</v>
      </c>
      <c r="D971" s="28">
        <v>9.0277777777777787E-3</v>
      </c>
    </row>
    <row r="972" spans="1:4" x14ac:dyDescent="0.25">
      <c r="A972" s="24" t="s">
        <v>74</v>
      </c>
      <c r="B972" s="24" t="s">
        <v>74</v>
      </c>
      <c r="C972" s="32">
        <v>0</v>
      </c>
      <c r="D972" s="28">
        <v>0</v>
      </c>
    </row>
    <row r="973" spans="1:4" x14ac:dyDescent="0.25">
      <c r="A973" s="24" t="s">
        <v>74</v>
      </c>
      <c r="B973" s="24" t="s">
        <v>75</v>
      </c>
      <c r="C973" s="32">
        <v>1.4419999999999999</v>
      </c>
      <c r="D973" s="28">
        <v>3.472222222222222E-3</v>
      </c>
    </row>
    <row r="974" spans="1:4" x14ac:dyDescent="0.25">
      <c r="A974" s="24" t="s">
        <v>74</v>
      </c>
      <c r="B974" s="24" t="s">
        <v>76</v>
      </c>
      <c r="C974" s="32">
        <v>6.4720000000000004</v>
      </c>
      <c r="D974" s="28">
        <v>9.7222222222222224E-3</v>
      </c>
    </row>
    <row r="975" spans="1:4" x14ac:dyDescent="0.25">
      <c r="A975" s="24" t="s">
        <v>74</v>
      </c>
      <c r="B975" s="24" t="s">
        <v>77</v>
      </c>
      <c r="C975" s="32">
        <v>12.586</v>
      </c>
      <c r="D975" s="28">
        <v>1.1111111111111112E-2</v>
      </c>
    </row>
    <row r="976" spans="1:4" x14ac:dyDescent="0.25">
      <c r="A976" s="24" t="s">
        <v>74</v>
      </c>
      <c r="B976" s="24" t="s">
        <v>78</v>
      </c>
      <c r="C976" s="32">
        <v>8.3140000000000001</v>
      </c>
      <c r="D976" s="28">
        <v>1.1111111111111112E-2</v>
      </c>
    </row>
    <row r="977" spans="1:4" x14ac:dyDescent="0.25">
      <c r="A977" s="24" t="s">
        <v>74</v>
      </c>
      <c r="B977" s="24" t="s">
        <v>79</v>
      </c>
      <c r="C977" s="32">
        <v>24.047000000000001</v>
      </c>
      <c r="D977" s="28">
        <v>2.2222222222222223E-2</v>
      </c>
    </row>
    <row r="978" spans="1:4" x14ac:dyDescent="0.25">
      <c r="A978" s="24" t="s">
        <v>74</v>
      </c>
      <c r="B978" s="24" t="s">
        <v>80</v>
      </c>
      <c r="C978" s="32">
        <v>25.715</v>
      </c>
      <c r="D978" s="28">
        <v>2.4305555555555556E-2</v>
      </c>
    </row>
    <row r="979" spans="1:4" x14ac:dyDescent="0.25">
      <c r="A979" s="24" t="s">
        <v>74</v>
      </c>
      <c r="B979" s="24" t="s">
        <v>81</v>
      </c>
      <c r="C979" s="32">
        <v>29.667999999999999</v>
      </c>
      <c r="D979" s="28">
        <v>2.6388888888888889E-2</v>
      </c>
    </row>
    <row r="980" spans="1:4" x14ac:dyDescent="0.25">
      <c r="A980" s="24" t="s">
        <v>74</v>
      </c>
      <c r="B980" s="24" t="s">
        <v>82</v>
      </c>
      <c r="C980" s="32">
        <v>29.72</v>
      </c>
      <c r="D980" s="28">
        <v>2.6388888888888889E-2</v>
      </c>
    </row>
    <row r="981" spans="1:4" x14ac:dyDescent="0.25">
      <c r="A981" s="24" t="s">
        <v>74</v>
      </c>
      <c r="B981" s="24" t="s">
        <v>83</v>
      </c>
      <c r="C981" s="32">
        <v>10.512</v>
      </c>
      <c r="D981" s="28">
        <v>1.3194444444444444E-2</v>
      </c>
    </row>
    <row r="982" spans="1:4" x14ac:dyDescent="0.25">
      <c r="A982" s="24" t="s">
        <v>74</v>
      </c>
      <c r="B982" s="24" t="s">
        <v>84</v>
      </c>
      <c r="C982" s="32">
        <v>5.508</v>
      </c>
      <c r="D982" s="28">
        <v>8.3333333333333332E-3</v>
      </c>
    </row>
    <row r="983" spans="1:4" x14ac:dyDescent="0.25">
      <c r="A983" s="24" t="s">
        <v>74</v>
      </c>
      <c r="B983" s="24" t="s">
        <v>85</v>
      </c>
      <c r="C983" s="32">
        <v>5.69</v>
      </c>
      <c r="D983" s="28">
        <v>9.0277777777777787E-3</v>
      </c>
    </row>
    <row r="984" spans="1:4" x14ac:dyDescent="0.25">
      <c r="A984" s="24" t="s">
        <v>74</v>
      </c>
      <c r="B984" s="24" t="s">
        <v>86</v>
      </c>
      <c r="C984" s="32">
        <v>9.18</v>
      </c>
      <c r="D984" s="28">
        <v>1.1805555555555555E-2</v>
      </c>
    </row>
    <row r="985" spans="1:4" x14ac:dyDescent="0.25">
      <c r="A985" s="24" t="s">
        <v>74</v>
      </c>
      <c r="B985" s="24" t="s">
        <v>87</v>
      </c>
      <c r="C985" s="32">
        <v>9.3230000000000004</v>
      </c>
      <c r="D985" s="28">
        <v>1.1805555555555555E-2</v>
      </c>
    </row>
    <row r="986" spans="1:4" x14ac:dyDescent="0.25">
      <c r="A986" s="24" t="s">
        <v>74</v>
      </c>
      <c r="B986" s="24" t="s">
        <v>88</v>
      </c>
      <c r="C986" s="32">
        <v>10.673999999999999</v>
      </c>
      <c r="D986" s="28">
        <v>1.3888888888888888E-2</v>
      </c>
    </row>
    <row r="987" spans="1:4" x14ac:dyDescent="0.25">
      <c r="A987" s="24" t="s">
        <v>74</v>
      </c>
      <c r="B987" s="24" t="s">
        <v>89</v>
      </c>
      <c r="C987" s="32">
        <v>13.117000000000001</v>
      </c>
      <c r="D987" s="28">
        <v>1.7361111111111112E-2</v>
      </c>
    </row>
    <row r="988" spans="1:4" x14ac:dyDescent="0.25">
      <c r="A988" s="24" t="s">
        <v>74</v>
      </c>
      <c r="B988" s="24" t="s">
        <v>90</v>
      </c>
      <c r="C988" s="32">
        <v>25.658000000000001</v>
      </c>
      <c r="D988" s="28">
        <v>2.4305555555555556E-2</v>
      </c>
    </row>
    <row r="989" spans="1:4" x14ac:dyDescent="0.25">
      <c r="A989" s="24" t="s">
        <v>74</v>
      </c>
      <c r="B989" s="24" t="s">
        <v>91</v>
      </c>
      <c r="C989" s="32">
        <v>12.01</v>
      </c>
      <c r="D989" s="28">
        <v>1.5277777777777777E-2</v>
      </c>
    </row>
    <row r="990" spans="1:4" x14ac:dyDescent="0.25">
      <c r="A990" s="24" t="s">
        <v>74</v>
      </c>
      <c r="B990" s="24" t="s">
        <v>92</v>
      </c>
      <c r="C990" s="32">
        <v>23.466000000000001</v>
      </c>
      <c r="D990" s="28">
        <v>2.2916666666666669E-2</v>
      </c>
    </row>
    <row r="991" spans="1:4" x14ac:dyDescent="0.25">
      <c r="A991" s="24" t="s">
        <v>74</v>
      </c>
      <c r="B991" s="24" t="s">
        <v>93</v>
      </c>
      <c r="C991" s="32">
        <v>49.031999999999996</v>
      </c>
      <c r="D991" s="28">
        <v>3.6805555555555557E-2</v>
      </c>
    </row>
    <row r="992" spans="1:4" x14ac:dyDescent="0.25">
      <c r="A992" s="24" t="s">
        <v>74</v>
      </c>
      <c r="B992" s="24" t="s">
        <v>94</v>
      </c>
      <c r="C992" s="32">
        <v>49.661000000000001</v>
      </c>
      <c r="D992" s="28">
        <v>3.7499999999999999E-2</v>
      </c>
    </row>
    <row r="993" spans="1:4" x14ac:dyDescent="0.25">
      <c r="A993" s="24" t="s">
        <v>74</v>
      </c>
      <c r="B993" s="24" t="s">
        <v>95</v>
      </c>
      <c r="C993" s="32">
        <v>30.573</v>
      </c>
      <c r="D993" s="28">
        <v>2.7777777777777776E-2</v>
      </c>
    </row>
    <row r="994" spans="1:4" x14ac:dyDescent="0.25">
      <c r="A994" s="24" t="s">
        <v>74</v>
      </c>
      <c r="B994" s="24" t="s">
        <v>96</v>
      </c>
      <c r="C994" s="32">
        <v>23.731000000000002</v>
      </c>
      <c r="D994" s="28">
        <v>2.4305555555555556E-2</v>
      </c>
    </row>
    <row r="995" spans="1:4" x14ac:dyDescent="0.25">
      <c r="A995" s="24" t="s">
        <v>74</v>
      </c>
      <c r="B995" s="24" t="s">
        <v>97</v>
      </c>
      <c r="C995" s="32">
        <v>32.049999999999997</v>
      </c>
      <c r="D995" s="28">
        <v>3.0555555555555555E-2</v>
      </c>
    </row>
    <row r="996" spans="1:4" x14ac:dyDescent="0.25">
      <c r="A996" s="24" t="s">
        <v>74</v>
      </c>
      <c r="B996" s="24" t="s">
        <v>98</v>
      </c>
      <c r="C996" s="32">
        <v>30.518000000000001</v>
      </c>
      <c r="D996" s="28">
        <v>2.8472222222222222E-2</v>
      </c>
    </row>
    <row r="997" spans="1:4" x14ac:dyDescent="0.25">
      <c r="A997" s="24" t="s">
        <v>74</v>
      </c>
      <c r="B997" s="24" t="s">
        <v>99</v>
      </c>
      <c r="C997" s="32">
        <v>33.658999999999999</v>
      </c>
      <c r="D997" s="28">
        <v>3.3333333333333333E-2</v>
      </c>
    </row>
    <row r="998" spans="1:4" x14ac:dyDescent="0.25">
      <c r="A998" s="24" t="s">
        <v>74</v>
      </c>
      <c r="B998" s="24" t="s">
        <v>100</v>
      </c>
      <c r="C998" s="32">
        <v>30.65</v>
      </c>
      <c r="D998" s="28">
        <v>2.7777777777777776E-2</v>
      </c>
    </row>
    <row r="999" spans="1:4" x14ac:dyDescent="0.25">
      <c r="A999" s="24" t="s">
        <v>74</v>
      </c>
      <c r="B999" s="24" t="s">
        <v>101</v>
      </c>
      <c r="C999" s="32">
        <v>31.373999999999999</v>
      </c>
      <c r="D999" s="28">
        <v>3.1944444444444449E-2</v>
      </c>
    </row>
    <row r="1000" spans="1:4" x14ac:dyDescent="0.25">
      <c r="A1000" s="24" t="s">
        <v>74</v>
      </c>
      <c r="B1000" s="24" t="s">
        <v>102</v>
      </c>
      <c r="C1000" s="32">
        <v>30.047000000000001</v>
      </c>
      <c r="D1000" s="28">
        <v>2.9166666666666664E-2</v>
      </c>
    </row>
    <row r="1001" spans="1:4" x14ac:dyDescent="0.25">
      <c r="A1001" s="24" t="s">
        <v>74</v>
      </c>
      <c r="B1001" s="24" t="s">
        <v>103</v>
      </c>
      <c r="C1001" s="32">
        <v>18.350999999999999</v>
      </c>
      <c r="D1001" s="28">
        <v>1.9444444444444445E-2</v>
      </c>
    </row>
    <row r="1002" spans="1:4" x14ac:dyDescent="0.25">
      <c r="A1002" s="24" t="s">
        <v>74</v>
      </c>
      <c r="B1002" s="24" t="s">
        <v>104</v>
      </c>
      <c r="C1002" s="32">
        <v>22.443000000000001</v>
      </c>
      <c r="D1002" s="28">
        <v>2.2222222222222223E-2</v>
      </c>
    </row>
    <row r="1003" spans="1:4" x14ac:dyDescent="0.25">
      <c r="A1003" s="24" t="s">
        <v>74</v>
      </c>
      <c r="B1003" s="24" t="s">
        <v>105</v>
      </c>
      <c r="C1003" s="32">
        <v>15.195</v>
      </c>
      <c r="D1003" s="28">
        <v>2.2222222222222223E-2</v>
      </c>
    </row>
    <row r="1004" spans="1:4" x14ac:dyDescent="0.25">
      <c r="A1004" s="24" t="s">
        <v>74</v>
      </c>
      <c r="B1004" s="24" t="s">
        <v>106</v>
      </c>
      <c r="C1004" s="32">
        <v>15.27</v>
      </c>
      <c r="D1004" s="28">
        <v>1.7361111111111112E-2</v>
      </c>
    </row>
    <row r="1005" spans="1:4" x14ac:dyDescent="0.25">
      <c r="A1005" s="24" t="s">
        <v>74</v>
      </c>
      <c r="B1005" s="24" t="s">
        <v>107</v>
      </c>
      <c r="C1005" s="32">
        <v>14.704000000000001</v>
      </c>
      <c r="D1005" s="28">
        <v>1.6666666666666666E-2</v>
      </c>
    </row>
    <row r="1006" spans="1:4" x14ac:dyDescent="0.25">
      <c r="A1006" s="24" t="s">
        <v>74</v>
      </c>
      <c r="B1006" s="24" t="s">
        <v>108</v>
      </c>
      <c r="C1006" s="32">
        <v>13.09</v>
      </c>
      <c r="D1006" s="28">
        <v>1.4583333333333332E-2</v>
      </c>
    </row>
    <row r="1007" spans="1:4" x14ac:dyDescent="0.25">
      <c r="A1007" s="24" t="s">
        <v>74</v>
      </c>
      <c r="B1007" s="24" t="s">
        <v>109</v>
      </c>
      <c r="C1007" s="32">
        <v>13.12</v>
      </c>
      <c r="D1007" s="28">
        <v>1.4583333333333332E-2</v>
      </c>
    </row>
    <row r="1008" spans="1:4" x14ac:dyDescent="0.25">
      <c r="A1008" s="24" t="s">
        <v>74</v>
      </c>
      <c r="B1008" s="24" t="s">
        <v>110</v>
      </c>
      <c r="C1008" s="32">
        <v>14.797000000000001</v>
      </c>
      <c r="D1008" s="28">
        <v>1.8055555555555557E-2</v>
      </c>
    </row>
    <row r="1009" spans="1:4" x14ac:dyDescent="0.25">
      <c r="A1009" s="24" t="s">
        <v>74</v>
      </c>
      <c r="B1009" s="24" t="s">
        <v>111</v>
      </c>
      <c r="C1009" s="32">
        <v>16.794</v>
      </c>
      <c r="D1009" s="28">
        <v>1.8055555555555557E-2</v>
      </c>
    </row>
    <row r="1010" spans="1:4" x14ac:dyDescent="0.25">
      <c r="A1010" s="24" t="s">
        <v>74</v>
      </c>
      <c r="B1010" s="24" t="s">
        <v>112</v>
      </c>
      <c r="C1010" s="32">
        <v>15.683999999999999</v>
      </c>
      <c r="D1010" s="28">
        <v>1.9444444444444445E-2</v>
      </c>
    </row>
    <row r="1011" spans="1:4" x14ac:dyDescent="0.25">
      <c r="A1011" s="24" t="s">
        <v>74</v>
      </c>
      <c r="B1011" s="24" t="s">
        <v>113</v>
      </c>
      <c r="C1011" s="32">
        <v>22.196000000000002</v>
      </c>
      <c r="D1011" s="28">
        <v>1.7361111111111112E-2</v>
      </c>
    </row>
    <row r="1012" spans="1:4" x14ac:dyDescent="0.25">
      <c r="A1012" s="24" t="s">
        <v>74</v>
      </c>
      <c r="B1012" s="24" t="s">
        <v>114</v>
      </c>
      <c r="C1012" s="32">
        <v>28.782</v>
      </c>
      <c r="D1012" s="28">
        <v>2.4999999999999998E-2</v>
      </c>
    </row>
    <row r="1013" spans="1:4" x14ac:dyDescent="0.25">
      <c r="A1013" s="24" t="s">
        <v>74</v>
      </c>
      <c r="B1013" s="24" t="s">
        <v>115</v>
      </c>
      <c r="C1013" s="32">
        <v>28.632999999999999</v>
      </c>
      <c r="D1013" s="28">
        <v>2.5694444444444447E-2</v>
      </c>
    </row>
    <row r="1014" spans="1:4" x14ac:dyDescent="0.25">
      <c r="A1014" s="24" t="s">
        <v>74</v>
      </c>
      <c r="B1014" s="24" t="s">
        <v>116</v>
      </c>
      <c r="C1014" s="32">
        <v>22.645</v>
      </c>
      <c r="D1014" s="28">
        <v>2.2916666666666669E-2</v>
      </c>
    </row>
    <row r="1015" spans="1:4" x14ac:dyDescent="0.25">
      <c r="A1015" s="24" t="s">
        <v>74</v>
      </c>
      <c r="B1015" s="24" t="s">
        <v>117</v>
      </c>
      <c r="C1015" s="32">
        <v>30.077000000000002</v>
      </c>
      <c r="D1015" s="28">
        <v>2.8472222222222222E-2</v>
      </c>
    </row>
    <row r="1016" spans="1:4" x14ac:dyDescent="0.25">
      <c r="A1016" s="24" t="s">
        <v>74</v>
      </c>
      <c r="B1016" s="24" t="s">
        <v>118</v>
      </c>
      <c r="C1016" s="32">
        <v>31.9</v>
      </c>
      <c r="D1016" s="28">
        <v>2.2222222222222223E-2</v>
      </c>
    </row>
    <row r="1017" spans="1:4" x14ac:dyDescent="0.25">
      <c r="A1017" s="24" t="s">
        <v>74</v>
      </c>
      <c r="B1017" s="24" t="s">
        <v>119</v>
      </c>
      <c r="C1017" s="32">
        <v>33.478999999999999</v>
      </c>
      <c r="D1017" s="28">
        <v>2.2916666666666669E-2</v>
      </c>
    </row>
    <row r="1018" spans="1:4" x14ac:dyDescent="0.25">
      <c r="A1018" s="24" t="s">
        <v>74</v>
      </c>
      <c r="B1018" s="24" t="s">
        <v>120</v>
      </c>
      <c r="C1018" s="32">
        <v>36.268999999999998</v>
      </c>
      <c r="D1018" s="28">
        <v>2.6388888888888889E-2</v>
      </c>
    </row>
    <row r="1019" spans="1:4" x14ac:dyDescent="0.25">
      <c r="A1019" s="24" t="s">
        <v>74</v>
      </c>
      <c r="B1019" s="24" t="s">
        <v>121</v>
      </c>
      <c r="C1019" s="32">
        <v>50.62</v>
      </c>
      <c r="D1019" s="28">
        <v>3.3333333333333333E-2</v>
      </c>
    </row>
    <row r="1020" spans="1:4" x14ac:dyDescent="0.25">
      <c r="A1020" s="24" t="s">
        <v>74</v>
      </c>
      <c r="B1020" s="24" t="s">
        <v>122</v>
      </c>
      <c r="C1020" s="32">
        <v>52.152999999999999</v>
      </c>
      <c r="D1020" s="28">
        <v>3.4027777777777775E-2</v>
      </c>
    </row>
    <row r="1021" spans="1:4" x14ac:dyDescent="0.25">
      <c r="A1021" s="24" t="s">
        <v>74</v>
      </c>
      <c r="B1021" s="24" t="s">
        <v>123</v>
      </c>
      <c r="C1021" s="32">
        <v>44.204999999999998</v>
      </c>
      <c r="D1021" s="28">
        <v>2.9861111111111113E-2</v>
      </c>
    </row>
    <row r="1022" spans="1:4" x14ac:dyDescent="0.25">
      <c r="A1022" s="24" t="s">
        <v>74</v>
      </c>
      <c r="B1022" s="24" t="s">
        <v>124</v>
      </c>
      <c r="C1022" s="32">
        <v>44.204999999999998</v>
      </c>
      <c r="D1022" s="28">
        <v>2.9861111111111113E-2</v>
      </c>
    </row>
    <row r="1023" spans="1:4" x14ac:dyDescent="0.25">
      <c r="A1023" s="24" t="s">
        <v>74</v>
      </c>
      <c r="B1023" s="24" t="s">
        <v>125</v>
      </c>
      <c r="C1023" s="32">
        <v>13.977</v>
      </c>
      <c r="D1023" s="28">
        <v>1.8055555555555557E-2</v>
      </c>
    </row>
    <row r="1024" spans="1:4" x14ac:dyDescent="0.25">
      <c r="A1024" s="24" t="s">
        <v>74</v>
      </c>
      <c r="B1024" s="24" t="s">
        <v>126</v>
      </c>
      <c r="C1024" s="32">
        <v>13.715</v>
      </c>
      <c r="D1024" s="28">
        <v>1.6666666666666666E-2</v>
      </c>
    </row>
    <row r="1025" spans="1:4" x14ac:dyDescent="0.25">
      <c r="A1025" s="24" t="s">
        <v>74</v>
      </c>
      <c r="B1025" s="24" t="s">
        <v>127</v>
      </c>
      <c r="C1025" s="32">
        <v>14.46</v>
      </c>
      <c r="D1025" s="28">
        <v>1.8055555555555557E-2</v>
      </c>
    </row>
    <row r="1026" spans="1:4" x14ac:dyDescent="0.25">
      <c r="A1026" s="24" t="s">
        <v>74</v>
      </c>
      <c r="B1026" s="24" t="s">
        <v>128</v>
      </c>
      <c r="C1026" s="32">
        <v>13.336</v>
      </c>
      <c r="D1026" s="28">
        <v>1.6666666666666666E-2</v>
      </c>
    </row>
    <row r="1027" spans="1:4" x14ac:dyDescent="0.25">
      <c r="A1027" s="24" t="s">
        <v>74</v>
      </c>
      <c r="B1027" s="24" t="s">
        <v>129</v>
      </c>
      <c r="C1027" s="32">
        <v>13.336</v>
      </c>
      <c r="D1027" s="28">
        <v>1.6666666666666666E-2</v>
      </c>
    </row>
    <row r="1028" spans="1:4" x14ac:dyDescent="0.25">
      <c r="A1028" s="24" t="s">
        <v>74</v>
      </c>
      <c r="B1028" s="24" t="s">
        <v>130</v>
      </c>
      <c r="C1028" s="32">
        <v>14.378</v>
      </c>
      <c r="D1028" s="28">
        <v>1.8749999999999999E-2</v>
      </c>
    </row>
    <row r="1029" spans="1:4" x14ac:dyDescent="0.25">
      <c r="A1029" s="24" t="s">
        <v>74</v>
      </c>
      <c r="B1029" s="24" t="s">
        <v>131</v>
      </c>
      <c r="C1029" s="32">
        <v>16.849</v>
      </c>
      <c r="D1029" s="28">
        <v>2.0833333333333332E-2</v>
      </c>
    </row>
    <row r="1030" spans="1:4" x14ac:dyDescent="0.25">
      <c r="A1030" s="24" t="s">
        <v>74</v>
      </c>
      <c r="B1030" s="24" t="s">
        <v>132</v>
      </c>
      <c r="C1030" s="32">
        <v>12.766</v>
      </c>
      <c r="D1030" s="28">
        <v>1.6666666666666666E-2</v>
      </c>
    </row>
    <row r="1031" spans="1:4" x14ac:dyDescent="0.25">
      <c r="A1031" s="24" t="s">
        <v>74</v>
      </c>
      <c r="B1031" s="24" t="s">
        <v>133</v>
      </c>
      <c r="C1031" s="32">
        <v>8.4870000000000001</v>
      </c>
      <c r="D1031" s="28">
        <v>1.0416666666666666E-2</v>
      </c>
    </row>
    <row r="1032" spans="1:4" x14ac:dyDescent="0.25">
      <c r="A1032" s="24" t="s">
        <v>74</v>
      </c>
      <c r="B1032" s="24" t="s">
        <v>134</v>
      </c>
      <c r="C1032" s="32">
        <v>8.0210000000000008</v>
      </c>
      <c r="D1032" s="28">
        <v>9.7222222222222224E-3</v>
      </c>
    </row>
    <row r="1033" spans="1:4" x14ac:dyDescent="0.25">
      <c r="A1033" s="24" t="s">
        <v>74</v>
      </c>
      <c r="B1033" s="24" t="s">
        <v>135</v>
      </c>
      <c r="C1033" s="32">
        <v>6.0960000000000001</v>
      </c>
      <c r="D1033" s="28">
        <v>8.3333333333333332E-3</v>
      </c>
    </row>
    <row r="1034" spans="1:4" x14ac:dyDescent="0.25">
      <c r="A1034" s="24" t="s">
        <v>74</v>
      </c>
      <c r="B1034" s="24" t="s">
        <v>136</v>
      </c>
      <c r="C1034" s="32">
        <v>6.0960000000000001</v>
      </c>
      <c r="D1034" s="28">
        <v>8.3333333333333332E-3</v>
      </c>
    </row>
    <row r="1035" spans="1:4" x14ac:dyDescent="0.25">
      <c r="A1035" s="24" t="s">
        <v>74</v>
      </c>
      <c r="B1035" s="24" t="s">
        <v>137</v>
      </c>
      <c r="C1035" s="32">
        <v>6.7889999999999997</v>
      </c>
      <c r="D1035" s="28">
        <v>9.7222222222222224E-3</v>
      </c>
    </row>
    <row r="1036" spans="1:4" x14ac:dyDescent="0.25">
      <c r="A1036" s="24" t="s">
        <v>74</v>
      </c>
      <c r="B1036" s="24" t="s">
        <v>138</v>
      </c>
      <c r="C1036" s="32">
        <v>14.542999999999999</v>
      </c>
      <c r="D1036" s="28">
        <v>1.2499999999999999E-2</v>
      </c>
    </row>
    <row r="1037" spans="1:4" x14ac:dyDescent="0.25">
      <c r="A1037" s="24" t="s">
        <v>74</v>
      </c>
      <c r="B1037" s="24" t="s">
        <v>139</v>
      </c>
      <c r="C1037" s="32">
        <v>13.349</v>
      </c>
      <c r="D1037" s="28">
        <v>1.2499999999999999E-2</v>
      </c>
    </row>
    <row r="1038" spans="1:4" x14ac:dyDescent="0.25">
      <c r="A1038" s="24" t="s">
        <v>74</v>
      </c>
      <c r="B1038" s="24" t="s">
        <v>140</v>
      </c>
      <c r="C1038" s="32">
        <v>12.324999999999999</v>
      </c>
      <c r="D1038" s="28">
        <v>1.1111111111111112E-2</v>
      </c>
    </row>
    <row r="1039" spans="1:4" x14ac:dyDescent="0.25">
      <c r="A1039" s="24" t="s">
        <v>74</v>
      </c>
      <c r="B1039" s="24" t="s">
        <v>141</v>
      </c>
      <c r="C1039" s="32">
        <v>38.06</v>
      </c>
      <c r="D1039" s="28">
        <v>3.1944444444444449E-2</v>
      </c>
    </row>
    <row r="1040" spans="1:4" x14ac:dyDescent="0.25">
      <c r="A1040" s="24" t="s">
        <v>74</v>
      </c>
      <c r="B1040" s="24" t="s">
        <v>142</v>
      </c>
      <c r="C1040" s="32">
        <v>32.984999999999999</v>
      </c>
      <c r="D1040" s="28">
        <v>2.2916666666666669E-2</v>
      </c>
    </row>
    <row r="1041" spans="1:4" x14ac:dyDescent="0.25">
      <c r="A1041" s="24" t="s">
        <v>74</v>
      </c>
      <c r="B1041" s="24" t="s">
        <v>143</v>
      </c>
      <c r="C1041" s="32">
        <v>51.363</v>
      </c>
      <c r="D1041" s="28">
        <v>3.0555555555555555E-2</v>
      </c>
    </row>
    <row r="1042" spans="1:4" x14ac:dyDescent="0.25">
      <c r="A1042" s="24" t="s">
        <v>74</v>
      </c>
      <c r="B1042" s="24" t="s">
        <v>144</v>
      </c>
      <c r="C1042" s="32">
        <v>70.478999999999999</v>
      </c>
      <c r="D1042" s="28">
        <v>4.0972222222222222E-2</v>
      </c>
    </row>
    <row r="1043" spans="1:4" x14ac:dyDescent="0.25">
      <c r="A1043" s="24" t="s">
        <v>74</v>
      </c>
      <c r="B1043" s="24" t="s">
        <v>145</v>
      </c>
      <c r="C1043" s="32">
        <v>29.343</v>
      </c>
      <c r="D1043" s="28">
        <v>2.1527777777777781E-2</v>
      </c>
    </row>
    <row r="1044" spans="1:4" x14ac:dyDescent="0.25">
      <c r="A1044" s="24" t="s">
        <v>74</v>
      </c>
      <c r="B1044" s="24" t="s">
        <v>146</v>
      </c>
      <c r="C1044" s="32">
        <v>44.802</v>
      </c>
      <c r="D1044" s="28">
        <v>2.9166666666666664E-2</v>
      </c>
    </row>
    <row r="1045" spans="1:4" x14ac:dyDescent="0.25">
      <c r="A1045" s="24" t="s">
        <v>74</v>
      </c>
      <c r="B1045" s="24" t="s">
        <v>147</v>
      </c>
      <c r="C1045" s="32">
        <v>17.295999999999999</v>
      </c>
      <c r="D1045" s="28">
        <v>1.8055555555555557E-2</v>
      </c>
    </row>
    <row r="1046" spans="1:4" x14ac:dyDescent="0.25">
      <c r="A1046" s="24" t="s">
        <v>74</v>
      </c>
      <c r="B1046" s="24" t="s">
        <v>148</v>
      </c>
      <c r="C1046" s="32">
        <v>15.372999999999999</v>
      </c>
      <c r="D1046" s="28">
        <v>1.8055555555555557E-2</v>
      </c>
    </row>
    <row r="1047" spans="1:4" x14ac:dyDescent="0.25">
      <c r="A1047" s="24" t="s">
        <v>74</v>
      </c>
      <c r="B1047" s="24" t="s">
        <v>149</v>
      </c>
      <c r="C1047" s="32">
        <v>14.013</v>
      </c>
      <c r="D1047" s="28">
        <v>1.7361111111111112E-2</v>
      </c>
    </row>
    <row r="1048" spans="1:4" x14ac:dyDescent="0.25">
      <c r="A1048" s="24" t="s">
        <v>74</v>
      </c>
      <c r="B1048" s="24" t="s">
        <v>150</v>
      </c>
      <c r="C1048" s="32">
        <v>20.263000000000002</v>
      </c>
      <c r="D1048" s="28">
        <v>2.361111111111111E-2</v>
      </c>
    </row>
    <row r="1049" spans="1:4" x14ac:dyDescent="0.25">
      <c r="A1049" s="24" t="s">
        <v>74</v>
      </c>
      <c r="B1049" s="24" t="s">
        <v>151</v>
      </c>
      <c r="C1049" s="32">
        <v>19.521000000000001</v>
      </c>
      <c r="D1049" s="28">
        <v>2.361111111111111E-2</v>
      </c>
    </row>
    <row r="1050" spans="1:4" x14ac:dyDescent="0.25">
      <c r="A1050" s="24" t="s">
        <v>74</v>
      </c>
      <c r="B1050" s="24" t="s">
        <v>152</v>
      </c>
      <c r="C1050" s="32">
        <v>24.166</v>
      </c>
      <c r="D1050" s="28">
        <v>2.7777777777777776E-2</v>
      </c>
    </row>
    <row r="1051" spans="1:4" x14ac:dyDescent="0.25">
      <c r="A1051" s="24" t="s">
        <v>74</v>
      </c>
      <c r="B1051" s="24" t="s">
        <v>153</v>
      </c>
      <c r="C1051" s="32">
        <v>29.12</v>
      </c>
      <c r="D1051" s="28">
        <v>3.1944444444444449E-2</v>
      </c>
    </row>
    <row r="1052" spans="1:4" x14ac:dyDescent="0.25">
      <c r="A1052" s="24" t="s">
        <v>74</v>
      </c>
      <c r="B1052" s="24" t="s">
        <v>154</v>
      </c>
      <c r="C1052" s="32">
        <v>23.937999999999999</v>
      </c>
      <c r="D1052" s="28">
        <v>2.6388888888888889E-2</v>
      </c>
    </row>
    <row r="1053" spans="1:4" x14ac:dyDescent="0.25">
      <c r="A1053" s="24" t="s">
        <v>74</v>
      </c>
      <c r="B1053" s="24" t="s">
        <v>155</v>
      </c>
      <c r="C1053" s="32">
        <v>19.582000000000001</v>
      </c>
      <c r="D1053" s="28">
        <v>2.2916666666666669E-2</v>
      </c>
    </row>
    <row r="1054" spans="1:4" x14ac:dyDescent="0.25">
      <c r="A1054" s="24" t="s">
        <v>74</v>
      </c>
      <c r="B1054" s="24" t="s">
        <v>156</v>
      </c>
      <c r="C1054" s="32">
        <v>19.565999999999999</v>
      </c>
      <c r="D1054" s="28">
        <v>2.2916666666666669E-2</v>
      </c>
    </row>
    <row r="1055" spans="1:4" x14ac:dyDescent="0.25">
      <c r="A1055" s="24" t="s">
        <v>74</v>
      </c>
      <c r="B1055" s="24" t="s">
        <v>157</v>
      </c>
      <c r="C1055" s="32">
        <v>35.448999999999998</v>
      </c>
      <c r="D1055" s="28">
        <v>3.4027777777777775E-2</v>
      </c>
    </row>
    <row r="1056" spans="1:4" x14ac:dyDescent="0.25">
      <c r="A1056" s="24" t="s">
        <v>74</v>
      </c>
      <c r="B1056" s="24" t="s">
        <v>158</v>
      </c>
      <c r="C1056" s="32">
        <v>42.466000000000001</v>
      </c>
      <c r="D1056" s="28">
        <v>4.3750000000000004E-2</v>
      </c>
    </row>
    <row r="1057" spans="1:4" x14ac:dyDescent="0.25">
      <c r="A1057" s="24" t="s">
        <v>74</v>
      </c>
      <c r="B1057" s="24" t="s">
        <v>159</v>
      </c>
      <c r="C1057" s="32">
        <v>51.728999999999999</v>
      </c>
      <c r="D1057" s="28">
        <v>4.8611111111111112E-2</v>
      </c>
    </row>
    <row r="1058" spans="1:4" x14ac:dyDescent="0.25">
      <c r="A1058" s="24" t="s">
        <v>75</v>
      </c>
      <c r="B1058" s="24" t="s">
        <v>65</v>
      </c>
      <c r="C1058" s="32">
        <v>21.492999999999999</v>
      </c>
      <c r="D1058" s="28">
        <v>2.0833333333333332E-2</v>
      </c>
    </row>
    <row r="1059" spans="1:4" x14ac:dyDescent="0.25">
      <c r="A1059" s="24" t="s">
        <v>75</v>
      </c>
      <c r="B1059" s="24" t="s">
        <v>64</v>
      </c>
      <c r="C1059" s="32">
        <v>8.9109999999999996</v>
      </c>
      <c r="D1059" s="28">
        <v>1.2499999999999999E-2</v>
      </c>
    </row>
    <row r="1060" spans="1:4" x14ac:dyDescent="0.25">
      <c r="A1060" s="24" t="s">
        <v>75</v>
      </c>
      <c r="B1060" s="24" t="s">
        <v>66</v>
      </c>
      <c r="C1060" s="32">
        <v>9.5419999999999998</v>
      </c>
      <c r="D1060" s="28">
        <v>1.1805555555555555E-2</v>
      </c>
    </row>
    <row r="1061" spans="1:4" x14ac:dyDescent="0.25">
      <c r="A1061" s="24" t="s">
        <v>75</v>
      </c>
      <c r="B1061" s="24" t="s">
        <v>67</v>
      </c>
      <c r="C1061" s="32">
        <v>5.6669999999999998</v>
      </c>
      <c r="D1061" s="28">
        <v>7.6388888888888886E-3</v>
      </c>
    </row>
    <row r="1062" spans="1:4" x14ac:dyDescent="0.25">
      <c r="A1062" s="24" t="s">
        <v>75</v>
      </c>
      <c r="B1062" s="24" t="s">
        <v>68</v>
      </c>
      <c r="C1062" s="32">
        <v>5.5309999999999997</v>
      </c>
      <c r="D1062" s="28">
        <v>7.6388888888888886E-3</v>
      </c>
    </row>
    <row r="1063" spans="1:4" x14ac:dyDescent="0.25">
      <c r="A1063" s="24" t="s">
        <v>75</v>
      </c>
      <c r="B1063" s="24" t="s">
        <v>69</v>
      </c>
      <c r="C1063" s="32">
        <v>6.3310000000000004</v>
      </c>
      <c r="D1063" s="28">
        <v>9.0277777777777787E-3</v>
      </c>
    </row>
    <row r="1064" spans="1:4" x14ac:dyDescent="0.25">
      <c r="A1064" s="24" t="s">
        <v>75</v>
      </c>
      <c r="B1064" s="24" t="s">
        <v>70</v>
      </c>
      <c r="C1064" s="32">
        <v>5.9950000000000001</v>
      </c>
      <c r="D1064" s="28">
        <v>8.3333333333333332E-3</v>
      </c>
    </row>
    <row r="1065" spans="1:4" x14ac:dyDescent="0.25">
      <c r="A1065" s="24" t="s">
        <v>75</v>
      </c>
      <c r="B1065" s="24" t="s">
        <v>71</v>
      </c>
      <c r="C1065" s="32">
        <v>5.9619999999999997</v>
      </c>
      <c r="D1065" s="28">
        <v>9.0277777777777787E-3</v>
      </c>
    </row>
    <row r="1066" spans="1:4" x14ac:dyDescent="0.25">
      <c r="A1066" s="24" t="s">
        <v>75</v>
      </c>
      <c r="B1066" s="24" t="s">
        <v>72</v>
      </c>
      <c r="C1066" s="32">
        <v>5.1310000000000002</v>
      </c>
      <c r="D1066" s="28">
        <v>7.6388888888888886E-3</v>
      </c>
    </row>
    <row r="1067" spans="1:4" x14ac:dyDescent="0.25">
      <c r="A1067" s="24" t="s">
        <v>75</v>
      </c>
      <c r="B1067" s="24" t="s">
        <v>73</v>
      </c>
      <c r="C1067" s="32">
        <v>6.2380000000000004</v>
      </c>
      <c r="D1067" s="28">
        <v>9.0277777777777787E-3</v>
      </c>
    </row>
    <row r="1068" spans="1:4" x14ac:dyDescent="0.25">
      <c r="A1068" s="24" t="s">
        <v>75</v>
      </c>
      <c r="B1068" s="24" t="s">
        <v>74</v>
      </c>
      <c r="C1068" s="32">
        <v>1.4750000000000001</v>
      </c>
      <c r="D1068" s="28">
        <v>2.7777777777777779E-3</v>
      </c>
    </row>
    <row r="1069" spans="1:4" x14ac:dyDescent="0.25">
      <c r="A1069" s="24" t="s">
        <v>75</v>
      </c>
      <c r="B1069" s="24" t="s">
        <v>75</v>
      </c>
      <c r="C1069" s="32">
        <v>0</v>
      </c>
      <c r="D1069" s="28">
        <v>0</v>
      </c>
    </row>
    <row r="1070" spans="1:4" x14ac:dyDescent="0.25">
      <c r="A1070" s="24" t="s">
        <v>75</v>
      </c>
      <c r="B1070" s="24" t="s">
        <v>76</v>
      </c>
      <c r="C1070" s="32">
        <v>5.5049999999999999</v>
      </c>
      <c r="D1070" s="28">
        <v>9.0277777777777787E-3</v>
      </c>
    </row>
    <row r="1071" spans="1:4" x14ac:dyDescent="0.25">
      <c r="A1071" s="24" t="s">
        <v>75</v>
      </c>
      <c r="B1071" s="24" t="s">
        <v>77</v>
      </c>
      <c r="C1071" s="32">
        <v>11.619</v>
      </c>
      <c r="D1071" s="28">
        <v>9.7222222222222224E-3</v>
      </c>
    </row>
    <row r="1072" spans="1:4" x14ac:dyDescent="0.25">
      <c r="A1072" s="24" t="s">
        <v>75</v>
      </c>
      <c r="B1072" s="24" t="s">
        <v>78</v>
      </c>
      <c r="C1072" s="32">
        <v>8.5969999999999995</v>
      </c>
      <c r="D1072" s="28">
        <v>1.1111111111111112E-2</v>
      </c>
    </row>
    <row r="1073" spans="1:4" x14ac:dyDescent="0.25">
      <c r="A1073" s="24" t="s">
        <v>75</v>
      </c>
      <c r="B1073" s="24" t="s">
        <v>79</v>
      </c>
      <c r="C1073" s="32">
        <v>23.08</v>
      </c>
      <c r="D1073" s="28">
        <v>2.0833333333333332E-2</v>
      </c>
    </row>
    <row r="1074" spans="1:4" x14ac:dyDescent="0.25">
      <c r="A1074" s="24" t="s">
        <v>75</v>
      </c>
      <c r="B1074" s="24" t="s">
        <v>80</v>
      </c>
      <c r="C1074" s="32">
        <v>24.783999999999999</v>
      </c>
      <c r="D1074" s="28">
        <v>2.2916666666666669E-2</v>
      </c>
    </row>
    <row r="1075" spans="1:4" x14ac:dyDescent="0.25">
      <c r="A1075" s="24" t="s">
        <v>75</v>
      </c>
      <c r="B1075" s="24" t="s">
        <v>81</v>
      </c>
      <c r="C1075" s="32">
        <v>28.736999999999998</v>
      </c>
      <c r="D1075" s="28">
        <v>2.4999999999999998E-2</v>
      </c>
    </row>
    <row r="1076" spans="1:4" x14ac:dyDescent="0.25">
      <c r="A1076" s="24" t="s">
        <v>75</v>
      </c>
      <c r="B1076" s="24" t="s">
        <v>82</v>
      </c>
      <c r="C1076" s="32">
        <v>28.789000000000001</v>
      </c>
      <c r="D1076" s="28">
        <v>2.4999999999999998E-2</v>
      </c>
    </row>
    <row r="1077" spans="1:4" x14ac:dyDescent="0.25">
      <c r="A1077" s="24" t="s">
        <v>75</v>
      </c>
      <c r="B1077" s="24" t="s">
        <v>83</v>
      </c>
      <c r="C1077" s="32">
        <v>9.5809999999999995</v>
      </c>
      <c r="D1077" s="28">
        <v>1.1805555555555555E-2</v>
      </c>
    </row>
    <row r="1078" spans="1:4" x14ac:dyDescent="0.25">
      <c r="A1078" s="24" t="s">
        <v>75</v>
      </c>
      <c r="B1078" s="24" t="s">
        <v>84</v>
      </c>
      <c r="C1078" s="32">
        <v>4.577</v>
      </c>
      <c r="D1078" s="28">
        <v>6.9444444444444441E-3</v>
      </c>
    </row>
    <row r="1079" spans="1:4" x14ac:dyDescent="0.25">
      <c r="A1079" s="24" t="s">
        <v>75</v>
      </c>
      <c r="B1079" s="24" t="s">
        <v>85</v>
      </c>
      <c r="C1079" s="32">
        <v>4.7590000000000003</v>
      </c>
      <c r="D1079" s="28">
        <v>7.6388888888888886E-3</v>
      </c>
    </row>
    <row r="1080" spans="1:4" x14ac:dyDescent="0.25">
      <c r="A1080" s="24" t="s">
        <v>75</v>
      </c>
      <c r="B1080" s="24" t="s">
        <v>86</v>
      </c>
      <c r="C1080" s="32">
        <v>8.2490000000000006</v>
      </c>
      <c r="D1080" s="28">
        <v>1.0416666666666666E-2</v>
      </c>
    </row>
    <row r="1081" spans="1:4" x14ac:dyDescent="0.25">
      <c r="A1081" s="24" t="s">
        <v>75</v>
      </c>
      <c r="B1081" s="24" t="s">
        <v>87</v>
      </c>
      <c r="C1081" s="32">
        <v>8.3919999999999995</v>
      </c>
      <c r="D1081" s="28">
        <v>1.0416666666666666E-2</v>
      </c>
    </row>
    <row r="1082" spans="1:4" x14ac:dyDescent="0.25">
      <c r="A1082" s="24" t="s">
        <v>75</v>
      </c>
      <c r="B1082" s="24" t="s">
        <v>88</v>
      </c>
      <c r="C1082" s="32">
        <v>9.7430000000000003</v>
      </c>
      <c r="D1082" s="28">
        <v>1.2499999999999999E-2</v>
      </c>
    </row>
    <row r="1083" spans="1:4" x14ac:dyDescent="0.25">
      <c r="A1083" s="24" t="s">
        <v>75</v>
      </c>
      <c r="B1083" s="24" t="s">
        <v>89</v>
      </c>
      <c r="C1083" s="32">
        <v>12.186</v>
      </c>
      <c r="D1083" s="28">
        <v>1.5972222222222224E-2</v>
      </c>
    </row>
    <row r="1084" spans="1:4" x14ac:dyDescent="0.25">
      <c r="A1084" s="24" t="s">
        <v>75</v>
      </c>
      <c r="B1084" s="24" t="s">
        <v>90</v>
      </c>
      <c r="C1084" s="32">
        <v>24.158000000000001</v>
      </c>
      <c r="D1084" s="28">
        <v>2.2916666666666669E-2</v>
      </c>
    </row>
    <row r="1085" spans="1:4" x14ac:dyDescent="0.25">
      <c r="A1085" s="24" t="s">
        <v>75</v>
      </c>
      <c r="B1085" s="24" t="s">
        <v>91</v>
      </c>
      <c r="C1085" s="32">
        <v>11.079000000000001</v>
      </c>
      <c r="D1085" s="28">
        <v>1.4583333333333332E-2</v>
      </c>
    </row>
    <row r="1086" spans="1:4" x14ac:dyDescent="0.25">
      <c r="A1086" s="24" t="s">
        <v>75</v>
      </c>
      <c r="B1086" s="24" t="s">
        <v>92</v>
      </c>
      <c r="C1086" s="32">
        <v>22.632000000000001</v>
      </c>
      <c r="D1086" s="28">
        <v>2.2222222222222223E-2</v>
      </c>
    </row>
    <row r="1087" spans="1:4" x14ac:dyDescent="0.25">
      <c r="A1087" s="24" t="s">
        <v>75</v>
      </c>
      <c r="B1087" s="24" t="s">
        <v>93</v>
      </c>
      <c r="C1087" s="32">
        <v>48.100999999999999</v>
      </c>
      <c r="D1087" s="28">
        <v>3.5416666666666666E-2</v>
      </c>
    </row>
    <row r="1088" spans="1:4" x14ac:dyDescent="0.25">
      <c r="A1088" s="24" t="s">
        <v>75</v>
      </c>
      <c r="B1088" s="24" t="s">
        <v>94</v>
      </c>
      <c r="C1088" s="32">
        <v>48.73</v>
      </c>
      <c r="D1088" s="28">
        <v>3.6111111111111115E-2</v>
      </c>
    </row>
    <row r="1089" spans="1:4" x14ac:dyDescent="0.25">
      <c r="A1089" s="24" t="s">
        <v>75</v>
      </c>
      <c r="B1089" s="24" t="s">
        <v>95</v>
      </c>
      <c r="C1089" s="32">
        <v>29.073</v>
      </c>
      <c r="D1089" s="28">
        <v>2.6388888888888889E-2</v>
      </c>
    </row>
    <row r="1090" spans="1:4" x14ac:dyDescent="0.25">
      <c r="A1090" s="24" t="s">
        <v>75</v>
      </c>
      <c r="B1090" s="24" t="s">
        <v>96</v>
      </c>
      <c r="C1090" s="32">
        <v>22.8</v>
      </c>
      <c r="D1090" s="28">
        <v>2.2916666666666669E-2</v>
      </c>
    </row>
    <row r="1091" spans="1:4" x14ac:dyDescent="0.25">
      <c r="A1091" s="24" t="s">
        <v>75</v>
      </c>
      <c r="B1091" s="24" t="s">
        <v>97</v>
      </c>
      <c r="C1091" s="32">
        <v>31.119</v>
      </c>
      <c r="D1091" s="28">
        <v>2.9166666666666664E-2</v>
      </c>
    </row>
    <row r="1092" spans="1:4" x14ac:dyDescent="0.25">
      <c r="A1092" s="24" t="s">
        <v>75</v>
      </c>
      <c r="B1092" s="24" t="s">
        <v>98</v>
      </c>
      <c r="C1092" s="32">
        <v>29.587</v>
      </c>
      <c r="D1092" s="28">
        <v>2.7777777777777776E-2</v>
      </c>
    </row>
    <row r="1093" spans="1:4" x14ac:dyDescent="0.25">
      <c r="A1093" s="24" t="s">
        <v>75</v>
      </c>
      <c r="B1093" s="24" t="s">
        <v>99</v>
      </c>
      <c r="C1093" s="32">
        <v>32.728000000000002</v>
      </c>
      <c r="D1093" s="28">
        <v>3.1944444444444449E-2</v>
      </c>
    </row>
    <row r="1094" spans="1:4" x14ac:dyDescent="0.25">
      <c r="A1094" s="24" t="s">
        <v>75</v>
      </c>
      <c r="B1094" s="24" t="s">
        <v>100</v>
      </c>
      <c r="C1094" s="32">
        <v>29.719000000000001</v>
      </c>
      <c r="D1094" s="28">
        <v>2.6388888888888889E-2</v>
      </c>
    </row>
    <row r="1095" spans="1:4" x14ac:dyDescent="0.25">
      <c r="A1095" s="24" t="s">
        <v>75</v>
      </c>
      <c r="B1095" s="24" t="s">
        <v>101</v>
      </c>
      <c r="C1095" s="32">
        <v>29.861000000000001</v>
      </c>
      <c r="D1095" s="28">
        <v>2.9861111111111113E-2</v>
      </c>
    </row>
    <row r="1096" spans="1:4" x14ac:dyDescent="0.25">
      <c r="A1096" s="24" t="s">
        <v>75</v>
      </c>
      <c r="B1096" s="24" t="s">
        <v>102</v>
      </c>
      <c r="C1096" s="32">
        <v>29.116</v>
      </c>
      <c r="D1096" s="28">
        <v>2.7777777777777776E-2</v>
      </c>
    </row>
    <row r="1097" spans="1:4" x14ac:dyDescent="0.25">
      <c r="A1097" s="24" t="s">
        <v>75</v>
      </c>
      <c r="B1097" s="24" t="s">
        <v>103</v>
      </c>
      <c r="C1097" s="32">
        <v>17.109000000000002</v>
      </c>
      <c r="D1097" s="28">
        <v>1.8055555555555557E-2</v>
      </c>
    </row>
    <row r="1098" spans="1:4" x14ac:dyDescent="0.25">
      <c r="A1098" s="24" t="s">
        <v>75</v>
      </c>
      <c r="B1098" s="24" t="s">
        <v>104</v>
      </c>
      <c r="C1098" s="32">
        <v>21.512</v>
      </c>
      <c r="D1098" s="28">
        <v>2.0833333333333332E-2</v>
      </c>
    </row>
    <row r="1099" spans="1:4" x14ac:dyDescent="0.25">
      <c r="A1099" s="24" t="s">
        <v>75</v>
      </c>
      <c r="B1099" s="24" t="s">
        <v>105</v>
      </c>
      <c r="C1099" s="32">
        <v>14.263999999999999</v>
      </c>
      <c r="D1099" s="28">
        <v>2.0833333333333332E-2</v>
      </c>
    </row>
    <row r="1100" spans="1:4" x14ac:dyDescent="0.25">
      <c r="A1100" s="24" t="s">
        <v>75</v>
      </c>
      <c r="B1100" s="24" t="s">
        <v>106</v>
      </c>
      <c r="C1100" s="32">
        <v>14.339</v>
      </c>
      <c r="D1100" s="28">
        <v>1.5972222222222224E-2</v>
      </c>
    </row>
    <row r="1101" spans="1:4" x14ac:dyDescent="0.25">
      <c r="A1101" s="24" t="s">
        <v>75</v>
      </c>
      <c r="B1101" s="24" t="s">
        <v>107</v>
      </c>
      <c r="C1101" s="32">
        <v>13.773</v>
      </c>
      <c r="D1101" s="28">
        <v>1.5972222222222224E-2</v>
      </c>
    </row>
    <row r="1102" spans="1:4" x14ac:dyDescent="0.25">
      <c r="A1102" s="24" t="s">
        <v>75</v>
      </c>
      <c r="B1102" s="24" t="s">
        <v>108</v>
      </c>
      <c r="C1102" s="32">
        <v>12.159000000000001</v>
      </c>
      <c r="D1102" s="28">
        <v>1.3194444444444444E-2</v>
      </c>
    </row>
    <row r="1103" spans="1:4" x14ac:dyDescent="0.25">
      <c r="A1103" s="24" t="s">
        <v>75</v>
      </c>
      <c r="B1103" s="24" t="s">
        <v>109</v>
      </c>
      <c r="C1103" s="32">
        <v>12.189</v>
      </c>
      <c r="D1103" s="28">
        <v>1.3194444444444444E-2</v>
      </c>
    </row>
    <row r="1104" spans="1:4" x14ac:dyDescent="0.25">
      <c r="A1104" s="24" t="s">
        <v>75</v>
      </c>
      <c r="B1104" s="24" t="s">
        <v>110</v>
      </c>
      <c r="C1104" s="32">
        <v>13.866</v>
      </c>
      <c r="D1104" s="28">
        <v>1.6666666666666666E-2</v>
      </c>
    </row>
    <row r="1105" spans="1:4" x14ac:dyDescent="0.25">
      <c r="A1105" s="24" t="s">
        <v>75</v>
      </c>
      <c r="B1105" s="24" t="s">
        <v>111</v>
      </c>
      <c r="C1105" s="32">
        <v>15.863</v>
      </c>
      <c r="D1105" s="28">
        <v>1.6666666666666666E-2</v>
      </c>
    </row>
    <row r="1106" spans="1:4" x14ac:dyDescent="0.25">
      <c r="A1106" s="24" t="s">
        <v>75</v>
      </c>
      <c r="B1106" s="24" t="s">
        <v>112</v>
      </c>
      <c r="C1106" s="32">
        <v>14.753</v>
      </c>
      <c r="D1106" s="28">
        <v>1.8055555555555557E-2</v>
      </c>
    </row>
    <row r="1107" spans="1:4" x14ac:dyDescent="0.25">
      <c r="A1107" s="24" t="s">
        <v>75</v>
      </c>
      <c r="B1107" s="24" t="s">
        <v>113</v>
      </c>
      <c r="C1107" s="32">
        <v>17.606000000000002</v>
      </c>
      <c r="D1107" s="28">
        <v>1.5972222222222224E-2</v>
      </c>
    </row>
    <row r="1108" spans="1:4" x14ac:dyDescent="0.25">
      <c r="A1108" s="24" t="s">
        <v>75</v>
      </c>
      <c r="B1108" s="24" t="s">
        <v>114</v>
      </c>
      <c r="C1108" s="32">
        <v>27.850999999999999</v>
      </c>
      <c r="D1108" s="28">
        <v>2.361111111111111E-2</v>
      </c>
    </row>
    <row r="1109" spans="1:4" x14ac:dyDescent="0.25">
      <c r="A1109" s="24" t="s">
        <v>75</v>
      </c>
      <c r="B1109" s="24" t="s">
        <v>115</v>
      </c>
      <c r="C1109" s="32">
        <v>27.702000000000002</v>
      </c>
      <c r="D1109" s="28">
        <v>2.4305555555555556E-2</v>
      </c>
    </row>
    <row r="1110" spans="1:4" x14ac:dyDescent="0.25">
      <c r="A1110" s="24" t="s">
        <v>75</v>
      </c>
      <c r="B1110" s="24" t="s">
        <v>116</v>
      </c>
      <c r="C1110" s="32">
        <v>21.713999999999999</v>
      </c>
      <c r="D1110" s="28">
        <v>2.1527777777777781E-2</v>
      </c>
    </row>
    <row r="1111" spans="1:4" x14ac:dyDescent="0.25">
      <c r="A1111" s="24" t="s">
        <v>75</v>
      </c>
      <c r="B1111" s="24" t="s">
        <v>117</v>
      </c>
      <c r="C1111" s="32">
        <v>29.146000000000001</v>
      </c>
      <c r="D1111" s="28">
        <v>2.7083333333333334E-2</v>
      </c>
    </row>
    <row r="1112" spans="1:4" x14ac:dyDescent="0.25">
      <c r="A1112" s="24" t="s">
        <v>75</v>
      </c>
      <c r="B1112" s="24" t="s">
        <v>118</v>
      </c>
      <c r="C1112" s="32">
        <v>27.31</v>
      </c>
      <c r="D1112" s="28">
        <v>2.1527777777777781E-2</v>
      </c>
    </row>
    <row r="1113" spans="1:4" x14ac:dyDescent="0.25">
      <c r="A1113" s="24" t="s">
        <v>75</v>
      </c>
      <c r="B1113" s="24" t="s">
        <v>119</v>
      </c>
      <c r="C1113" s="32">
        <v>32.548000000000002</v>
      </c>
      <c r="D1113" s="28">
        <v>2.2222222222222223E-2</v>
      </c>
    </row>
    <row r="1114" spans="1:4" x14ac:dyDescent="0.25">
      <c r="A1114" s="24" t="s">
        <v>75</v>
      </c>
      <c r="B1114" s="24" t="s">
        <v>120</v>
      </c>
      <c r="C1114" s="32">
        <v>35.338000000000001</v>
      </c>
      <c r="D1114" s="28">
        <v>2.4999999999999998E-2</v>
      </c>
    </row>
    <row r="1115" spans="1:4" x14ac:dyDescent="0.25">
      <c r="A1115" s="24" t="s">
        <v>75</v>
      </c>
      <c r="B1115" s="24" t="s">
        <v>121</v>
      </c>
      <c r="C1115" s="32">
        <v>49.689</v>
      </c>
      <c r="D1115" s="28">
        <v>3.1944444444444449E-2</v>
      </c>
    </row>
    <row r="1116" spans="1:4" x14ac:dyDescent="0.25">
      <c r="A1116" s="24" t="s">
        <v>75</v>
      </c>
      <c r="B1116" s="24" t="s">
        <v>122</v>
      </c>
      <c r="C1116" s="32">
        <v>47.563000000000002</v>
      </c>
      <c r="D1116" s="28">
        <v>3.2638888888888891E-2</v>
      </c>
    </row>
    <row r="1117" spans="1:4" x14ac:dyDescent="0.25">
      <c r="A1117" s="24" t="s">
        <v>75</v>
      </c>
      <c r="B1117" s="24" t="s">
        <v>123</v>
      </c>
      <c r="C1117" s="32">
        <v>43.274000000000001</v>
      </c>
      <c r="D1117" s="28">
        <v>2.8472222222222222E-2</v>
      </c>
    </row>
    <row r="1118" spans="1:4" x14ac:dyDescent="0.25">
      <c r="A1118" s="24" t="s">
        <v>75</v>
      </c>
      <c r="B1118" s="24" t="s">
        <v>124</v>
      </c>
      <c r="C1118" s="32">
        <v>43.274000000000001</v>
      </c>
      <c r="D1118" s="28">
        <v>2.8472222222222222E-2</v>
      </c>
    </row>
    <row r="1119" spans="1:4" x14ac:dyDescent="0.25">
      <c r="A1119" s="24" t="s">
        <v>75</v>
      </c>
      <c r="B1119" s="24" t="s">
        <v>125</v>
      </c>
      <c r="C1119" s="32">
        <v>13.045999999999999</v>
      </c>
      <c r="D1119" s="28">
        <v>1.6666666666666666E-2</v>
      </c>
    </row>
    <row r="1120" spans="1:4" x14ac:dyDescent="0.25">
      <c r="A1120" s="24" t="s">
        <v>75</v>
      </c>
      <c r="B1120" s="24" t="s">
        <v>126</v>
      </c>
      <c r="C1120" s="32">
        <v>12.784000000000001</v>
      </c>
      <c r="D1120" s="28">
        <v>1.5277777777777777E-2</v>
      </c>
    </row>
    <row r="1121" spans="1:4" x14ac:dyDescent="0.25">
      <c r="A1121" s="24" t="s">
        <v>75</v>
      </c>
      <c r="B1121" s="24" t="s">
        <v>127</v>
      </c>
      <c r="C1121" s="32">
        <v>13.529</v>
      </c>
      <c r="D1121" s="28">
        <v>1.6666666666666666E-2</v>
      </c>
    </row>
    <row r="1122" spans="1:4" x14ac:dyDescent="0.25">
      <c r="A1122" s="24" t="s">
        <v>75</v>
      </c>
      <c r="B1122" s="24" t="s">
        <v>128</v>
      </c>
      <c r="C1122" s="32">
        <v>12.404999999999999</v>
      </c>
      <c r="D1122" s="28">
        <v>1.5972222222222224E-2</v>
      </c>
    </row>
    <row r="1123" spans="1:4" x14ac:dyDescent="0.25">
      <c r="A1123" s="24" t="s">
        <v>75</v>
      </c>
      <c r="B1123" s="24" t="s">
        <v>129</v>
      </c>
      <c r="C1123" s="32">
        <v>12.404999999999999</v>
      </c>
      <c r="D1123" s="28">
        <v>1.5972222222222224E-2</v>
      </c>
    </row>
    <row r="1124" spans="1:4" x14ac:dyDescent="0.25">
      <c r="A1124" s="24" t="s">
        <v>75</v>
      </c>
      <c r="B1124" s="24" t="s">
        <v>130</v>
      </c>
      <c r="C1124" s="32">
        <v>13.446999999999999</v>
      </c>
      <c r="D1124" s="28">
        <v>1.7361111111111112E-2</v>
      </c>
    </row>
    <row r="1125" spans="1:4" x14ac:dyDescent="0.25">
      <c r="A1125" s="24" t="s">
        <v>75</v>
      </c>
      <c r="B1125" s="24" t="s">
        <v>131</v>
      </c>
      <c r="C1125" s="32">
        <v>15.917999999999999</v>
      </c>
      <c r="D1125" s="28">
        <v>2.013888888888889E-2</v>
      </c>
    </row>
    <row r="1126" spans="1:4" x14ac:dyDescent="0.25">
      <c r="A1126" s="24" t="s">
        <v>75</v>
      </c>
      <c r="B1126" s="24" t="s">
        <v>132</v>
      </c>
      <c r="C1126" s="32">
        <v>13.048999999999999</v>
      </c>
      <c r="D1126" s="28">
        <v>1.6666666666666666E-2</v>
      </c>
    </row>
    <row r="1127" spans="1:4" x14ac:dyDescent="0.25">
      <c r="A1127" s="24" t="s">
        <v>75</v>
      </c>
      <c r="B1127" s="24" t="s">
        <v>133</v>
      </c>
      <c r="C1127" s="32">
        <v>7.556</v>
      </c>
      <c r="D1127" s="28">
        <v>9.0277777777777787E-3</v>
      </c>
    </row>
    <row r="1128" spans="1:4" x14ac:dyDescent="0.25">
      <c r="A1128" s="24" t="s">
        <v>75</v>
      </c>
      <c r="B1128" s="24" t="s">
        <v>134</v>
      </c>
      <c r="C1128" s="32">
        <v>7.09</v>
      </c>
      <c r="D1128" s="28">
        <v>8.3333333333333332E-3</v>
      </c>
    </row>
    <row r="1129" spans="1:4" x14ac:dyDescent="0.25">
      <c r="A1129" s="24" t="s">
        <v>75</v>
      </c>
      <c r="B1129" s="24" t="s">
        <v>135</v>
      </c>
      <c r="C1129" s="32">
        <v>5.165</v>
      </c>
      <c r="D1129" s="28">
        <v>6.9444444444444441E-3</v>
      </c>
    </row>
    <row r="1130" spans="1:4" x14ac:dyDescent="0.25">
      <c r="A1130" s="24" t="s">
        <v>75</v>
      </c>
      <c r="B1130" s="24" t="s">
        <v>136</v>
      </c>
      <c r="C1130" s="32">
        <v>5.165</v>
      </c>
      <c r="D1130" s="28">
        <v>6.9444444444444441E-3</v>
      </c>
    </row>
    <row r="1131" spans="1:4" x14ac:dyDescent="0.25">
      <c r="A1131" s="24" t="s">
        <v>75</v>
      </c>
      <c r="B1131" s="24" t="s">
        <v>137</v>
      </c>
      <c r="C1131" s="32">
        <v>5.8579999999999997</v>
      </c>
      <c r="D1131" s="28">
        <v>8.3333333333333332E-3</v>
      </c>
    </row>
    <row r="1132" spans="1:4" x14ac:dyDescent="0.25">
      <c r="A1132" s="24" t="s">
        <v>75</v>
      </c>
      <c r="B1132" s="24" t="s">
        <v>138</v>
      </c>
      <c r="C1132" s="32">
        <v>13.612</v>
      </c>
      <c r="D1132" s="28">
        <v>1.1805555555555555E-2</v>
      </c>
    </row>
    <row r="1133" spans="1:4" x14ac:dyDescent="0.25">
      <c r="A1133" s="24" t="s">
        <v>75</v>
      </c>
      <c r="B1133" s="24" t="s">
        <v>139</v>
      </c>
      <c r="C1133" s="32">
        <v>12.382</v>
      </c>
      <c r="D1133" s="28">
        <v>1.1805555555555555E-2</v>
      </c>
    </row>
    <row r="1134" spans="1:4" x14ac:dyDescent="0.25">
      <c r="A1134" s="24" t="s">
        <v>75</v>
      </c>
      <c r="B1134" s="24" t="s">
        <v>140</v>
      </c>
      <c r="C1134" s="32">
        <v>10.803000000000001</v>
      </c>
      <c r="D1134" s="28">
        <v>1.0416666666666666E-2</v>
      </c>
    </row>
    <row r="1135" spans="1:4" x14ac:dyDescent="0.25">
      <c r="A1135" s="24" t="s">
        <v>75</v>
      </c>
      <c r="B1135" s="24" t="s">
        <v>141</v>
      </c>
      <c r="C1135" s="32">
        <v>37.093000000000004</v>
      </c>
      <c r="D1135" s="28">
        <v>3.0555555555555555E-2</v>
      </c>
    </row>
    <row r="1136" spans="1:4" x14ac:dyDescent="0.25">
      <c r="A1136" s="24" t="s">
        <v>75</v>
      </c>
      <c r="B1136" s="24" t="s">
        <v>142</v>
      </c>
      <c r="C1136" s="32">
        <v>32.018000000000001</v>
      </c>
      <c r="D1136" s="28">
        <v>2.2222222222222223E-2</v>
      </c>
    </row>
    <row r="1137" spans="1:4" x14ac:dyDescent="0.25">
      <c r="A1137" s="24" t="s">
        <v>75</v>
      </c>
      <c r="B1137" s="24" t="s">
        <v>143</v>
      </c>
      <c r="C1137" s="32">
        <v>50.396000000000001</v>
      </c>
      <c r="D1137" s="28">
        <v>2.9166666666666664E-2</v>
      </c>
    </row>
    <row r="1138" spans="1:4" x14ac:dyDescent="0.25">
      <c r="A1138" s="24" t="s">
        <v>75</v>
      </c>
      <c r="B1138" s="24" t="s">
        <v>144</v>
      </c>
      <c r="C1138" s="32">
        <v>69.512</v>
      </c>
      <c r="D1138" s="28">
        <v>4.027777777777778E-2</v>
      </c>
    </row>
    <row r="1139" spans="1:4" x14ac:dyDescent="0.25">
      <c r="A1139" s="24" t="s">
        <v>75</v>
      </c>
      <c r="B1139" s="24" t="s">
        <v>145</v>
      </c>
      <c r="C1139" s="32">
        <v>28.411999999999999</v>
      </c>
      <c r="D1139" s="28">
        <v>2.013888888888889E-2</v>
      </c>
    </row>
    <row r="1140" spans="1:4" x14ac:dyDescent="0.25">
      <c r="A1140" s="24" t="s">
        <v>75</v>
      </c>
      <c r="B1140" s="24" t="s">
        <v>146</v>
      </c>
      <c r="C1140" s="32">
        <v>43.871000000000002</v>
      </c>
      <c r="D1140" s="28">
        <v>2.7777777777777776E-2</v>
      </c>
    </row>
    <row r="1141" spans="1:4" x14ac:dyDescent="0.25">
      <c r="A1141" s="24" t="s">
        <v>75</v>
      </c>
      <c r="B1141" s="24" t="s">
        <v>147</v>
      </c>
      <c r="C1141" s="32">
        <v>16.364999999999998</v>
      </c>
      <c r="D1141" s="28">
        <v>1.6666666666666666E-2</v>
      </c>
    </row>
    <row r="1142" spans="1:4" x14ac:dyDescent="0.25">
      <c r="A1142" s="24" t="s">
        <v>75</v>
      </c>
      <c r="B1142" s="24" t="s">
        <v>148</v>
      </c>
      <c r="C1142" s="32">
        <v>14.442</v>
      </c>
      <c r="D1142" s="28">
        <v>1.7361111111111112E-2</v>
      </c>
    </row>
    <row r="1143" spans="1:4" x14ac:dyDescent="0.25">
      <c r="A1143" s="24" t="s">
        <v>75</v>
      </c>
      <c r="B1143" s="24" t="s">
        <v>149</v>
      </c>
      <c r="C1143" s="32">
        <v>14.295999999999999</v>
      </c>
      <c r="D1143" s="28">
        <v>1.7361111111111112E-2</v>
      </c>
    </row>
    <row r="1144" spans="1:4" x14ac:dyDescent="0.25">
      <c r="A1144" s="24" t="s">
        <v>75</v>
      </c>
      <c r="B1144" s="24" t="s">
        <v>150</v>
      </c>
      <c r="C1144" s="32">
        <v>20.545999999999999</v>
      </c>
      <c r="D1144" s="28">
        <v>2.361111111111111E-2</v>
      </c>
    </row>
    <row r="1145" spans="1:4" x14ac:dyDescent="0.25">
      <c r="A1145" s="24" t="s">
        <v>75</v>
      </c>
      <c r="B1145" s="24" t="s">
        <v>151</v>
      </c>
      <c r="C1145" s="32">
        <v>19.803999999999998</v>
      </c>
      <c r="D1145" s="28">
        <v>2.361111111111111E-2</v>
      </c>
    </row>
    <row r="1146" spans="1:4" x14ac:dyDescent="0.25">
      <c r="A1146" s="24" t="s">
        <v>75</v>
      </c>
      <c r="B1146" s="24" t="s">
        <v>152</v>
      </c>
      <c r="C1146" s="32">
        <v>24.449000000000002</v>
      </c>
      <c r="D1146" s="28">
        <v>2.7777777777777776E-2</v>
      </c>
    </row>
    <row r="1147" spans="1:4" x14ac:dyDescent="0.25">
      <c r="A1147" s="24" t="s">
        <v>75</v>
      </c>
      <c r="B1147" s="24" t="s">
        <v>153</v>
      </c>
      <c r="C1147" s="32">
        <v>29.402999999999999</v>
      </c>
      <c r="D1147" s="28">
        <v>3.1944444444444449E-2</v>
      </c>
    </row>
    <row r="1148" spans="1:4" x14ac:dyDescent="0.25">
      <c r="A1148" s="24" t="s">
        <v>75</v>
      </c>
      <c r="B1148" s="24" t="s">
        <v>154</v>
      </c>
      <c r="C1148" s="32">
        <v>24.221</v>
      </c>
      <c r="D1148" s="28">
        <v>2.6388888888888889E-2</v>
      </c>
    </row>
    <row r="1149" spans="1:4" x14ac:dyDescent="0.25">
      <c r="A1149" s="24" t="s">
        <v>75</v>
      </c>
      <c r="B1149" s="24" t="s">
        <v>155</v>
      </c>
      <c r="C1149" s="32">
        <v>19.864999999999998</v>
      </c>
      <c r="D1149" s="28">
        <v>2.361111111111111E-2</v>
      </c>
    </row>
    <row r="1150" spans="1:4" x14ac:dyDescent="0.25">
      <c r="A1150" s="24" t="s">
        <v>75</v>
      </c>
      <c r="B1150" s="24" t="s">
        <v>156</v>
      </c>
      <c r="C1150" s="32">
        <v>19.849</v>
      </c>
      <c r="D1150" s="28">
        <v>2.361111111111111E-2</v>
      </c>
    </row>
    <row r="1151" spans="1:4" x14ac:dyDescent="0.25">
      <c r="A1151" s="24" t="s">
        <v>75</v>
      </c>
      <c r="B1151" s="24" t="s">
        <v>157</v>
      </c>
      <c r="C1151" s="32">
        <v>34.518000000000001</v>
      </c>
      <c r="D1151" s="28">
        <v>3.2638888888888891E-2</v>
      </c>
    </row>
    <row r="1152" spans="1:4" x14ac:dyDescent="0.25">
      <c r="A1152" s="24" t="s">
        <v>75</v>
      </c>
      <c r="B1152" s="24" t="s">
        <v>158</v>
      </c>
      <c r="C1152" s="32">
        <v>45.427999999999997</v>
      </c>
      <c r="D1152" s="28">
        <v>4.1666666666666664E-2</v>
      </c>
    </row>
    <row r="1153" spans="1:4" x14ac:dyDescent="0.25">
      <c r="A1153" s="24" t="s">
        <v>75</v>
      </c>
      <c r="B1153" s="24" t="s">
        <v>159</v>
      </c>
      <c r="C1153" s="32">
        <v>50.798000000000002</v>
      </c>
      <c r="D1153" s="28">
        <v>4.7222222222222221E-2</v>
      </c>
    </row>
    <row r="1154" spans="1:4" x14ac:dyDescent="0.25">
      <c r="A1154" s="24" t="s">
        <v>76</v>
      </c>
      <c r="B1154" s="24" t="s">
        <v>65</v>
      </c>
      <c r="C1154" s="32">
        <v>22.54</v>
      </c>
      <c r="D1154" s="28">
        <v>2.2916666666666669E-2</v>
      </c>
    </row>
    <row r="1155" spans="1:4" x14ac:dyDescent="0.25">
      <c r="A1155" s="24" t="s">
        <v>76</v>
      </c>
      <c r="B1155" s="24" t="s">
        <v>64</v>
      </c>
      <c r="C1155" s="32">
        <v>14.02</v>
      </c>
      <c r="D1155" s="28">
        <v>1.7361111111111112E-2</v>
      </c>
    </row>
    <row r="1156" spans="1:4" x14ac:dyDescent="0.25">
      <c r="A1156" s="24" t="s">
        <v>76</v>
      </c>
      <c r="B1156" s="24" t="s">
        <v>66</v>
      </c>
      <c r="C1156" s="32">
        <v>13.733000000000001</v>
      </c>
      <c r="D1156" s="28">
        <v>1.4583333333333332E-2</v>
      </c>
    </row>
    <row r="1157" spans="1:4" x14ac:dyDescent="0.25">
      <c r="A1157" s="24" t="s">
        <v>76</v>
      </c>
      <c r="B1157" s="24" t="s">
        <v>67</v>
      </c>
      <c r="C1157" s="32">
        <v>9.8580000000000005</v>
      </c>
      <c r="D1157" s="28">
        <v>1.0416666666666666E-2</v>
      </c>
    </row>
    <row r="1158" spans="1:4" x14ac:dyDescent="0.25">
      <c r="A1158" s="24" t="s">
        <v>76</v>
      </c>
      <c r="B1158" s="24" t="s">
        <v>68</v>
      </c>
      <c r="C1158" s="32">
        <v>9.7219999999999995</v>
      </c>
      <c r="D1158" s="28">
        <v>1.0416666666666666E-2</v>
      </c>
    </row>
    <row r="1159" spans="1:4" x14ac:dyDescent="0.25">
      <c r="A1159" s="24" t="s">
        <v>76</v>
      </c>
      <c r="B1159" s="24" t="s">
        <v>69</v>
      </c>
      <c r="C1159" s="32">
        <v>10.522</v>
      </c>
      <c r="D1159" s="28">
        <v>1.1805555555555555E-2</v>
      </c>
    </row>
    <row r="1160" spans="1:4" x14ac:dyDescent="0.25">
      <c r="A1160" s="24" t="s">
        <v>76</v>
      </c>
      <c r="B1160" s="24" t="s">
        <v>70</v>
      </c>
      <c r="C1160" s="32">
        <v>10.186</v>
      </c>
      <c r="D1160" s="28">
        <v>1.1111111111111112E-2</v>
      </c>
    </row>
    <row r="1161" spans="1:4" x14ac:dyDescent="0.25">
      <c r="A1161" s="24" t="s">
        <v>76</v>
      </c>
      <c r="B1161" s="24" t="s">
        <v>71</v>
      </c>
      <c r="C1161" s="32">
        <v>10.153</v>
      </c>
      <c r="D1161" s="28">
        <v>1.1805555555555555E-2</v>
      </c>
    </row>
    <row r="1162" spans="1:4" x14ac:dyDescent="0.25">
      <c r="A1162" s="24" t="s">
        <v>76</v>
      </c>
      <c r="B1162" s="24" t="s">
        <v>72</v>
      </c>
      <c r="C1162" s="32">
        <v>9.3219999999999992</v>
      </c>
      <c r="D1162" s="28">
        <v>1.0416666666666666E-2</v>
      </c>
    </row>
    <row r="1163" spans="1:4" x14ac:dyDescent="0.25">
      <c r="A1163" s="24" t="s">
        <v>76</v>
      </c>
      <c r="B1163" s="24" t="s">
        <v>73</v>
      </c>
      <c r="C1163" s="32">
        <v>10.429</v>
      </c>
      <c r="D1163" s="28">
        <v>1.1805555555555555E-2</v>
      </c>
    </row>
    <row r="1164" spans="1:4" x14ac:dyDescent="0.25">
      <c r="A1164" s="24" t="s">
        <v>76</v>
      </c>
      <c r="B1164" s="24" t="s">
        <v>74</v>
      </c>
      <c r="C1164" s="32">
        <v>8.26</v>
      </c>
      <c r="D1164" s="28">
        <v>1.1111111111111112E-2</v>
      </c>
    </row>
    <row r="1165" spans="1:4" x14ac:dyDescent="0.25">
      <c r="A1165" s="24" t="s">
        <v>76</v>
      </c>
      <c r="B1165" s="24" t="s">
        <v>75</v>
      </c>
      <c r="C1165" s="32">
        <v>8.5220000000000002</v>
      </c>
      <c r="D1165" s="28">
        <v>9.7222222222222224E-3</v>
      </c>
    </row>
    <row r="1166" spans="1:4" x14ac:dyDescent="0.25">
      <c r="A1166" s="24" t="s">
        <v>76</v>
      </c>
      <c r="B1166" s="24" t="s">
        <v>76</v>
      </c>
      <c r="C1166" s="32">
        <v>0</v>
      </c>
      <c r="D1166" s="28">
        <v>0</v>
      </c>
    </row>
    <row r="1167" spans="1:4" x14ac:dyDescent="0.25">
      <c r="A1167" s="24" t="s">
        <v>76</v>
      </c>
      <c r="B1167" s="24" t="s">
        <v>77</v>
      </c>
      <c r="C1167" s="32">
        <v>12.375999999999999</v>
      </c>
      <c r="D1167" s="28">
        <v>1.1111111111111112E-2</v>
      </c>
    </row>
    <row r="1168" spans="1:4" x14ac:dyDescent="0.25">
      <c r="A1168" s="24" t="s">
        <v>76</v>
      </c>
      <c r="B1168" s="24" t="s">
        <v>78</v>
      </c>
      <c r="C1168" s="32">
        <v>13.249000000000001</v>
      </c>
      <c r="D1168" s="28">
        <v>1.2499999999999999E-2</v>
      </c>
    </row>
    <row r="1169" spans="1:4" x14ac:dyDescent="0.25">
      <c r="A1169" s="24" t="s">
        <v>76</v>
      </c>
      <c r="B1169" s="24" t="s">
        <v>79</v>
      </c>
      <c r="C1169" s="32">
        <v>24.103999999999999</v>
      </c>
      <c r="D1169" s="28">
        <v>2.361111111111111E-2</v>
      </c>
    </row>
    <row r="1170" spans="1:4" x14ac:dyDescent="0.25">
      <c r="A1170" s="24" t="s">
        <v>76</v>
      </c>
      <c r="B1170" s="24" t="s">
        <v>80</v>
      </c>
      <c r="C1170" s="32">
        <v>25.768000000000001</v>
      </c>
      <c r="D1170" s="28">
        <v>2.4999999999999998E-2</v>
      </c>
    </row>
    <row r="1171" spans="1:4" x14ac:dyDescent="0.25">
      <c r="A1171" s="24" t="s">
        <v>76</v>
      </c>
      <c r="B1171" s="24" t="s">
        <v>81</v>
      </c>
      <c r="C1171" s="32">
        <v>37.261000000000003</v>
      </c>
      <c r="D1171" s="28">
        <v>2.5694444444444447E-2</v>
      </c>
    </row>
    <row r="1172" spans="1:4" x14ac:dyDescent="0.25">
      <c r="A1172" s="24" t="s">
        <v>76</v>
      </c>
      <c r="B1172" s="24" t="s">
        <v>82</v>
      </c>
      <c r="C1172" s="32">
        <v>37.313000000000002</v>
      </c>
      <c r="D1172" s="28">
        <v>2.5694444444444447E-2</v>
      </c>
    </row>
    <row r="1173" spans="1:4" x14ac:dyDescent="0.25">
      <c r="A1173" s="24" t="s">
        <v>76</v>
      </c>
      <c r="B1173" s="24" t="s">
        <v>83</v>
      </c>
      <c r="C1173" s="32">
        <v>13.395</v>
      </c>
      <c r="D1173" s="28">
        <v>1.5972222222222224E-2</v>
      </c>
    </row>
    <row r="1174" spans="1:4" x14ac:dyDescent="0.25">
      <c r="A1174" s="24" t="s">
        <v>76</v>
      </c>
      <c r="B1174" s="24" t="s">
        <v>84</v>
      </c>
      <c r="C1174" s="32">
        <v>9.6859999999999999</v>
      </c>
      <c r="D1174" s="28">
        <v>1.1805555555555555E-2</v>
      </c>
    </row>
    <row r="1175" spans="1:4" x14ac:dyDescent="0.25">
      <c r="A1175" s="24" t="s">
        <v>76</v>
      </c>
      <c r="B1175" s="24" t="s">
        <v>85</v>
      </c>
      <c r="C1175" s="32">
        <v>9.32</v>
      </c>
      <c r="D1175" s="28">
        <v>1.1805555555555555E-2</v>
      </c>
    </row>
    <row r="1176" spans="1:4" x14ac:dyDescent="0.25">
      <c r="A1176" s="24" t="s">
        <v>76</v>
      </c>
      <c r="B1176" s="24" t="s">
        <v>86</v>
      </c>
      <c r="C1176" s="32">
        <v>10.442</v>
      </c>
      <c r="D1176" s="28">
        <v>1.3194444444444444E-2</v>
      </c>
    </row>
    <row r="1177" spans="1:4" x14ac:dyDescent="0.25">
      <c r="A1177" s="24" t="s">
        <v>76</v>
      </c>
      <c r="B1177" s="24" t="s">
        <v>87</v>
      </c>
      <c r="C1177" s="32">
        <v>10.220000000000001</v>
      </c>
      <c r="D1177" s="28">
        <v>1.3194444444444444E-2</v>
      </c>
    </row>
    <row r="1178" spans="1:4" x14ac:dyDescent="0.25">
      <c r="A1178" s="24" t="s">
        <v>76</v>
      </c>
      <c r="B1178" s="24" t="s">
        <v>88</v>
      </c>
      <c r="C1178" s="32">
        <v>11.298999999999999</v>
      </c>
      <c r="D1178" s="28">
        <v>1.3888888888888888E-2</v>
      </c>
    </row>
    <row r="1179" spans="1:4" x14ac:dyDescent="0.25">
      <c r="A1179" s="24" t="s">
        <v>76</v>
      </c>
      <c r="B1179" s="24" t="s">
        <v>89</v>
      </c>
      <c r="C1179" s="32">
        <v>14.988</v>
      </c>
      <c r="D1179" s="28">
        <v>1.8055555555555557E-2</v>
      </c>
    </row>
    <row r="1180" spans="1:4" x14ac:dyDescent="0.25">
      <c r="A1180" s="24" t="s">
        <v>76</v>
      </c>
      <c r="B1180" s="24" t="s">
        <v>90</v>
      </c>
      <c r="C1180" s="32">
        <v>24.581</v>
      </c>
      <c r="D1180" s="28">
        <v>2.4999999999999998E-2</v>
      </c>
    </row>
    <row r="1181" spans="1:4" x14ac:dyDescent="0.25">
      <c r="A1181" s="24" t="s">
        <v>76</v>
      </c>
      <c r="B1181" s="24" t="s">
        <v>91</v>
      </c>
      <c r="C1181" s="32">
        <v>12.847</v>
      </c>
      <c r="D1181" s="28">
        <v>1.5972222222222224E-2</v>
      </c>
    </row>
    <row r="1182" spans="1:4" x14ac:dyDescent="0.25">
      <c r="A1182" s="24" t="s">
        <v>76</v>
      </c>
      <c r="B1182" s="24" t="s">
        <v>92</v>
      </c>
      <c r="C1182" s="32">
        <v>23.84</v>
      </c>
      <c r="D1182" s="28">
        <v>2.4305555555555556E-2</v>
      </c>
    </row>
    <row r="1183" spans="1:4" x14ac:dyDescent="0.25">
      <c r="A1183" s="24" t="s">
        <v>76</v>
      </c>
      <c r="B1183" s="24" t="s">
        <v>93</v>
      </c>
      <c r="C1183" s="32">
        <v>47.570999999999998</v>
      </c>
      <c r="D1183" s="28">
        <v>3.7499999999999999E-2</v>
      </c>
    </row>
    <row r="1184" spans="1:4" x14ac:dyDescent="0.25">
      <c r="A1184" s="24" t="s">
        <v>76</v>
      </c>
      <c r="B1184" s="24" t="s">
        <v>94</v>
      </c>
      <c r="C1184" s="32">
        <v>48.2</v>
      </c>
      <c r="D1184" s="28">
        <v>3.8194444444444441E-2</v>
      </c>
    </row>
    <row r="1185" spans="1:4" x14ac:dyDescent="0.25">
      <c r="A1185" s="24" t="s">
        <v>76</v>
      </c>
      <c r="B1185" s="24" t="s">
        <v>95</v>
      </c>
      <c r="C1185" s="32">
        <v>26.324999999999999</v>
      </c>
      <c r="D1185" s="28">
        <v>2.7777777777777776E-2</v>
      </c>
    </row>
    <row r="1186" spans="1:4" x14ac:dyDescent="0.25">
      <c r="A1186" s="24" t="s">
        <v>76</v>
      </c>
      <c r="B1186" s="24" t="s">
        <v>96</v>
      </c>
      <c r="C1186" s="32">
        <v>27.908999999999999</v>
      </c>
      <c r="D1186" s="28">
        <v>2.7777777777777776E-2</v>
      </c>
    </row>
    <row r="1187" spans="1:4" x14ac:dyDescent="0.25">
      <c r="A1187" s="24" t="s">
        <v>76</v>
      </c>
      <c r="B1187" s="24" t="s">
        <v>97</v>
      </c>
      <c r="C1187" s="32">
        <v>36.228000000000002</v>
      </c>
      <c r="D1187" s="28">
        <v>3.4027777777777775E-2</v>
      </c>
    </row>
    <row r="1188" spans="1:4" x14ac:dyDescent="0.25">
      <c r="A1188" s="24" t="s">
        <v>76</v>
      </c>
      <c r="B1188" s="24" t="s">
        <v>98</v>
      </c>
      <c r="C1188" s="32">
        <v>34.695999999999998</v>
      </c>
      <c r="D1188" s="28">
        <v>3.2638888888888891E-2</v>
      </c>
    </row>
    <row r="1189" spans="1:4" x14ac:dyDescent="0.25">
      <c r="A1189" s="24" t="s">
        <v>76</v>
      </c>
      <c r="B1189" s="24" t="s">
        <v>99</v>
      </c>
      <c r="C1189" s="32">
        <v>36.799999999999997</v>
      </c>
      <c r="D1189" s="28">
        <v>3.6805555555555557E-2</v>
      </c>
    </row>
    <row r="1190" spans="1:4" x14ac:dyDescent="0.25">
      <c r="A1190" s="24" t="s">
        <v>76</v>
      </c>
      <c r="B1190" s="24" t="s">
        <v>100</v>
      </c>
      <c r="C1190" s="32">
        <v>29.573</v>
      </c>
      <c r="D1190" s="28">
        <v>2.8472222222222222E-2</v>
      </c>
    </row>
    <row r="1191" spans="1:4" x14ac:dyDescent="0.25">
      <c r="A1191" s="24" t="s">
        <v>76</v>
      </c>
      <c r="B1191" s="24" t="s">
        <v>101</v>
      </c>
      <c r="C1191" s="32">
        <v>32.052</v>
      </c>
      <c r="D1191" s="28">
        <v>3.2638888888888891E-2</v>
      </c>
    </row>
    <row r="1192" spans="1:4" x14ac:dyDescent="0.25">
      <c r="A1192" s="24" t="s">
        <v>76</v>
      </c>
      <c r="B1192" s="24" t="s">
        <v>102</v>
      </c>
      <c r="C1192" s="32">
        <v>31.478999999999999</v>
      </c>
      <c r="D1192" s="28">
        <v>3.1944444444444449E-2</v>
      </c>
    </row>
    <row r="1193" spans="1:4" x14ac:dyDescent="0.25">
      <c r="A1193" s="24" t="s">
        <v>76</v>
      </c>
      <c r="B1193" s="24" t="s">
        <v>103</v>
      </c>
      <c r="C1193" s="32">
        <v>18.637</v>
      </c>
      <c r="D1193" s="28">
        <v>1.9444444444444445E-2</v>
      </c>
    </row>
    <row r="1194" spans="1:4" x14ac:dyDescent="0.25">
      <c r="A1194" s="24" t="s">
        <v>76</v>
      </c>
      <c r="B1194" s="24" t="s">
        <v>104</v>
      </c>
      <c r="C1194" s="32">
        <v>22.72</v>
      </c>
      <c r="D1194" s="28">
        <v>2.361111111111111E-2</v>
      </c>
    </row>
    <row r="1195" spans="1:4" x14ac:dyDescent="0.25">
      <c r="A1195" s="24" t="s">
        <v>76</v>
      </c>
      <c r="B1195" s="24" t="s">
        <v>105</v>
      </c>
      <c r="C1195" s="32">
        <v>17.466999999999999</v>
      </c>
      <c r="D1195" s="28">
        <v>2.2916666666666669E-2</v>
      </c>
    </row>
    <row r="1196" spans="1:4" x14ac:dyDescent="0.25">
      <c r="A1196" s="24" t="s">
        <v>76</v>
      </c>
      <c r="B1196" s="24" t="s">
        <v>106</v>
      </c>
      <c r="C1196" s="32">
        <v>18.059999999999999</v>
      </c>
      <c r="D1196" s="28">
        <v>2.013888888888889E-2</v>
      </c>
    </row>
    <row r="1197" spans="1:4" x14ac:dyDescent="0.25">
      <c r="A1197" s="24" t="s">
        <v>76</v>
      </c>
      <c r="B1197" s="24" t="s">
        <v>107</v>
      </c>
      <c r="C1197" s="32">
        <v>13.587</v>
      </c>
      <c r="D1197" s="28">
        <v>1.5972222222222224E-2</v>
      </c>
    </row>
    <row r="1198" spans="1:4" x14ac:dyDescent="0.25">
      <c r="A1198" s="24" t="s">
        <v>76</v>
      </c>
      <c r="B1198" s="24" t="s">
        <v>108</v>
      </c>
      <c r="C1198" s="32">
        <v>11.973000000000001</v>
      </c>
      <c r="D1198" s="28">
        <v>1.3888888888888888E-2</v>
      </c>
    </row>
    <row r="1199" spans="1:4" x14ac:dyDescent="0.25">
      <c r="A1199" s="24" t="s">
        <v>76</v>
      </c>
      <c r="B1199" s="24" t="s">
        <v>109</v>
      </c>
      <c r="C1199" s="32">
        <v>12.003</v>
      </c>
      <c r="D1199" s="28">
        <v>1.3888888888888888E-2</v>
      </c>
    </row>
    <row r="1200" spans="1:4" x14ac:dyDescent="0.25">
      <c r="A1200" s="24" t="s">
        <v>76</v>
      </c>
      <c r="B1200" s="24" t="s">
        <v>110</v>
      </c>
      <c r="C1200" s="32">
        <v>18.013000000000002</v>
      </c>
      <c r="D1200" s="28">
        <v>2.0833333333333332E-2</v>
      </c>
    </row>
    <row r="1201" spans="1:4" x14ac:dyDescent="0.25">
      <c r="A1201" s="24" t="s">
        <v>76</v>
      </c>
      <c r="B1201" s="24" t="s">
        <v>111</v>
      </c>
      <c r="C1201" s="32">
        <v>18.175000000000001</v>
      </c>
      <c r="D1201" s="28">
        <v>2.013888888888889E-2</v>
      </c>
    </row>
    <row r="1202" spans="1:4" x14ac:dyDescent="0.25">
      <c r="A1202" s="24" t="s">
        <v>76</v>
      </c>
      <c r="B1202" s="24" t="s">
        <v>112</v>
      </c>
      <c r="C1202" s="32">
        <v>18.66</v>
      </c>
      <c r="D1202" s="28">
        <v>1.7361111111111112E-2</v>
      </c>
    </row>
    <row r="1203" spans="1:4" x14ac:dyDescent="0.25">
      <c r="A1203" s="24" t="s">
        <v>76</v>
      </c>
      <c r="B1203" s="24" t="s">
        <v>113</v>
      </c>
      <c r="C1203" s="32">
        <v>15.792999999999999</v>
      </c>
      <c r="D1203" s="28">
        <v>1.5277777777777777E-2</v>
      </c>
    </row>
    <row r="1204" spans="1:4" x14ac:dyDescent="0.25">
      <c r="A1204" s="24" t="s">
        <v>76</v>
      </c>
      <c r="B1204" s="24" t="s">
        <v>114</v>
      </c>
      <c r="C1204" s="32">
        <v>28.835000000000001</v>
      </c>
      <c r="D1204" s="28">
        <v>2.6388888888888889E-2</v>
      </c>
    </row>
    <row r="1205" spans="1:4" x14ac:dyDescent="0.25">
      <c r="A1205" s="24" t="s">
        <v>76</v>
      </c>
      <c r="B1205" s="24" t="s">
        <v>115</v>
      </c>
      <c r="C1205" s="32">
        <v>28.686</v>
      </c>
      <c r="D1205" s="28">
        <v>2.6388888888888889E-2</v>
      </c>
    </row>
    <row r="1206" spans="1:4" x14ac:dyDescent="0.25">
      <c r="A1206" s="24" t="s">
        <v>76</v>
      </c>
      <c r="B1206" s="24" t="s">
        <v>116</v>
      </c>
      <c r="C1206" s="32">
        <v>22.922000000000001</v>
      </c>
      <c r="D1206" s="28">
        <v>2.4305555555555556E-2</v>
      </c>
    </row>
    <row r="1207" spans="1:4" x14ac:dyDescent="0.25">
      <c r="A1207" s="24" t="s">
        <v>76</v>
      </c>
      <c r="B1207" s="24" t="s">
        <v>117</v>
      </c>
      <c r="C1207" s="32">
        <v>25.829000000000001</v>
      </c>
      <c r="D1207" s="28">
        <v>2.9166666666666664E-2</v>
      </c>
    </row>
    <row r="1208" spans="1:4" x14ac:dyDescent="0.25">
      <c r="A1208" s="24" t="s">
        <v>76</v>
      </c>
      <c r="B1208" s="24" t="s">
        <v>118</v>
      </c>
      <c r="C1208" s="32">
        <v>25.497</v>
      </c>
      <c r="D1208" s="28">
        <v>2.013888888888889E-2</v>
      </c>
    </row>
    <row r="1209" spans="1:4" x14ac:dyDescent="0.25">
      <c r="A1209" s="24" t="s">
        <v>76</v>
      </c>
      <c r="B1209" s="24" t="s">
        <v>119</v>
      </c>
      <c r="C1209" s="32">
        <v>31.440999999999999</v>
      </c>
      <c r="D1209" s="28">
        <v>2.1527777777777781E-2</v>
      </c>
    </row>
    <row r="1210" spans="1:4" x14ac:dyDescent="0.25">
      <c r="A1210" s="24" t="s">
        <v>76</v>
      </c>
      <c r="B1210" s="24" t="s">
        <v>120</v>
      </c>
      <c r="C1210" s="32">
        <v>34.231000000000002</v>
      </c>
      <c r="D1210" s="28">
        <v>2.4999999999999998E-2</v>
      </c>
    </row>
    <row r="1211" spans="1:4" x14ac:dyDescent="0.25">
      <c r="A1211" s="24" t="s">
        <v>76</v>
      </c>
      <c r="B1211" s="24" t="s">
        <v>121</v>
      </c>
      <c r="C1211" s="32">
        <v>48.582000000000001</v>
      </c>
      <c r="D1211" s="28">
        <v>3.1944444444444449E-2</v>
      </c>
    </row>
    <row r="1212" spans="1:4" x14ac:dyDescent="0.25">
      <c r="A1212" s="24" t="s">
        <v>76</v>
      </c>
      <c r="B1212" s="24" t="s">
        <v>122</v>
      </c>
      <c r="C1212" s="32">
        <v>45.75</v>
      </c>
      <c r="D1212" s="28">
        <v>3.1944444444444449E-2</v>
      </c>
    </row>
    <row r="1213" spans="1:4" x14ac:dyDescent="0.25">
      <c r="A1213" s="24" t="s">
        <v>76</v>
      </c>
      <c r="B1213" s="24" t="s">
        <v>123</v>
      </c>
      <c r="C1213" s="32">
        <v>42.167000000000002</v>
      </c>
      <c r="D1213" s="28">
        <v>2.8472222222222222E-2</v>
      </c>
    </row>
    <row r="1214" spans="1:4" x14ac:dyDescent="0.25">
      <c r="A1214" s="24" t="s">
        <v>76</v>
      </c>
      <c r="B1214" s="24" t="s">
        <v>124</v>
      </c>
      <c r="C1214" s="32">
        <v>42.167000000000002</v>
      </c>
      <c r="D1214" s="28">
        <v>2.8472222222222222E-2</v>
      </c>
    </row>
    <row r="1215" spans="1:4" x14ac:dyDescent="0.25">
      <c r="A1215" s="24" t="s">
        <v>76</v>
      </c>
      <c r="B1215" s="24" t="s">
        <v>125</v>
      </c>
      <c r="C1215" s="32">
        <v>17.463999999999999</v>
      </c>
      <c r="D1215" s="28">
        <v>2.1527777777777781E-2</v>
      </c>
    </row>
    <row r="1216" spans="1:4" x14ac:dyDescent="0.25">
      <c r="A1216" s="24" t="s">
        <v>76</v>
      </c>
      <c r="B1216" s="24" t="s">
        <v>126</v>
      </c>
      <c r="C1216" s="32">
        <v>17.202000000000002</v>
      </c>
      <c r="D1216" s="28">
        <v>2.013888888888889E-2</v>
      </c>
    </row>
    <row r="1217" spans="1:4" x14ac:dyDescent="0.25">
      <c r="A1217" s="24" t="s">
        <v>76</v>
      </c>
      <c r="B1217" s="24" t="s">
        <v>127</v>
      </c>
      <c r="C1217" s="32">
        <v>17.946999999999999</v>
      </c>
      <c r="D1217" s="28">
        <v>2.1527777777777781E-2</v>
      </c>
    </row>
    <row r="1218" spans="1:4" x14ac:dyDescent="0.25">
      <c r="A1218" s="24" t="s">
        <v>76</v>
      </c>
      <c r="B1218" s="24" t="s">
        <v>128</v>
      </c>
      <c r="C1218" s="32">
        <v>17.132000000000001</v>
      </c>
      <c r="D1218" s="28">
        <v>2.013888888888889E-2</v>
      </c>
    </row>
    <row r="1219" spans="1:4" x14ac:dyDescent="0.25">
      <c r="A1219" s="24" t="s">
        <v>76</v>
      </c>
      <c r="B1219" s="24" t="s">
        <v>129</v>
      </c>
      <c r="C1219" s="32">
        <v>17.132000000000001</v>
      </c>
      <c r="D1219" s="28">
        <v>2.013888888888889E-2</v>
      </c>
    </row>
    <row r="1220" spans="1:4" x14ac:dyDescent="0.25">
      <c r="A1220" s="24" t="s">
        <v>76</v>
      </c>
      <c r="B1220" s="24" t="s">
        <v>130</v>
      </c>
      <c r="C1220" s="32">
        <v>17.864999999999998</v>
      </c>
      <c r="D1220" s="28">
        <v>2.2222222222222223E-2</v>
      </c>
    </row>
    <row r="1221" spans="1:4" x14ac:dyDescent="0.25">
      <c r="A1221" s="24" t="s">
        <v>76</v>
      </c>
      <c r="B1221" s="24" t="s">
        <v>131</v>
      </c>
      <c r="C1221" s="32">
        <v>20.335999999999999</v>
      </c>
      <c r="D1221" s="28">
        <v>2.4999999999999998E-2</v>
      </c>
    </row>
    <row r="1222" spans="1:4" x14ac:dyDescent="0.25">
      <c r="A1222" s="24" t="s">
        <v>76</v>
      </c>
      <c r="B1222" s="24" t="s">
        <v>132</v>
      </c>
      <c r="C1222" s="32">
        <v>17.239999999999998</v>
      </c>
      <c r="D1222" s="28">
        <v>1.9444444444444445E-2</v>
      </c>
    </row>
    <row r="1223" spans="1:4" x14ac:dyDescent="0.25">
      <c r="A1223" s="24" t="s">
        <v>76</v>
      </c>
      <c r="B1223" s="24" t="s">
        <v>133</v>
      </c>
      <c r="C1223" s="32">
        <v>7.37</v>
      </c>
      <c r="D1223" s="28">
        <v>9.7222222222222224E-3</v>
      </c>
    </row>
    <row r="1224" spans="1:4" x14ac:dyDescent="0.25">
      <c r="A1224" s="24" t="s">
        <v>76</v>
      </c>
      <c r="B1224" s="24" t="s">
        <v>134</v>
      </c>
      <c r="C1224" s="32">
        <v>6.9039999999999999</v>
      </c>
      <c r="D1224" s="28">
        <v>8.3333333333333332E-3</v>
      </c>
    </row>
    <row r="1225" spans="1:4" x14ac:dyDescent="0.25">
      <c r="A1225" s="24" t="s">
        <v>76</v>
      </c>
      <c r="B1225" s="24" t="s">
        <v>135</v>
      </c>
      <c r="C1225" s="32">
        <v>4.9690000000000003</v>
      </c>
      <c r="D1225" s="28">
        <v>7.6388888888888886E-3</v>
      </c>
    </row>
    <row r="1226" spans="1:4" x14ac:dyDescent="0.25">
      <c r="A1226" s="24" t="s">
        <v>76</v>
      </c>
      <c r="B1226" s="24" t="s">
        <v>136</v>
      </c>
      <c r="C1226" s="32">
        <v>4.9690000000000003</v>
      </c>
      <c r="D1226" s="28">
        <v>7.6388888888888886E-3</v>
      </c>
    </row>
    <row r="1227" spans="1:4" x14ac:dyDescent="0.25">
      <c r="A1227" s="24" t="s">
        <v>76</v>
      </c>
      <c r="B1227" s="24" t="s">
        <v>137</v>
      </c>
      <c r="C1227" s="32">
        <v>5.6619999999999999</v>
      </c>
      <c r="D1227" s="28">
        <v>8.3333333333333332E-3</v>
      </c>
    </row>
    <row r="1228" spans="1:4" x14ac:dyDescent="0.25">
      <c r="A1228" s="24" t="s">
        <v>76</v>
      </c>
      <c r="B1228" s="24" t="s">
        <v>138</v>
      </c>
      <c r="C1228" s="32">
        <v>11.651</v>
      </c>
      <c r="D1228" s="28">
        <v>1.2499999999999999E-2</v>
      </c>
    </row>
    <row r="1229" spans="1:4" x14ac:dyDescent="0.25">
      <c r="A1229" s="24" t="s">
        <v>76</v>
      </c>
      <c r="B1229" s="24" t="s">
        <v>139</v>
      </c>
      <c r="C1229" s="32">
        <v>10.641999999999999</v>
      </c>
      <c r="D1229" s="28">
        <v>1.2499999999999999E-2</v>
      </c>
    </row>
    <row r="1230" spans="1:4" x14ac:dyDescent="0.25">
      <c r="A1230" s="24" t="s">
        <v>76</v>
      </c>
      <c r="B1230" s="24" t="s">
        <v>140</v>
      </c>
      <c r="C1230" s="32">
        <v>10.183</v>
      </c>
      <c r="D1230" s="28">
        <v>1.0416666666666666E-2</v>
      </c>
    </row>
    <row r="1231" spans="1:4" x14ac:dyDescent="0.25">
      <c r="A1231" s="24" t="s">
        <v>76</v>
      </c>
      <c r="B1231" s="24" t="s">
        <v>141</v>
      </c>
      <c r="C1231" s="32">
        <v>35.353000000000002</v>
      </c>
      <c r="D1231" s="28">
        <v>3.125E-2</v>
      </c>
    </row>
    <row r="1232" spans="1:4" x14ac:dyDescent="0.25">
      <c r="A1232" s="24" t="s">
        <v>76</v>
      </c>
      <c r="B1232" s="24" t="s">
        <v>142</v>
      </c>
      <c r="C1232" s="32">
        <v>33.042000000000002</v>
      </c>
      <c r="D1232" s="28">
        <v>2.4999999999999998E-2</v>
      </c>
    </row>
    <row r="1233" spans="1:4" x14ac:dyDescent="0.25">
      <c r="A1233" s="24" t="s">
        <v>76</v>
      </c>
      <c r="B1233" s="24" t="s">
        <v>143</v>
      </c>
      <c r="C1233" s="32">
        <v>51.42</v>
      </c>
      <c r="D1233" s="28">
        <v>3.1944444444444449E-2</v>
      </c>
    </row>
    <row r="1234" spans="1:4" x14ac:dyDescent="0.25">
      <c r="A1234" s="24" t="s">
        <v>76</v>
      </c>
      <c r="B1234" s="24" t="s">
        <v>144</v>
      </c>
      <c r="C1234" s="32">
        <v>70.536000000000001</v>
      </c>
      <c r="D1234" s="28">
        <v>4.3055555555555562E-2</v>
      </c>
    </row>
    <row r="1235" spans="1:4" x14ac:dyDescent="0.25">
      <c r="A1235" s="24" t="s">
        <v>76</v>
      </c>
      <c r="B1235" s="24" t="s">
        <v>145</v>
      </c>
      <c r="C1235" s="32">
        <v>26.463000000000001</v>
      </c>
      <c r="D1235" s="28">
        <v>2.1527777777777781E-2</v>
      </c>
    </row>
    <row r="1236" spans="1:4" x14ac:dyDescent="0.25">
      <c r="A1236" s="24" t="s">
        <v>76</v>
      </c>
      <c r="B1236" s="24" t="s">
        <v>146</v>
      </c>
      <c r="C1236" s="32">
        <v>41.921999999999997</v>
      </c>
      <c r="D1236" s="28">
        <v>2.9166666666666664E-2</v>
      </c>
    </row>
    <row r="1237" spans="1:4" x14ac:dyDescent="0.25">
      <c r="A1237" s="24" t="s">
        <v>76</v>
      </c>
      <c r="B1237" s="24" t="s">
        <v>147</v>
      </c>
      <c r="C1237" s="32">
        <v>20.709</v>
      </c>
      <c r="D1237" s="28">
        <v>2.1527777777777781E-2</v>
      </c>
    </row>
    <row r="1238" spans="1:4" x14ac:dyDescent="0.25">
      <c r="A1238" s="24" t="s">
        <v>76</v>
      </c>
      <c r="B1238" s="24" t="s">
        <v>148</v>
      </c>
      <c r="C1238" s="32">
        <v>19.169</v>
      </c>
      <c r="D1238" s="28">
        <v>2.1527777777777781E-2</v>
      </c>
    </row>
    <row r="1239" spans="1:4" x14ac:dyDescent="0.25">
      <c r="A1239" s="24" t="s">
        <v>76</v>
      </c>
      <c r="B1239" s="24" t="s">
        <v>149</v>
      </c>
      <c r="C1239" s="32">
        <v>21.241</v>
      </c>
      <c r="D1239" s="28">
        <v>2.013888888888889E-2</v>
      </c>
    </row>
    <row r="1240" spans="1:4" x14ac:dyDescent="0.25">
      <c r="A1240" s="24" t="s">
        <v>76</v>
      </c>
      <c r="B1240" s="24" t="s">
        <v>150</v>
      </c>
      <c r="C1240" s="32">
        <v>26.934999999999999</v>
      </c>
      <c r="D1240" s="28">
        <v>2.5694444444444447E-2</v>
      </c>
    </row>
    <row r="1241" spans="1:4" x14ac:dyDescent="0.25">
      <c r="A1241" s="24" t="s">
        <v>76</v>
      </c>
      <c r="B1241" s="24" t="s">
        <v>151</v>
      </c>
      <c r="C1241" s="32">
        <v>25.454000000000001</v>
      </c>
      <c r="D1241" s="28">
        <v>2.5694444444444447E-2</v>
      </c>
    </row>
    <row r="1242" spans="1:4" x14ac:dyDescent="0.25">
      <c r="A1242" s="24" t="s">
        <v>76</v>
      </c>
      <c r="B1242" s="24" t="s">
        <v>152</v>
      </c>
      <c r="C1242" s="32">
        <v>33.356000000000002</v>
      </c>
      <c r="D1242" s="28">
        <v>3.0555555555555555E-2</v>
      </c>
    </row>
    <row r="1243" spans="1:4" x14ac:dyDescent="0.25">
      <c r="A1243" s="24" t="s">
        <v>76</v>
      </c>
      <c r="B1243" s="24" t="s">
        <v>153</v>
      </c>
      <c r="C1243" s="32">
        <v>33.594000000000001</v>
      </c>
      <c r="D1243" s="28">
        <v>3.5416666666666666E-2</v>
      </c>
    </row>
    <row r="1244" spans="1:4" x14ac:dyDescent="0.25">
      <c r="A1244" s="24" t="s">
        <v>76</v>
      </c>
      <c r="B1244" s="24" t="s">
        <v>154</v>
      </c>
      <c r="C1244" s="32">
        <v>28.411999999999999</v>
      </c>
      <c r="D1244" s="28">
        <v>2.9166666666666664E-2</v>
      </c>
    </row>
    <row r="1245" spans="1:4" x14ac:dyDescent="0.25">
      <c r="A1245" s="24" t="s">
        <v>76</v>
      </c>
      <c r="B1245" s="24" t="s">
        <v>155</v>
      </c>
      <c r="C1245" s="32">
        <v>26.053999999999998</v>
      </c>
      <c r="D1245" s="28">
        <v>2.4999999999999998E-2</v>
      </c>
    </row>
    <row r="1246" spans="1:4" x14ac:dyDescent="0.25">
      <c r="A1246" s="24" t="s">
        <v>76</v>
      </c>
      <c r="B1246" s="24" t="s">
        <v>156</v>
      </c>
      <c r="C1246" s="32">
        <v>26.038</v>
      </c>
      <c r="D1246" s="28">
        <v>2.4999999999999998E-2</v>
      </c>
    </row>
    <row r="1247" spans="1:4" x14ac:dyDescent="0.25">
      <c r="A1247" s="24" t="s">
        <v>76</v>
      </c>
      <c r="B1247" s="24" t="s">
        <v>157</v>
      </c>
      <c r="C1247" s="32">
        <v>39.627000000000002</v>
      </c>
      <c r="D1247" s="28">
        <v>3.7499999999999999E-2</v>
      </c>
    </row>
    <row r="1248" spans="1:4" x14ac:dyDescent="0.25">
      <c r="A1248" s="24" t="s">
        <v>76</v>
      </c>
      <c r="B1248" s="24" t="s">
        <v>158</v>
      </c>
      <c r="C1248" s="32">
        <v>49.404000000000003</v>
      </c>
      <c r="D1248" s="28">
        <v>4.5833333333333337E-2</v>
      </c>
    </row>
    <row r="1249" spans="1:4" x14ac:dyDescent="0.25">
      <c r="A1249" s="24" t="s">
        <v>76</v>
      </c>
      <c r="B1249" s="24" t="s">
        <v>159</v>
      </c>
      <c r="C1249" s="32">
        <v>54.87</v>
      </c>
      <c r="D1249" s="28">
        <v>5.1388888888888894E-2</v>
      </c>
    </row>
    <row r="1250" spans="1:4" x14ac:dyDescent="0.25">
      <c r="A1250" s="24" t="s">
        <v>77</v>
      </c>
      <c r="B1250" s="24" t="s">
        <v>65</v>
      </c>
      <c r="C1250" s="32">
        <v>25.172999999999998</v>
      </c>
      <c r="D1250" s="28">
        <v>2.2222222222222223E-2</v>
      </c>
    </row>
    <row r="1251" spans="1:4" x14ac:dyDescent="0.25">
      <c r="A1251" s="24" t="s">
        <v>77</v>
      </c>
      <c r="B1251" s="24" t="s">
        <v>64</v>
      </c>
      <c r="C1251" s="32">
        <v>12.276</v>
      </c>
      <c r="D1251" s="28">
        <v>1.3888888888888888E-2</v>
      </c>
    </row>
    <row r="1252" spans="1:4" x14ac:dyDescent="0.25">
      <c r="A1252" s="24" t="s">
        <v>77</v>
      </c>
      <c r="B1252" s="24" t="s">
        <v>66</v>
      </c>
      <c r="C1252" s="32">
        <v>9.6660000000000004</v>
      </c>
      <c r="D1252" s="28">
        <v>7.6388888888888886E-3</v>
      </c>
    </row>
    <row r="1253" spans="1:4" x14ac:dyDescent="0.25">
      <c r="A1253" s="24" t="s">
        <v>77</v>
      </c>
      <c r="B1253" s="24" t="s">
        <v>67</v>
      </c>
      <c r="C1253" s="32">
        <v>7.4610000000000003</v>
      </c>
      <c r="D1253" s="28">
        <v>8.3333333333333332E-3</v>
      </c>
    </row>
    <row r="1254" spans="1:4" x14ac:dyDescent="0.25">
      <c r="A1254" s="24" t="s">
        <v>77</v>
      </c>
      <c r="B1254" s="24" t="s">
        <v>68</v>
      </c>
      <c r="C1254" s="32">
        <v>6.5430000000000001</v>
      </c>
      <c r="D1254" s="28">
        <v>6.9444444444444441E-3</v>
      </c>
    </row>
    <row r="1255" spans="1:4" x14ac:dyDescent="0.25">
      <c r="A1255" s="24" t="s">
        <v>77</v>
      </c>
      <c r="B1255" s="24" t="s">
        <v>69</v>
      </c>
      <c r="C1255" s="32">
        <v>8.7889999999999997</v>
      </c>
      <c r="D1255" s="28">
        <v>8.3333333333333332E-3</v>
      </c>
    </row>
    <row r="1256" spans="1:4" x14ac:dyDescent="0.25">
      <c r="A1256" s="24" t="s">
        <v>77</v>
      </c>
      <c r="B1256" s="24" t="s">
        <v>70</v>
      </c>
      <c r="C1256" s="32">
        <v>7.0069999999999997</v>
      </c>
      <c r="D1256" s="28">
        <v>7.6388888888888886E-3</v>
      </c>
    </row>
    <row r="1257" spans="1:4" x14ac:dyDescent="0.25">
      <c r="A1257" s="24" t="s">
        <v>77</v>
      </c>
      <c r="B1257" s="24" t="s">
        <v>71</v>
      </c>
      <c r="C1257" s="32">
        <v>6.9740000000000002</v>
      </c>
      <c r="D1257" s="28">
        <v>8.3333333333333332E-3</v>
      </c>
    </row>
    <row r="1258" spans="1:4" x14ac:dyDescent="0.25">
      <c r="A1258" s="24" t="s">
        <v>77</v>
      </c>
      <c r="B1258" s="24" t="s">
        <v>72</v>
      </c>
      <c r="C1258" s="32">
        <v>8.3710000000000004</v>
      </c>
      <c r="D1258" s="28">
        <v>1.0416666666666666E-2</v>
      </c>
    </row>
    <row r="1259" spans="1:4" x14ac:dyDescent="0.25">
      <c r="A1259" s="24" t="s">
        <v>77</v>
      </c>
      <c r="B1259" s="24" t="s">
        <v>73</v>
      </c>
      <c r="C1259" s="32">
        <v>10.391</v>
      </c>
      <c r="D1259" s="28">
        <v>1.0416666666666666E-2</v>
      </c>
    </row>
    <row r="1260" spans="1:4" x14ac:dyDescent="0.25">
      <c r="A1260" s="24" t="s">
        <v>77</v>
      </c>
      <c r="B1260" s="24" t="s">
        <v>74</v>
      </c>
      <c r="C1260" s="32">
        <v>14.268000000000001</v>
      </c>
      <c r="D1260" s="28">
        <v>1.3194444444444444E-2</v>
      </c>
    </row>
    <row r="1261" spans="1:4" x14ac:dyDescent="0.25">
      <c r="A1261" s="24" t="s">
        <v>77</v>
      </c>
      <c r="B1261" s="24" t="s">
        <v>75</v>
      </c>
      <c r="C1261" s="32">
        <v>14.53</v>
      </c>
      <c r="D1261" s="28">
        <v>1.2499999999999999E-2</v>
      </c>
    </row>
    <row r="1262" spans="1:4" x14ac:dyDescent="0.25">
      <c r="A1262" s="24" t="s">
        <v>77</v>
      </c>
      <c r="B1262" s="24" t="s">
        <v>76</v>
      </c>
      <c r="C1262" s="32">
        <v>13.778</v>
      </c>
      <c r="D1262" s="28">
        <v>1.1805555555555555E-2</v>
      </c>
    </row>
    <row r="1263" spans="1:4" x14ac:dyDescent="0.25">
      <c r="A1263" s="24" t="s">
        <v>77</v>
      </c>
      <c r="B1263" s="24" t="s">
        <v>77</v>
      </c>
      <c r="C1263" s="32">
        <v>0</v>
      </c>
      <c r="D1263" s="28">
        <v>0</v>
      </c>
    </row>
    <row r="1264" spans="1:4" x14ac:dyDescent="0.25">
      <c r="A1264" s="24" t="s">
        <v>77</v>
      </c>
      <c r="B1264" s="24" t="s">
        <v>78</v>
      </c>
      <c r="C1264" s="32">
        <v>4.0789999999999997</v>
      </c>
      <c r="D1264" s="28">
        <v>3.472222222222222E-3</v>
      </c>
    </row>
    <row r="1265" spans="1:4" x14ac:dyDescent="0.25">
      <c r="A1265" s="24" t="s">
        <v>77</v>
      </c>
      <c r="B1265" s="24" t="s">
        <v>79</v>
      </c>
      <c r="C1265" s="32">
        <v>19.169</v>
      </c>
      <c r="D1265" s="28">
        <v>1.8055555555555557E-2</v>
      </c>
    </row>
    <row r="1266" spans="1:4" x14ac:dyDescent="0.25">
      <c r="A1266" s="24" t="s">
        <v>77</v>
      </c>
      <c r="B1266" s="24" t="s">
        <v>80</v>
      </c>
      <c r="C1266" s="32">
        <v>28.396999999999998</v>
      </c>
      <c r="D1266" s="28">
        <v>2.4305555555555556E-2</v>
      </c>
    </row>
    <row r="1267" spans="1:4" x14ac:dyDescent="0.25">
      <c r="A1267" s="24" t="s">
        <v>77</v>
      </c>
      <c r="B1267" s="24" t="s">
        <v>81</v>
      </c>
      <c r="C1267" s="32">
        <v>32.918999999999997</v>
      </c>
      <c r="D1267" s="28">
        <v>2.6388888888888889E-2</v>
      </c>
    </row>
    <row r="1268" spans="1:4" x14ac:dyDescent="0.25">
      <c r="A1268" s="24" t="s">
        <v>77</v>
      </c>
      <c r="B1268" s="24" t="s">
        <v>82</v>
      </c>
      <c r="C1268" s="32">
        <v>32.970999999999997</v>
      </c>
      <c r="D1268" s="28">
        <v>2.7083333333333334E-2</v>
      </c>
    </row>
    <row r="1269" spans="1:4" x14ac:dyDescent="0.25">
      <c r="A1269" s="24" t="s">
        <v>77</v>
      </c>
      <c r="B1269" s="24" t="s">
        <v>83</v>
      </c>
      <c r="C1269" s="32">
        <v>16.074000000000002</v>
      </c>
      <c r="D1269" s="28">
        <v>1.7361111111111112E-2</v>
      </c>
    </row>
    <row r="1270" spans="1:4" x14ac:dyDescent="0.25">
      <c r="A1270" s="24" t="s">
        <v>77</v>
      </c>
      <c r="B1270" s="24" t="s">
        <v>84</v>
      </c>
      <c r="C1270" s="32">
        <v>16.37</v>
      </c>
      <c r="D1270" s="28">
        <v>1.4583333333333332E-2</v>
      </c>
    </row>
    <row r="1271" spans="1:4" x14ac:dyDescent="0.25">
      <c r="A1271" s="24" t="s">
        <v>77</v>
      </c>
      <c r="B1271" s="24" t="s">
        <v>85</v>
      </c>
      <c r="C1271" s="32">
        <v>16.552</v>
      </c>
      <c r="D1271" s="28">
        <v>1.5972222222222224E-2</v>
      </c>
    </row>
    <row r="1272" spans="1:4" x14ac:dyDescent="0.25">
      <c r="A1272" s="24" t="s">
        <v>77</v>
      </c>
      <c r="B1272" s="24" t="s">
        <v>86</v>
      </c>
      <c r="C1272" s="32">
        <v>16.471</v>
      </c>
      <c r="D1272" s="28">
        <v>1.7361111111111112E-2</v>
      </c>
    </row>
    <row r="1273" spans="1:4" x14ac:dyDescent="0.25">
      <c r="A1273" s="24" t="s">
        <v>77</v>
      </c>
      <c r="B1273" s="24" t="s">
        <v>87</v>
      </c>
      <c r="C1273" s="32">
        <v>16.585999999999999</v>
      </c>
      <c r="D1273" s="28">
        <v>1.7361111111111112E-2</v>
      </c>
    </row>
    <row r="1274" spans="1:4" x14ac:dyDescent="0.25">
      <c r="A1274" s="24" t="s">
        <v>77</v>
      </c>
      <c r="B1274" s="24" t="s">
        <v>88</v>
      </c>
      <c r="C1274" s="32">
        <v>17.965</v>
      </c>
      <c r="D1274" s="28">
        <v>1.9444444444444445E-2</v>
      </c>
    </row>
    <row r="1275" spans="1:4" x14ac:dyDescent="0.25">
      <c r="A1275" s="24" t="s">
        <v>77</v>
      </c>
      <c r="B1275" s="24" t="s">
        <v>89</v>
      </c>
      <c r="C1275" s="32">
        <v>20.077999999999999</v>
      </c>
      <c r="D1275" s="28">
        <v>2.2916666666666669E-2</v>
      </c>
    </row>
    <row r="1276" spans="1:4" x14ac:dyDescent="0.25">
      <c r="A1276" s="24" t="s">
        <v>77</v>
      </c>
      <c r="B1276" s="24" t="s">
        <v>90</v>
      </c>
      <c r="C1276" s="32">
        <v>24.507999999999999</v>
      </c>
      <c r="D1276" s="28">
        <v>2.4305555555555556E-2</v>
      </c>
    </row>
    <row r="1277" spans="1:4" x14ac:dyDescent="0.25">
      <c r="A1277" s="24" t="s">
        <v>77</v>
      </c>
      <c r="B1277" s="24" t="s">
        <v>91</v>
      </c>
      <c r="C1277" s="32">
        <v>19.152000000000001</v>
      </c>
      <c r="D1277" s="28">
        <v>2.1527777777777781E-2</v>
      </c>
    </row>
    <row r="1278" spans="1:4" x14ac:dyDescent="0.25">
      <c r="A1278" s="24" t="s">
        <v>77</v>
      </c>
      <c r="B1278" s="24" t="s">
        <v>92</v>
      </c>
      <c r="C1278" s="32">
        <v>26.472999999999999</v>
      </c>
      <c r="D1278" s="28">
        <v>2.361111111111111E-2</v>
      </c>
    </row>
    <row r="1279" spans="1:4" x14ac:dyDescent="0.25">
      <c r="A1279" s="24" t="s">
        <v>77</v>
      </c>
      <c r="B1279" s="24" t="s">
        <v>93</v>
      </c>
      <c r="C1279" s="32">
        <v>50.195</v>
      </c>
      <c r="D1279" s="28">
        <v>3.6805555555555557E-2</v>
      </c>
    </row>
    <row r="1280" spans="1:4" x14ac:dyDescent="0.25">
      <c r="A1280" s="24" t="s">
        <v>77</v>
      </c>
      <c r="B1280" s="24" t="s">
        <v>94</v>
      </c>
      <c r="C1280" s="32">
        <v>50.823999999999998</v>
      </c>
      <c r="D1280" s="28">
        <v>3.7499999999999999E-2</v>
      </c>
    </row>
    <row r="1281" spans="1:4" x14ac:dyDescent="0.25">
      <c r="A1281" s="24" t="s">
        <v>77</v>
      </c>
      <c r="B1281" s="24" t="s">
        <v>95</v>
      </c>
      <c r="C1281" s="32">
        <v>33.255000000000003</v>
      </c>
      <c r="D1281" s="28">
        <v>2.7777777777777776E-2</v>
      </c>
    </row>
    <row r="1282" spans="1:4" x14ac:dyDescent="0.25">
      <c r="A1282" s="24" t="s">
        <v>77</v>
      </c>
      <c r="B1282" s="24" t="s">
        <v>96</v>
      </c>
      <c r="C1282" s="32">
        <v>21.285</v>
      </c>
      <c r="D1282" s="28">
        <v>2.0833333333333332E-2</v>
      </c>
    </row>
    <row r="1283" spans="1:4" x14ac:dyDescent="0.25">
      <c r="A1283" s="24" t="s">
        <v>77</v>
      </c>
      <c r="B1283" s="24" t="s">
        <v>97</v>
      </c>
      <c r="C1283" s="32">
        <v>29.603999999999999</v>
      </c>
      <c r="D1283" s="28">
        <v>2.7083333333333334E-2</v>
      </c>
    </row>
    <row r="1284" spans="1:4" x14ac:dyDescent="0.25">
      <c r="A1284" s="24" t="s">
        <v>77</v>
      </c>
      <c r="B1284" s="24" t="s">
        <v>98</v>
      </c>
      <c r="C1284" s="32">
        <v>28.344000000000001</v>
      </c>
      <c r="D1284" s="28">
        <v>2.4999999999999998E-2</v>
      </c>
    </row>
    <row r="1285" spans="1:4" x14ac:dyDescent="0.25">
      <c r="A1285" s="24" t="s">
        <v>77</v>
      </c>
      <c r="B1285" s="24" t="s">
        <v>99</v>
      </c>
      <c r="C1285" s="32">
        <v>30.864000000000001</v>
      </c>
      <c r="D1285" s="28">
        <v>2.9166666666666664E-2</v>
      </c>
    </row>
    <row r="1286" spans="1:4" x14ac:dyDescent="0.25">
      <c r="A1286" s="24" t="s">
        <v>77</v>
      </c>
      <c r="B1286" s="24" t="s">
        <v>100</v>
      </c>
      <c r="C1286" s="32">
        <v>29.5</v>
      </c>
      <c r="D1286" s="28">
        <v>2.7083333333333334E-2</v>
      </c>
    </row>
    <row r="1287" spans="1:4" x14ac:dyDescent="0.25">
      <c r="A1287" s="24" t="s">
        <v>77</v>
      </c>
      <c r="B1287" s="24" t="s">
        <v>101</v>
      </c>
      <c r="C1287" s="32">
        <v>28.446000000000002</v>
      </c>
      <c r="D1287" s="28">
        <v>2.6388888888888889E-2</v>
      </c>
    </row>
    <row r="1288" spans="1:4" x14ac:dyDescent="0.25">
      <c r="A1288" s="24" t="s">
        <v>77</v>
      </c>
      <c r="B1288" s="24" t="s">
        <v>102</v>
      </c>
      <c r="C1288" s="32">
        <v>27.687000000000001</v>
      </c>
      <c r="D1288" s="28">
        <v>2.6388888888888889E-2</v>
      </c>
    </row>
    <row r="1289" spans="1:4" x14ac:dyDescent="0.25">
      <c r="A1289" s="24" t="s">
        <v>77</v>
      </c>
      <c r="B1289" s="24" t="s">
        <v>103</v>
      </c>
      <c r="C1289" s="32">
        <v>20.831</v>
      </c>
      <c r="D1289" s="28">
        <v>2.013888888888889E-2</v>
      </c>
    </row>
    <row r="1290" spans="1:4" x14ac:dyDescent="0.25">
      <c r="A1290" s="24" t="s">
        <v>77</v>
      </c>
      <c r="B1290" s="24" t="s">
        <v>104</v>
      </c>
      <c r="C1290" s="32">
        <v>25.367000000000001</v>
      </c>
      <c r="D1290" s="28">
        <v>2.2916666666666669E-2</v>
      </c>
    </row>
    <row r="1291" spans="1:4" x14ac:dyDescent="0.25">
      <c r="A1291" s="24" t="s">
        <v>77</v>
      </c>
      <c r="B1291" s="24" t="s">
        <v>105</v>
      </c>
      <c r="C1291" s="32">
        <v>23.821000000000002</v>
      </c>
      <c r="D1291" s="28">
        <v>2.5694444444444447E-2</v>
      </c>
    </row>
    <row r="1292" spans="1:4" x14ac:dyDescent="0.25">
      <c r="A1292" s="24" t="s">
        <v>77</v>
      </c>
      <c r="B1292" s="24" t="s">
        <v>106</v>
      </c>
      <c r="C1292" s="32">
        <v>18.542999999999999</v>
      </c>
      <c r="D1292" s="28">
        <v>1.8749999999999999E-2</v>
      </c>
    </row>
    <row r="1293" spans="1:4" x14ac:dyDescent="0.25">
      <c r="A1293" s="24" t="s">
        <v>77</v>
      </c>
      <c r="B1293" s="24" t="s">
        <v>107</v>
      </c>
      <c r="C1293" s="32">
        <v>25.245000000000001</v>
      </c>
      <c r="D1293" s="28">
        <v>2.2222222222222223E-2</v>
      </c>
    </row>
    <row r="1294" spans="1:4" x14ac:dyDescent="0.25">
      <c r="A1294" s="24" t="s">
        <v>77</v>
      </c>
      <c r="B1294" s="24" t="s">
        <v>108</v>
      </c>
      <c r="C1294" s="32">
        <v>23.631</v>
      </c>
      <c r="D1294" s="28">
        <v>2.013888888888889E-2</v>
      </c>
    </row>
    <row r="1295" spans="1:4" x14ac:dyDescent="0.25">
      <c r="A1295" s="24" t="s">
        <v>77</v>
      </c>
      <c r="B1295" s="24" t="s">
        <v>109</v>
      </c>
      <c r="C1295" s="32">
        <v>23.661000000000001</v>
      </c>
      <c r="D1295" s="28">
        <v>2.013888888888889E-2</v>
      </c>
    </row>
    <row r="1296" spans="1:4" x14ac:dyDescent="0.25">
      <c r="A1296" s="24" t="s">
        <v>77</v>
      </c>
      <c r="B1296" s="24" t="s">
        <v>110</v>
      </c>
      <c r="C1296" s="32">
        <v>20.603000000000002</v>
      </c>
      <c r="D1296" s="28">
        <v>2.2222222222222223E-2</v>
      </c>
    </row>
    <row r="1297" spans="1:4" x14ac:dyDescent="0.25">
      <c r="A1297" s="24" t="s">
        <v>77</v>
      </c>
      <c r="B1297" s="24" t="s">
        <v>111</v>
      </c>
      <c r="C1297" s="32">
        <v>21.984999999999999</v>
      </c>
      <c r="D1297" s="28">
        <v>2.013888888888889E-2</v>
      </c>
    </row>
    <row r="1298" spans="1:4" x14ac:dyDescent="0.25">
      <c r="A1298" s="24" t="s">
        <v>77</v>
      </c>
      <c r="B1298" s="24" t="s">
        <v>112</v>
      </c>
      <c r="C1298" s="32">
        <v>29.658000000000001</v>
      </c>
      <c r="D1298" s="28">
        <v>2.0833333333333332E-2</v>
      </c>
    </row>
    <row r="1299" spans="1:4" x14ac:dyDescent="0.25">
      <c r="A1299" s="24" t="s">
        <v>77</v>
      </c>
      <c r="B1299" s="24" t="s">
        <v>113</v>
      </c>
      <c r="C1299" s="32">
        <v>26.791</v>
      </c>
      <c r="D1299" s="28">
        <v>1.8749999999999999E-2</v>
      </c>
    </row>
    <row r="1300" spans="1:4" x14ac:dyDescent="0.25">
      <c r="A1300" s="24" t="s">
        <v>77</v>
      </c>
      <c r="B1300" s="24" t="s">
        <v>114</v>
      </c>
      <c r="C1300" s="32">
        <v>31.463999999999999</v>
      </c>
      <c r="D1300" s="28">
        <v>2.4999999999999998E-2</v>
      </c>
    </row>
    <row r="1301" spans="1:4" x14ac:dyDescent="0.25">
      <c r="A1301" s="24" t="s">
        <v>77</v>
      </c>
      <c r="B1301" s="24" t="s">
        <v>115</v>
      </c>
      <c r="C1301" s="32">
        <v>31.315000000000001</v>
      </c>
      <c r="D1301" s="28">
        <v>2.5694444444444447E-2</v>
      </c>
    </row>
    <row r="1302" spans="1:4" x14ac:dyDescent="0.25">
      <c r="A1302" s="24" t="s">
        <v>77</v>
      </c>
      <c r="B1302" s="24" t="s">
        <v>116</v>
      </c>
      <c r="C1302" s="32">
        <v>25.555</v>
      </c>
      <c r="D1302" s="28">
        <v>2.361111111111111E-2</v>
      </c>
    </row>
    <row r="1303" spans="1:4" x14ac:dyDescent="0.25">
      <c r="A1303" s="24" t="s">
        <v>77</v>
      </c>
      <c r="B1303" s="24" t="s">
        <v>117</v>
      </c>
      <c r="C1303" s="32">
        <v>32.759</v>
      </c>
      <c r="D1303" s="28">
        <v>2.8472222222222222E-2</v>
      </c>
    </row>
    <row r="1304" spans="1:4" x14ac:dyDescent="0.25">
      <c r="A1304" s="24" t="s">
        <v>77</v>
      </c>
      <c r="B1304" s="24" t="s">
        <v>118</v>
      </c>
      <c r="C1304" s="32">
        <v>36.494999999999997</v>
      </c>
      <c r="D1304" s="28">
        <v>2.4305555555555556E-2</v>
      </c>
    </row>
    <row r="1305" spans="1:4" x14ac:dyDescent="0.25">
      <c r="A1305" s="24" t="s">
        <v>77</v>
      </c>
      <c r="B1305" s="24" t="s">
        <v>119</v>
      </c>
      <c r="C1305" s="32">
        <v>41.152999999999999</v>
      </c>
      <c r="D1305" s="28">
        <v>2.6388888888888889E-2</v>
      </c>
    </row>
    <row r="1306" spans="1:4" x14ac:dyDescent="0.25">
      <c r="A1306" s="24" t="s">
        <v>77</v>
      </c>
      <c r="B1306" s="24" t="s">
        <v>120</v>
      </c>
      <c r="C1306" s="32">
        <v>43.942999999999998</v>
      </c>
      <c r="D1306" s="28">
        <v>2.9861111111111113E-2</v>
      </c>
    </row>
    <row r="1307" spans="1:4" x14ac:dyDescent="0.25">
      <c r="A1307" s="24" t="s">
        <v>77</v>
      </c>
      <c r="B1307" s="24" t="s">
        <v>121</v>
      </c>
      <c r="C1307" s="32">
        <v>58.293999999999997</v>
      </c>
      <c r="D1307" s="28">
        <v>3.6805555555555557E-2</v>
      </c>
    </row>
    <row r="1308" spans="1:4" x14ac:dyDescent="0.25">
      <c r="A1308" s="24" t="s">
        <v>77</v>
      </c>
      <c r="B1308" s="24" t="s">
        <v>122</v>
      </c>
      <c r="C1308" s="32">
        <v>56.747999999999998</v>
      </c>
      <c r="D1308" s="28">
        <v>3.5416666666666666E-2</v>
      </c>
    </row>
    <row r="1309" spans="1:4" x14ac:dyDescent="0.25">
      <c r="A1309" s="24" t="s">
        <v>77</v>
      </c>
      <c r="B1309" s="24" t="s">
        <v>123</v>
      </c>
      <c r="C1309" s="32">
        <v>51.878999999999998</v>
      </c>
      <c r="D1309" s="28">
        <v>3.2638888888888891E-2</v>
      </c>
    </row>
    <row r="1310" spans="1:4" x14ac:dyDescent="0.25">
      <c r="A1310" s="24" t="s">
        <v>77</v>
      </c>
      <c r="B1310" s="24" t="s">
        <v>124</v>
      </c>
      <c r="C1310" s="32">
        <v>51.878999999999998</v>
      </c>
      <c r="D1310" s="28">
        <v>3.2638888888888891E-2</v>
      </c>
    </row>
    <row r="1311" spans="1:4" x14ac:dyDescent="0.25">
      <c r="A1311" s="24" t="s">
        <v>77</v>
      </c>
      <c r="B1311" s="24" t="s">
        <v>125</v>
      </c>
      <c r="C1311" s="32">
        <v>11.445</v>
      </c>
      <c r="D1311" s="28">
        <v>1.3194444444444444E-2</v>
      </c>
    </row>
    <row r="1312" spans="1:4" x14ac:dyDescent="0.25">
      <c r="A1312" s="24" t="s">
        <v>77</v>
      </c>
      <c r="B1312" s="24" t="s">
        <v>126</v>
      </c>
      <c r="C1312" s="32">
        <v>11.183</v>
      </c>
      <c r="D1312" s="28">
        <v>1.2499999999999999E-2</v>
      </c>
    </row>
    <row r="1313" spans="1:4" x14ac:dyDescent="0.25">
      <c r="A1313" s="24" t="s">
        <v>77</v>
      </c>
      <c r="B1313" s="24" t="s">
        <v>127</v>
      </c>
      <c r="C1313" s="32">
        <v>11.928000000000001</v>
      </c>
      <c r="D1313" s="28">
        <v>1.3194444444444444E-2</v>
      </c>
    </row>
    <row r="1314" spans="1:4" x14ac:dyDescent="0.25">
      <c r="A1314" s="24" t="s">
        <v>77</v>
      </c>
      <c r="B1314" s="24" t="s">
        <v>128</v>
      </c>
      <c r="C1314" s="32">
        <v>11.743</v>
      </c>
      <c r="D1314" s="28">
        <v>1.3888888888888888E-2</v>
      </c>
    </row>
    <row r="1315" spans="1:4" x14ac:dyDescent="0.25">
      <c r="A1315" s="24" t="s">
        <v>77</v>
      </c>
      <c r="B1315" s="24" t="s">
        <v>129</v>
      </c>
      <c r="C1315" s="32">
        <v>11.743</v>
      </c>
      <c r="D1315" s="28">
        <v>1.3888888888888888E-2</v>
      </c>
    </row>
    <row r="1316" spans="1:4" x14ac:dyDescent="0.25">
      <c r="A1316" s="24" t="s">
        <v>77</v>
      </c>
      <c r="B1316" s="24" t="s">
        <v>130</v>
      </c>
      <c r="C1316" s="32">
        <v>11.846</v>
      </c>
      <c r="D1316" s="28">
        <v>1.3888888888888888E-2</v>
      </c>
    </row>
    <row r="1317" spans="1:4" x14ac:dyDescent="0.25">
      <c r="A1317" s="24" t="s">
        <v>77</v>
      </c>
      <c r="B1317" s="24" t="s">
        <v>131</v>
      </c>
      <c r="C1317" s="32">
        <v>14.317</v>
      </c>
      <c r="D1317" s="28">
        <v>1.6666666666666666E-2</v>
      </c>
    </row>
    <row r="1318" spans="1:4" x14ac:dyDescent="0.25">
      <c r="A1318" s="24" t="s">
        <v>77</v>
      </c>
      <c r="B1318" s="24" t="s">
        <v>132</v>
      </c>
      <c r="C1318" s="32">
        <v>10.52</v>
      </c>
      <c r="D1318" s="28">
        <v>1.0416666666666666E-2</v>
      </c>
    </row>
    <row r="1319" spans="1:4" x14ac:dyDescent="0.25">
      <c r="A1319" s="24" t="s">
        <v>77</v>
      </c>
      <c r="B1319" s="24" t="s">
        <v>133</v>
      </c>
      <c r="C1319" s="32">
        <v>19.027999999999999</v>
      </c>
      <c r="D1319" s="28">
        <v>1.5972222222222224E-2</v>
      </c>
    </row>
    <row r="1320" spans="1:4" x14ac:dyDescent="0.25">
      <c r="A1320" s="24" t="s">
        <v>77</v>
      </c>
      <c r="B1320" s="24" t="s">
        <v>134</v>
      </c>
      <c r="C1320" s="32">
        <v>18.562000000000001</v>
      </c>
      <c r="D1320" s="28">
        <v>1.5277777777777777E-2</v>
      </c>
    </row>
    <row r="1321" spans="1:4" x14ac:dyDescent="0.25">
      <c r="A1321" s="24" t="s">
        <v>77</v>
      </c>
      <c r="B1321" s="24" t="s">
        <v>135</v>
      </c>
      <c r="C1321" s="32">
        <v>16.626999999999999</v>
      </c>
      <c r="D1321" s="28">
        <v>1.3888888888888888E-2</v>
      </c>
    </row>
    <row r="1322" spans="1:4" x14ac:dyDescent="0.25">
      <c r="A1322" s="24" t="s">
        <v>77</v>
      </c>
      <c r="B1322" s="24" t="s">
        <v>136</v>
      </c>
      <c r="C1322" s="32">
        <v>16.626999999999999</v>
      </c>
      <c r="D1322" s="28">
        <v>1.3888888888888888E-2</v>
      </c>
    </row>
    <row r="1323" spans="1:4" x14ac:dyDescent="0.25">
      <c r="A1323" s="24" t="s">
        <v>77</v>
      </c>
      <c r="B1323" s="24" t="s">
        <v>137</v>
      </c>
      <c r="C1323" s="32">
        <v>17.32</v>
      </c>
      <c r="D1323" s="28">
        <v>1.5277777777777777E-2</v>
      </c>
    </row>
    <row r="1324" spans="1:4" x14ac:dyDescent="0.25">
      <c r="A1324" s="24" t="s">
        <v>77</v>
      </c>
      <c r="B1324" s="24" t="s">
        <v>138</v>
      </c>
      <c r="C1324" s="32">
        <v>22.649000000000001</v>
      </c>
      <c r="D1324" s="28">
        <v>1.5972222222222224E-2</v>
      </c>
    </row>
    <row r="1325" spans="1:4" x14ac:dyDescent="0.25">
      <c r="A1325" s="24" t="s">
        <v>77</v>
      </c>
      <c r="B1325" s="24" t="s">
        <v>139</v>
      </c>
      <c r="C1325" s="32">
        <v>19.696999999999999</v>
      </c>
      <c r="D1325" s="28">
        <v>1.4583333333333332E-2</v>
      </c>
    </row>
    <row r="1326" spans="1:4" x14ac:dyDescent="0.25">
      <c r="A1326" s="24" t="s">
        <v>77</v>
      </c>
      <c r="B1326" s="24" t="s">
        <v>140</v>
      </c>
      <c r="C1326" s="32">
        <v>16.920000000000002</v>
      </c>
      <c r="D1326" s="28">
        <v>1.2499999999999999E-2</v>
      </c>
    </row>
    <row r="1327" spans="1:4" x14ac:dyDescent="0.25">
      <c r="A1327" s="24" t="s">
        <v>77</v>
      </c>
      <c r="B1327" s="24" t="s">
        <v>141</v>
      </c>
      <c r="C1327" s="32">
        <v>44.408000000000001</v>
      </c>
      <c r="D1327" s="28">
        <v>3.4027777777777775E-2</v>
      </c>
    </row>
    <row r="1328" spans="1:4" x14ac:dyDescent="0.25">
      <c r="A1328" s="24" t="s">
        <v>77</v>
      </c>
      <c r="B1328" s="24" t="s">
        <v>142</v>
      </c>
      <c r="C1328" s="32">
        <v>36.49</v>
      </c>
      <c r="D1328" s="28">
        <v>2.4305555555555556E-2</v>
      </c>
    </row>
    <row r="1329" spans="1:4" x14ac:dyDescent="0.25">
      <c r="A1329" s="24" t="s">
        <v>77</v>
      </c>
      <c r="B1329" s="24" t="s">
        <v>143</v>
      </c>
      <c r="C1329" s="32">
        <v>54.868000000000002</v>
      </c>
      <c r="D1329" s="28">
        <v>3.1944444444444449E-2</v>
      </c>
    </row>
    <row r="1330" spans="1:4" x14ac:dyDescent="0.25">
      <c r="A1330" s="24" t="s">
        <v>77</v>
      </c>
      <c r="B1330" s="24" t="s">
        <v>144</v>
      </c>
      <c r="C1330" s="32">
        <v>73.983999999999995</v>
      </c>
      <c r="D1330" s="28">
        <v>4.2361111111111106E-2</v>
      </c>
    </row>
    <row r="1331" spans="1:4" x14ac:dyDescent="0.25">
      <c r="A1331" s="24" t="s">
        <v>77</v>
      </c>
      <c r="B1331" s="24" t="s">
        <v>145</v>
      </c>
      <c r="C1331" s="32">
        <v>37.460999999999999</v>
      </c>
      <c r="D1331" s="28">
        <v>2.4999999999999998E-2</v>
      </c>
    </row>
    <row r="1332" spans="1:4" x14ac:dyDescent="0.25">
      <c r="A1332" s="24" t="s">
        <v>77</v>
      </c>
      <c r="B1332" s="24" t="s">
        <v>146</v>
      </c>
      <c r="C1332" s="32">
        <v>43.869</v>
      </c>
      <c r="D1332" s="28">
        <v>3.2638888888888891E-2</v>
      </c>
    </row>
    <row r="1333" spans="1:4" x14ac:dyDescent="0.25">
      <c r="A1333" s="24" t="s">
        <v>77</v>
      </c>
      <c r="B1333" s="24" t="s">
        <v>147</v>
      </c>
      <c r="C1333" s="32">
        <v>18.47</v>
      </c>
      <c r="D1333" s="28">
        <v>1.8055555555555557E-2</v>
      </c>
    </row>
    <row r="1334" spans="1:4" x14ac:dyDescent="0.25">
      <c r="A1334" s="24" t="s">
        <v>77</v>
      </c>
      <c r="B1334" s="24" t="s">
        <v>148</v>
      </c>
      <c r="C1334" s="32">
        <v>16.728999999999999</v>
      </c>
      <c r="D1334" s="28">
        <v>1.7361111111111112E-2</v>
      </c>
    </row>
    <row r="1335" spans="1:4" x14ac:dyDescent="0.25">
      <c r="A1335" s="24" t="s">
        <v>77</v>
      </c>
      <c r="B1335" s="24" t="s">
        <v>149</v>
      </c>
      <c r="C1335" s="32">
        <v>11.791</v>
      </c>
      <c r="D1335" s="28">
        <v>1.1111111111111112E-2</v>
      </c>
    </row>
    <row r="1336" spans="1:4" x14ac:dyDescent="0.25">
      <c r="A1336" s="24" t="s">
        <v>77</v>
      </c>
      <c r="B1336" s="24" t="s">
        <v>150</v>
      </c>
      <c r="C1336" s="32">
        <v>16.797999999999998</v>
      </c>
      <c r="D1336" s="28">
        <v>1.5972222222222224E-2</v>
      </c>
    </row>
    <row r="1337" spans="1:4" x14ac:dyDescent="0.25">
      <c r="A1337" s="24" t="s">
        <v>77</v>
      </c>
      <c r="B1337" s="24" t="s">
        <v>151</v>
      </c>
      <c r="C1337" s="32">
        <v>16.88</v>
      </c>
      <c r="D1337" s="28">
        <v>1.6666666666666666E-2</v>
      </c>
    </row>
    <row r="1338" spans="1:4" x14ac:dyDescent="0.25">
      <c r="A1338" s="24" t="s">
        <v>77</v>
      </c>
      <c r="B1338" s="24" t="s">
        <v>152</v>
      </c>
      <c r="C1338" s="32">
        <v>20.978999999999999</v>
      </c>
      <c r="D1338" s="28">
        <v>1.9444444444444445E-2</v>
      </c>
    </row>
    <row r="1339" spans="1:4" x14ac:dyDescent="0.25">
      <c r="A1339" s="24" t="s">
        <v>77</v>
      </c>
      <c r="B1339" s="24" t="s">
        <v>153</v>
      </c>
      <c r="C1339" s="32">
        <v>26.298999999999999</v>
      </c>
      <c r="D1339" s="28">
        <v>2.5694444444444447E-2</v>
      </c>
    </row>
    <row r="1340" spans="1:4" x14ac:dyDescent="0.25">
      <c r="A1340" s="24" t="s">
        <v>77</v>
      </c>
      <c r="B1340" s="24" t="s">
        <v>154</v>
      </c>
      <c r="C1340" s="32">
        <v>21.117000000000001</v>
      </c>
      <c r="D1340" s="28">
        <v>2.013888888888889E-2</v>
      </c>
    </row>
    <row r="1341" spans="1:4" x14ac:dyDescent="0.25">
      <c r="A1341" s="24" t="s">
        <v>77</v>
      </c>
      <c r="B1341" s="24" t="s">
        <v>155</v>
      </c>
      <c r="C1341" s="32">
        <v>15.917</v>
      </c>
      <c r="D1341" s="28">
        <v>1.5277777777777777E-2</v>
      </c>
    </row>
    <row r="1342" spans="1:4" x14ac:dyDescent="0.25">
      <c r="A1342" s="24" t="s">
        <v>77</v>
      </c>
      <c r="B1342" s="24" t="s">
        <v>156</v>
      </c>
      <c r="C1342" s="32">
        <v>15.901</v>
      </c>
      <c r="D1342" s="28">
        <v>1.5277777777777777E-2</v>
      </c>
    </row>
    <row r="1343" spans="1:4" x14ac:dyDescent="0.25">
      <c r="A1343" s="24" t="s">
        <v>77</v>
      </c>
      <c r="B1343" s="24" t="s">
        <v>157</v>
      </c>
      <c r="C1343" s="32">
        <v>32.271000000000001</v>
      </c>
      <c r="D1343" s="28">
        <v>3.125E-2</v>
      </c>
    </row>
    <row r="1344" spans="1:4" x14ac:dyDescent="0.25">
      <c r="A1344" s="24" t="s">
        <v>77</v>
      </c>
      <c r="B1344" s="24" t="s">
        <v>158</v>
      </c>
      <c r="C1344" s="32">
        <v>40.22</v>
      </c>
      <c r="D1344" s="28">
        <v>3.7499999999999999E-2</v>
      </c>
    </row>
    <row r="1345" spans="1:4" x14ac:dyDescent="0.25">
      <c r="A1345" s="24" t="s">
        <v>77</v>
      </c>
      <c r="B1345" s="24" t="s">
        <v>159</v>
      </c>
      <c r="C1345" s="32">
        <v>48.933999999999997</v>
      </c>
      <c r="D1345" s="28">
        <v>4.3750000000000004E-2</v>
      </c>
    </row>
    <row r="1346" spans="1:4" x14ac:dyDescent="0.25">
      <c r="A1346" s="24" t="s">
        <v>78</v>
      </c>
      <c r="B1346" s="24" t="s">
        <v>65</v>
      </c>
      <c r="C1346" s="32">
        <v>23.965</v>
      </c>
      <c r="D1346" s="28">
        <v>2.2222222222222223E-2</v>
      </c>
    </row>
    <row r="1347" spans="1:4" x14ac:dyDescent="0.25">
      <c r="A1347" s="24" t="s">
        <v>78</v>
      </c>
      <c r="B1347" s="24" t="s">
        <v>64</v>
      </c>
      <c r="C1347" s="32">
        <v>11.068</v>
      </c>
      <c r="D1347" s="28">
        <v>1.4583333333333332E-2</v>
      </c>
    </row>
    <row r="1348" spans="1:4" x14ac:dyDescent="0.25">
      <c r="A1348" s="24" t="s">
        <v>78</v>
      </c>
      <c r="B1348" s="24" t="s">
        <v>66</v>
      </c>
      <c r="C1348" s="32">
        <v>8.4580000000000002</v>
      </c>
      <c r="D1348" s="28">
        <v>8.3333333333333332E-3</v>
      </c>
    </row>
    <row r="1349" spans="1:4" x14ac:dyDescent="0.25">
      <c r="A1349" s="24" t="s">
        <v>78</v>
      </c>
      <c r="B1349" s="24" t="s">
        <v>67</v>
      </c>
      <c r="C1349" s="32">
        <v>5.7549999999999999</v>
      </c>
      <c r="D1349" s="28">
        <v>6.9444444444444441E-3</v>
      </c>
    </row>
    <row r="1350" spans="1:4" x14ac:dyDescent="0.25">
      <c r="A1350" s="24" t="s">
        <v>78</v>
      </c>
      <c r="B1350" s="24" t="s">
        <v>68</v>
      </c>
      <c r="C1350" s="32">
        <v>4.8369999999999997</v>
      </c>
      <c r="D1350" s="28">
        <v>5.5555555555555558E-3</v>
      </c>
    </row>
    <row r="1351" spans="1:4" x14ac:dyDescent="0.25">
      <c r="A1351" s="24" t="s">
        <v>78</v>
      </c>
      <c r="B1351" s="24" t="s">
        <v>69</v>
      </c>
      <c r="C1351" s="32">
        <v>5.6369999999999996</v>
      </c>
      <c r="D1351" s="28">
        <v>6.9444444444444441E-3</v>
      </c>
    </row>
    <row r="1352" spans="1:4" x14ac:dyDescent="0.25">
      <c r="A1352" s="24" t="s">
        <v>78</v>
      </c>
      <c r="B1352" s="24" t="s">
        <v>70</v>
      </c>
      <c r="C1352" s="32">
        <v>5.3010000000000002</v>
      </c>
      <c r="D1352" s="28">
        <v>6.2499999999999995E-3</v>
      </c>
    </row>
    <row r="1353" spans="1:4" x14ac:dyDescent="0.25">
      <c r="A1353" s="24" t="s">
        <v>78</v>
      </c>
      <c r="B1353" s="24" t="s">
        <v>71</v>
      </c>
      <c r="C1353" s="32">
        <v>5.2679999999999998</v>
      </c>
      <c r="D1353" s="28">
        <v>6.9444444444444441E-3</v>
      </c>
    </row>
    <row r="1354" spans="1:4" x14ac:dyDescent="0.25">
      <c r="A1354" s="24" t="s">
        <v>78</v>
      </c>
      <c r="B1354" s="24" t="s">
        <v>72</v>
      </c>
      <c r="C1354" s="32">
        <v>6.665</v>
      </c>
      <c r="D1354" s="28">
        <v>9.0277777777777787E-3</v>
      </c>
    </row>
    <row r="1355" spans="1:4" x14ac:dyDescent="0.25">
      <c r="A1355" s="24" t="s">
        <v>78</v>
      </c>
      <c r="B1355" s="24" t="s">
        <v>73</v>
      </c>
      <c r="C1355" s="32">
        <v>7.6849999999999996</v>
      </c>
      <c r="D1355" s="28">
        <v>1.0416666666666666E-2</v>
      </c>
    </row>
    <row r="1356" spans="1:4" x14ac:dyDescent="0.25">
      <c r="A1356" s="24" t="s">
        <v>78</v>
      </c>
      <c r="B1356" s="24" t="s">
        <v>74</v>
      </c>
      <c r="C1356" s="32">
        <v>12.337</v>
      </c>
      <c r="D1356" s="28">
        <v>1.1805555555555555E-2</v>
      </c>
    </row>
    <row r="1357" spans="1:4" x14ac:dyDescent="0.25">
      <c r="A1357" s="24" t="s">
        <v>78</v>
      </c>
      <c r="B1357" s="24" t="s">
        <v>75</v>
      </c>
      <c r="C1357" s="32">
        <v>12.599</v>
      </c>
      <c r="D1357" s="28">
        <v>1.1111111111111112E-2</v>
      </c>
    </row>
    <row r="1358" spans="1:4" x14ac:dyDescent="0.25">
      <c r="A1358" s="24" t="s">
        <v>78</v>
      </c>
      <c r="B1358" s="24" t="s">
        <v>76</v>
      </c>
      <c r="C1358" s="32">
        <v>11.847</v>
      </c>
      <c r="D1358" s="28">
        <v>1.0416666666666666E-2</v>
      </c>
    </row>
    <row r="1359" spans="1:4" x14ac:dyDescent="0.25">
      <c r="A1359" s="24" t="s">
        <v>78</v>
      </c>
      <c r="B1359" s="24" t="s">
        <v>77</v>
      </c>
      <c r="C1359" s="32">
        <v>4.2240000000000002</v>
      </c>
      <c r="D1359" s="28">
        <v>4.1666666666666666E-3</v>
      </c>
    </row>
    <row r="1360" spans="1:4" x14ac:dyDescent="0.25">
      <c r="A1360" s="24" t="s">
        <v>78</v>
      </c>
      <c r="B1360" s="24" t="s">
        <v>78</v>
      </c>
      <c r="C1360" s="32">
        <v>0</v>
      </c>
      <c r="D1360" s="28">
        <v>0</v>
      </c>
    </row>
    <row r="1361" spans="1:4" x14ac:dyDescent="0.25">
      <c r="A1361" s="24" t="s">
        <v>78</v>
      </c>
      <c r="B1361" s="24" t="s">
        <v>79</v>
      </c>
      <c r="C1361" s="32">
        <v>21.625</v>
      </c>
      <c r="D1361" s="28">
        <v>2.013888888888889E-2</v>
      </c>
    </row>
    <row r="1362" spans="1:4" x14ac:dyDescent="0.25">
      <c r="A1362" s="24" t="s">
        <v>78</v>
      </c>
      <c r="B1362" s="24" t="s">
        <v>80</v>
      </c>
      <c r="C1362" s="32">
        <v>27.189</v>
      </c>
      <c r="D1362" s="28">
        <v>2.4305555555555556E-2</v>
      </c>
    </row>
    <row r="1363" spans="1:4" x14ac:dyDescent="0.25">
      <c r="A1363" s="24" t="s">
        <v>78</v>
      </c>
      <c r="B1363" s="24" t="s">
        <v>81</v>
      </c>
      <c r="C1363" s="32">
        <v>31.710999999999999</v>
      </c>
      <c r="D1363" s="28">
        <v>2.7083333333333334E-2</v>
      </c>
    </row>
    <row r="1364" spans="1:4" x14ac:dyDescent="0.25">
      <c r="A1364" s="24" t="s">
        <v>78</v>
      </c>
      <c r="B1364" s="24" t="s">
        <v>82</v>
      </c>
      <c r="C1364" s="32">
        <v>31.763000000000002</v>
      </c>
      <c r="D1364" s="28">
        <v>2.7083333333333334E-2</v>
      </c>
    </row>
    <row r="1365" spans="1:4" x14ac:dyDescent="0.25">
      <c r="A1365" s="24" t="s">
        <v>78</v>
      </c>
      <c r="B1365" s="24" t="s">
        <v>83</v>
      </c>
      <c r="C1365" s="32">
        <v>19.899999999999999</v>
      </c>
      <c r="D1365" s="28">
        <v>1.8055555555555557E-2</v>
      </c>
    </row>
    <row r="1366" spans="1:4" x14ac:dyDescent="0.25">
      <c r="A1366" s="24" t="s">
        <v>78</v>
      </c>
      <c r="B1366" s="24" t="s">
        <v>84</v>
      </c>
      <c r="C1366" s="32">
        <v>14.439</v>
      </c>
      <c r="D1366" s="28">
        <v>1.2499999999999999E-2</v>
      </c>
    </row>
    <row r="1367" spans="1:4" x14ac:dyDescent="0.25">
      <c r="A1367" s="24" t="s">
        <v>78</v>
      </c>
      <c r="B1367" s="24" t="s">
        <v>85</v>
      </c>
      <c r="C1367" s="32">
        <v>14.621</v>
      </c>
      <c r="D1367" s="28">
        <v>1.3888888888888888E-2</v>
      </c>
    </row>
    <row r="1368" spans="1:4" x14ac:dyDescent="0.25">
      <c r="A1368" s="24" t="s">
        <v>78</v>
      </c>
      <c r="B1368" s="24" t="s">
        <v>86</v>
      </c>
      <c r="C1368" s="32">
        <v>18.111000000000001</v>
      </c>
      <c r="D1368" s="28">
        <v>1.6666666666666666E-2</v>
      </c>
    </row>
    <row r="1369" spans="1:4" x14ac:dyDescent="0.25">
      <c r="A1369" s="24" t="s">
        <v>78</v>
      </c>
      <c r="B1369" s="24" t="s">
        <v>87</v>
      </c>
      <c r="C1369" s="32">
        <v>18.710999999999999</v>
      </c>
      <c r="D1369" s="28">
        <v>1.6666666666666666E-2</v>
      </c>
    </row>
    <row r="1370" spans="1:4" x14ac:dyDescent="0.25">
      <c r="A1370" s="24" t="s">
        <v>78</v>
      </c>
      <c r="B1370" s="24" t="s">
        <v>88</v>
      </c>
      <c r="C1370" s="32">
        <v>20.062000000000001</v>
      </c>
      <c r="D1370" s="28">
        <v>1.8055555555555557E-2</v>
      </c>
    </row>
    <row r="1371" spans="1:4" x14ac:dyDescent="0.25">
      <c r="A1371" s="24" t="s">
        <v>78</v>
      </c>
      <c r="B1371" s="24" t="s">
        <v>89</v>
      </c>
      <c r="C1371" s="32">
        <v>22.504999999999999</v>
      </c>
      <c r="D1371" s="28">
        <v>2.2222222222222223E-2</v>
      </c>
    </row>
    <row r="1372" spans="1:4" x14ac:dyDescent="0.25">
      <c r="A1372" s="24" t="s">
        <v>78</v>
      </c>
      <c r="B1372" s="24" t="s">
        <v>90</v>
      </c>
      <c r="C1372" s="32">
        <v>23.3</v>
      </c>
      <c r="D1372" s="28">
        <v>2.4305555555555556E-2</v>
      </c>
    </row>
    <row r="1373" spans="1:4" x14ac:dyDescent="0.25">
      <c r="A1373" s="24" t="s">
        <v>78</v>
      </c>
      <c r="B1373" s="24" t="s">
        <v>91</v>
      </c>
      <c r="C1373" s="32">
        <v>22.574000000000002</v>
      </c>
      <c r="D1373" s="28">
        <v>2.013888888888889E-2</v>
      </c>
    </row>
    <row r="1374" spans="1:4" x14ac:dyDescent="0.25">
      <c r="A1374" s="24" t="s">
        <v>78</v>
      </c>
      <c r="B1374" s="24" t="s">
        <v>92</v>
      </c>
      <c r="C1374" s="32">
        <v>25.265000000000001</v>
      </c>
      <c r="D1374" s="28">
        <v>2.4305555555555556E-2</v>
      </c>
    </row>
    <row r="1375" spans="1:4" x14ac:dyDescent="0.25">
      <c r="A1375" s="24" t="s">
        <v>78</v>
      </c>
      <c r="B1375" s="24" t="s">
        <v>93</v>
      </c>
      <c r="C1375" s="32">
        <v>48.987000000000002</v>
      </c>
      <c r="D1375" s="28">
        <v>3.6805555555555557E-2</v>
      </c>
    </row>
    <row r="1376" spans="1:4" x14ac:dyDescent="0.25">
      <c r="A1376" s="24" t="s">
        <v>78</v>
      </c>
      <c r="B1376" s="24" t="s">
        <v>94</v>
      </c>
      <c r="C1376" s="32">
        <v>49.616</v>
      </c>
      <c r="D1376" s="28">
        <v>3.7499999999999999E-2</v>
      </c>
    </row>
    <row r="1377" spans="1:4" x14ac:dyDescent="0.25">
      <c r="A1377" s="24" t="s">
        <v>78</v>
      </c>
      <c r="B1377" s="24" t="s">
        <v>95</v>
      </c>
      <c r="C1377" s="32">
        <v>32.046999999999997</v>
      </c>
      <c r="D1377" s="28">
        <v>2.7777777777777776E-2</v>
      </c>
    </row>
    <row r="1378" spans="1:4" x14ac:dyDescent="0.25">
      <c r="A1378" s="24" t="s">
        <v>78</v>
      </c>
      <c r="B1378" s="24" t="s">
        <v>96</v>
      </c>
      <c r="C1378" s="32">
        <v>20.077000000000002</v>
      </c>
      <c r="D1378" s="28">
        <v>2.0833333333333332E-2</v>
      </c>
    </row>
    <row r="1379" spans="1:4" x14ac:dyDescent="0.25">
      <c r="A1379" s="24" t="s">
        <v>78</v>
      </c>
      <c r="B1379" s="24" t="s">
        <v>97</v>
      </c>
      <c r="C1379" s="32">
        <v>28.396000000000001</v>
      </c>
      <c r="D1379" s="28">
        <v>2.7083333333333334E-2</v>
      </c>
    </row>
    <row r="1380" spans="1:4" x14ac:dyDescent="0.25">
      <c r="A1380" s="24" t="s">
        <v>78</v>
      </c>
      <c r="B1380" s="24" t="s">
        <v>98</v>
      </c>
      <c r="C1380" s="32">
        <v>27.135999999999999</v>
      </c>
      <c r="D1380" s="28">
        <v>2.5694444444444447E-2</v>
      </c>
    </row>
    <row r="1381" spans="1:4" x14ac:dyDescent="0.25">
      <c r="A1381" s="24" t="s">
        <v>78</v>
      </c>
      <c r="B1381" s="24" t="s">
        <v>99</v>
      </c>
      <c r="C1381" s="32">
        <v>29.655999999999999</v>
      </c>
      <c r="D1381" s="28">
        <v>2.9166666666666664E-2</v>
      </c>
    </row>
    <row r="1382" spans="1:4" x14ac:dyDescent="0.25">
      <c r="A1382" s="24" t="s">
        <v>78</v>
      </c>
      <c r="B1382" s="24" t="s">
        <v>100</v>
      </c>
      <c r="C1382" s="32">
        <v>28.292000000000002</v>
      </c>
      <c r="D1382" s="28">
        <v>2.7777777777777776E-2</v>
      </c>
    </row>
    <row r="1383" spans="1:4" x14ac:dyDescent="0.25">
      <c r="A1383" s="24" t="s">
        <v>78</v>
      </c>
      <c r="B1383" s="24" t="s">
        <v>101</v>
      </c>
      <c r="C1383" s="32">
        <v>27.052</v>
      </c>
      <c r="D1383" s="28">
        <v>2.7083333333333334E-2</v>
      </c>
    </row>
    <row r="1384" spans="1:4" x14ac:dyDescent="0.25">
      <c r="A1384" s="24" t="s">
        <v>78</v>
      </c>
      <c r="B1384" s="24" t="s">
        <v>102</v>
      </c>
      <c r="C1384" s="32">
        <v>26.478999999999999</v>
      </c>
      <c r="D1384" s="28">
        <v>2.6388888888888889E-2</v>
      </c>
    </row>
    <row r="1385" spans="1:4" x14ac:dyDescent="0.25">
      <c r="A1385" s="24" t="s">
        <v>78</v>
      </c>
      <c r="B1385" s="24" t="s">
        <v>103</v>
      </c>
      <c r="C1385" s="32">
        <v>19.623000000000001</v>
      </c>
      <c r="D1385" s="28">
        <v>2.0833333333333332E-2</v>
      </c>
    </row>
    <row r="1386" spans="1:4" x14ac:dyDescent="0.25">
      <c r="A1386" s="24" t="s">
        <v>78</v>
      </c>
      <c r="B1386" s="24" t="s">
        <v>104</v>
      </c>
      <c r="C1386" s="32">
        <v>24.158999999999999</v>
      </c>
      <c r="D1386" s="28">
        <v>2.2916666666666669E-2</v>
      </c>
    </row>
    <row r="1387" spans="1:4" x14ac:dyDescent="0.25">
      <c r="A1387" s="24" t="s">
        <v>78</v>
      </c>
      <c r="B1387" s="24" t="s">
        <v>105</v>
      </c>
      <c r="C1387" s="32">
        <v>22.613</v>
      </c>
      <c r="D1387" s="28">
        <v>2.5694444444444447E-2</v>
      </c>
    </row>
    <row r="1388" spans="1:4" x14ac:dyDescent="0.25">
      <c r="A1388" s="24" t="s">
        <v>78</v>
      </c>
      <c r="B1388" s="24" t="s">
        <v>106</v>
      </c>
      <c r="C1388" s="32">
        <v>17.335000000000001</v>
      </c>
      <c r="D1388" s="28">
        <v>1.8749999999999999E-2</v>
      </c>
    </row>
    <row r="1389" spans="1:4" x14ac:dyDescent="0.25">
      <c r="A1389" s="24" t="s">
        <v>78</v>
      </c>
      <c r="B1389" s="24" t="s">
        <v>107</v>
      </c>
      <c r="C1389" s="32">
        <v>23.314</v>
      </c>
      <c r="D1389" s="28">
        <v>2.0833333333333332E-2</v>
      </c>
    </row>
    <row r="1390" spans="1:4" x14ac:dyDescent="0.25">
      <c r="A1390" s="24" t="s">
        <v>78</v>
      </c>
      <c r="B1390" s="24" t="s">
        <v>108</v>
      </c>
      <c r="C1390" s="32">
        <v>21.7</v>
      </c>
      <c r="D1390" s="28">
        <v>1.8055555555555557E-2</v>
      </c>
    </row>
    <row r="1391" spans="1:4" x14ac:dyDescent="0.25">
      <c r="A1391" s="24" t="s">
        <v>78</v>
      </c>
      <c r="B1391" s="24" t="s">
        <v>109</v>
      </c>
      <c r="C1391" s="32">
        <v>21.73</v>
      </c>
      <c r="D1391" s="28">
        <v>1.8055555555555557E-2</v>
      </c>
    </row>
    <row r="1392" spans="1:4" x14ac:dyDescent="0.25">
      <c r="A1392" s="24" t="s">
        <v>78</v>
      </c>
      <c r="B1392" s="24" t="s">
        <v>110</v>
      </c>
      <c r="C1392" s="32">
        <v>19.309000000000001</v>
      </c>
      <c r="D1392" s="28">
        <v>2.2222222222222223E-2</v>
      </c>
    </row>
    <row r="1393" spans="1:4" x14ac:dyDescent="0.25">
      <c r="A1393" s="24" t="s">
        <v>78</v>
      </c>
      <c r="B1393" s="24" t="s">
        <v>111</v>
      </c>
      <c r="C1393" s="32">
        <v>20.777000000000001</v>
      </c>
      <c r="D1393" s="28">
        <v>2.0833333333333332E-2</v>
      </c>
    </row>
    <row r="1394" spans="1:4" x14ac:dyDescent="0.25">
      <c r="A1394" s="24" t="s">
        <v>78</v>
      </c>
      <c r="B1394" s="24" t="s">
        <v>112</v>
      </c>
      <c r="C1394" s="32">
        <v>27.727</v>
      </c>
      <c r="D1394" s="28">
        <v>1.9444444444444445E-2</v>
      </c>
    </row>
    <row r="1395" spans="1:4" x14ac:dyDescent="0.25">
      <c r="A1395" s="24" t="s">
        <v>78</v>
      </c>
      <c r="B1395" s="24" t="s">
        <v>113</v>
      </c>
      <c r="C1395" s="32">
        <v>24.86</v>
      </c>
      <c r="D1395" s="28">
        <v>1.7361111111111112E-2</v>
      </c>
    </row>
    <row r="1396" spans="1:4" x14ac:dyDescent="0.25">
      <c r="A1396" s="24" t="s">
        <v>78</v>
      </c>
      <c r="B1396" s="24" t="s">
        <v>114</v>
      </c>
      <c r="C1396" s="32">
        <v>30.256</v>
      </c>
      <c r="D1396" s="28">
        <v>2.5694444444444447E-2</v>
      </c>
    </row>
    <row r="1397" spans="1:4" x14ac:dyDescent="0.25">
      <c r="A1397" s="24" t="s">
        <v>78</v>
      </c>
      <c r="B1397" s="24" t="s">
        <v>115</v>
      </c>
      <c r="C1397" s="32">
        <v>30.106999999999999</v>
      </c>
      <c r="D1397" s="28">
        <v>2.6388888888888889E-2</v>
      </c>
    </row>
    <row r="1398" spans="1:4" x14ac:dyDescent="0.25">
      <c r="A1398" s="24" t="s">
        <v>78</v>
      </c>
      <c r="B1398" s="24" t="s">
        <v>116</v>
      </c>
      <c r="C1398" s="32">
        <v>24.347000000000001</v>
      </c>
      <c r="D1398" s="28">
        <v>2.361111111111111E-2</v>
      </c>
    </row>
    <row r="1399" spans="1:4" x14ac:dyDescent="0.25">
      <c r="A1399" s="24" t="s">
        <v>78</v>
      </c>
      <c r="B1399" s="24" t="s">
        <v>117</v>
      </c>
      <c r="C1399" s="32">
        <v>31.550999999999998</v>
      </c>
      <c r="D1399" s="28">
        <v>2.9166666666666664E-2</v>
      </c>
    </row>
    <row r="1400" spans="1:4" x14ac:dyDescent="0.25">
      <c r="A1400" s="24" t="s">
        <v>78</v>
      </c>
      <c r="B1400" s="24" t="s">
        <v>118</v>
      </c>
      <c r="C1400" s="32">
        <v>34.564</v>
      </c>
      <c r="D1400" s="28">
        <v>2.2222222222222223E-2</v>
      </c>
    </row>
    <row r="1401" spans="1:4" x14ac:dyDescent="0.25">
      <c r="A1401" s="24" t="s">
        <v>78</v>
      </c>
      <c r="B1401" s="24" t="s">
        <v>119</v>
      </c>
      <c r="C1401" s="32">
        <v>39.222000000000001</v>
      </c>
      <c r="D1401" s="28">
        <v>2.4305555555555556E-2</v>
      </c>
    </row>
    <row r="1402" spans="1:4" x14ac:dyDescent="0.25">
      <c r="A1402" s="24" t="s">
        <v>78</v>
      </c>
      <c r="B1402" s="24" t="s">
        <v>120</v>
      </c>
      <c r="C1402" s="32">
        <v>42.012</v>
      </c>
      <c r="D1402" s="28">
        <v>2.7777777777777776E-2</v>
      </c>
    </row>
    <row r="1403" spans="1:4" x14ac:dyDescent="0.25">
      <c r="A1403" s="24" t="s">
        <v>78</v>
      </c>
      <c r="B1403" s="24" t="s">
        <v>121</v>
      </c>
      <c r="C1403" s="32">
        <v>56.363</v>
      </c>
      <c r="D1403" s="28">
        <v>3.4722222222222224E-2</v>
      </c>
    </row>
    <row r="1404" spans="1:4" x14ac:dyDescent="0.25">
      <c r="A1404" s="24" t="s">
        <v>78</v>
      </c>
      <c r="B1404" s="24" t="s">
        <v>122</v>
      </c>
      <c r="C1404" s="32">
        <v>54.817</v>
      </c>
      <c r="D1404" s="28">
        <v>3.4027777777777775E-2</v>
      </c>
    </row>
    <row r="1405" spans="1:4" x14ac:dyDescent="0.25">
      <c r="A1405" s="24" t="s">
        <v>78</v>
      </c>
      <c r="B1405" s="24" t="s">
        <v>123</v>
      </c>
      <c r="C1405" s="32">
        <v>49.948</v>
      </c>
      <c r="D1405" s="28">
        <v>3.125E-2</v>
      </c>
    </row>
    <row r="1406" spans="1:4" x14ac:dyDescent="0.25">
      <c r="A1406" s="24" t="s">
        <v>78</v>
      </c>
      <c r="B1406" s="24" t="s">
        <v>124</v>
      </c>
      <c r="C1406" s="32">
        <v>49.948</v>
      </c>
      <c r="D1406" s="28">
        <v>3.125E-2</v>
      </c>
    </row>
    <row r="1407" spans="1:4" x14ac:dyDescent="0.25">
      <c r="A1407" s="24" t="s">
        <v>78</v>
      </c>
      <c r="B1407" s="24" t="s">
        <v>125</v>
      </c>
      <c r="C1407" s="32">
        <v>10.237</v>
      </c>
      <c r="D1407" s="28">
        <v>1.3888888888888888E-2</v>
      </c>
    </row>
    <row r="1408" spans="1:4" x14ac:dyDescent="0.25">
      <c r="A1408" s="24" t="s">
        <v>78</v>
      </c>
      <c r="B1408" s="24" t="s">
        <v>126</v>
      </c>
      <c r="C1408" s="32">
        <v>9.9749999999999996</v>
      </c>
      <c r="D1408" s="28">
        <v>1.2499999999999999E-2</v>
      </c>
    </row>
    <row r="1409" spans="1:4" x14ac:dyDescent="0.25">
      <c r="A1409" s="24" t="s">
        <v>78</v>
      </c>
      <c r="B1409" s="24" t="s">
        <v>127</v>
      </c>
      <c r="C1409" s="32">
        <v>10.72</v>
      </c>
      <c r="D1409" s="28">
        <v>1.3888888888888888E-2</v>
      </c>
    </row>
    <row r="1410" spans="1:4" x14ac:dyDescent="0.25">
      <c r="A1410" s="24" t="s">
        <v>78</v>
      </c>
      <c r="B1410" s="24" t="s">
        <v>128</v>
      </c>
      <c r="C1410" s="32">
        <v>10.535</v>
      </c>
      <c r="D1410" s="28">
        <v>1.4583333333333332E-2</v>
      </c>
    </row>
    <row r="1411" spans="1:4" x14ac:dyDescent="0.25">
      <c r="A1411" s="24" t="s">
        <v>78</v>
      </c>
      <c r="B1411" s="24" t="s">
        <v>129</v>
      </c>
      <c r="C1411" s="32">
        <v>10.535</v>
      </c>
      <c r="D1411" s="28">
        <v>1.4583333333333332E-2</v>
      </c>
    </row>
    <row r="1412" spans="1:4" x14ac:dyDescent="0.25">
      <c r="A1412" s="24" t="s">
        <v>78</v>
      </c>
      <c r="B1412" s="24" t="s">
        <v>130</v>
      </c>
      <c r="C1412" s="32">
        <v>10.638</v>
      </c>
      <c r="D1412" s="28">
        <v>1.4583333333333332E-2</v>
      </c>
    </row>
    <row r="1413" spans="1:4" x14ac:dyDescent="0.25">
      <c r="A1413" s="24" t="s">
        <v>78</v>
      </c>
      <c r="B1413" s="24" t="s">
        <v>131</v>
      </c>
      <c r="C1413" s="32">
        <v>13.109</v>
      </c>
      <c r="D1413" s="28">
        <v>1.7361111111111112E-2</v>
      </c>
    </row>
    <row r="1414" spans="1:4" x14ac:dyDescent="0.25">
      <c r="A1414" s="24" t="s">
        <v>78</v>
      </c>
      <c r="B1414" s="24" t="s">
        <v>132</v>
      </c>
      <c r="C1414" s="32">
        <v>9.3119999999999994</v>
      </c>
      <c r="D1414" s="28">
        <v>1.0416666666666666E-2</v>
      </c>
    </row>
    <row r="1415" spans="1:4" x14ac:dyDescent="0.25">
      <c r="A1415" s="24" t="s">
        <v>78</v>
      </c>
      <c r="B1415" s="24" t="s">
        <v>133</v>
      </c>
      <c r="C1415" s="32">
        <v>17.097000000000001</v>
      </c>
      <c r="D1415" s="28">
        <v>1.3888888888888888E-2</v>
      </c>
    </row>
    <row r="1416" spans="1:4" x14ac:dyDescent="0.25">
      <c r="A1416" s="24" t="s">
        <v>78</v>
      </c>
      <c r="B1416" s="24" t="s">
        <v>134</v>
      </c>
      <c r="C1416" s="32">
        <v>16.631</v>
      </c>
      <c r="D1416" s="28">
        <v>1.3194444444444444E-2</v>
      </c>
    </row>
    <row r="1417" spans="1:4" x14ac:dyDescent="0.25">
      <c r="A1417" s="24" t="s">
        <v>78</v>
      </c>
      <c r="B1417" s="24" t="s">
        <v>135</v>
      </c>
      <c r="C1417" s="32">
        <v>14.696</v>
      </c>
      <c r="D1417" s="28">
        <v>1.1805555555555555E-2</v>
      </c>
    </row>
    <row r="1418" spans="1:4" x14ac:dyDescent="0.25">
      <c r="A1418" s="24" t="s">
        <v>78</v>
      </c>
      <c r="B1418" s="24" t="s">
        <v>136</v>
      </c>
      <c r="C1418" s="32">
        <v>14.696</v>
      </c>
      <c r="D1418" s="28">
        <v>1.1805555555555555E-2</v>
      </c>
    </row>
    <row r="1419" spans="1:4" x14ac:dyDescent="0.25">
      <c r="A1419" s="24" t="s">
        <v>78</v>
      </c>
      <c r="B1419" s="24" t="s">
        <v>137</v>
      </c>
      <c r="C1419" s="32">
        <v>15.388999999999999</v>
      </c>
      <c r="D1419" s="28">
        <v>1.3194444444444444E-2</v>
      </c>
    </row>
    <row r="1420" spans="1:4" x14ac:dyDescent="0.25">
      <c r="A1420" s="24" t="s">
        <v>78</v>
      </c>
      <c r="B1420" s="24" t="s">
        <v>138</v>
      </c>
      <c r="C1420" s="32">
        <v>20.718</v>
      </c>
      <c r="D1420" s="28">
        <v>1.4583333333333332E-2</v>
      </c>
    </row>
    <row r="1421" spans="1:4" x14ac:dyDescent="0.25">
      <c r="A1421" s="24" t="s">
        <v>78</v>
      </c>
      <c r="B1421" s="24" t="s">
        <v>139</v>
      </c>
      <c r="C1421" s="32">
        <v>17.765999999999998</v>
      </c>
      <c r="D1421" s="28">
        <v>1.3194444444444444E-2</v>
      </c>
    </row>
    <row r="1422" spans="1:4" x14ac:dyDescent="0.25">
      <c r="A1422" s="24" t="s">
        <v>78</v>
      </c>
      <c r="B1422" s="24" t="s">
        <v>140</v>
      </c>
      <c r="C1422" s="32">
        <v>14.989000000000001</v>
      </c>
      <c r="D1422" s="28">
        <v>1.0416666666666666E-2</v>
      </c>
    </row>
    <row r="1423" spans="1:4" x14ac:dyDescent="0.25">
      <c r="A1423" s="24" t="s">
        <v>78</v>
      </c>
      <c r="B1423" s="24" t="s">
        <v>141</v>
      </c>
      <c r="C1423" s="32">
        <v>42.476999999999997</v>
      </c>
      <c r="D1423" s="28">
        <v>3.1944444444444449E-2</v>
      </c>
    </row>
    <row r="1424" spans="1:4" x14ac:dyDescent="0.25">
      <c r="A1424" s="24" t="s">
        <v>78</v>
      </c>
      <c r="B1424" s="24" t="s">
        <v>142</v>
      </c>
      <c r="C1424" s="32">
        <v>34.807000000000002</v>
      </c>
      <c r="D1424" s="28">
        <v>2.361111111111111E-2</v>
      </c>
    </row>
    <row r="1425" spans="1:4" x14ac:dyDescent="0.25">
      <c r="A1425" s="24" t="s">
        <v>78</v>
      </c>
      <c r="B1425" s="24" t="s">
        <v>143</v>
      </c>
      <c r="C1425" s="32">
        <v>53.185000000000002</v>
      </c>
      <c r="D1425" s="28">
        <v>3.125E-2</v>
      </c>
    </row>
    <row r="1426" spans="1:4" x14ac:dyDescent="0.25">
      <c r="A1426" s="24" t="s">
        <v>78</v>
      </c>
      <c r="B1426" s="24" t="s">
        <v>144</v>
      </c>
      <c r="C1426" s="32">
        <v>72.301000000000002</v>
      </c>
      <c r="D1426" s="28">
        <v>4.1666666666666664E-2</v>
      </c>
    </row>
    <row r="1427" spans="1:4" x14ac:dyDescent="0.25">
      <c r="A1427" s="24" t="s">
        <v>78</v>
      </c>
      <c r="B1427" s="24" t="s">
        <v>145</v>
      </c>
      <c r="C1427" s="32">
        <v>35.53</v>
      </c>
      <c r="D1427" s="28">
        <v>2.361111111111111E-2</v>
      </c>
    </row>
    <row r="1428" spans="1:4" x14ac:dyDescent="0.25">
      <c r="A1428" s="24" t="s">
        <v>78</v>
      </c>
      <c r="B1428" s="24" t="s">
        <v>146</v>
      </c>
      <c r="C1428" s="32">
        <v>41.938000000000002</v>
      </c>
      <c r="D1428" s="28">
        <v>3.0555555555555555E-2</v>
      </c>
    </row>
    <row r="1429" spans="1:4" x14ac:dyDescent="0.25">
      <c r="A1429" s="24" t="s">
        <v>78</v>
      </c>
      <c r="B1429" s="24" t="s">
        <v>147</v>
      </c>
      <c r="C1429" s="32">
        <v>17.262</v>
      </c>
      <c r="D1429" s="28">
        <v>1.8749999999999999E-2</v>
      </c>
    </row>
    <row r="1430" spans="1:4" x14ac:dyDescent="0.25">
      <c r="A1430" s="24" t="s">
        <v>78</v>
      </c>
      <c r="B1430" s="24" t="s">
        <v>148</v>
      </c>
      <c r="C1430" s="32">
        <v>15.521000000000001</v>
      </c>
      <c r="D1430" s="28">
        <v>1.8055555555555557E-2</v>
      </c>
    </row>
    <row r="1431" spans="1:4" x14ac:dyDescent="0.25">
      <c r="A1431" s="24" t="s">
        <v>78</v>
      </c>
      <c r="B1431" s="24" t="s">
        <v>149</v>
      </c>
      <c r="C1431" s="32">
        <v>10.583</v>
      </c>
      <c r="D1431" s="28">
        <v>1.1111111111111112E-2</v>
      </c>
    </row>
    <row r="1432" spans="1:4" x14ac:dyDescent="0.25">
      <c r="A1432" s="24" t="s">
        <v>78</v>
      </c>
      <c r="B1432" s="24" t="s">
        <v>150</v>
      </c>
      <c r="C1432" s="32">
        <v>16.277000000000001</v>
      </c>
      <c r="D1432" s="28">
        <v>1.6666666666666666E-2</v>
      </c>
    </row>
    <row r="1433" spans="1:4" x14ac:dyDescent="0.25">
      <c r="A1433" s="24" t="s">
        <v>78</v>
      </c>
      <c r="B1433" s="24" t="s">
        <v>151</v>
      </c>
      <c r="C1433" s="32">
        <v>14.795999999999999</v>
      </c>
      <c r="D1433" s="28">
        <v>1.6666666666666666E-2</v>
      </c>
    </row>
    <row r="1434" spans="1:4" x14ac:dyDescent="0.25">
      <c r="A1434" s="24" t="s">
        <v>78</v>
      </c>
      <c r="B1434" s="24" t="s">
        <v>152</v>
      </c>
      <c r="C1434" s="32">
        <v>20.18</v>
      </c>
      <c r="D1434" s="28">
        <v>2.0833333333333332E-2</v>
      </c>
    </row>
    <row r="1435" spans="1:4" x14ac:dyDescent="0.25">
      <c r="A1435" s="24" t="s">
        <v>78</v>
      </c>
      <c r="B1435" s="24" t="s">
        <v>153</v>
      </c>
      <c r="C1435" s="32">
        <v>25.666</v>
      </c>
      <c r="D1435" s="28">
        <v>2.6388888888888889E-2</v>
      </c>
    </row>
    <row r="1436" spans="1:4" x14ac:dyDescent="0.25">
      <c r="A1436" s="24" t="s">
        <v>78</v>
      </c>
      <c r="B1436" s="24" t="s">
        <v>154</v>
      </c>
      <c r="C1436" s="32">
        <v>19.908999999999999</v>
      </c>
      <c r="D1436" s="28">
        <v>2.013888888888889E-2</v>
      </c>
    </row>
    <row r="1437" spans="1:4" x14ac:dyDescent="0.25">
      <c r="A1437" s="24" t="s">
        <v>78</v>
      </c>
      <c r="B1437" s="24" t="s">
        <v>155</v>
      </c>
      <c r="C1437" s="32">
        <v>15.396000000000001</v>
      </c>
      <c r="D1437" s="28">
        <v>1.6666666666666666E-2</v>
      </c>
    </row>
    <row r="1438" spans="1:4" x14ac:dyDescent="0.25">
      <c r="A1438" s="24" t="s">
        <v>78</v>
      </c>
      <c r="B1438" s="24" t="s">
        <v>156</v>
      </c>
      <c r="C1438" s="32">
        <v>15.38</v>
      </c>
      <c r="D1438" s="28">
        <v>1.5972222222222224E-2</v>
      </c>
    </row>
    <row r="1439" spans="1:4" x14ac:dyDescent="0.25">
      <c r="A1439" s="24" t="s">
        <v>78</v>
      </c>
      <c r="B1439" s="24" t="s">
        <v>157</v>
      </c>
      <c r="C1439" s="32">
        <v>31.062999999999999</v>
      </c>
      <c r="D1439" s="28">
        <v>3.1944444444444449E-2</v>
      </c>
    </row>
    <row r="1440" spans="1:4" x14ac:dyDescent="0.25">
      <c r="A1440" s="24" t="s">
        <v>78</v>
      </c>
      <c r="B1440" s="24" t="s">
        <v>158</v>
      </c>
      <c r="C1440" s="32">
        <v>39.012</v>
      </c>
      <c r="D1440" s="28">
        <v>3.8194444444444441E-2</v>
      </c>
    </row>
    <row r="1441" spans="1:4" x14ac:dyDescent="0.25">
      <c r="A1441" s="24" t="s">
        <v>78</v>
      </c>
      <c r="B1441" s="24" t="s">
        <v>159</v>
      </c>
      <c r="C1441" s="32">
        <v>47.725999999999999</v>
      </c>
      <c r="D1441" s="28">
        <v>4.3750000000000004E-2</v>
      </c>
    </row>
    <row r="1442" spans="1:4" x14ac:dyDescent="0.25">
      <c r="A1442" s="24" t="s">
        <v>79</v>
      </c>
      <c r="B1442" s="24" t="s">
        <v>65</v>
      </c>
      <c r="C1442" s="32">
        <v>40.698999999999998</v>
      </c>
      <c r="D1442" s="28">
        <v>3.6805555555555557E-2</v>
      </c>
    </row>
    <row r="1443" spans="1:4" x14ac:dyDescent="0.25">
      <c r="A1443" s="24" t="s">
        <v>79</v>
      </c>
      <c r="B1443" s="24" t="s">
        <v>64</v>
      </c>
      <c r="C1443" s="32">
        <v>30.366</v>
      </c>
      <c r="D1443" s="28">
        <v>2.9166666666666664E-2</v>
      </c>
    </row>
    <row r="1444" spans="1:4" x14ac:dyDescent="0.25">
      <c r="A1444" s="24" t="s">
        <v>79</v>
      </c>
      <c r="B1444" s="24" t="s">
        <v>66</v>
      </c>
      <c r="C1444" s="32">
        <v>25.192</v>
      </c>
      <c r="D1444" s="28">
        <v>2.2222222222222223E-2</v>
      </c>
    </row>
    <row r="1445" spans="1:4" x14ac:dyDescent="0.25">
      <c r="A1445" s="24" t="s">
        <v>79</v>
      </c>
      <c r="B1445" s="24" t="s">
        <v>67</v>
      </c>
      <c r="C1445" s="32">
        <v>25.077999999999999</v>
      </c>
      <c r="D1445" s="28">
        <v>2.2916666666666669E-2</v>
      </c>
    </row>
    <row r="1446" spans="1:4" x14ac:dyDescent="0.25">
      <c r="A1446" s="24" t="s">
        <v>79</v>
      </c>
      <c r="B1446" s="24" t="s">
        <v>68</v>
      </c>
      <c r="C1446" s="32">
        <v>22.068999999999999</v>
      </c>
      <c r="D1446" s="28">
        <v>2.2222222222222223E-2</v>
      </c>
    </row>
    <row r="1447" spans="1:4" x14ac:dyDescent="0.25">
      <c r="A1447" s="24" t="s">
        <v>79</v>
      </c>
      <c r="B1447" s="24" t="s">
        <v>69</v>
      </c>
      <c r="C1447" s="32">
        <v>24.315000000000001</v>
      </c>
      <c r="D1447" s="28">
        <v>2.2916666666666669E-2</v>
      </c>
    </row>
    <row r="1448" spans="1:4" x14ac:dyDescent="0.25">
      <c r="A1448" s="24" t="s">
        <v>79</v>
      </c>
      <c r="B1448" s="24" t="s">
        <v>70</v>
      </c>
      <c r="C1448" s="32">
        <v>22.533000000000001</v>
      </c>
      <c r="D1448" s="28">
        <v>2.2222222222222223E-2</v>
      </c>
    </row>
    <row r="1449" spans="1:4" x14ac:dyDescent="0.25">
      <c r="A1449" s="24" t="s">
        <v>79</v>
      </c>
      <c r="B1449" s="24" t="s">
        <v>71</v>
      </c>
      <c r="C1449" s="32">
        <v>22.5</v>
      </c>
      <c r="D1449" s="28">
        <v>2.2916666666666669E-2</v>
      </c>
    </row>
    <row r="1450" spans="1:4" x14ac:dyDescent="0.25">
      <c r="A1450" s="24" t="s">
        <v>79</v>
      </c>
      <c r="B1450" s="24" t="s">
        <v>72</v>
      </c>
      <c r="C1450" s="32">
        <v>24.542000000000002</v>
      </c>
      <c r="D1450" s="28">
        <v>2.2916666666666669E-2</v>
      </c>
    </row>
    <row r="1451" spans="1:4" x14ac:dyDescent="0.25">
      <c r="A1451" s="24" t="s">
        <v>79</v>
      </c>
      <c r="B1451" s="24" t="s">
        <v>73</v>
      </c>
      <c r="C1451" s="32">
        <v>25.649000000000001</v>
      </c>
      <c r="D1451" s="28">
        <v>2.4305555555555556E-2</v>
      </c>
    </row>
    <row r="1452" spans="1:4" x14ac:dyDescent="0.25">
      <c r="A1452" s="24" t="s">
        <v>79</v>
      </c>
      <c r="B1452" s="24" t="s">
        <v>74</v>
      </c>
      <c r="C1452" s="32">
        <v>23.472999999999999</v>
      </c>
      <c r="D1452" s="28">
        <v>2.2222222222222223E-2</v>
      </c>
    </row>
    <row r="1453" spans="1:4" x14ac:dyDescent="0.25">
      <c r="A1453" s="24" t="s">
        <v>79</v>
      </c>
      <c r="B1453" s="24" t="s">
        <v>75</v>
      </c>
      <c r="C1453" s="32">
        <v>23.734999999999999</v>
      </c>
      <c r="D1453" s="28">
        <v>2.1527777777777781E-2</v>
      </c>
    </row>
    <row r="1454" spans="1:4" x14ac:dyDescent="0.25">
      <c r="A1454" s="24" t="s">
        <v>79</v>
      </c>
      <c r="B1454" s="24" t="s">
        <v>76</v>
      </c>
      <c r="C1454" s="32">
        <v>23.204999999999998</v>
      </c>
      <c r="D1454" s="28">
        <v>2.2222222222222223E-2</v>
      </c>
    </row>
    <row r="1455" spans="1:4" x14ac:dyDescent="0.25">
      <c r="A1455" s="24" t="s">
        <v>79</v>
      </c>
      <c r="B1455" s="24" t="s">
        <v>77</v>
      </c>
      <c r="C1455" s="32">
        <v>20.016999999999999</v>
      </c>
      <c r="D1455" s="28">
        <v>2.013888888888889E-2</v>
      </c>
    </row>
    <row r="1456" spans="1:4" x14ac:dyDescent="0.25">
      <c r="A1456" s="24" t="s">
        <v>79</v>
      </c>
      <c r="B1456" s="24" t="s">
        <v>78</v>
      </c>
      <c r="C1456" s="32">
        <v>19.605</v>
      </c>
      <c r="D1456" s="28">
        <v>1.8749999999999999E-2</v>
      </c>
    </row>
    <row r="1457" spans="1:4" x14ac:dyDescent="0.25">
      <c r="A1457" s="24" t="s">
        <v>79</v>
      </c>
      <c r="B1457" s="24" t="s">
        <v>79</v>
      </c>
      <c r="C1457" s="32">
        <v>0</v>
      </c>
      <c r="D1457" s="28">
        <v>0</v>
      </c>
    </row>
    <row r="1458" spans="1:4" x14ac:dyDescent="0.25">
      <c r="A1458" s="24" t="s">
        <v>79</v>
      </c>
      <c r="B1458" s="24" t="s">
        <v>80</v>
      </c>
      <c r="C1458" s="32">
        <v>43.923000000000002</v>
      </c>
      <c r="D1458" s="28">
        <v>3.888888888888889E-2</v>
      </c>
    </row>
    <row r="1459" spans="1:4" x14ac:dyDescent="0.25">
      <c r="A1459" s="24" t="s">
        <v>79</v>
      </c>
      <c r="B1459" s="24" t="s">
        <v>81</v>
      </c>
      <c r="C1459" s="32">
        <v>48.445</v>
      </c>
      <c r="D1459" s="28">
        <v>4.1666666666666664E-2</v>
      </c>
    </row>
    <row r="1460" spans="1:4" x14ac:dyDescent="0.25">
      <c r="A1460" s="24" t="s">
        <v>79</v>
      </c>
      <c r="B1460" s="24" t="s">
        <v>82</v>
      </c>
      <c r="C1460" s="32">
        <v>48.497</v>
      </c>
      <c r="D1460" s="28">
        <v>4.1666666666666664E-2</v>
      </c>
    </row>
    <row r="1461" spans="1:4" x14ac:dyDescent="0.25">
      <c r="A1461" s="24" t="s">
        <v>79</v>
      </c>
      <c r="B1461" s="24" t="s">
        <v>83</v>
      </c>
      <c r="C1461" s="32">
        <v>31.036000000000001</v>
      </c>
      <c r="D1461" s="28">
        <v>2.8472222222222222E-2</v>
      </c>
    </row>
    <row r="1462" spans="1:4" x14ac:dyDescent="0.25">
      <c r="A1462" s="24" t="s">
        <v>79</v>
      </c>
      <c r="B1462" s="24" t="s">
        <v>84</v>
      </c>
      <c r="C1462" s="32">
        <v>25.574999999999999</v>
      </c>
      <c r="D1462" s="28">
        <v>2.361111111111111E-2</v>
      </c>
    </row>
    <row r="1463" spans="1:4" x14ac:dyDescent="0.25">
      <c r="A1463" s="24" t="s">
        <v>79</v>
      </c>
      <c r="B1463" s="24" t="s">
        <v>85</v>
      </c>
      <c r="C1463" s="32">
        <v>25.757000000000001</v>
      </c>
      <c r="D1463" s="28">
        <v>2.4999999999999998E-2</v>
      </c>
    </row>
    <row r="1464" spans="1:4" x14ac:dyDescent="0.25">
      <c r="A1464" s="24" t="s">
        <v>79</v>
      </c>
      <c r="B1464" s="24" t="s">
        <v>86</v>
      </c>
      <c r="C1464" s="32">
        <v>29.704000000000001</v>
      </c>
      <c r="D1464" s="28">
        <v>2.7083333333333334E-2</v>
      </c>
    </row>
    <row r="1465" spans="1:4" x14ac:dyDescent="0.25">
      <c r="A1465" s="24" t="s">
        <v>79</v>
      </c>
      <c r="B1465" s="24" t="s">
        <v>87</v>
      </c>
      <c r="C1465" s="32">
        <v>29.847000000000001</v>
      </c>
      <c r="D1465" s="28">
        <v>2.7777777777777776E-2</v>
      </c>
    </row>
    <row r="1466" spans="1:4" x14ac:dyDescent="0.25">
      <c r="A1466" s="24" t="s">
        <v>79</v>
      </c>
      <c r="B1466" s="24" t="s">
        <v>88</v>
      </c>
      <c r="C1466" s="32">
        <v>31.198</v>
      </c>
      <c r="D1466" s="28">
        <v>2.9166666666666664E-2</v>
      </c>
    </row>
    <row r="1467" spans="1:4" x14ac:dyDescent="0.25">
      <c r="A1467" s="24" t="s">
        <v>79</v>
      </c>
      <c r="B1467" s="24" t="s">
        <v>89</v>
      </c>
      <c r="C1467" s="32">
        <v>33.640999999999998</v>
      </c>
      <c r="D1467" s="28">
        <v>3.3333333333333333E-2</v>
      </c>
    </row>
    <row r="1468" spans="1:4" x14ac:dyDescent="0.25">
      <c r="A1468" s="24" t="s">
        <v>79</v>
      </c>
      <c r="B1468" s="24" t="s">
        <v>90</v>
      </c>
      <c r="C1468" s="32">
        <v>40.033999999999999</v>
      </c>
      <c r="D1468" s="28">
        <v>3.888888888888889E-2</v>
      </c>
    </row>
    <row r="1469" spans="1:4" x14ac:dyDescent="0.25">
      <c r="A1469" s="24" t="s">
        <v>79</v>
      </c>
      <c r="B1469" s="24" t="s">
        <v>91</v>
      </c>
      <c r="C1469" s="32">
        <v>32.533999999999999</v>
      </c>
      <c r="D1469" s="28">
        <v>3.125E-2</v>
      </c>
    </row>
    <row r="1470" spans="1:4" x14ac:dyDescent="0.25">
      <c r="A1470" s="24" t="s">
        <v>79</v>
      </c>
      <c r="B1470" s="24" t="s">
        <v>92</v>
      </c>
      <c r="C1470" s="32">
        <v>41.999000000000002</v>
      </c>
      <c r="D1470" s="28">
        <v>3.888888888888889E-2</v>
      </c>
    </row>
    <row r="1471" spans="1:4" x14ac:dyDescent="0.25">
      <c r="A1471" s="24" t="s">
        <v>79</v>
      </c>
      <c r="B1471" s="24" t="s">
        <v>93</v>
      </c>
      <c r="C1471" s="32">
        <v>65.721000000000004</v>
      </c>
      <c r="D1471" s="28">
        <v>5.1388888888888894E-2</v>
      </c>
    </row>
    <row r="1472" spans="1:4" x14ac:dyDescent="0.25">
      <c r="A1472" s="24" t="s">
        <v>79</v>
      </c>
      <c r="B1472" s="24" t="s">
        <v>94</v>
      </c>
      <c r="C1472" s="32">
        <v>66.349999999999994</v>
      </c>
      <c r="D1472" s="28">
        <v>5.2083333333333336E-2</v>
      </c>
    </row>
    <row r="1473" spans="1:4" x14ac:dyDescent="0.25">
      <c r="A1473" s="24" t="s">
        <v>79</v>
      </c>
      <c r="B1473" s="24" t="s">
        <v>95</v>
      </c>
      <c r="C1473" s="32">
        <v>48.780999999999999</v>
      </c>
      <c r="D1473" s="28">
        <v>4.3055555555555562E-2</v>
      </c>
    </row>
    <row r="1474" spans="1:4" x14ac:dyDescent="0.25">
      <c r="A1474" s="24" t="s">
        <v>79</v>
      </c>
      <c r="B1474" s="24" t="s">
        <v>96</v>
      </c>
      <c r="C1474" s="32">
        <v>36.811</v>
      </c>
      <c r="D1474" s="28">
        <v>3.5416666666666666E-2</v>
      </c>
    </row>
    <row r="1475" spans="1:4" x14ac:dyDescent="0.25">
      <c r="A1475" s="24" t="s">
        <v>79</v>
      </c>
      <c r="B1475" s="24" t="s">
        <v>97</v>
      </c>
      <c r="C1475" s="32">
        <v>45.13</v>
      </c>
      <c r="D1475" s="28">
        <v>4.1666666666666664E-2</v>
      </c>
    </row>
    <row r="1476" spans="1:4" x14ac:dyDescent="0.25">
      <c r="A1476" s="24" t="s">
        <v>79</v>
      </c>
      <c r="B1476" s="24" t="s">
        <v>98</v>
      </c>
      <c r="C1476" s="32">
        <v>43.683999999999997</v>
      </c>
      <c r="D1476" s="28">
        <v>4.027777777777778E-2</v>
      </c>
    </row>
    <row r="1477" spans="1:4" x14ac:dyDescent="0.25">
      <c r="A1477" s="24" t="s">
        <v>79</v>
      </c>
      <c r="B1477" s="24" t="s">
        <v>99</v>
      </c>
      <c r="C1477" s="32">
        <v>46.39</v>
      </c>
      <c r="D1477" s="28">
        <v>4.3750000000000004E-2</v>
      </c>
    </row>
    <row r="1478" spans="1:4" x14ac:dyDescent="0.25">
      <c r="A1478" s="24" t="s">
        <v>79</v>
      </c>
      <c r="B1478" s="24" t="s">
        <v>100</v>
      </c>
      <c r="C1478" s="32">
        <v>45.026000000000003</v>
      </c>
      <c r="D1478" s="28">
        <v>4.2361111111111106E-2</v>
      </c>
    </row>
    <row r="1479" spans="1:4" x14ac:dyDescent="0.25">
      <c r="A1479" s="24" t="s">
        <v>79</v>
      </c>
      <c r="B1479" s="24" t="s">
        <v>101</v>
      </c>
      <c r="C1479" s="32">
        <v>46.052999999999997</v>
      </c>
      <c r="D1479" s="28">
        <v>4.3055555555555562E-2</v>
      </c>
    </row>
    <row r="1480" spans="1:4" x14ac:dyDescent="0.25">
      <c r="A1480" s="24" t="s">
        <v>79</v>
      </c>
      <c r="B1480" s="24" t="s">
        <v>102</v>
      </c>
      <c r="C1480" s="32">
        <v>43.213000000000001</v>
      </c>
      <c r="D1480" s="28">
        <v>4.1666666666666664E-2</v>
      </c>
    </row>
    <row r="1481" spans="1:4" x14ac:dyDescent="0.25">
      <c r="A1481" s="24" t="s">
        <v>79</v>
      </c>
      <c r="B1481" s="24" t="s">
        <v>103</v>
      </c>
      <c r="C1481" s="32">
        <v>36.356999999999999</v>
      </c>
      <c r="D1481" s="28">
        <v>3.5416666666666666E-2</v>
      </c>
    </row>
    <row r="1482" spans="1:4" x14ac:dyDescent="0.25">
      <c r="A1482" s="24" t="s">
        <v>79</v>
      </c>
      <c r="B1482" s="24" t="s">
        <v>104</v>
      </c>
      <c r="C1482" s="32">
        <v>40.893000000000001</v>
      </c>
      <c r="D1482" s="28">
        <v>3.7499999999999999E-2</v>
      </c>
    </row>
    <row r="1483" spans="1:4" x14ac:dyDescent="0.25">
      <c r="A1483" s="24" t="s">
        <v>79</v>
      </c>
      <c r="B1483" s="24" t="s">
        <v>105</v>
      </c>
      <c r="C1483" s="32">
        <v>35.009</v>
      </c>
      <c r="D1483" s="28">
        <v>3.8194444444444441E-2</v>
      </c>
    </row>
    <row r="1484" spans="1:4" x14ac:dyDescent="0.25">
      <c r="A1484" s="24" t="s">
        <v>79</v>
      </c>
      <c r="B1484" s="24" t="s">
        <v>106</v>
      </c>
      <c r="C1484" s="32">
        <v>36.182000000000002</v>
      </c>
      <c r="D1484" s="28">
        <v>3.3333333333333333E-2</v>
      </c>
    </row>
    <row r="1485" spans="1:4" x14ac:dyDescent="0.25">
      <c r="A1485" s="24" t="s">
        <v>79</v>
      </c>
      <c r="B1485" s="24" t="s">
        <v>107</v>
      </c>
      <c r="C1485" s="32">
        <v>34.671999999999997</v>
      </c>
      <c r="D1485" s="28">
        <v>3.2638888888888891E-2</v>
      </c>
    </row>
    <row r="1486" spans="1:4" x14ac:dyDescent="0.25">
      <c r="A1486" s="24" t="s">
        <v>79</v>
      </c>
      <c r="B1486" s="24" t="s">
        <v>108</v>
      </c>
      <c r="C1486" s="32">
        <v>33.058</v>
      </c>
      <c r="D1486" s="28">
        <v>2.9861111111111113E-2</v>
      </c>
    </row>
    <row r="1487" spans="1:4" x14ac:dyDescent="0.25">
      <c r="A1487" s="24" t="s">
        <v>79</v>
      </c>
      <c r="B1487" s="24" t="s">
        <v>109</v>
      </c>
      <c r="C1487" s="32">
        <v>33.088000000000001</v>
      </c>
      <c r="D1487" s="28">
        <v>2.9861111111111113E-2</v>
      </c>
    </row>
    <row r="1488" spans="1:4" x14ac:dyDescent="0.25">
      <c r="A1488" s="24" t="s">
        <v>79</v>
      </c>
      <c r="B1488" s="24" t="s">
        <v>110</v>
      </c>
      <c r="C1488" s="32">
        <v>35.320999999999998</v>
      </c>
      <c r="D1488" s="28">
        <v>3.3333333333333333E-2</v>
      </c>
    </row>
    <row r="1489" spans="1:4" x14ac:dyDescent="0.25">
      <c r="A1489" s="24" t="s">
        <v>79</v>
      </c>
      <c r="B1489" s="24" t="s">
        <v>111</v>
      </c>
      <c r="C1489" s="32">
        <v>37.706000000000003</v>
      </c>
      <c r="D1489" s="28">
        <v>3.4027777777777775E-2</v>
      </c>
    </row>
    <row r="1490" spans="1:4" x14ac:dyDescent="0.25">
      <c r="A1490" s="24" t="s">
        <v>79</v>
      </c>
      <c r="B1490" s="24" t="s">
        <v>112</v>
      </c>
      <c r="C1490" s="32">
        <v>39.085000000000001</v>
      </c>
      <c r="D1490" s="28">
        <v>3.125E-2</v>
      </c>
    </row>
    <row r="1491" spans="1:4" x14ac:dyDescent="0.25">
      <c r="A1491" s="24" t="s">
        <v>79</v>
      </c>
      <c r="B1491" s="24" t="s">
        <v>113</v>
      </c>
      <c r="C1491" s="32">
        <v>36.218000000000004</v>
      </c>
      <c r="D1491" s="28">
        <v>2.9166666666666664E-2</v>
      </c>
    </row>
    <row r="1492" spans="1:4" x14ac:dyDescent="0.25">
      <c r="A1492" s="24" t="s">
        <v>79</v>
      </c>
      <c r="B1492" s="24" t="s">
        <v>114</v>
      </c>
      <c r="C1492" s="32">
        <v>46.99</v>
      </c>
      <c r="D1492" s="28">
        <v>4.027777777777778E-2</v>
      </c>
    </row>
    <row r="1493" spans="1:4" x14ac:dyDescent="0.25">
      <c r="A1493" s="24" t="s">
        <v>79</v>
      </c>
      <c r="B1493" s="24" t="s">
        <v>115</v>
      </c>
      <c r="C1493" s="32">
        <v>46.841000000000001</v>
      </c>
      <c r="D1493" s="28">
        <v>4.0972222222222222E-2</v>
      </c>
    </row>
    <row r="1494" spans="1:4" x14ac:dyDescent="0.25">
      <c r="A1494" s="24" t="s">
        <v>79</v>
      </c>
      <c r="B1494" s="24" t="s">
        <v>116</v>
      </c>
      <c r="C1494" s="32">
        <v>41.081000000000003</v>
      </c>
      <c r="D1494" s="28">
        <v>3.8194444444444441E-2</v>
      </c>
    </row>
    <row r="1495" spans="1:4" x14ac:dyDescent="0.25">
      <c r="A1495" s="24" t="s">
        <v>79</v>
      </c>
      <c r="B1495" s="24" t="s">
        <v>117</v>
      </c>
      <c r="C1495" s="32">
        <v>48.284999999999997</v>
      </c>
      <c r="D1495" s="28">
        <v>4.3750000000000004E-2</v>
      </c>
    </row>
    <row r="1496" spans="1:4" x14ac:dyDescent="0.25">
      <c r="A1496" s="24" t="s">
        <v>79</v>
      </c>
      <c r="B1496" s="24" t="s">
        <v>118</v>
      </c>
      <c r="C1496" s="32">
        <v>45.921999999999997</v>
      </c>
      <c r="D1496" s="28">
        <v>3.4027777777777775E-2</v>
      </c>
    </row>
    <row r="1497" spans="1:4" x14ac:dyDescent="0.25">
      <c r="A1497" s="24" t="s">
        <v>79</v>
      </c>
      <c r="B1497" s="24" t="s">
        <v>119</v>
      </c>
      <c r="C1497" s="32">
        <v>58.871000000000002</v>
      </c>
      <c r="D1497" s="28">
        <v>3.5416666666666666E-2</v>
      </c>
    </row>
    <row r="1498" spans="1:4" x14ac:dyDescent="0.25">
      <c r="A1498" s="24" t="s">
        <v>79</v>
      </c>
      <c r="B1498" s="24" t="s">
        <v>120</v>
      </c>
      <c r="C1498" s="32">
        <v>61.661000000000001</v>
      </c>
      <c r="D1498" s="28">
        <v>3.888888888888889E-2</v>
      </c>
    </row>
    <row r="1499" spans="1:4" x14ac:dyDescent="0.25">
      <c r="A1499" s="24" t="s">
        <v>79</v>
      </c>
      <c r="B1499" s="24" t="s">
        <v>121</v>
      </c>
      <c r="C1499" s="32">
        <v>76.012</v>
      </c>
      <c r="D1499" s="28">
        <v>4.5833333333333337E-2</v>
      </c>
    </row>
    <row r="1500" spans="1:4" x14ac:dyDescent="0.25">
      <c r="A1500" s="24" t="s">
        <v>79</v>
      </c>
      <c r="B1500" s="24" t="s">
        <v>122</v>
      </c>
      <c r="C1500" s="32">
        <v>66.174999999999997</v>
      </c>
      <c r="D1500" s="28">
        <v>4.5833333333333337E-2</v>
      </c>
    </row>
    <row r="1501" spans="1:4" x14ac:dyDescent="0.25">
      <c r="A1501" s="24" t="s">
        <v>79</v>
      </c>
      <c r="B1501" s="24" t="s">
        <v>123</v>
      </c>
      <c r="C1501" s="32">
        <v>69.596999999999994</v>
      </c>
      <c r="D1501" s="28">
        <v>4.1666666666666664E-2</v>
      </c>
    </row>
    <row r="1502" spans="1:4" x14ac:dyDescent="0.25">
      <c r="A1502" s="24" t="s">
        <v>79</v>
      </c>
      <c r="B1502" s="24" t="s">
        <v>124</v>
      </c>
      <c r="C1502" s="32">
        <v>69.596999999999994</v>
      </c>
      <c r="D1502" s="28">
        <v>4.1666666666666664E-2</v>
      </c>
    </row>
    <row r="1503" spans="1:4" x14ac:dyDescent="0.25">
      <c r="A1503" s="24" t="s">
        <v>79</v>
      </c>
      <c r="B1503" s="24" t="s">
        <v>125</v>
      </c>
      <c r="C1503" s="32">
        <v>26.971</v>
      </c>
      <c r="D1503" s="28">
        <v>2.8472222222222222E-2</v>
      </c>
    </row>
    <row r="1504" spans="1:4" x14ac:dyDescent="0.25">
      <c r="A1504" s="24" t="s">
        <v>79</v>
      </c>
      <c r="B1504" s="24" t="s">
        <v>126</v>
      </c>
      <c r="C1504" s="32">
        <v>26.709</v>
      </c>
      <c r="D1504" s="28">
        <v>2.7083333333333334E-2</v>
      </c>
    </row>
    <row r="1505" spans="1:4" x14ac:dyDescent="0.25">
      <c r="A1505" s="24" t="s">
        <v>79</v>
      </c>
      <c r="B1505" s="24" t="s">
        <v>127</v>
      </c>
      <c r="C1505" s="32">
        <v>27.454000000000001</v>
      </c>
      <c r="D1505" s="28">
        <v>2.8472222222222222E-2</v>
      </c>
    </row>
    <row r="1506" spans="1:4" x14ac:dyDescent="0.25">
      <c r="A1506" s="24" t="s">
        <v>79</v>
      </c>
      <c r="B1506" s="24" t="s">
        <v>128</v>
      </c>
      <c r="C1506" s="32">
        <v>27.268999999999998</v>
      </c>
      <c r="D1506" s="28">
        <v>2.9166666666666664E-2</v>
      </c>
    </row>
    <row r="1507" spans="1:4" x14ac:dyDescent="0.25">
      <c r="A1507" s="24" t="s">
        <v>79</v>
      </c>
      <c r="B1507" s="24" t="s">
        <v>129</v>
      </c>
      <c r="C1507" s="32">
        <v>27.268999999999998</v>
      </c>
      <c r="D1507" s="28">
        <v>2.9166666666666664E-2</v>
      </c>
    </row>
    <row r="1508" spans="1:4" x14ac:dyDescent="0.25">
      <c r="A1508" s="24" t="s">
        <v>79</v>
      </c>
      <c r="B1508" s="24" t="s">
        <v>130</v>
      </c>
      <c r="C1508" s="32">
        <v>27.372</v>
      </c>
      <c r="D1508" s="28">
        <v>2.9166666666666664E-2</v>
      </c>
    </row>
    <row r="1509" spans="1:4" x14ac:dyDescent="0.25">
      <c r="A1509" s="24" t="s">
        <v>79</v>
      </c>
      <c r="B1509" s="24" t="s">
        <v>131</v>
      </c>
      <c r="C1509" s="32">
        <v>29.843</v>
      </c>
      <c r="D1509" s="28">
        <v>3.1944444444444449E-2</v>
      </c>
    </row>
    <row r="1510" spans="1:4" x14ac:dyDescent="0.25">
      <c r="A1510" s="24" t="s">
        <v>79</v>
      </c>
      <c r="B1510" s="24" t="s">
        <v>132</v>
      </c>
      <c r="C1510" s="32">
        <v>26.045999999999999</v>
      </c>
      <c r="D1510" s="28">
        <v>2.4999999999999998E-2</v>
      </c>
    </row>
    <row r="1511" spans="1:4" x14ac:dyDescent="0.25">
      <c r="A1511" s="24" t="s">
        <v>79</v>
      </c>
      <c r="B1511" s="24" t="s">
        <v>133</v>
      </c>
      <c r="C1511" s="32">
        <v>28.553999999999998</v>
      </c>
      <c r="D1511" s="28">
        <v>2.5694444444444447E-2</v>
      </c>
    </row>
    <row r="1512" spans="1:4" x14ac:dyDescent="0.25">
      <c r="A1512" s="24" t="s">
        <v>79</v>
      </c>
      <c r="B1512" s="24" t="s">
        <v>134</v>
      </c>
      <c r="C1512" s="32">
        <v>28.088000000000001</v>
      </c>
      <c r="D1512" s="28">
        <v>2.4999999999999998E-2</v>
      </c>
    </row>
    <row r="1513" spans="1:4" x14ac:dyDescent="0.25">
      <c r="A1513" s="24" t="s">
        <v>79</v>
      </c>
      <c r="B1513" s="24" t="s">
        <v>135</v>
      </c>
      <c r="C1513" s="32">
        <v>25.629000000000001</v>
      </c>
      <c r="D1513" s="28">
        <v>2.361111111111111E-2</v>
      </c>
    </row>
    <row r="1514" spans="1:4" x14ac:dyDescent="0.25">
      <c r="A1514" s="24" t="s">
        <v>79</v>
      </c>
      <c r="B1514" s="24" t="s">
        <v>136</v>
      </c>
      <c r="C1514" s="32">
        <v>25.629000000000001</v>
      </c>
      <c r="D1514" s="28">
        <v>2.361111111111111E-2</v>
      </c>
    </row>
    <row r="1515" spans="1:4" x14ac:dyDescent="0.25">
      <c r="A1515" s="24" t="s">
        <v>79</v>
      </c>
      <c r="B1515" s="24" t="s">
        <v>137</v>
      </c>
      <c r="C1515" s="32">
        <v>25.876000000000001</v>
      </c>
      <c r="D1515" s="28">
        <v>2.4999999999999998E-2</v>
      </c>
    </row>
    <row r="1516" spans="1:4" x14ac:dyDescent="0.25">
      <c r="A1516" s="24" t="s">
        <v>79</v>
      </c>
      <c r="B1516" s="24" t="s">
        <v>138</v>
      </c>
      <c r="C1516" s="32">
        <v>32.076000000000001</v>
      </c>
      <c r="D1516" s="28">
        <v>2.6388888888888889E-2</v>
      </c>
    </row>
    <row r="1517" spans="1:4" x14ac:dyDescent="0.25">
      <c r="A1517" s="24" t="s">
        <v>79</v>
      </c>
      <c r="B1517" s="24" t="s">
        <v>139</v>
      </c>
      <c r="C1517" s="32">
        <v>34.173000000000002</v>
      </c>
      <c r="D1517" s="28">
        <v>2.4305555555555556E-2</v>
      </c>
    </row>
    <row r="1518" spans="1:4" x14ac:dyDescent="0.25">
      <c r="A1518" s="24" t="s">
        <v>79</v>
      </c>
      <c r="B1518" s="24" t="s">
        <v>140</v>
      </c>
      <c r="C1518" s="32">
        <v>26.347000000000001</v>
      </c>
      <c r="D1518" s="28">
        <v>2.2222222222222223E-2</v>
      </c>
    </row>
    <row r="1519" spans="1:4" x14ac:dyDescent="0.25">
      <c r="A1519" s="24" t="s">
        <v>79</v>
      </c>
      <c r="B1519" s="24" t="s">
        <v>141</v>
      </c>
      <c r="C1519" s="32">
        <v>58.884</v>
      </c>
      <c r="D1519" s="28">
        <v>4.3055555555555562E-2</v>
      </c>
    </row>
    <row r="1520" spans="1:4" x14ac:dyDescent="0.25">
      <c r="A1520" s="24" t="s">
        <v>79</v>
      </c>
      <c r="B1520" s="24" t="s">
        <v>142</v>
      </c>
      <c r="C1520" s="32">
        <v>41.052999999999997</v>
      </c>
      <c r="D1520" s="28">
        <v>2.9166666666666664E-2</v>
      </c>
    </row>
    <row r="1521" spans="1:4" x14ac:dyDescent="0.25">
      <c r="A1521" s="24" t="s">
        <v>79</v>
      </c>
      <c r="B1521" s="24" t="s">
        <v>143</v>
      </c>
      <c r="C1521" s="32">
        <v>59.430999999999997</v>
      </c>
      <c r="D1521" s="28">
        <v>3.6111111111111115E-2</v>
      </c>
    </row>
    <row r="1522" spans="1:4" x14ac:dyDescent="0.25">
      <c r="A1522" s="24" t="s">
        <v>79</v>
      </c>
      <c r="B1522" s="24" t="s">
        <v>144</v>
      </c>
      <c r="C1522" s="32">
        <v>78.546999999999997</v>
      </c>
      <c r="D1522" s="28">
        <v>4.7222222222222221E-2</v>
      </c>
    </row>
    <row r="1523" spans="1:4" x14ac:dyDescent="0.25">
      <c r="A1523" s="24" t="s">
        <v>79</v>
      </c>
      <c r="B1523" s="24" t="s">
        <v>145</v>
      </c>
      <c r="C1523" s="32">
        <v>46.887999999999998</v>
      </c>
      <c r="D1523" s="28">
        <v>3.5416666666666666E-2</v>
      </c>
    </row>
    <row r="1524" spans="1:4" x14ac:dyDescent="0.25">
      <c r="A1524" s="24" t="s">
        <v>79</v>
      </c>
      <c r="B1524" s="24" t="s">
        <v>146</v>
      </c>
      <c r="C1524" s="32">
        <v>58.344999999999999</v>
      </c>
      <c r="D1524" s="28">
        <v>4.1666666666666664E-2</v>
      </c>
    </row>
    <row r="1525" spans="1:4" x14ac:dyDescent="0.25">
      <c r="A1525" s="24" t="s">
        <v>79</v>
      </c>
      <c r="B1525" s="24" t="s">
        <v>147</v>
      </c>
      <c r="C1525" s="32">
        <v>33.996000000000002</v>
      </c>
      <c r="D1525" s="28">
        <v>3.3333333333333333E-2</v>
      </c>
    </row>
    <row r="1526" spans="1:4" x14ac:dyDescent="0.25">
      <c r="A1526" s="24" t="s">
        <v>79</v>
      </c>
      <c r="B1526" s="24" t="s">
        <v>148</v>
      </c>
      <c r="C1526" s="32">
        <v>32.255000000000003</v>
      </c>
      <c r="D1526" s="28">
        <v>3.2638888888888891E-2</v>
      </c>
    </row>
    <row r="1527" spans="1:4" x14ac:dyDescent="0.25">
      <c r="A1527" s="24" t="s">
        <v>79</v>
      </c>
      <c r="B1527" s="24" t="s">
        <v>149</v>
      </c>
      <c r="C1527" s="32">
        <v>27.317</v>
      </c>
      <c r="D1527" s="28">
        <v>2.5694444444444447E-2</v>
      </c>
    </row>
    <row r="1528" spans="1:4" x14ac:dyDescent="0.25">
      <c r="A1528" s="24" t="s">
        <v>79</v>
      </c>
      <c r="B1528" s="24" t="s">
        <v>150</v>
      </c>
      <c r="C1528" s="32">
        <v>27.052</v>
      </c>
      <c r="D1528" s="28">
        <v>2.6388888888888889E-2</v>
      </c>
    </row>
    <row r="1529" spans="1:4" x14ac:dyDescent="0.25">
      <c r="A1529" s="24" t="s">
        <v>79</v>
      </c>
      <c r="B1529" s="24" t="s">
        <v>151</v>
      </c>
      <c r="C1529" s="32">
        <v>27.134</v>
      </c>
      <c r="D1529" s="28">
        <v>2.7083333333333334E-2</v>
      </c>
    </row>
    <row r="1530" spans="1:4" x14ac:dyDescent="0.25">
      <c r="A1530" s="24" t="s">
        <v>79</v>
      </c>
      <c r="B1530" s="24" t="s">
        <v>152</v>
      </c>
      <c r="C1530" s="32">
        <v>31.233000000000001</v>
      </c>
      <c r="D1530" s="28">
        <v>3.0555555555555555E-2</v>
      </c>
    </row>
    <row r="1531" spans="1:4" x14ac:dyDescent="0.25">
      <c r="A1531" s="24" t="s">
        <v>79</v>
      </c>
      <c r="B1531" s="24" t="s">
        <v>153</v>
      </c>
      <c r="C1531" s="32">
        <v>39.475999999999999</v>
      </c>
      <c r="D1531" s="28">
        <v>3.9583333333333331E-2</v>
      </c>
    </row>
    <row r="1532" spans="1:4" x14ac:dyDescent="0.25">
      <c r="A1532" s="24" t="s">
        <v>79</v>
      </c>
      <c r="B1532" s="24" t="s">
        <v>154</v>
      </c>
      <c r="C1532" s="32">
        <v>34.293999999999997</v>
      </c>
      <c r="D1532" s="28">
        <v>3.3333333333333333E-2</v>
      </c>
    </row>
    <row r="1533" spans="1:4" x14ac:dyDescent="0.25">
      <c r="A1533" s="24" t="s">
        <v>79</v>
      </c>
      <c r="B1533" s="24" t="s">
        <v>155</v>
      </c>
      <c r="C1533" s="32">
        <v>26.170999999999999</v>
      </c>
      <c r="D1533" s="28">
        <v>2.5694444444444447E-2</v>
      </c>
    </row>
    <row r="1534" spans="1:4" x14ac:dyDescent="0.25">
      <c r="A1534" s="24" t="s">
        <v>79</v>
      </c>
      <c r="B1534" s="24" t="s">
        <v>156</v>
      </c>
      <c r="C1534" s="32">
        <v>26.155000000000001</v>
      </c>
      <c r="D1534" s="28">
        <v>2.5694444444444447E-2</v>
      </c>
    </row>
    <row r="1535" spans="1:4" x14ac:dyDescent="0.25">
      <c r="A1535" s="24" t="s">
        <v>79</v>
      </c>
      <c r="B1535" s="24" t="s">
        <v>157</v>
      </c>
      <c r="C1535" s="32">
        <v>47.796999999999997</v>
      </c>
      <c r="D1535" s="28">
        <v>4.6527777777777779E-2</v>
      </c>
    </row>
    <row r="1536" spans="1:4" x14ac:dyDescent="0.25">
      <c r="A1536" s="24" t="s">
        <v>79</v>
      </c>
      <c r="B1536" s="24" t="s">
        <v>158</v>
      </c>
      <c r="C1536" s="32">
        <v>55.746000000000002</v>
      </c>
      <c r="D1536" s="28">
        <v>5.2777777777777778E-2</v>
      </c>
    </row>
    <row r="1537" spans="1:4" x14ac:dyDescent="0.25">
      <c r="A1537" s="24" t="s">
        <v>79</v>
      </c>
      <c r="B1537" s="24" t="s">
        <v>159</v>
      </c>
      <c r="C1537" s="32">
        <v>64.459999999999994</v>
      </c>
      <c r="D1537" s="28">
        <v>5.8333333333333327E-2</v>
      </c>
    </row>
    <row r="1538" spans="1:4" x14ac:dyDescent="0.25">
      <c r="A1538" s="24" t="s">
        <v>80</v>
      </c>
      <c r="B1538" s="24" t="s">
        <v>65</v>
      </c>
      <c r="C1538" s="32">
        <v>3.621</v>
      </c>
      <c r="D1538" s="28">
        <v>4.1666666666666666E-3</v>
      </c>
    </row>
    <row r="1539" spans="1:4" x14ac:dyDescent="0.25">
      <c r="A1539" s="24" t="s">
        <v>80</v>
      </c>
      <c r="B1539" s="24" t="s">
        <v>64</v>
      </c>
      <c r="C1539" s="32">
        <v>21.506</v>
      </c>
      <c r="D1539" s="28">
        <v>1.6666666666666666E-2</v>
      </c>
    </row>
    <row r="1540" spans="1:4" x14ac:dyDescent="0.25">
      <c r="A1540" s="24" t="s">
        <v>80</v>
      </c>
      <c r="B1540" s="24" t="s">
        <v>66</v>
      </c>
      <c r="C1540" s="32">
        <v>27.853000000000002</v>
      </c>
      <c r="D1540" s="28">
        <v>2.4305555555555556E-2</v>
      </c>
    </row>
    <row r="1541" spans="1:4" x14ac:dyDescent="0.25">
      <c r="A1541" s="24" t="s">
        <v>80</v>
      </c>
      <c r="B1541" s="24" t="s">
        <v>67</v>
      </c>
      <c r="C1541" s="32">
        <v>25.097000000000001</v>
      </c>
      <c r="D1541" s="28">
        <v>2.361111111111111E-2</v>
      </c>
    </row>
    <row r="1542" spans="1:4" x14ac:dyDescent="0.25">
      <c r="A1542" s="24" t="s">
        <v>80</v>
      </c>
      <c r="B1542" s="24" t="s">
        <v>68</v>
      </c>
      <c r="C1542" s="32">
        <v>25.210999999999999</v>
      </c>
      <c r="D1542" s="28">
        <v>2.4999999999999998E-2</v>
      </c>
    </row>
    <row r="1543" spans="1:4" x14ac:dyDescent="0.25">
      <c r="A1543" s="24" t="s">
        <v>80</v>
      </c>
      <c r="B1543" s="24" t="s">
        <v>69</v>
      </c>
      <c r="C1543" s="32">
        <v>26.41</v>
      </c>
      <c r="D1543" s="28">
        <v>2.2916666666666669E-2</v>
      </c>
    </row>
    <row r="1544" spans="1:4" x14ac:dyDescent="0.25">
      <c r="A1544" s="24" t="s">
        <v>80</v>
      </c>
      <c r="B1544" s="24" t="s">
        <v>70</v>
      </c>
      <c r="C1544" s="32">
        <v>26.794</v>
      </c>
      <c r="D1544" s="28">
        <v>2.361111111111111E-2</v>
      </c>
    </row>
    <row r="1545" spans="1:4" x14ac:dyDescent="0.25">
      <c r="A1545" s="24" t="s">
        <v>80</v>
      </c>
      <c r="B1545" s="24" t="s">
        <v>71</v>
      </c>
      <c r="C1545" s="32">
        <v>26.986999999999998</v>
      </c>
      <c r="D1545" s="28">
        <v>2.361111111111111E-2</v>
      </c>
    </row>
    <row r="1546" spans="1:4" x14ac:dyDescent="0.25">
      <c r="A1546" s="24" t="s">
        <v>80</v>
      </c>
      <c r="B1546" s="24" t="s">
        <v>72</v>
      </c>
      <c r="C1546" s="32">
        <v>26.33</v>
      </c>
      <c r="D1546" s="28">
        <v>2.6388888888888889E-2</v>
      </c>
    </row>
    <row r="1547" spans="1:4" x14ac:dyDescent="0.25">
      <c r="A1547" s="24" t="s">
        <v>80</v>
      </c>
      <c r="B1547" s="24" t="s">
        <v>73</v>
      </c>
      <c r="C1547" s="32">
        <v>24.858000000000001</v>
      </c>
      <c r="D1547" s="28">
        <v>2.361111111111111E-2</v>
      </c>
    </row>
    <row r="1548" spans="1:4" x14ac:dyDescent="0.25">
      <c r="A1548" s="24" t="s">
        <v>80</v>
      </c>
      <c r="B1548" s="24" t="s">
        <v>74</v>
      </c>
      <c r="C1548" s="32">
        <v>28.661000000000001</v>
      </c>
      <c r="D1548" s="28">
        <v>2.5694444444444447E-2</v>
      </c>
    </row>
    <row r="1549" spans="1:4" x14ac:dyDescent="0.25">
      <c r="A1549" s="24" t="s">
        <v>80</v>
      </c>
      <c r="B1549" s="24" t="s">
        <v>75</v>
      </c>
      <c r="C1549" s="32">
        <v>27.696999999999999</v>
      </c>
      <c r="D1549" s="28">
        <v>2.4305555555555556E-2</v>
      </c>
    </row>
    <row r="1550" spans="1:4" x14ac:dyDescent="0.25">
      <c r="A1550" s="24" t="s">
        <v>80</v>
      </c>
      <c r="B1550" s="24" t="s">
        <v>76</v>
      </c>
      <c r="C1550" s="32">
        <v>34.793999999999997</v>
      </c>
      <c r="D1550" s="28">
        <v>2.8472222222222222E-2</v>
      </c>
    </row>
    <row r="1551" spans="1:4" x14ac:dyDescent="0.25">
      <c r="A1551" s="24" t="s">
        <v>80</v>
      </c>
      <c r="B1551" s="24" t="s">
        <v>77</v>
      </c>
      <c r="C1551" s="32">
        <v>35.274000000000001</v>
      </c>
      <c r="D1551" s="28">
        <v>3.0555555555555555E-2</v>
      </c>
    </row>
    <row r="1552" spans="1:4" x14ac:dyDescent="0.25">
      <c r="A1552" s="24" t="s">
        <v>80</v>
      </c>
      <c r="B1552" s="24" t="s">
        <v>78</v>
      </c>
      <c r="C1552" s="32">
        <v>30.85</v>
      </c>
      <c r="D1552" s="28">
        <v>2.6388888888888889E-2</v>
      </c>
    </row>
    <row r="1553" spans="1:4" x14ac:dyDescent="0.25">
      <c r="A1553" s="24" t="s">
        <v>80</v>
      </c>
      <c r="B1553" s="24" t="s">
        <v>79</v>
      </c>
      <c r="C1553" s="32">
        <v>49.378999999999998</v>
      </c>
      <c r="D1553" s="28">
        <v>4.2361111111111106E-2</v>
      </c>
    </row>
    <row r="1554" spans="1:4" x14ac:dyDescent="0.25">
      <c r="A1554" s="24" t="s">
        <v>80</v>
      </c>
      <c r="B1554" s="24" t="s">
        <v>80</v>
      </c>
      <c r="C1554" s="32">
        <v>0</v>
      </c>
      <c r="D1554" s="28">
        <v>0</v>
      </c>
    </row>
    <row r="1555" spans="1:4" x14ac:dyDescent="0.25">
      <c r="A1555" s="24" t="s">
        <v>80</v>
      </c>
      <c r="B1555" s="24" t="s">
        <v>81</v>
      </c>
      <c r="C1555" s="32">
        <v>5.7290000000000001</v>
      </c>
      <c r="D1555" s="28">
        <v>4.8611111111111112E-3</v>
      </c>
    </row>
    <row r="1556" spans="1:4" x14ac:dyDescent="0.25">
      <c r="A1556" s="24" t="s">
        <v>80</v>
      </c>
      <c r="B1556" s="24" t="s">
        <v>82</v>
      </c>
      <c r="C1556" s="32">
        <v>5.7809999999999997</v>
      </c>
      <c r="D1556" s="28">
        <v>4.8611111111111112E-3</v>
      </c>
    </row>
    <row r="1557" spans="1:4" x14ac:dyDescent="0.25">
      <c r="A1557" s="24" t="s">
        <v>80</v>
      </c>
      <c r="B1557" s="24" t="s">
        <v>83</v>
      </c>
      <c r="C1557" s="32">
        <v>19.283999999999999</v>
      </c>
      <c r="D1557" s="28">
        <v>1.5277777777777777E-2</v>
      </c>
    </row>
    <row r="1558" spans="1:4" x14ac:dyDescent="0.25">
      <c r="A1558" s="24" t="s">
        <v>80</v>
      </c>
      <c r="B1558" s="24" t="s">
        <v>84</v>
      </c>
      <c r="C1558" s="32">
        <v>25.866</v>
      </c>
      <c r="D1558" s="28">
        <v>2.2222222222222223E-2</v>
      </c>
    </row>
    <row r="1559" spans="1:4" x14ac:dyDescent="0.25">
      <c r="A1559" s="24" t="s">
        <v>80</v>
      </c>
      <c r="B1559" s="24" t="s">
        <v>85</v>
      </c>
      <c r="C1559" s="32">
        <v>25.882999999999999</v>
      </c>
      <c r="D1559" s="28">
        <v>2.1527777777777781E-2</v>
      </c>
    </row>
    <row r="1560" spans="1:4" x14ac:dyDescent="0.25">
      <c r="A1560" s="24" t="s">
        <v>80</v>
      </c>
      <c r="B1560" s="24" t="s">
        <v>86</v>
      </c>
      <c r="C1560" s="32">
        <v>23.509</v>
      </c>
      <c r="D1560" s="28">
        <v>1.8749999999999999E-2</v>
      </c>
    </row>
    <row r="1561" spans="1:4" x14ac:dyDescent="0.25">
      <c r="A1561" s="24" t="s">
        <v>80</v>
      </c>
      <c r="B1561" s="24" t="s">
        <v>87</v>
      </c>
      <c r="C1561" s="32">
        <v>21.873000000000001</v>
      </c>
      <c r="D1561" s="28">
        <v>1.8055555555555557E-2</v>
      </c>
    </row>
    <row r="1562" spans="1:4" x14ac:dyDescent="0.25">
      <c r="A1562" s="24" t="s">
        <v>80</v>
      </c>
      <c r="B1562" s="24" t="s">
        <v>88</v>
      </c>
      <c r="C1562" s="32">
        <v>21.026</v>
      </c>
      <c r="D1562" s="28">
        <v>1.8055555555555557E-2</v>
      </c>
    </row>
    <row r="1563" spans="1:4" x14ac:dyDescent="0.25">
      <c r="A1563" s="24" t="s">
        <v>80</v>
      </c>
      <c r="B1563" s="24" t="s">
        <v>89</v>
      </c>
      <c r="C1563" s="32">
        <v>12.32</v>
      </c>
      <c r="D1563" s="28">
        <v>1.3888888888888888E-2</v>
      </c>
    </row>
    <row r="1564" spans="1:4" x14ac:dyDescent="0.25">
      <c r="A1564" s="24" t="s">
        <v>80</v>
      </c>
      <c r="B1564" s="24" t="s">
        <v>90</v>
      </c>
      <c r="C1564" s="32">
        <v>5.3230000000000004</v>
      </c>
      <c r="D1564" s="28">
        <v>6.9444444444444441E-3</v>
      </c>
    </row>
    <row r="1565" spans="1:4" x14ac:dyDescent="0.25">
      <c r="A1565" s="24" t="s">
        <v>80</v>
      </c>
      <c r="B1565" s="24" t="s">
        <v>91</v>
      </c>
      <c r="C1565" s="32">
        <v>14.763999999999999</v>
      </c>
      <c r="D1565" s="28">
        <v>1.5972222222222224E-2</v>
      </c>
    </row>
    <row r="1566" spans="1:4" x14ac:dyDescent="0.25">
      <c r="A1566" s="24" t="s">
        <v>80</v>
      </c>
      <c r="B1566" s="24" t="s">
        <v>92</v>
      </c>
      <c r="C1566" s="32">
        <v>6.27</v>
      </c>
      <c r="D1566" s="28">
        <v>6.9444444444444441E-3</v>
      </c>
    </row>
    <row r="1567" spans="1:4" x14ac:dyDescent="0.25">
      <c r="A1567" s="24" t="s">
        <v>80</v>
      </c>
      <c r="B1567" s="24" t="s">
        <v>93</v>
      </c>
      <c r="C1567" s="32">
        <v>25.5</v>
      </c>
      <c r="D1567" s="28">
        <v>1.7361111111111112E-2</v>
      </c>
    </row>
    <row r="1568" spans="1:4" x14ac:dyDescent="0.25">
      <c r="A1568" s="24" t="s">
        <v>80</v>
      </c>
      <c r="B1568" s="24" t="s">
        <v>94</v>
      </c>
      <c r="C1568" s="32">
        <v>26.129000000000001</v>
      </c>
      <c r="D1568" s="28">
        <v>1.8055555555555557E-2</v>
      </c>
    </row>
    <row r="1569" spans="1:4" x14ac:dyDescent="0.25">
      <c r="A1569" s="24" t="s">
        <v>80</v>
      </c>
      <c r="B1569" s="24" t="s">
        <v>95</v>
      </c>
      <c r="C1569" s="32">
        <v>6.0650000000000004</v>
      </c>
      <c r="D1569" s="28">
        <v>5.5555555555555558E-3</v>
      </c>
    </row>
    <row r="1570" spans="1:4" x14ac:dyDescent="0.25">
      <c r="A1570" s="24" t="s">
        <v>80</v>
      </c>
      <c r="B1570" s="24" t="s">
        <v>96</v>
      </c>
      <c r="C1570" s="32">
        <v>23.573</v>
      </c>
      <c r="D1570" s="28">
        <v>1.8749999999999999E-2</v>
      </c>
    </row>
    <row r="1571" spans="1:4" x14ac:dyDescent="0.25">
      <c r="A1571" s="24" t="s">
        <v>80</v>
      </c>
      <c r="B1571" s="24" t="s">
        <v>97</v>
      </c>
      <c r="C1571" s="32">
        <v>22.491</v>
      </c>
      <c r="D1571" s="28">
        <v>1.9444444444444445E-2</v>
      </c>
    </row>
    <row r="1572" spans="1:4" x14ac:dyDescent="0.25">
      <c r="A1572" s="24" t="s">
        <v>80</v>
      </c>
      <c r="B1572" s="24" t="s">
        <v>98</v>
      </c>
      <c r="C1572" s="32">
        <v>12.353</v>
      </c>
      <c r="D1572" s="28">
        <v>1.1111111111111112E-2</v>
      </c>
    </row>
    <row r="1573" spans="1:4" x14ac:dyDescent="0.25">
      <c r="A1573" s="24" t="s">
        <v>80</v>
      </c>
      <c r="B1573" s="24" t="s">
        <v>99</v>
      </c>
      <c r="C1573" s="32">
        <v>18.850999999999999</v>
      </c>
      <c r="D1573" s="28">
        <v>1.5277777777777777E-2</v>
      </c>
    </row>
    <row r="1574" spans="1:4" x14ac:dyDescent="0.25">
      <c r="A1574" s="24" t="s">
        <v>80</v>
      </c>
      <c r="B1574" s="24" t="s">
        <v>100</v>
      </c>
      <c r="C1574" s="32">
        <v>8.4190000000000005</v>
      </c>
      <c r="D1574" s="28">
        <v>7.6388888888888886E-3</v>
      </c>
    </row>
    <row r="1575" spans="1:4" x14ac:dyDescent="0.25">
      <c r="A1575" s="24" t="s">
        <v>80</v>
      </c>
      <c r="B1575" s="24" t="s">
        <v>101</v>
      </c>
      <c r="C1575" s="32">
        <v>14.048999999999999</v>
      </c>
      <c r="D1575" s="28">
        <v>1.2499999999999999E-2</v>
      </c>
    </row>
    <row r="1576" spans="1:4" x14ac:dyDescent="0.25">
      <c r="A1576" s="24" t="s">
        <v>80</v>
      </c>
      <c r="B1576" s="24" t="s">
        <v>102</v>
      </c>
      <c r="C1576" s="32">
        <v>14.554</v>
      </c>
      <c r="D1576" s="28">
        <v>1.3888888888888888E-2</v>
      </c>
    </row>
    <row r="1577" spans="1:4" x14ac:dyDescent="0.25">
      <c r="A1577" s="24" t="s">
        <v>80</v>
      </c>
      <c r="B1577" s="24" t="s">
        <v>103</v>
      </c>
      <c r="C1577" s="32">
        <v>12.65</v>
      </c>
      <c r="D1577" s="28">
        <v>9.7222222222222224E-3</v>
      </c>
    </row>
    <row r="1578" spans="1:4" x14ac:dyDescent="0.25">
      <c r="A1578" s="24" t="s">
        <v>80</v>
      </c>
      <c r="B1578" s="24" t="s">
        <v>104</v>
      </c>
      <c r="C1578" s="32">
        <v>9.7100000000000009</v>
      </c>
      <c r="D1578" s="28">
        <v>9.0277777777777787E-3</v>
      </c>
    </row>
    <row r="1579" spans="1:4" x14ac:dyDescent="0.25">
      <c r="A1579" s="24" t="s">
        <v>80</v>
      </c>
      <c r="B1579" s="24" t="s">
        <v>105</v>
      </c>
      <c r="C1579" s="32">
        <v>9.7750000000000004</v>
      </c>
      <c r="D1579" s="28">
        <v>1.2499999999999999E-2</v>
      </c>
    </row>
    <row r="1580" spans="1:4" x14ac:dyDescent="0.25">
      <c r="A1580" s="24" t="s">
        <v>80</v>
      </c>
      <c r="B1580" s="24" t="s">
        <v>106</v>
      </c>
      <c r="C1580" s="32">
        <v>14.329000000000001</v>
      </c>
      <c r="D1580" s="28">
        <v>1.1111111111111112E-2</v>
      </c>
    </row>
    <row r="1581" spans="1:4" x14ac:dyDescent="0.25">
      <c r="A1581" s="24" t="s">
        <v>80</v>
      </c>
      <c r="B1581" s="24" t="s">
        <v>107</v>
      </c>
      <c r="C1581" s="32">
        <v>17.100000000000001</v>
      </c>
      <c r="D1581" s="28">
        <v>1.6666666666666666E-2</v>
      </c>
    </row>
    <row r="1582" spans="1:4" x14ac:dyDescent="0.25">
      <c r="A1582" s="24" t="s">
        <v>80</v>
      </c>
      <c r="B1582" s="24" t="s">
        <v>108</v>
      </c>
      <c r="C1582" s="32">
        <v>17.696999999999999</v>
      </c>
      <c r="D1582" s="28">
        <v>1.5277777777777777E-2</v>
      </c>
    </row>
    <row r="1583" spans="1:4" x14ac:dyDescent="0.25">
      <c r="A1583" s="24" t="s">
        <v>80</v>
      </c>
      <c r="B1583" s="24" t="s">
        <v>109</v>
      </c>
      <c r="C1583" s="32">
        <v>17.667000000000002</v>
      </c>
      <c r="D1583" s="28">
        <v>1.5277777777777777E-2</v>
      </c>
    </row>
    <row r="1584" spans="1:4" x14ac:dyDescent="0.25">
      <c r="A1584" s="24" t="s">
        <v>80</v>
      </c>
      <c r="B1584" s="24" t="s">
        <v>110</v>
      </c>
      <c r="C1584" s="32">
        <v>12.289</v>
      </c>
      <c r="D1584" s="28">
        <v>1.2499999999999999E-2</v>
      </c>
    </row>
    <row r="1585" spans="1:4" x14ac:dyDescent="0.25">
      <c r="A1585" s="24" t="s">
        <v>80</v>
      </c>
      <c r="B1585" s="24" t="s">
        <v>111</v>
      </c>
      <c r="C1585" s="32">
        <v>8.7430000000000003</v>
      </c>
      <c r="D1585" s="28">
        <v>8.3333333333333332E-3</v>
      </c>
    </row>
    <row r="1586" spans="1:4" x14ac:dyDescent="0.25">
      <c r="A1586" s="24" t="s">
        <v>80</v>
      </c>
      <c r="B1586" s="24" t="s">
        <v>112</v>
      </c>
      <c r="C1586" s="32">
        <v>16.774000000000001</v>
      </c>
      <c r="D1586" s="28">
        <v>1.5277777777777777E-2</v>
      </c>
    </row>
    <row r="1587" spans="1:4" x14ac:dyDescent="0.25">
      <c r="A1587" s="24" t="s">
        <v>80</v>
      </c>
      <c r="B1587" s="24" t="s">
        <v>113</v>
      </c>
      <c r="C1587" s="32">
        <v>20.398</v>
      </c>
      <c r="D1587" s="28">
        <v>1.7361111111111112E-2</v>
      </c>
    </row>
    <row r="1588" spans="1:4" x14ac:dyDescent="0.25">
      <c r="A1588" s="24" t="s">
        <v>80</v>
      </c>
      <c r="B1588" s="24" t="s">
        <v>114</v>
      </c>
      <c r="C1588" s="32">
        <v>6.7549999999999999</v>
      </c>
      <c r="D1588" s="28">
        <v>5.5555555555555558E-3</v>
      </c>
    </row>
    <row r="1589" spans="1:4" x14ac:dyDescent="0.25">
      <c r="A1589" s="24" t="s">
        <v>80</v>
      </c>
      <c r="B1589" s="24" t="s">
        <v>115</v>
      </c>
      <c r="C1589" s="32">
        <v>6.6059999999999999</v>
      </c>
      <c r="D1589" s="28">
        <v>6.2499999999999995E-3</v>
      </c>
    </row>
    <row r="1590" spans="1:4" x14ac:dyDescent="0.25">
      <c r="A1590" s="24" t="s">
        <v>80</v>
      </c>
      <c r="B1590" s="24" t="s">
        <v>116</v>
      </c>
      <c r="C1590" s="32">
        <v>4.734</v>
      </c>
      <c r="D1590" s="28">
        <v>6.2499999999999995E-3</v>
      </c>
    </row>
    <row r="1591" spans="1:4" x14ac:dyDescent="0.25">
      <c r="A1591" s="24" t="s">
        <v>80</v>
      </c>
      <c r="B1591" s="24" t="s">
        <v>117</v>
      </c>
      <c r="C1591" s="32">
        <v>5.569</v>
      </c>
      <c r="D1591" s="28">
        <v>6.9444444444444441E-3</v>
      </c>
    </row>
    <row r="1592" spans="1:4" x14ac:dyDescent="0.25">
      <c r="A1592" s="24" t="s">
        <v>80</v>
      </c>
      <c r="B1592" s="24" t="s">
        <v>118</v>
      </c>
      <c r="C1592" s="32">
        <v>15.54</v>
      </c>
      <c r="D1592" s="28">
        <v>1.3888888888888888E-2</v>
      </c>
    </row>
    <row r="1593" spans="1:4" x14ac:dyDescent="0.25">
      <c r="A1593" s="24" t="s">
        <v>80</v>
      </c>
      <c r="B1593" s="24" t="s">
        <v>119</v>
      </c>
      <c r="C1593" s="32">
        <v>20.143000000000001</v>
      </c>
      <c r="D1593" s="28">
        <v>1.3888888888888888E-2</v>
      </c>
    </row>
    <row r="1594" spans="1:4" x14ac:dyDescent="0.25">
      <c r="A1594" s="24" t="s">
        <v>80</v>
      </c>
      <c r="B1594" s="24" t="s">
        <v>120</v>
      </c>
      <c r="C1594" s="32">
        <v>25.103999999999999</v>
      </c>
      <c r="D1594" s="28">
        <v>1.9444444444444445E-2</v>
      </c>
    </row>
    <row r="1595" spans="1:4" x14ac:dyDescent="0.25">
      <c r="A1595" s="24" t="s">
        <v>80</v>
      </c>
      <c r="B1595" s="24" t="s">
        <v>121</v>
      </c>
      <c r="C1595" s="32">
        <v>38.369999999999997</v>
      </c>
      <c r="D1595" s="28">
        <v>2.7083333333333334E-2</v>
      </c>
    </row>
    <row r="1596" spans="1:4" x14ac:dyDescent="0.25">
      <c r="A1596" s="24" t="s">
        <v>80</v>
      </c>
      <c r="B1596" s="24" t="s">
        <v>122</v>
      </c>
      <c r="C1596" s="32">
        <v>19.849</v>
      </c>
      <c r="D1596" s="28">
        <v>1.6666666666666666E-2</v>
      </c>
    </row>
    <row r="1597" spans="1:4" x14ac:dyDescent="0.25">
      <c r="A1597" s="24" t="s">
        <v>80</v>
      </c>
      <c r="B1597" s="24" t="s">
        <v>123</v>
      </c>
      <c r="C1597" s="32">
        <v>31.954999999999998</v>
      </c>
      <c r="D1597" s="28">
        <v>2.2916666666666669E-2</v>
      </c>
    </row>
    <row r="1598" spans="1:4" x14ac:dyDescent="0.25">
      <c r="A1598" s="24" t="s">
        <v>80</v>
      </c>
      <c r="B1598" s="24" t="s">
        <v>124</v>
      </c>
      <c r="C1598" s="32">
        <v>31.954999999999998</v>
      </c>
      <c r="D1598" s="28">
        <v>2.2916666666666669E-2</v>
      </c>
    </row>
    <row r="1599" spans="1:4" x14ac:dyDescent="0.25">
      <c r="A1599" s="24" t="s">
        <v>80</v>
      </c>
      <c r="B1599" s="24" t="s">
        <v>125</v>
      </c>
      <c r="C1599" s="32">
        <v>22.838000000000001</v>
      </c>
      <c r="D1599" s="28">
        <v>1.7361111111111112E-2</v>
      </c>
    </row>
    <row r="1600" spans="1:4" x14ac:dyDescent="0.25">
      <c r="A1600" s="24" t="s">
        <v>80</v>
      </c>
      <c r="B1600" s="24" t="s">
        <v>126</v>
      </c>
      <c r="C1600" s="32">
        <v>22.576000000000001</v>
      </c>
      <c r="D1600" s="28">
        <v>1.6666666666666666E-2</v>
      </c>
    </row>
    <row r="1601" spans="1:4" x14ac:dyDescent="0.25">
      <c r="A1601" s="24" t="s">
        <v>80</v>
      </c>
      <c r="B1601" s="24" t="s">
        <v>127</v>
      </c>
      <c r="C1601" s="32">
        <v>20.949000000000002</v>
      </c>
      <c r="D1601" s="28">
        <v>1.6666666666666666E-2</v>
      </c>
    </row>
    <row r="1602" spans="1:4" x14ac:dyDescent="0.25">
      <c r="A1602" s="24" t="s">
        <v>80</v>
      </c>
      <c r="B1602" s="24" t="s">
        <v>128</v>
      </c>
      <c r="C1602" s="32">
        <v>21.649000000000001</v>
      </c>
      <c r="D1602" s="28">
        <v>1.5277777777777777E-2</v>
      </c>
    </row>
    <row r="1603" spans="1:4" x14ac:dyDescent="0.25">
      <c r="A1603" s="24" t="s">
        <v>80</v>
      </c>
      <c r="B1603" s="24" t="s">
        <v>129</v>
      </c>
      <c r="C1603" s="32">
        <v>21.649000000000001</v>
      </c>
      <c r="D1603" s="28">
        <v>1.5277777777777777E-2</v>
      </c>
    </row>
    <row r="1604" spans="1:4" x14ac:dyDescent="0.25">
      <c r="A1604" s="24" t="s">
        <v>80</v>
      </c>
      <c r="B1604" s="24" t="s">
        <v>130</v>
      </c>
      <c r="C1604" s="32">
        <v>21.027999999999999</v>
      </c>
      <c r="D1604" s="28">
        <v>1.7361111111111112E-2</v>
      </c>
    </row>
    <row r="1605" spans="1:4" x14ac:dyDescent="0.25">
      <c r="A1605" s="24" t="s">
        <v>80</v>
      </c>
      <c r="B1605" s="24" t="s">
        <v>131</v>
      </c>
      <c r="C1605" s="32">
        <v>19.940999999999999</v>
      </c>
      <c r="D1605" s="28">
        <v>1.7361111111111112E-2</v>
      </c>
    </row>
    <row r="1606" spans="1:4" x14ac:dyDescent="0.25">
      <c r="A1606" s="24" t="s">
        <v>80</v>
      </c>
      <c r="B1606" s="24" t="s">
        <v>132</v>
      </c>
      <c r="C1606" s="32">
        <v>25.25</v>
      </c>
      <c r="D1606" s="28">
        <v>2.0833333333333332E-2</v>
      </c>
    </row>
    <row r="1607" spans="1:4" x14ac:dyDescent="0.25">
      <c r="A1607" s="24" t="s">
        <v>80</v>
      </c>
      <c r="B1607" s="24" t="s">
        <v>133</v>
      </c>
      <c r="C1607" s="32">
        <v>21.088999999999999</v>
      </c>
      <c r="D1607" s="28">
        <v>2.361111111111111E-2</v>
      </c>
    </row>
    <row r="1608" spans="1:4" x14ac:dyDescent="0.25">
      <c r="A1608" s="24" t="s">
        <v>80</v>
      </c>
      <c r="B1608" s="24" t="s">
        <v>134</v>
      </c>
      <c r="C1608" s="32">
        <v>20.623000000000001</v>
      </c>
      <c r="D1608" s="28">
        <v>2.2222222222222223E-2</v>
      </c>
    </row>
    <row r="1609" spans="1:4" x14ac:dyDescent="0.25">
      <c r="A1609" s="24" t="s">
        <v>80</v>
      </c>
      <c r="B1609" s="24" t="s">
        <v>135</v>
      </c>
      <c r="C1609" s="32">
        <v>21.954000000000001</v>
      </c>
      <c r="D1609" s="28">
        <v>2.361111111111111E-2</v>
      </c>
    </row>
    <row r="1610" spans="1:4" x14ac:dyDescent="0.25">
      <c r="A1610" s="24" t="s">
        <v>80</v>
      </c>
      <c r="B1610" s="24" t="s">
        <v>136</v>
      </c>
      <c r="C1610" s="32">
        <v>21.954000000000001</v>
      </c>
      <c r="D1610" s="28">
        <v>2.361111111111111E-2</v>
      </c>
    </row>
    <row r="1611" spans="1:4" x14ac:dyDescent="0.25">
      <c r="A1611" s="24" t="s">
        <v>80</v>
      </c>
      <c r="B1611" s="24" t="s">
        <v>137</v>
      </c>
      <c r="C1611" s="32">
        <v>22.167000000000002</v>
      </c>
      <c r="D1611" s="28">
        <v>2.361111111111111E-2</v>
      </c>
    </row>
    <row r="1612" spans="1:4" x14ac:dyDescent="0.25">
      <c r="A1612" s="24" t="s">
        <v>80</v>
      </c>
      <c r="B1612" s="24" t="s">
        <v>138</v>
      </c>
      <c r="C1612" s="32">
        <v>28.172999999999998</v>
      </c>
      <c r="D1612" s="28">
        <v>2.2916666666666669E-2</v>
      </c>
    </row>
    <row r="1613" spans="1:4" x14ac:dyDescent="0.25">
      <c r="A1613" s="24" t="s">
        <v>80</v>
      </c>
      <c r="B1613" s="24" t="s">
        <v>139</v>
      </c>
      <c r="C1613" s="32">
        <v>36.613</v>
      </c>
      <c r="D1613" s="28">
        <v>2.4305555555555556E-2</v>
      </c>
    </row>
    <row r="1614" spans="1:4" x14ac:dyDescent="0.25">
      <c r="A1614" s="24" t="s">
        <v>80</v>
      </c>
      <c r="B1614" s="24" t="s">
        <v>140</v>
      </c>
      <c r="C1614" s="32">
        <v>36.924999999999997</v>
      </c>
      <c r="D1614" s="28">
        <v>2.7083333333333334E-2</v>
      </c>
    </row>
    <row r="1615" spans="1:4" x14ac:dyDescent="0.25">
      <c r="A1615" s="24" t="s">
        <v>80</v>
      </c>
      <c r="B1615" s="24" t="s">
        <v>141</v>
      </c>
      <c r="C1615" s="32">
        <v>61.323999999999998</v>
      </c>
      <c r="D1615" s="28">
        <v>4.3750000000000004E-2</v>
      </c>
    </row>
    <row r="1616" spans="1:4" x14ac:dyDescent="0.25">
      <c r="A1616" s="24" t="s">
        <v>80</v>
      </c>
      <c r="B1616" s="24" t="s">
        <v>142</v>
      </c>
      <c r="C1616" s="32">
        <v>59.411999999999999</v>
      </c>
      <c r="D1616" s="28">
        <v>3.6111111111111115E-2</v>
      </c>
    </row>
    <row r="1617" spans="1:4" x14ac:dyDescent="0.25">
      <c r="A1617" s="24" t="s">
        <v>80</v>
      </c>
      <c r="B1617" s="24" t="s">
        <v>143</v>
      </c>
      <c r="C1617" s="32">
        <v>77.790000000000006</v>
      </c>
      <c r="D1617" s="28">
        <v>4.3750000000000004E-2</v>
      </c>
    </row>
    <row r="1618" spans="1:4" x14ac:dyDescent="0.25">
      <c r="A1618" s="24" t="s">
        <v>80</v>
      </c>
      <c r="B1618" s="24" t="s">
        <v>144</v>
      </c>
      <c r="C1618" s="32">
        <v>96.906000000000006</v>
      </c>
      <c r="D1618" s="28">
        <v>5.486111111111111E-2</v>
      </c>
    </row>
    <row r="1619" spans="1:4" x14ac:dyDescent="0.25">
      <c r="A1619" s="24" t="s">
        <v>80</v>
      </c>
      <c r="B1619" s="24" t="s">
        <v>145</v>
      </c>
      <c r="C1619" s="32">
        <v>41.42</v>
      </c>
      <c r="D1619" s="28">
        <v>2.9166666666666664E-2</v>
      </c>
    </row>
    <row r="1620" spans="1:4" x14ac:dyDescent="0.25">
      <c r="A1620" s="24" t="s">
        <v>80</v>
      </c>
      <c r="B1620" s="24" t="s">
        <v>146</v>
      </c>
      <c r="C1620" s="32">
        <v>56.878999999999998</v>
      </c>
      <c r="D1620" s="28">
        <v>3.6805555555555557E-2</v>
      </c>
    </row>
    <row r="1621" spans="1:4" x14ac:dyDescent="0.25">
      <c r="A1621" s="24" t="s">
        <v>80</v>
      </c>
      <c r="B1621" s="24" t="s">
        <v>147</v>
      </c>
      <c r="C1621" s="32">
        <v>14.481999999999999</v>
      </c>
      <c r="D1621" s="28">
        <v>1.0416666666666666E-2</v>
      </c>
    </row>
    <row r="1622" spans="1:4" x14ac:dyDescent="0.25">
      <c r="A1622" s="24" t="s">
        <v>80</v>
      </c>
      <c r="B1622" s="24" t="s">
        <v>148</v>
      </c>
      <c r="C1622" s="32">
        <v>17.556000000000001</v>
      </c>
      <c r="D1622" s="28">
        <v>1.1805555555555555E-2</v>
      </c>
    </row>
    <row r="1623" spans="1:4" x14ac:dyDescent="0.25">
      <c r="A1623" s="24" t="s">
        <v>80</v>
      </c>
      <c r="B1623" s="24" t="s">
        <v>149</v>
      </c>
      <c r="C1623" s="32">
        <v>25.356000000000002</v>
      </c>
      <c r="D1623" s="28">
        <v>2.0833333333333332E-2</v>
      </c>
    </row>
    <row r="1624" spans="1:4" x14ac:dyDescent="0.25">
      <c r="A1624" s="24" t="s">
        <v>80</v>
      </c>
      <c r="B1624" s="24" t="s">
        <v>150</v>
      </c>
      <c r="C1624" s="32">
        <v>34.843000000000004</v>
      </c>
      <c r="D1624" s="28">
        <v>2.9861111111111113E-2</v>
      </c>
    </row>
    <row r="1625" spans="1:4" x14ac:dyDescent="0.25">
      <c r="A1625" s="24" t="s">
        <v>80</v>
      </c>
      <c r="B1625" s="24" t="s">
        <v>151</v>
      </c>
      <c r="C1625" s="32">
        <v>34.100999999999999</v>
      </c>
      <c r="D1625" s="28">
        <v>2.9166666666666664E-2</v>
      </c>
    </row>
    <row r="1626" spans="1:4" x14ac:dyDescent="0.25">
      <c r="A1626" s="24" t="s">
        <v>80</v>
      </c>
      <c r="B1626" s="24" t="s">
        <v>152</v>
      </c>
      <c r="C1626" s="32">
        <v>36.46</v>
      </c>
      <c r="D1626" s="28">
        <v>3.1944444444444449E-2</v>
      </c>
    </row>
    <row r="1627" spans="1:4" x14ac:dyDescent="0.25">
      <c r="A1627" s="24" t="s">
        <v>80</v>
      </c>
      <c r="B1627" s="24" t="s">
        <v>153</v>
      </c>
      <c r="C1627" s="32">
        <v>40.987000000000002</v>
      </c>
      <c r="D1627" s="28">
        <v>3.8194444444444441E-2</v>
      </c>
    </row>
    <row r="1628" spans="1:4" x14ac:dyDescent="0.25">
      <c r="A1628" s="24" t="s">
        <v>80</v>
      </c>
      <c r="B1628" s="24" t="s">
        <v>154</v>
      </c>
      <c r="C1628" s="32">
        <v>35.795999999999999</v>
      </c>
      <c r="D1628" s="28">
        <v>3.1944444444444449E-2</v>
      </c>
    </row>
    <row r="1629" spans="1:4" x14ac:dyDescent="0.25">
      <c r="A1629" s="24" t="s">
        <v>80</v>
      </c>
      <c r="B1629" s="24" t="s">
        <v>155</v>
      </c>
      <c r="C1629" s="32">
        <v>34.704999999999998</v>
      </c>
      <c r="D1629" s="28">
        <v>2.9861111111111113E-2</v>
      </c>
    </row>
    <row r="1630" spans="1:4" x14ac:dyDescent="0.25">
      <c r="A1630" s="24" t="s">
        <v>80</v>
      </c>
      <c r="B1630" s="24" t="s">
        <v>156</v>
      </c>
      <c r="C1630" s="32">
        <v>34.689</v>
      </c>
      <c r="D1630" s="28">
        <v>2.9861111111111113E-2</v>
      </c>
    </row>
    <row r="1631" spans="1:4" x14ac:dyDescent="0.25">
      <c r="A1631" s="24" t="s">
        <v>80</v>
      </c>
      <c r="B1631" s="24" t="s">
        <v>157</v>
      </c>
      <c r="C1631" s="32">
        <v>28.63</v>
      </c>
      <c r="D1631" s="28">
        <v>2.4999999999999998E-2</v>
      </c>
    </row>
    <row r="1632" spans="1:4" x14ac:dyDescent="0.25">
      <c r="A1632" s="24" t="s">
        <v>80</v>
      </c>
      <c r="B1632" s="24" t="s">
        <v>158</v>
      </c>
      <c r="C1632" s="32">
        <v>39.384</v>
      </c>
      <c r="D1632" s="28">
        <v>3.2638888888888891E-2</v>
      </c>
    </row>
    <row r="1633" spans="1:4" x14ac:dyDescent="0.25">
      <c r="A1633" s="24" t="s">
        <v>80</v>
      </c>
      <c r="B1633" s="24" t="s">
        <v>159</v>
      </c>
      <c r="C1633" s="32">
        <v>39.875</v>
      </c>
      <c r="D1633" s="28">
        <v>3.4027777777777775E-2</v>
      </c>
    </row>
    <row r="1634" spans="1:4" x14ac:dyDescent="0.25">
      <c r="A1634" s="24" t="s">
        <v>81</v>
      </c>
      <c r="B1634" s="24" t="s">
        <v>65</v>
      </c>
      <c r="C1634" s="32">
        <v>10.086</v>
      </c>
      <c r="D1634" s="28">
        <v>8.3333333333333332E-3</v>
      </c>
    </row>
    <row r="1635" spans="1:4" x14ac:dyDescent="0.25">
      <c r="A1635" s="24" t="s">
        <v>81</v>
      </c>
      <c r="B1635" s="24" t="s">
        <v>64</v>
      </c>
      <c r="C1635" s="32">
        <v>27.971</v>
      </c>
      <c r="D1635" s="28">
        <v>2.0833333333333332E-2</v>
      </c>
    </row>
    <row r="1636" spans="1:4" x14ac:dyDescent="0.25">
      <c r="A1636" s="24" t="s">
        <v>81</v>
      </c>
      <c r="B1636" s="24" t="s">
        <v>66</v>
      </c>
      <c r="C1636" s="32">
        <v>34.982999999999997</v>
      </c>
      <c r="D1636" s="28">
        <v>2.7777777777777776E-2</v>
      </c>
    </row>
    <row r="1637" spans="1:4" x14ac:dyDescent="0.25">
      <c r="A1637" s="24" t="s">
        <v>81</v>
      </c>
      <c r="B1637" s="24" t="s">
        <v>67</v>
      </c>
      <c r="C1637" s="32">
        <v>31.562000000000001</v>
      </c>
      <c r="D1637" s="28">
        <v>2.7777777777777776E-2</v>
      </c>
    </row>
    <row r="1638" spans="1:4" x14ac:dyDescent="0.25">
      <c r="A1638" s="24" t="s">
        <v>81</v>
      </c>
      <c r="B1638" s="24" t="s">
        <v>68</v>
      </c>
      <c r="C1638" s="32">
        <v>41.362000000000002</v>
      </c>
      <c r="D1638" s="28">
        <v>2.6388888888888889E-2</v>
      </c>
    </row>
    <row r="1639" spans="1:4" x14ac:dyDescent="0.25">
      <c r="A1639" s="24" t="s">
        <v>81</v>
      </c>
      <c r="B1639" s="24" t="s">
        <v>69</v>
      </c>
      <c r="C1639" s="32">
        <v>32.875</v>
      </c>
      <c r="D1639" s="28">
        <v>2.7083333333333334E-2</v>
      </c>
    </row>
    <row r="1640" spans="1:4" x14ac:dyDescent="0.25">
      <c r="A1640" s="24" t="s">
        <v>81</v>
      </c>
      <c r="B1640" s="24" t="s">
        <v>70</v>
      </c>
      <c r="C1640" s="32">
        <v>33.259</v>
      </c>
      <c r="D1640" s="28">
        <v>2.7777777777777776E-2</v>
      </c>
    </row>
    <row r="1641" spans="1:4" x14ac:dyDescent="0.25">
      <c r="A1641" s="24" t="s">
        <v>81</v>
      </c>
      <c r="B1641" s="24" t="s">
        <v>71</v>
      </c>
      <c r="C1641" s="32">
        <v>33.451999999999998</v>
      </c>
      <c r="D1641" s="28">
        <v>2.7777777777777776E-2</v>
      </c>
    </row>
    <row r="1642" spans="1:4" x14ac:dyDescent="0.25">
      <c r="A1642" s="24" t="s">
        <v>81</v>
      </c>
      <c r="B1642" s="24" t="s">
        <v>72</v>
      </c>
      <c r="C1642" s="32">
        <v>40.962000000000003</v>
      </c>
      <c r="D1642" s="28">
        <v>2.5694444444444447E-2</v>
      </c>
    </row>
    <row r="1643" spans="1:4" x14ac:dyDescent="0.25">
      <c r="A1643" s="24" t="s">
        <v>81</v>
      </c>
      <c r="B1643" s="24" t="s">
        <v>73</v>
      </c>
      <c r="C1643" s="32">
        <v>31.323</v>
      </c>
      <c r="D1643" s="28">
        <v>2.7777777777777776E-2</v>
      </c>
    </row>
    <row r="1644" spans="1:4" x14ac:dyDescent="0.25">
      <c r="A1644" s="24" t="s">
        <v>81</v>
      </c>
      <c r="B1644" s="24" t="s">
        <v>74</v>
      </c>
      <c r="C1644" s="32">
        <v>37.33</v>
      </c>
      <c r="D1644" s="28">
        <v>2.5694444444444447E-2</v>
      </c>
    </row>
    <row r="1645" spans="1:4" x14ac:dyDescent="0.25">
      <c r="A1645" s="24" t="s">
        <v>81</v>
      </c>
      <c r="B1645" s="24" t="s">
        <v>75</v>
      </c>
      <c r="C1645" s="32">
        <v>36.366</v>
      </c>
      <c r="D1645" s="28">
        <v>2.4305555555555556E-2</v>
      </c>
    </row>
    <row r="1646" spans="1:4" x14ac:dyDescent="0.25">
      <c r="A1646" s="24" t="s">
        <v>81</v>
      </c>
      <c r="B1646" s="24" t="s">
        <v>76</v>
      </c>
      <c r="C1646" s="32">
        <v>36.015999999999998</v>
      </c>
      <c r="D1646" s="28">
        <v>2.4999999999999998E-2</v>
      </c>
    </row>
    <row r="1647" spans="1:4" x14ac:dyDescent="0.25">
      <c r="A1647" s="24" t="s">
        <v>81</v>
      </c>
      <c r="B1647" s="24" t="s">
        <v>77</v>
      </c>
      <c r="C1647" s="32">
        <v>43.93</v>
      </c>
      <c r="D1647" s="28">
        <v>2.7083333333333334E-2</v>
      </c>
    </row>
    <row r="1648" spans="1:4" x14ac:dyDescent="0.25">
      <c r="A1648" s="24" t="s">
        <v>81</v>
      </c>
      <c r="B1648" s="24" t="s">
        <v>78</v>
      </c>
      <c r="C1648" s="32">
        <v>36.56</v>
      </c>
      <c r="D1648" s="28">
        <v>3.0555555555555555E-2</v>
      </c>
    </row>
    <row r="1649" spans="1:4" x14ac:dyDescent="0.25">
      <c r="A1649" s="24" t="s">
        <v>81</v>
      </c>
      <c r="B1649" s="24" t="s">
        <v>79</v>
      </c>
      <c r="C1649" s="32">
        <v>55.658000000000001</v>
      </c>
      <c r="D1649" s="28">
        <v>4.027777777777778E-2</v>
      </c>
    </row>
    <row r="1650" spans="1:4" x14ac:dyDescent="0.25">
      <c r="A1650" s="24" t="s">
        <v>81</v>
      </c>
      <c r="B1650" s="24" t="s">
        <v>80</v>
      </c>
      <c r="C1650" s="32">
        <v>8.0860000000000003</v>
      </c>
      <c r="D1650" s="28">
        <v>6.9444444444444441E-3</v>
      </c>
    </row>
    <row r="1651" spans="1:4" x14ac:dyDescent="0.25">
      <c r="A1651" s="24" t="s">
        <v>81</v>
      </c>
      <c r="B1651" s="24" t="s">
        <v>81</v>
      </c>
      <c r="C1651" s="32">
        <v>0</v>
      </c>
      <c r="D1651" s="28">
        <v>0</v>
      </c>
    </row>
    <row r="1652" spans="1:4" x14ac:dyDescent="0.25">
      <c r="A1652" s="24" t="s">
        <v>81</v>
      </c>
      <c r="B1652" s="24" t="s">
        <v>82</v>
      </c>
      <c r="C1652" s="32">
        <v>5.0999999999999997E-2</v>
      </c>
      <c r="D1652" s="28">
        <v>0</v>
      </c>
    </row>
    <row r="1653" spans="1:4" x14ac:dyDescent="0.25">
      <c r="A1653" s="24" t="s">
        <v>81</v>
      </c>
      <c r="B1653" s="24" t="s">
        <v>83</v>
      </c>
      <c r="C1653" s="32">
        <v>21.212</v>
      </c>
      <c r="D1653" s="28">
        <v>1.9444444444444445E-2</v>
      </c>
    </row>
    <row r="1654" spans="1:4" x14ac:dyDescent="0.25">
      <c r="A1654" s="24" t="s">
        <v>81</v>
      </c>
      <c r="B1654" s="24" t="s">
        <v>84</v>
      </c>
      <c r="C1654" s="32">
        <v>34.256999999999998</v>
      </c>
      <c r="D1654" s="28">
        <v>2.1527777777777781E-2</v>
      </c>
    </row>
    <row r="1655" spans="1:4" x14ac:dyDescent="0.25">
      <c r="A1655" s="24" t="s">
        <v>81</v>
      </c>
      <c r="B1655" s="24" t="s">
        <v>85</v>
      </c>
      <c r="C1655" s="32">
        <v>33.890999999999998</v>
      </c>
      <c r="D1655" s="28">
        <v>2.1527777777777781E-2</v>
      </c>
    </row>
    <row r="1656" spans="1:4" x14ac:dyDescent="0.25">
      <c r="A1656" s="24" t="s">
        <v>81</v>
      </c>
      <c r="B1656" s="24" t="s">
        <v>86</v>
      </c>
      <c r="C1656" s="32">
        <v>19.254999999999999</v>
      </c>
      <c r="D1656" s="28">
        <v>2.0833333333333332E-2</v>
      </c>
    </row>
    <row r="1657" spans="1:4" x14ac:dyDescent="0.25">
      <c r="A1657" s="24" t="s">
        <v>81</v>
      </c>
      <c r="B1657" s="24" t="s">
        <v>87</v>
      </c>
      <c r="C1657" s="32">
        <v>19.033000000000001</v>
      </c>
      <c r="D1657" s="28">
        <v>2.0833333333333332E-2</v>
      </c>
    </row>
    <row r="1658" spans="1:4" x14ac:dyDescent="0.25">
      <c r="A1658" s="24" t="s">
        <v>81</v>
      </c>
      <c r="B1658" s="24" t="s">
        <v>88</v>
      </c>
      <c r="C1658" s="32">
        <v>18.03</v>
      </c>
      <c r="D1658" s="28">
        <v>2.013888888888889E-2</v>
      </c>
    </row>
    <row r="1659" spans="1:4" x14ac:dyDescent="0.25">
      <c r="A1659" s="24" t="s">
        <v>81</v>
      </c>
      <c r="B1659" s="24" t="s">
        <v>89</v>
      </c>
      <c r="C1659" s="32">
        <v>13.750999999999999</v>
      </c>
      <c r="D1659" s="28">
        <v>1.4583333333333332E-2</v>
      </c>
    </row>
    <row r="1660" spans="1:4" x14ac:dyDescent="0.25">
      <c r="A1660" s="24" t="s">
        <v>81</v>
      </c>
      <c r="B1660" s="24" t="s">
        <v>90</v>
      </c>
      <c r="C1660" s="32">
        <v>11.788</v>
      </c>
      <c r="D1660" s="28">
        <v>1.0416666666666666E-2</v>
      </c>
    </row>
    <row r="1661" spans="1:4" x14ac:dyDescent="0.25">
      <c r="A1661" s="24" t="s">
        <v>81</v>
      </c>
      <c r="B1661" s="24" t="s">
        <v>91</v>
      </c>
      <c r="C1661" s="32">
        <v>16.097999999999999</v>
      </c>
      <c r="D1661" s="28">
        <v>1.7361111111111112E-2</v>
      </c>
    </row>
    <row r="1662" spans="1:4" x14ac:dyDescent="0.25">
      <c r="A1662" s="24" t="s">
        <v>81</v>
      </c>
      <c r="B1662" s="24" t="s">
        <v>92</v>
      </c>
      <c r="C1662" s="32">
        <v>10.502000000000001</v>
      </c>
      <c r="D1662" s="28">
        <v>1.0416666666666666E-2</v>
      </c>
    </row>
    <row r="1663" spans="1:4" x14ac:dyDescent="0.25">
      <c r="A1663" s="24" t="s">
        <v>81</v>
      </c>
      <c r="B1663" s="24" t="s">
        <v>93</v>
      </c>
      <c r="C1663" s="32">
        <v>31.965</v>
      </c>
      <c r="D1663" s="28">
        <v>2.1527777777777781E-2</v>
      </c>
    </row>
    <row r="1664" spans="1:4" x14ac:dyDescent="0.25">
      <c r="A1664" s="24" t="s">
        <v>81</v>
      </c>
      <c r="B1664" s="24" t="s">
        <v>94</v>
      </c>
      <c r="C1664" s="32">
        <v>32.594000000000001</v>
      </c>
      <c r="D1664" s="28">
        <v>2.2222222222222223E-2</v>
      </c>
    </row>
    <row r="1665" spans="1:4" x14ac:dyDescent="0.25">
      <c r="A1665" s="24" t="s">
        <v>81</v>
      </c>
      <c r="B1665" s="24" t="s">
        <v>95</v>
      </c>
      <c r="C1665" s="32">
        <v>8.3810000000000002</v>
      </c>
      <c r="D1665" s="28">
        <v>6.9444444444444441E-3</v>
      </c>
    </row>
    <row r="1666" spans="1:4" x14ac:dyDescent="0.25">
      <c r="A1666" s="24" t="s">
        <v>81</v>
      </c>
      <c r="B1666" s="24" t="s">
        <v>96</v>
      </c>
      <c r="C1666" s="32">
        <v>30.038</v>
      </c>
      <c r="D1666" s="28">
        <v>2.2916666666666669E-2</v>
      </c>
    </row>
    <row r="1667" spans="1:4" x14ac:dyDescent="0.25">
      <c r="A1667" s="24" t="s">
        <v>81</v>
      </c>
      <c r="B1667" s="24" t="s">
        <v>97</v>
      </c>
      <c r="C1667" s="32">
        <v>28.956</v>
      </c>
      <c r="D1667" s="28">
        <v>2.2916666666666669E-2</v>
      </c>
    </row>
    <row r="1668" spans="1:4" x14ac:dyDescent="0.25">
      <c r="A1668" s="24" t="s">
        <v>81</v>
      </c>
      <c r="B1668" s="24" t="s">
        <v>98</v>
      </c>
      <c r="C1668" s="32">
        <v>18.818000000000001</v>
      </c>
      <c r="D1668" s="28">
        <v>1.4583333333333332E-2</v>
      </c>
    </row>
    <row r="1669" spans="1:4" x14ac:dyDescent="0.25">
      <c r="A1669" s="24" t="s">
        <v>81</v>
      </c>
      <c r="B1669" s="24" t="s">
        <v>99</v>
      </c>
      <c r="C1669" s="32">
        <v>25.315999999999999</v>
      </c>
      <c r="D1669" s="28">
        <v>1.9444444444444445E-2</v>
      </c>
    </row>
    <row r="1670" spans="1:4" x14ac:dyDescent="0.25">
      <c r="A1670" s="24" t="s">
        <v>81</v>
      </c>
      <c r="B1670" s="24" t="s">
        <v>100</v>
      </c>
      <c r="C1670" s="32">
        <v>14.884</v>
      </c>
      <c r="D1670" s="28">
        <v>1.1805555555555555E-2</v>
      </c>
    </row>
    <row r="1671" spans="1:4" x14ac:dyDescent="0.25">
      <c r="A1671" s="24" t="s">
        <v>81</v>
      </c>
      <c r="B1671" s="24" t="s">
        <v>101</v>
      </c>
      <c r="C1671" s="32">
        <v>20.513999999999999</v>
      </c>
      <c r="D1671" s="28">
        <v>1.6666666666666666E-2</v>
      </c>
    </row>
    <row r="1672" spans="1:4" x14ac:dyDescent="0.25">
      <c r="A1672" s="24" t="s">
        <v>81</v>
      </c>
      <c r="B1672" s="24" t="s">
        <v>102</v>
      </c>
      <c r="C1672" s="32">
        <v>21.018999999999998</v>
      </c>
      <c r="D1672" s="28">
        <v>1.8055555555555557E-2</v>
      </c>
    </row>
    <row r="1673" spans="1:4" x14ac:dyDescent="0.25">
      <c r="A1673" s="24" t="s">
        <v>81</v>
      </c>
      <c r="B1673" s="24" t="s">
        <v>103</v>
      </c>
      <c r="C1673" s="32">
        <v>16.218</v>
      </c>
      <c r="D1673" s="28">
        <v>1.4583333333333332E-2</v>
      </c>
    </row>
    <row r="1674" spans="1:4" x14ac:dyDescent="0.25">
      <c r="A1674" s="24" t="s">
        <v>81</v>
      </c>
      <c r="B1674" s="24" t="s">
        <v>104</v>
      </c>
      <c r="C1674" s="32">
        <v>13.411</v>
      </c>
      <c r="D1674" s="28">
        <v>1.2499999999999999E-2</v>
      </c>
    </row>
    <row r="1675" spans="1:4" x14ac:dyDescent="0.25">
      <c r="A1675" s="24" t="s">
        <v>81</v>
      </c>
      <c r="B1675" s="24" t="s">
        <v>105</v>
      </c>
      <c r="C1675" s="32">
        <v>14.673999999999999</v>
      </c>
      <c r="D1675" s="28">
        <v>1.7361111111111112E-2</v>
      </c>
    </row>
    <row r="1676" spans="1:4" x14ac:dyDescent="0.25">
      <c r="A1676" s="24" t="s">
        <v>81</v>
      </c>
      <c r="B1676" s="24" t="s">
        <v>106</v>
      </c>
      <c r="C1676" s="32">
        <v>20.794</v>
      </c>
      <c r="D1676" s="28">
        <v>1.4583333333333332E-2</v>
      </c>
    </row>
    <row r="1677" spans="1:4" x14ac:dyDescent="0.25">
      <c r="A1677" s="24" t="s">
        <v>81</v>
      </c>
      <c r="B1677" s="24" t="s">
        <v>107</v>
      </c>
      <c r="C1677" s="32">
        <v>14.739000000000001</v>
      </c>
      <c r="D1677" s="28">
        <v>1.5277777777777777E-2</v>
      </c>
    </row>
    <row r="1678" spans="1:4" x14ac:dyDescent="0.25">
      <c r="A1678" s="24" t="s">
        <v>81</v>
      </c>
      <c r="B1678" s="24" t="s">
        <v>108</v>
      </c>
      <c r="C1678" s="32">
        <v>15.336</v>
      </c>
      <c r="D1678" s="28">
        <v>1.3888888888888888E-2</v>
      </c>
    </row>
    <row r="1679" spans="1:4" x14ac:dyDescent="0.25">
      <c r="A1679" s="24" t="s">
        <v>81</v>
      </c>
      <c r="B1679" s="24" t="s">
        <v>109</v>
      </c>
      <c r="C1679" s="32">
        <v>15.305999999999999</v>
      </c>
      <c r="D1679" s="28">
        <v>1.3888888888888888E-2</v>
      </c>
    </row>
    <row r="1680" spans="1:4" x14ac:dyDescent="0.25">
      <c r="A1680" s="24" t="s">
        <v>81</v>
      </c>
      <c r="B1680" s="24" t="s">
        <v>110</v>
      </c>
      <c r="C1680" s="32">
        <v>17.45</v>
      </c>
      <c r="D1680" s="28">
        <v>1.6666666666666666E-2</v>
      </c>
    </row>
    <row r="1681" spans="1:4" x14ac:dyDescent="0.25">
      <c r="A1681" s="24" t="s">
        <v>81</v>
      </c>
      <c r="B1681" s="24" t="s">
        <v>111</v>
      </c>
      <c r="C1681" s="32">
        <v>13.904</v>
      </c>
      <c r="D1681" s="28">
        <v>1.2499999999999999E-2</v>
      </c>
    </row>
    <row r="1682" spans="1:4" x14ac:dyDescent="0.25">
      <c r="A1682" s="24" t="s">
        <v>81</v>
      </c>
      <c r="B1682" s="24" t="s">
        <v>112</v>
      </c>
      <c r="C1682" s="32">
        <v>14.413</v>
      </c>
      <c r="D1682" s="28">
        <v>1.3888888888888888E-2</v>
      </c>
    </row>
    <row r="1683" spans="1:4" x14ac:dyDescent="0.25">
      <c r="A1683" s="24" t="s">
        <v>81</v>
      </c>
      <c r="B1683" s="24" t="s">
        <v>113</v>
      </c>
      <c r="C1683" s="32">
        <v>21.597999999999999</v>
      </c>
      <c r="D1683" s="28">
        <v>1.4583333333333332E-2</v>
      </c>
    </row>
    <row r="1684" spans="1:4" x14ac:dyDescent="0.25">
      <c r="A1684" s="24" t="s">
        <v>81</v>
      </c>
      <c r="B1684" s="24" t="s">
        <v>114</v>
      </c>
      <c r="C1684" s="32">
        <v>13.22</v>
      </c>
      <c r="D1684" s="28">
        <v>9.7222222222222224E-3</v>
      </c>
    </row>
    <row r="1685" spans="1:4" x14ac:dyDescent="0.25">
      <c r="A1685" s="24" t="s">
        <v>81</v>
      </c>
      <c r="B1685" s="24" t="s">
        <v>115</v>
      </c>
      <c r="C1685" s="32">
        <v>13.071</v>
      </c>
      <c r="D1685" s="28">
        <v>1.0416666666666666E-2</v>
      </c>
    </row>
    <row r="1686" spans="1:4" x14ac:dyDescent="0.25">
      <c r="A1686" s="24" t="s">
        <v>81</v>
      </c>
      <c r="B1686" s="24" t="s">
        <v>116</v>
      </c>
      <c r="C1686" s="32">
        <v>11.199</v>
      </c>
      <c r="D1686" s="28">
        <v>9.7222222222222224E-3</v>
      </c>
    </row>
    <row r="1687" spans="1:4" x14ac:dyDescent="0.25">
      <c r="A1687" s="24" t="s">
        <v>81</v>
      </c>
      <c r="B1687" s="24" t="s">
        <v>117</v>
      </c>
      <c r="C1687" s="32">
        <v>6.2869999999999999</v>
      </c>
      <c r="D1687" s="28">
        <v>6.9444444444444441E-3</v>
      </c>
    </row>
    <row r="1688" spans="1:4" x14ac:dyDescent="0.25">
      <c r="A1688" s="24" t="s">
        <v>81</v>
      </c>
      <c r="B1688" s="24" t="s">
        <v>118</v>
      </c>
      <c r="C1688" s="32">
        <v>9.1340000000000003</v>
      </c>
      <c r="D1688" s="28">
        <v>1.0416666666666666E-2</v>
      </c>
    </row>
    <row r="1689" spans="1:4" x14ac:dyDescent="0.25">
      <c r="A1689" s="24" t="s">
        <v>81</v>
      </c>
      <c r="B1689" s="24" t="s">
        <v>119</v>
      </c>
      <c r="C1689" s="32">
        <v>14.744</v>
      </c>
      <c r="D1689" s="28">
        <v>9.7222222222222224E-3</v>
      </c>
    </row>
    <row r="1690" spans="1:4" x14ac:dyDescent="0.25">
      <c r="A1690" s="24" t="s">
        <v>81</v>
      </c>
      <c r="B1690" s="24" t="s">
        <v>120</v>
      </c>
      <c r="C1690" s="32">
        <v>19.704999999999998</v>
      </c>
      <c r="D1690" s="28">
        <v>1.5277777777777777E-2</v>
      </c>
    </row>
    <row r="1691" spans="1:4" x14ac:dyDescent="0.25">
      <c r="A1691" s="24" t="s">
        <v>81</v>
      </c>
      <c r="B1691" s="24" t="s">
        <v>121</v>
      </c>
      <c r="C1691" s="32">
        <v>32.970999999999997</v>
      </c>
      <c r="D1691" s="28">
        <v>2.2916666666666669E-2</v>
      </c>
    </row>
    <row r="1692" spans="1:4" x14ac:dyDescent="0.25">
      <c r="A1692" s="24" t="s">
        <v>81</v>
      </c>
      <c r="B1692" s="24" t="s">
        <v>122</v>
      </c>
      <c r="C1692" s="32">
        <v>18.282</v>
      </c>
      <c r="D1692" s="28">
        <v>1.5972222222222224E-2</v>
      </c>
    </row>
    <row r="1693" spans="1:4" x14ac:dyDescent="0.25">
      <c r="A1693" s="24" t="s">
        <v>81</v>
      </c>
      <c r="B1693" s="24" t="s">
        <v>123</v>
      </c>
      <c r="C1693" s="32">
        <v>26.556000000000001</v>
      </c>
      <c r="D1693" s="28">
        <v>1.8749999999999999E-2</v>
      </c>
    </row>
    <row r="1694" spans="1:4" x14ac:dyDescent="0.25">
      <c r="A1694" s="24" t="s">
        <v>81</v>
      </c>
      <c r="B1694" s="24" t="s">
        <v>124</v>
      </c>
      <c r="C1694" s="32">
        <v>26.556000000000001</v>
      </c>
      <c r="D1694" s="28">
        <v>1.8749999999999999E-2</v>
      </c>
    </row>
    <row r="1695" spans="1:4" x14ac:dyDescent="0.25">
      <c r="A1695" s="24" t="s">
        <v>81</v>
      </c>
      <c r="B1695" s="24" t="s">
        <v>125</v>
      </c>
      <c r="C1695" s="32">
        <v>29.303000000000001</v>
      </c>
      <c r="D1695" s="28">
        <v>2.1527777777777781E-2</v>
      </c>
    </row>
    <row r="1696" spans="1:4" x14ac:dyDescent="0.25">
      <c r="A1696" s="24" t="s">
        <v>81</v>
      </c>
      <c r="B1696" s="24" t="s">
        <v>126</v>
      </c>
      <c r="C1696" s="32">
        <v>29.041</v>
      </c>
      <c r="D1696" s="28">
        <v>2.0833333333333332E-2</v>
      </c>
    </row>
    <row r="1697" spans="1:4" x14ac:dyDescent="0.25">
      <c r="A1697" s="24" t="s">
        <v>81</v>
      </c>
      <c r="B1697" s="24" t="s">
        <v>127</v>
      </c>
      <c r="C1697" s="32">
        <v>23.388000000000002</v>
      </c>
      <c r="D1697" s="28">
        <v>2.013888888888889E-2</v>
      </c>
    </row>
    <row r="1698" spans="1:4" x14ac:dyDescent="0.25">
      <c r="A1698" s="24" t="s">
        <v>81</v>
      </c>
      <c r="B1698" s="24" t="s">
        <v>128</v>
      </c>
      <c r="C1698" s="32">
        <v>28.114000000000001</v>
      </c>
      <c r="D1698" s="28">
        <v>1.9444444444444445E-2</v>
      </c>
    </row>
    <row r="1699" spans="1:4" x14ac:dyDescent="0.25">
      <c r="A1699" s="24" t="s">
        <v>81</v>
      </c>
      <c r="B1699" s="24" t="s">
        <v>129</v>
      </c>
      <c r="C1699" s="32">
        <v>28.114000000000001</v>
      </c>
      <c r="D1699" s="28">
        <v>1.9444444444444445E-2</v>
      </c>
    </row>
    <row r="1700" spans="1:4" x14ac:dyDescent="0.25">
      <c r="A1700" s="24" t="s">
        <v>81</v>
      </c>
      <c r="B1700" s="24" t="s">
        <v>130</v>
      </c>
      <c r="C1700" s="32">
        <v>27.492999999999999</v>
      </c>
      <c r="D1700" s="28">
        <v>2.1527777777777781E-2</v>
      </c>
    </row>
    <row r="1701" spans="1:4" x14ac:dyDescent="0.25">
      <c r="A1701" s="24" t="s">
        <v>81</v>
      </c>
      <c r="B1701" s="24" t="s">
        <v>131</v>
      </c>
      <c r="C1701" s="32">
        <v>22.38</v>
      </c>
      <c r="D1701" s="28">
        <v>2.0833333333333332E-2</v>
      </c>
    </row>
    <row r="1702" spans="1:4" x14ac:dyDescent="0.25">
      <c r="A1702" s="24" t="s">
        <v>81</v>
      </c>
      <c r="B1702" s="24" t="s">
        <v>132</v>
      </c>
      <c r="C1702" s="32">
        <v>34.411000000000001</v>
      </c>
      <c r="D1702" s="28">
        <v>2.4999999999999998E-2</v>
      </c>
    </row>
    <row r="1703" spans="1:4" x14ac:dyDescent="0.25">
      <c r="A1703" s="24" t="s">
        <v>81</v>
      </c>
      <c r="B1703" s="24" t="s">
        <v>133</v>
      </c>
      <c r="C1703" s="32">
        <v>31.695</v>
      </c>
      <c r="D1703" s="28">
        <v>2.1527777777777781E-2</v>
      </c>
    </row>
    <row r="1704" spans="1:4" x14ac:dyDescent="0.25">
      <c r="A1704" s="24" t="s">
        <v>81</v>
      </c>
      <c r="B1704" s="24" t="s">
        <v>134</v>
      </c>
      <c r="C1704" s="32">
        <v>31.228999999999999</v>
      </c>
      <c r="D1704" s="28">
        <v>2.0833333333333332E-2</v>
      </c>
    </row>
    <row r="1705" spans="1:4" x14ac:dyDescent="0.25">
      <c r="A1705" s="24" t="s">
        <v>81</v>
      </c>
      <c r="B1705" s="24" t="s">
        <v>135</v>
      </c>
      <c r="C1705" s="32">
        <v>32.65</v>
      </c>
      <c r="D1705" s="28">
        <v>2.0833333333333332E-2</v>
      </c>
    </row>
    <row r="1706" spans="1:4" x14ac:dyDescent="0.25">
      <c r="A1706" s="24" t="s">
        <v>81</v>
      </c>
      <c r="B1706" s="24" t="s">
        <v>136</v>
      </c>
      <c r="C1706" s="32">
        <v>32.65</v>
      </c>
      <c r="D1706" s="28">
        <v>2.0833333333333332E-2</v>
      </c>
    </row>
    <row r="1707" spans="1:4" x14ac:dyDescent="0.25">
      <c r="A1707" s="24" t="s">
        <v>81</v>
      </c>
      <c r="B1707" s="24" t="s">
        <v>137</v>
      </c>
      <c r="C1707" s="32">
        <v>34.326000000000001</v>
      </c>
      <c r="D1707" s="28">
        <v>2.2222222222222223E-2</v>
      </c>
    </row>
    <row r="1708" spans="1:4" x14ac:dyDescent="0.25">
      <c r="A1708" s="24" t="s">
        <v>81</v>
      </c>
      <c r="B1708" s="24" t="s">
        <v>138</v>
      </c>
      <c r="C1708" s="32">
        <v>29.395</v>
      </c>
      <c r="D1708" s="28">
        <v>1.9444444444444445E-2</v>
      </c>
    </row>
    <row r="1709" spans="1:4" x14ac:dyDescent="0.25">
      <c r="A1709" s="24" t="s">
        <v>81</v>
      </c>
      <c r="B1709" s="24" t="s">
        <v>139</v>
      </c>
      <c r="C1709" s="32">
        <v>38.511000000000003</v>
      </c>
      <c r="D1709" s="28">
        <v>2.2222222222222223E-2</v>
      </c>
    </row>
    <row r="1710" spans="1:4" x14ac:dyDescent="0.25">
      <c r="A1710" s="24" t="s">
        <v>81</v>
      </c>
      <c r="B1710" s="24" t="s">
        <v>140</v>
      </c>
      <c r="C1710" s="32">
        <v>38.146999999999998</v>
      </c>
      <c r="D1710" s="28">
        <v>2.361111111111111E-2</v>
      </c>
    </row>
    <row r="1711" spans="1:4" x14ac:dyDescent="0.25">
      <c r="A1711" s="24" t="s">
        <v>81</v>
      </c>
      <c r="B1711" s="24" t="s">
        <v>141</v>
      </c>
      <c r="C1711" s="32">
        <v>63.222000000000001</v>
      </c>
      <c r="D1711" s="28">
        <v>4.1666666666666664E-2</v>
      </c>
    </row>
    <row r="1712" spans="1:4" x14ac:dyDescent="0.25">
      <c r="A1712" s="24" t="s">
        <v>81</v>
      </c>
      <c r="B1712" s="24" t="s">
        <v>142</v>
      </c>
      <c r="C1712" s="32">
        <v>61.31</v>
      </c>
      <c r="D1712" s="28">
        <v>3.4027777777777775E-2</v>
      </c>
    </row>
    <row r="1713" spans="1:4" x14ac:dyDescent="0.25">
      <c r="A1713" s="24" t="s">
        <v>81</v>
      </c>
      <c r="B1713" s="24" t="s">
        <v>143</v>
      </c>
      <c r="C1713" s="32">
        <v>79.688000000000002</v>
      </c>
      <c r="D1713" s="28">
        <v>4.0972222222222222E-2</v>
      </c>
    </row>
    <row r="1714" spans="1:4" x14ac:dyDescent="0.25">
      <c r="A1714" s="24" t="s">
        <v>81</v>
      </c>
      <c r="B1714" s="24" t="s">
        <v>144</v>
      </c>
      <c r="C1714" s="32">
        <v>98.804000000000002</v>
      </c>
      <c r="D1714" s="28">
        <v>5.2083333333333336E-2</v>
      </c>
    </row>
    <row r="1715" spans="1:4" x14ac:dyDescent="0.25">
      <c r="A1715" s="24" t="s">
        <v>81</v>
      </c>
      <c r="B1715" s="24" t="s">
        <v>145</v>
      </c>
      <c r="C1715" s="32">
        <v>43.317999999999998</v>
      </c>
      <c r="D1715" s="28">
        <v>2.6388888888888889E-2</v>
      </c>
    </row>
    <row r="1716" spans="1:4" x14ac:dyDescent="0.25">
      <c r="A1716" s="24" t="s">
        <v>81</v>
      </c>
      <c r="B1716" s="24" t="s">
        <v>146</v>
      </c>
      <c r="C1716" s="32">
        <v>58.777000000000001</v>
      </c>
      <c r="D1716" s="28">
        <v>3.4722222222222224E-2</v>
      </c>
    </row>
    <row r="1717" spans="1:4" x14ac:dyDescent="0.25">
      <c r="A1717" s="24" t="s">
        <v>81</v>
      </c>
      <c r="B1717" s="24" t="s">
        <v>147</v>
      </c>
      <c r="C1717" s="32">
        <v>20.946999999999999</v>
      </c>
      <c r="D1717" s="28">
        <v>1.3888888888888888E-2</v>
      </c>
    </row>
    <row r="1718" spans="1:4" x14ac:dyDescent="0.25">
      <c r="A1718" s="24" t="s">
        <v>81</v>
      </c>
      <c r="B1718" s="24" t="s">
        <v>148</v>
      </c>
      <c r="C1718" s="32">
        <v>24.021000000000001</v>
      </c>
      <c r="D1718" s="28">
        <v>1.5972222222222224E-2</v>
      </c>
    </row>
    <row r="1719" spans="1:4" x14ac:dyDescent="0.25">
      <c r="A1719" s="24" t="s">
        <v>81</v>
      </c>
      <c r="B1719" s="24" t="s">
        <v>149</v>
      </c>
      <c r="C1719" s="32">
        <v>34.517000000000003</v>
      </c>
      <c r="D1719" s="28">
        <v>2.5694444444444447E-2</v>
      </c>
    </row>
    <row r="1720" spans="1:4" x14ac:dyDescent="0.25">
      <c r="A1720" s="24" t="s">
        <v>81</v>
      </c>
      <c r="B1720" s="24" t="s">
        <v>150</v>
      </c>
      <c r="C1720" s="32">
        <v>41.308</v>
      </c>
      <c r="D1720" s="28">
        <v>3.3333333333333333E-2</v>
      </c>
    </row>
    <row r="1721" spans="1:4" x14ac:dyDescent="0.25">
      <c r="A1721" s="24" t="s">
        <v>81</v>
      </c>
      <c r="B1721" s="24" t="s">
        <v>151</v>
      </c>
      <c r="C1721" s="32">
        <v>40.566000000000003</v>
      </c>
      <c r="D1721" s="28">
        <v>3.3333333333333333E-2</v>
      </c>
    </row>
    <row r="1722" spans="1:4" x14ac:dyDescent="0.25">
      <c r="A1722" s="24" t="s">
        <v>81</v>
      </c>
      <c r="B1722" s="24" t="s">
        <v>152</v>
      </c>
      <c r="C1722" s="32">
        <v>42.924999999999997</v>
      </c>
      <c r="D1722" s="28">
        <v>3.6111111111111115E-2</v>
      </c>
    </row>
    <row r="1723" spans="1:4" x14ac:dyDescent="0.25">
      <c r="A1723" s="24" t="s">
        <v>81</v>
      </c>
      <c r="B1723" s="24" t="s">
        <v>153</v>
      </c>
      <c r="C1723" s="32">
        <v>47.451999999999998</v>
      </c>
      <c r="D1723" s="28">
        <v>4.2361111111111106E-2</v>
      </c>
    </row>
    <row r="1724" spans="1:4" x14ac:dyDescent="0.25">
      <c r="A1724" s="24" t="s">
        <v>81</v>
      </c>
      <c r="B1724" s="24" t="s">
        <v>154</v>
      </c>
      <c r="C1724" s="32">
        <v>42.261000000000003</v>
      </c>
      <c r="D1724" s="28">
        <v>3.6111111111111115E-2</v>
      </c>
    </row>
    <row r="1725" spans="1:4" x14ac:dyDescent="0.25">
      <c r="A1725" s="24" t="s">
        <v>81</v>
      </c>
      <c r="B1725" s="24" t="s">
        <v>155</v>
      </c>
      <c r="C1725" s="32">
        <v>41.17</v>
      </c>
      <c r="D1725" s="28">
        <v>3.4027777777777775E-2</v>
      </c>
    </row>
    <row r="1726" spans="1:4" x14ac:dyDescent="0.25">
      <c r="A1726" s="24" t="s">
        <v>81</v>
      </c>
      <c r="B1726" s="24" t="s">
        <v>156</v>
      </c>
      <c r="C1726" s="32">
        <v>41.154000000000003</v>
      </c>
      <c r="D1726" s="28">
        <v>3.4027777777777775E-2</v>
      </c>
    </row>
    <row r="1727" spans="1:4" x14ac:dyDescent="0.25">
      <c r="A1727" s="24" t="s">
        <v>81</v>
      </c>
      <c r="B1727" s="24" t="s">
        <v>157</v>
      </c>
      <c r="C1727" s="32">
        <v>35.094999999999999</v>
      </c>
      <c r="D1727" s="28">
        <v>2.9166666666666664E-2</v>
      </c>
    </row>
    <row r="1728" spans="1:4" x14ac:dyDescent="0.25">
      <c r="A1728" s="24" t="s">
        <v>81</v>
      </c>
      <c r="B1728" s="24" t="s">
        <v>158</v>
      </c>
      <c r="C1728" s="32">
        <v>45.848999999999997</v>
      </c>
      <c r="D1728" s="28">
        <v>3.6111111111111115E-2</v>
      </c>
    </row>
    <row r="1729" spans="1:4" x14ac:dyDescent="0.25">
      <c r="A1729" s="24" t="s">
        <v>81</v>
      </c>
      <c r="B1729" s="24" t="s">
        <v>159</v>
      </c>
      <c r="C1729" s="32">
        <v>46.34</v>
      </c>
      <c r="D1729" s="28">
        <v>3.8194444444444441E-2</v>
      </c>
    </row>
    <row r="1730" spans="1:4" x14ac:dyDescent="0.25">
      <c r="A1730" s="24" t="s">
        <v>82</v>
      </c>
      <c r="B1730" s="24" t="s">
        <v>65</v>
      </c>
      <c r="C1730" s="32">
        <v>10.138</v>
      </c>
      <c r="D1730" s="28">
        <v>8.3333333333333332E-3</v>
      </c>
    </row>
    <row r="1731" spans="1:4" x14ac:dyDescent="0.25">
      <c r="A1731" s="24" t="s">
        <v>82</v>
      </c>
      <c r="B1731" s="24" t="s">
        <v>64</v>
      </c>
      <c r="C1731" s="32">
        <v>28.023</v>
      </c>
      <c r="D1731" s="28">
        <v>2.0833333333333332E-2</v>
      </c>
    </row>
    <row r="1732" spans="1:4" x14ac:dyDescent="0.25">
      <c r="A1732" s="24" t="s">
        <v>82</v>
      </c>
      <c r="B1732" s="24" t="s">
        <v>66</v>
      </c>
      <c r="C1732" s="32">
        <v>35.034999999999997</v>
      </c>
      <c r="D1732" s="28">
        <v>2.7777777777777776E-2</v>
      </c>
    </row>
    <row r="1733" spans="1:4" x14ac:dyDescent="0.25">
      <c r="A1733" s="24" t="s">
        <v>82</v>
      </c>
      <c r="B1733" s="24" t="s">
        <v>67</v>
      </c>
      <c r="C1733" s="32">
        <v>31.614000000000001</v>
      </c>
      <c r="D1733" s="28">
        <v>2.7777777777777776E-2</v>
      </c>
    </row>
    <row r="1734" spans="1:4" x14ac:dyDescent="0.25">
      <c r="A1734" s="24" t="s">
        <v>82</v>
      </c>
      <c r="B1734" s="24" t="s">
        <v>68</v>
      </c>
      <c r="C1734" s="32">
        <v>41.414000000000001</v>
      </c>
      <c r="D1734" s="28">
        <v>2.6388888888888889E-2</v>
      </c>
    </row>
    <row r="1735" spans="1:4" x14ac:dyDescent="0.25">
      <c r="A1735" s="24" t="s">
        <v>82</v>
      </c>
      <c r="B1735" s="24" t="s">
        <v>69</v>
      </c>
      <c r="C1735" s="32">
        <v>32.927</v>
      </c>
      <c r="D1735" s="28">
        <v>2.7083333333333334E-2</v>
      </c>
    </row>
    <row r="1736" spans="1:4" x14ac:dyDescent="0.25">
      <c r="A1736" s="24" t="s">
        <v>82</v>
      </c>
      <c r="B1736" s="24" t="s">
        <v>70</v>
      </c>
      <c r="C1736" s="32">
        <v>33.311</v>
      </c>
      <c r="D1736" s="28">
        <v>2.7777777777777776E-2</v>
      </c>
    </row>
    <row r="1737" spans="1:4" x14ac:dyDescent="0.25">
      <c r="A1737" s="24" t="s">
        <v>82</v>
      </c>
      <c r="B1737" s="24" t="s">
        <v>71</v>
      </c>
      <c r="C1737" s="32">
        <v>33.503999999999998</v>
      </c>
      <c r="D1737" s="28">
        <v>2.7777777777777776E-2</v>
      </c>
    </row>
    <row r="1738" spans="1:4" x14ac:dyDescent="0.25">
      <c r="A1738" s="24" t="s">
        <v>82</v>
      </c>
      <c r="B1738" s="24" t="s">
        <v>72</v>
      </c>
      <c r="C1738" s="32">
        <v>41.014000000000003</v>
      </c>
      <c r="D1738" s="28">
        <v>2.5694444444444447E-2</v>
      </c>
    </row>
    <row r="1739" spans="1:4" x14ac:dyDescent="0.25">
      <c r="A1739" s="24" t="s">
        <v>82</v>
      </c>
      <c r="B1739" s="24" t="s">
        <v>73</v>
      </c>
      <c r="C1739" s="32">
        <v>31.375</v>
      </c>
      <c r="D1739" s="28">
        <v>2.7777777777777776E-2</v>
      </c>
    </row>
    <row r="1740" spans="1:4" x14ac:dyDescent="0.25">
      <c r="A1740" s="24" t="s">
        <v>82</v>
      </c>
      <c r="B1740" s="24" t="s">
        <v>74</v>
      </c>
      <c r="C1740" s="32">
        <v>37.381999999999998</v>
      </c>
      <c r="D1740" s="28">
        <v>2.6388888888888889E-2</v>
      </c>
    </row>
    <row r="1741" spans="1:4" x14ac:dyDescent="0.25">
      <c r="A1741" s="24" t="s">
        <v>82</v>
      </c>
      <c r="B1741" s="24" t="s">
        <v>75</v>
      </c>
      <c r="C1741" s="32">
        <v>36.417999999999999</v>
      </c>
      <c r="D1741" s="28">
        <v>2.4305555555555556E-2</v>
      </c>
    </row>
    <row r="1742" spans="1:4" x14ac:dyDescent="0.25">
      <c r="A1742" s="24" t="s">
        <v>82</v>
      </c>
      <c r="B1742" s="24" t="s">
        <v>76</v>
      </c>
      <c r="C1742" s="32">
        <v>36.067999999999998</v>
      </c>
      <c r="D1742" s="28">
        <v>2.4999999999999998E-2</v>
      </c>
    </row>
    <row r="1743" spans="1:4" x14ac:dyDescent="0.25">
      <c r="A1743" s="24" t="s">
        <v>82</v>
      </c>
      <c r="B1743" s="24" t="s">
        <v>77</v>
      </c>
      <c r="C1743" s="32">
        <v>43.981999999999999</v>
      </c>
      <c r="D1743" s="28">
        <v>2.7083333333333334E-2</v>
      </c>
    </row>
    <row r="1744" spans="1:4" x14ac:dyDescent="0.25">
      <c r="A1744" s="24" t="s">
        <v>82</v>
      </c>
      <c r="B1744" s="24" t="s">
        <v>78</v>
      </c>
      <c r="C1744" s="32">
        <v>36.612000000000002</v>
      </c>
      <c r="D1744" s="28">
        <v>3.0555555555555555E-2</v>
      </c>
    </row>
    <row r="1745" spans="1:4" x14ac:dyDescent="0.25">
      <c r="A1745" s="24" t="s">
        <v>82</v>
      </c>
      <c r="B1745" s="24" t="s">
        <v>79</v>
      </c>
      <c r="C1745" s="32">
        <v>55.71</v>
      </c>
      <c r="D1745" s="28">
        <v>4.027777777777778E-2</v>
      </c>
    </row>
    <row r="1746" spans="1:4" x14ac:dyDescent="0.25">
      <c r="A1746" s="24" t="s">
        <v>82</v>
      </c>
      <c r="B1746" s="24" t="s">
        <v>80</v>
      </c>
      <c r="C1746" s="32">
        <v>8.1379999999999999</v>
      </c>
      <c r="D1746" s="28">
        <v>6.9444444444444441E-3</v>
      </c>
    </row>
    <row r="1747" spans="1:4" x14ac:dyDescent="0.25">
      <c r="A1747" s="24" t="s">
        <v>82</v>
      </c>
      <c r="B1747" s="24" t="s">
        <v>81</v>
      </c>
      <c r="C1747" s="32">
        <v>5.0999999999999997E-2</v>
      </c>
      <c r="D1747" s="28">
        <v>0</v>
      </c>
    </row>
    <row r="1748" spans="1:4" x14ac:dyDescent="0.25">
      <c r="A1748" s="24" t="s">
        <v>82</v>
      </c>
      <c r="B1748" s="24" t="s">
        <v>82</v>
      </c>
      <c r="C1748" s="32">
        <v>0</v>
      </c>
      <c r="D1748" s="28">
        <v>0</v>
      </c>
    </row>
    <row r="1749" spans="1:4" x14ac:dyDescent="0.25">
      <c r="A1749" s="24" t="s">
        <v>82</v>
      </c>
      <c r="B1749" s="24" t="s">
        <v>83</v>
      </c>
      <c r="C1749" s="32">
        <v>21.263999999999999</v>
      </c>
      <c r="D1749" s="28">
        <v>1.9444444444444445E-2</v>
      </c>
    </row>
    <row r="1750" spans="1:4" x14ac:dyDescent="0.25">
      <c r="A1750" s="24" t="s">
        <v>82</v>
      </c>
      <c r="B1750" s="24" t="s">
        <v>84</v>
      </c>
      <c r="C1750" s="32">
        <v>34.308999999999997</v>
      </c>
      <c r="D1750" s="28">
        <v>2.1527777777777781E-2</v>
      </c>
    </row>
    <row r="1751" spans="1:4" x14ac:dyDescent="0.25">
      <c r="A1751" s="24" t="s">
        <v>82</v>
      </c>
      <c r="B1751" s="24" t="s">
        <v>85</v>
      </c>
      <c r="C1751" s="32">
        <v>33.942999999999998</v>
      </c>
      <c r="D1751" s="28">
        <v>2.1527777777777781E-2</v>
      </c>
    </row>
    <row r="1752" spans="1:4" x14ac:dyDescent="0.25">
      <c r="A1752" s="24" t="s">
        <v>82</v>
      </c>
      <c r="B1752" s="24" t="s">
        <v>86</v>
      </c>
      <c r="C1752" s="32">
        <v>19.306999999999999</v>
      </c>
      <c r="D1752" s="28">
        <v>2.1527777777777781E-2</v>
      </c>
    </row>
    <row r="1753" spans="1:4" x14ac:dyDescent="0.25">
      <c r="A1753" s="24" t="s">
        <v>82</v>
      </c>
      <c r="B1753" s="24" t="s">
        <v>87</v>
      </c>
      <c r="C1753" s="32">
        <v>19.085000000000001</v>
      </c>
      <c r="D1753" s="28">
        <v>2.0833333333333332E-2</v>
      </c>
    </row>
    <row r="1754" spans="1:4" x14ac:dyDescent="0.25">
      <c r="A1754" s="24" t="s">
        <v>82</v>
      </c>
      <c r="B1754" s="24" t="s">
        <v>88</v>
      </c>
      <c r="C1754" s="32">
        <v>18.082000000000001</v>
      </c>
      <c r="D1754" s="28">
        <v>2.013888888888889E-2</v>
      </c>
    </row>
    <row r="1755" spans="1:4" x14ac:dyDescent="0.25">
      <c r="A1755" s="24" t="s">
        <v>82</v>
      </c>
      <c r="B1755" s="24" t="s">
        <v>89</v>
      </c>
      <c r="C1755" s="32">
        <v>13.803000000000001</v>
      </c>
      <c r="D1755" s="28">
        <v>1.4583333333333332E-2</v>
      </c>
    </row>
    <row r="1756" spans="1:4" x14ac:dyDescent="0.25">
      <c r="A1756" s="24" t="s">
        <v>82</v>
      </c>
      <c r="B1756" s="24" t="s">
        <v>90</v>
      </c>
      <c r="C1756" s="32">
        <v>11.84</v>
      </c>
      <c r="D1756" s="28">
        <v>1.0416666666666666E-2</v>
      </c>
    </row>
    <row r="1757" spans="1:4" x14ac:dyDescent="0.25">
      <c r="A1757" s="24" t="s">
        <v>82</v>
      </c>
      <c r="B1757" s="24" t="s">
        <v>91</v>
      </c>
      <c r="C1757" s="32">
        <v>16.149999999999999</v>
      </c>
      <c r="D1757" s="28">
        <v>1.7361111111111112E-2</v>
      </c>
    </row>
    <row r="1758" spans="1:4" x14ac:dyDescent="0.25">
      <c r="A1758" s="24" t="s">
        <v>82</v>
      </c>
      <c r="B1758" s="24" t="s">
        <v>92</v>
      </c>
      <c r="C1758" s="32">
        <v>10.554</v>
      </c>
      <c r="D1758" s="28">
        <v>1.0416666666666666E-2</v>
      </c>
    </row>
    <row r="1759" spans="1:4" x14ac:dyDescent="0.25">
      <c r="A1759" s="24" t="s">
        <v>82</v>
      </c>
      <c r="B1759" s="24" t="s">
        <v>93</v>
      </c>
      <c r="C1759" s="32">
        <v>32.017000000000003</v>
      </c>
      <c r="D1759" s="28">
        <v>2.1527777777777781E-2</v>
      </c>
    </row>
    <row r="1760" spans="1:4" x14ac:dyDescent="0.25">
      <c r="A1760" s="24" t="s">
        <v>82</v>
      </c>
      <c r="B1760" s="24" t="s">
        <v>94</v>
      </c>
      <c r="C1760" s="32">
        <v>32.646000000000001</v>
      </c>
      <c r="D1760" s="28">
        <v>2.2222222222222223E-2</v>
      </c>
    </row>
    <row r="1761" spans="1:4" x14ac:dyDescent="0.25">
      <c r="A1761" s="24" t="s">
        <v>82</v>
      </c>
      <c r="B1761" s="24" t="s">
        <v>95</v>
      </c>
      <c r="C1761" s="32">
        <v>8.4329999999999998</v>
      </c>
      <c r="D1761" s="28">
        <v>7.6388888888888886E-3</v>
      </c>
    </row>
    <row r="1762" spans="1:4" x14ac:dyDescent="0.25">
      <c r="A1762" s="24" t="s">
        <v>82</v>
      </c>
      <c r="B1762" s="24" t="s">
        <v>96</v>
      </c>
      <c r="C1762" s="32">
        <v>30.09</v>
      </c>
      <c r="D1762" s="28">
        <v>2.2916666666666669E-2</v>
      </c>
    </row>
    <row r="1763" spans="1:4" x14ac:dyDescent="0.25">
      <c r="A1763" s="24" t="s">
        <v>82</v>
      </c>
      <c r="B1763" s="24" t="s">
        <v>97</v>
      </c>
      <c r="C1763" s="32">
        <v>29.007999999999999</v>
      </c>
      <c r="D1763" s="28">
        <v>2.361111111111111E-2</v>
      </c>
    </row>
    <row r="1764" spans="1:4" x14ac:dyDescent="0.25">
      <c r="A1764" s="24" t="s">
        <v>82</v>
      </c>
      <c r="B1764" s="24" t="s">
        <v>98</v>
      </c>
      <c r="C1764" s="32">
        <v>18.87</v>
      </c>
      <c r="D1764" s="28">
        <v>1.5277777777777777E-2</v>
      </c>
    </row>
    <row r="1765" spans="1:4" x14ac:dyDescent="0.25">
      <c r="A1765" s="24" t="s">
        <v>82</v>
      </c>
      <c r="B1765" s="24" t="s">
        <v>99</v>
      </c>
      <c r="C1765" s="32">
        <v>25.367999999999999</v>
      </c>
      <c r="D1765" s="28">
        <v>1.9444444444444445E-2</v>
      </c>
    </row>
    <row r="1766" spans="1:4" x14ac:dyDescent="0.25">
      <c r="A1766" s="24" t="s">
        <v>82</v>
      </c>
      <c r="B1766" s="24" t="s">
        <v>100</v>
      </c>
      <c r="C1766" s="32">
        <v>14.936</v>
      </c>
      <c r="D1766" s="28">
        <v>1.1805555555555555E-2</v>
      </c>
    </row>
    <row r="1767" spans="1:4" x14ac:dyDescent="0.25">
      <c r="A1767" s="24" t="s">
        <v>82</v>
      </c>
      <c r="B1767" s="24" t="s">
        <v>101</v>
      </c>
      <c r="C1767" s="32">
        <v>20.565999999999999</v>
      </c>
      <c r="D1767" s="28">
        <v>1.6666666666666666E-2</v>
      </c>
    </row>
    <row r="1768" spans="1:4" x14ac:dyDescent="0.25">
      <c r="A1768" s="24" t="s">
        <v>82</v>
      </c>
      <c r="B1768" s="24" t="s">
        <v>102</v>
      </c>
      <c r="C1768" s="32">
        <v>21.071000000000002</v>
      </c>
      <c r="D1768" s="28">
        <v>1.8055555555555557E-2</v>
      </c>
    </row>
    <row r="1769" spans="1:4" x14ac:dyDescent="0.25">
      <c r="A1769" s="24" t="s">
        <v>82</v>
      </c>
      <c r="B1769" s="24" t="s">
        <v>103</v>
      </c>
      <c r="C1769" s="32">
        <v>16.27</v>
      </c>
      <c r="D1769" s="28">
        <v>1.5277777777777777E-2</v>
      </c>
    </row>
    <row r="1770" spans="1:4" x14ac:dyDescent="0.25">
      <c r="A1770" s="24" t="s">
        <v>82</v>
      </c>
      <c r="B1770" s="24" t="s">
        <v>104</v>
      </c>
      <c r="C1770" s="32">
        <v>13.462999999999999</v>
      </c>
      <c r="D1770" s="28">
        <v>1.2499999999999999E-2</v>
      </c>
    </row>
    <row r="1771" spans="1:4" x14ac:dyDescent="0.25">
      <c r="A1771" s="24" t="s">
        <v>82</v>
      </c>
      <c r="B1771" s="24" t="s">
        <v>105</v>
      </c>
      <c r="C1771" s="32">
        <v>14.726000000000001</v>
      </c>
      <c r="D1771" s="28">
        <v>1.7361111111111112E-2</v>
      </c>
    </row>
    <row r="1772" spans="1:4" x14ac:dyDescent="0.25">
      <c r="A1772" s="24" t="s">
        <v>82</v>
      </c>
      <c r="B1772" s="24" t="s">
        <v>106</v>
      </c>
      <c r="C1772" s="32">
        <v>20.846</v>
      </c>
      <c r="D1772" s="28">
        <v>1.5277777777777777E-2</v>
      </c>
    </row>
    <row r="1773" spans="1:4" x14ac:dyDescent="0.25">
      <c r="A1773" s="24" t="s">
        <v>82</v>
      </c>
      <c r="B1773" s="24" t="s">
        <v>107</v>
      </c>
      <c r="C1773" s="32">
        <v>14.791</v>
      </c>
      <c r="D1773" s="28">
        <v>1.5277777777777777E-2</v>
      </c>
    </row>
    <row r="1774" spans="1:4" x14ac:dyDescent="0.25">
      <c r="A1774" s="24" t="s">
        <v>82</v>
      </c>
      <c r="B1774" s="24" t="s">
        <v>108</v>
      </c>
      <c r="C1774" s="32">
        <v>15.388</v>
      </c>
      <c r="D1774" s="28">
        <v>1.4583333333333332E-2</v>
      </c>
    </row>
    <row r="1775" spans="1:4" x14ac:dyDescent="0.25">
      <c r="A1775" s="24" t="s">
        <v>82</v>
      </c>
      <c r="B1775" s="24" t="s">
        <v>109</v>
      </c>
      <c r="C1775" s="32">
        <v>15.358000000000001</v>
      </c>
      <c r="D1775" s="28">
        <v>1.4583333333333332E-2</v>
      </c>
    </row>
    <row r="1776" spans="1:4" x14ac:dyDescent="0.25">
      <c r="A1776" s="24" t="s">
        <v>82</v>
      </c>
      <c r="B1776" s="24" t="s">
        <v>110</v>
      </c>
      <c r="C1776" s="32">
        <v>17.501999999999999</v>
      </c>
      <c r="D1776" s="28">
        <v>1.6666666666666666E-2</v>
      </c>
    </row>
    <row r="1777" spans="1:4" x14ac:dyDescent="0.25">
      <c r="A1777" s="24" t="s">
        <v>82</v>
      </c>
      <c r="B1777" s="24" t="s">
        <v>111</v>
      </c>
      <c r="C1777" s="32">
        <v>13.956</v>
      </c>
      <c r="D1777" s="28">
        <v>1.2499999999999999E-2</v>
      </c>
    </row>
    <row r="1778" spans="1:4" x14ac:dyDescent="0.25">
      <c r="A1778" s="24" t="s">
        <v>82</v>
      </c>
      <c r="B1778" s="24" t="s">
        <v>112</v>
      </c>
      <c r="C1778" s="32">
        <v>14.465</v>
      </c>
      <c r="D1778" s="28">
        <v>1.3888888888888888E-2</v>
      </c>
    </row>
    <row r="1779" spans="1:4" x14ac:dyDescent="0.25">
      <c r="A1779" s="24" t="s">
        <v>82</v>
      </c>
      <c r="B1779" s="24" t="s">
        <v>113</v>
      </c>
      <c r="C1779" s="32">
        <v>21.65</v>
      </c>
      <c r="D1779" s="28">
        <v>1.4583333333333332E-2</v>
      </c>
    </row>
    <row r="1780" spans="1:4" x14ac:dyDescent="0.25">
      <c r="A1780" s="24" t="s">
        <v>82</v>
      </c>
      <c r="B1780" s="24" t="s">
        <v>114</v>
      </c>
      <c r="C1780" s="32">
        <v>13.272</v>
      </c>
      <c r="D1780" s="28">
        <v>9.7222222222222224E-3</v>
      </c>
    </row>
    <row r="1781" spans="1:4" x14ac:dyDescent="0.25">
      <c r="A1781" s="24" t="s">
        <v>82</v>
      </c>
      <c r="B1781" s="24" t="s">
        <v>115</v>
      </c>
      <c r="C1781" s="32">
        <v>13.122999999999999</v>
      </c>
      <c r="D1781" s="28">
        <v>1.0416666666666666E-2</v>
      </c>
    </row>
    <row r="1782" spans="1:4" x14ac:dyDescent="0.25">
      <c r="A1782" s="24" t="s">
        <v>82</v>
      </c>
      <c r="B1782" s="24" t="s">
        <v>116</v>
      </c>
      <c r="C1782" s="32">
        <v>11.250999999999999</v>
      </c>
      <c r="D1782" s="28">
        <v>1.0416666666666666E-2</v>
      </c>
    </row>
    <row r="1783" spans="1:4" x14ac:dyDescent="0.25">
      <c r="A1783" s="24" t="s">
        <v>82</v>
      </c>
      <c r="B1783" s="24" t="s">
        <v>117</v>
      </c>
      <c r="C1783" s="32">
        <v>6.3390000000000004</v>
      </c>
      <c r="D1783" s="28">
        <v>6.9444444444444441E-3</v>
      </c>
    </row>
    <row r="1784" spans="1:4" x14ac:dyDescent="0.25">
      <c r="A1784" s="24" t="s">
        <v>82</v>
      </c>
      <c r="B1784" s="24" t="s">
        <v>118</v>
      </c>
      <c r="C1784" s="32">
        <v>9.1859999999999999</v>
      </c>
      <c r="D1784" s="28">
        <v>1.0416666666666666E-2</v>
      </c>
    </row>
    <row r="1785" spans="1:4" x14ac:dyDescent="0.25">
      <c r="A1785" s="24" t="s">
        <v>82</v>
      </c>
      <c r="B1785" s="24" t="s">
        <v>119</v>
      </c>
      <c r="C1785" s="32">
        <v>14.795999999999999</v>
      </c>
      <c r="D1785" s="28">
        <v>9.7222222222222224E-3</v>
      </c>
    </row>
    <row r="1786" spans="1:4" x14ac:dyDescent="0.25">
      <c r="A1786" s="24" t="s">
        <v>82</v>
      </c>
      <c r="B1786" s="24" t="s">
        <v>120</v>
      </c>
      <c r="C1786" s="32">
        <v>19.757000000000001</v>
      </c>
      <c r="D1786" s="28">
        <v>1.5277777777777777E-2</v>
      </c>
    </row>
    <row r="1787" spans="1:4" x14ac:dyDescent="0.25">
      <c r="A1787" s="24" t="s">
        <v>82</v>
      </c>
      <c r="B1787" s="24" t="s">
        <v>121</v>
      </c>
      <c r="C1787" s="32">
        <v>33.023000000000003</v>
      </c>
      <c r="D1787" s="28">
        <v>2.2916666666666669E-2</v>
      </c>
    </row>
    <row r="1788" spans="1:4" x14ac:dyDescent="0.25">
      <c r="A1788" s="24" t="s">
        <v>82</v>
      </c>
      <c r="B1788" s="24" t="s">
        <v>122</v>
      </c>
      <c r="C1788" s="32">
        <v>18.334</v>
      </c>
      <c r="D1788" s="28">
        <v>1.5972222222222224E-2</v>
      </c>
    </row>
    <row r="1789" spans="1:4" x14ac:dyDescent="0.25">
      <c r="A1789" s="24" t="s">
        <v>82</v>
      </c>
      <c r="B1789" s="24" t="s">
        <v>123</v>
      </c>
      <c r="C1789" s="32">
        <v>26.608000000000001</v>
      </c>
      <c r="D1789" s="28">
        <v>1.9444444444444445E-2</v>
      </c>
    </row>
    <row r="1790" spans="1:4" x14ac:dyDescent="0.25">
      <c r="A1790" s="24" t="s">
        <v>82</v>
      </c>
      <c r="B1790" s="24" t="s">
        <v>124</v>
      </c>
      <c r="C1790" s="32">
        <v>26.608000000000001</v>
      </c>
      <c r="D1790" s="28">
        <v>1.9444444444444445E-2</v>
      </c>
    </row>
    <row r="1791" spans="1:4" x14ac:dyDescent="0.25">
      <c r="A1791" s="24" t="s">
        <v>82</v>
      </c>
      <c r="B1791" s="24" t="s">
        <v>125</v>
      </c>
      <c r="C1791" s="32">
        <v>29.355</v>
      </c>
      <c r="D1791" s="28">
        <v>2.1527777777777781E-2</v>
      </c>
    </row>
    <row r="1792" spans="1:4" x14ac:dyDescent="0.25">
      <c r="A1792" s="24" t="s">
        <v>82</v>
      </c>
      <c r="B1792" s="24" t="s">
        <v>126</v>
      </c>
      <c r="C1792" s="32">
        <v>29.093</v>
      </c>
      <c r="D1792" s="28">
        <v>2.0833333333333332E-2</v>
      </c>
    </row>
    <row r="1793" spans="1:4" x14ac:dyDescent="0.25">
      <c r="A1793" s="24" t="s">
        <v>82</v>
      </c>
      <c r="B1793" s="24" t="s">
        <v>127</v>
      </c>
      <c r="C1793" s="32">
        <v>23.44</v>
      </c>
      <c r="D1793" s="28">
        <v>2.013888888888889E-2</v>
      </c>
    </row>
    <row r="1794" spans="1:4" x14ac:dyDescent="0.25">
      <c r="A1794" s="24" t="s">
        <v>82</v>
      </c>
      <c r="B1794" s="24" t="s">
        <v>128</v>
      </c>
      <c r="C1794" s="32">
        <v>28.166</v>
      </c>
      <c r="D1794" s="28">
        <v>1.9444444444444445E-2</v>
      </c>
    </row>
    <row r="1795" spans="1:4" x14ac:dyDescent="0.25">
      <c r="A1795" s="24" t="s">
        <v>82</v>
      </c>
      <c r="B1795" s="24" t="s">
        <v>129</v>
      </c>
      <c r="C1795" s="32">
        <v>28.166</v>
      </c>
      <c r="D1795" s="28">
        <v>1.9444444444444445E-2</v>
      </c>
    </row>
    <row r="1796" spans="1:4" x14ac:dyDescent="0.25">
      <c r="A1796" s="24" t="s">
        <v>82</v>
      </c>
      <c r="B1796" s="24" t="s">
        <v>130</v>
      </c>
      <c r="C1796" s="32">
        <v>27.545000000000002</v>
      </c>
      <c r="D1796" s="28">
        <v>2.1527777777777781E-2</v>
      </c>
    </row>
    <row r="1797" spans="1:4" x14ac:dyDescent="0.25">
      <c r="A1797" s="24" t="s">
        <v>82</v>
      </c>
      <c r="B1797" s="24" t="s">
        <v>131</v>
      </c>
      <c r="C1797" s="32">
        <v>22.431999999999999</v>
      </c>
      <c r="D1797" s="28">
        <v>2.0833333333333332E-2</v>
      </c>
    </row>
    <row r="1798" spans="1:4" x14ac:dyDescent="0.25">
      <c r="A1798" s="24" t="s">
        <v>82</v>
      </c>
      <c r="B1798" s="24" t="s">
        <v>132</v>
      </c>
      <c r="C1798" s="32">
        <v>34.463000000000001</v>
      </c>
      <c r="D1798" s="28">
        <v>2.5694444444444447E-2</v>
      </c>
    </row>
    <row r="1799" spans="1:4" x14ac:dyDescent="0.25">
      <c r="A1799" s="24" t="s">
        <v>82</v>
      </c>
      <c r="B1799" s="24" t="s">
        <v>133</v>
      </c>
      <c r="C1799" s="32">
        <v>31.747</v>
      </c>
      <c r="D1799" s="28">
        <v>2.1527777777777781E-2</v>
      </c>
    </row>
    <row r="1800" spans="1:4" x14ac:dyDescent="0.25">
      <c r="A1800" s="24" t="s">
        <v>82</v>
      </c>
      <c r="B1800" s="24" t="s">
        <v>134</v>
      </c>
      <c r="C1800" s="32">
        <v>31.280999999999999</v>
      </c>
      <c r="D1800" s="28">
        <v>2.0833333333333332E-2</v>
      </c>
    </row>
    <row r="1801" spans="1:4" x14ac:dyDescent="0.25">
      <c r="A1801" s="24" t="s">
        <v>82</v>
      </c>
      <c r="B1801" s="24" t="s">
        <v>135</v>
      </c>
      <c r="C1801" s="32">
        <v>32.701999999999998</v>
      </c>
      <c r="D1801" s="28">
        <v>2.1527777777777781E-2</v>
      </c>
    </row>
    <row r="1802" spans="1:4" x14ac:dyDescent="0.25">
      <c r="A1802" s="24" t="s">
        <v>82</v>
      </c>
      <c r="B1802" s="24" t="s">
        <v>136</v>
      </c>
      <c r="C1802" s="32">
        <v>32.701999999999998</v>
      </c>
      <c r="D1802" s="28">
        <v>2.1527777777777781E-2</v>
      </c>
    </row>
    <row r="1803" spans="1:4" x14ac:dyDescent="0.25">
      <c r="A1803" s="24" t="s">
        <v>82</v>
      </c>
      <c r="B1803" s="24" t="s">
        <v>137</v>
      </c>
      <c r="C1803" s="32">
        <v>34.378</v>
      </c>
      <c r="D1803" s="28">
        <v>2.2222222222222223E-2</v>
      </c>
    </row>
    <row r="1804" spans="1:4" x14ac:dyDescent="0.25">
      <c r="A1804" s="24" t="s">
        <v>82</v>
      </c>
      <c r="B1804" s="24" t="s">
        <v>138</v>
      </c>
      <c r="C1804" s="32">
        <v>29.446999999999999</v>
      </c>
      <c r="D1804" s="28">
        <v>1.9444444444444445E-2</v>
      </c>
    </row>
    <row r="1805" spans="1:4" x14ac:dyDescent="0.25">
      <c r="A1805" s="24" t="s">
        <v>82</v>
      </c>
      <c r="B1805" s="24" t="s">
        <v>139</v>
      </c>
      <c r="C1805" s="32">
        <v>38.563000000000002</v>
      </c>
      <c r="D1805" s="28">
        <v>2.2222222222222223E-2</v>
      </c>
    </row>
    <row r="1806" spans="1:4" x14ac:dyDescent="0.25">
      <c r="A1806" s="24" t="s">
        <v>82</v>
      </c>
      <c r="B1806" s="24" t="s">
        <v>140</v>
      </c>
      <c r="C1806" s="32">
        <v>38.198999999999998</v>
      </c>
      <c r="D1806" s="28">
        <v>2.361111111111111E-2</v>
      </c>
    </row>
    <row r="1807" spans="1:4" x14ac:dyDescent="0.25">
      <c r="A1807" s="24" t="s">
        <v>82</v>
      </c>
      <c r="B1807" s="24" t="s">
        <v>141</v>
      </c>
      <c r="C1807" s="32">
        <v>63.274000000000001</v>
      </c>
      <c r="D1807" s="28">
        <v>4.1666666666666664E-2</v>
      </c>
    </row>
    <row r="1808" spans="1:4" x14ac:dyDescent="0.25">
      <c r="A1808" s="24" t="s">
        <v>82</v>
      </c>
      <c r="B1808" s="24" t="s">
        <v>142</v>
      </c>
      <c r="C1808" s="32">
        <v>61.362000000000002</v>
      </c>
      <c r="D1808" s="28">
        <v>3.4027777777777775E-2</v>
      </c>
    </row>
    <row r="1809" spans="1:4" x14ac:dyDescent="0.25">
      <c r="A1809" s="24" t="s">
        <v>82</v>
      </c>
      <c r="B1809" s="24" t="s">
        <v>143</v>
      </c>
      <c r="C1809" s="32">
        <v>79.739999999999995</v>
      </c>
      <c r="D1809" s="28">
        <v>4.1666666666666664E-2</v>
      </c>
    </row>
    <row r="1810" spans="1:4" x14ac:dyDescent="0.25">
      <c r="A1810" s="24" t="s">
        <v>82</v>
      </c>
      <c r="B1810" s="24" t="s">
        <v>144</v>
      </c>
      <c r="C1810" s="32">
        <v>98.855999999999995</v>
      </c>
      <c r="D1810" s="28">
        <v>5.2083333333333336E-2</v>
      </c>
    </row>
    <row r="1811" spans="1:4" x14ac:dyDescent="0.25">
      <c r="A1811" s="24" t="s">
        <v>82</v>
      </c>
      <c r="B1811" s="24" t="s">
        <v>145</v>
      </c>
      <c r="C1811" s="32">
        <v>43.37</v>
      </c>
      <c r="D1811" s="28">
        <v>2.7083333333333334E-2</v>
      </c>
    </row>
    <row r="1812" spans="1:4" x14ac:dyDescent="0.25">
      <c r="A1812" s="24" t="s">
        <v>82</v>
      </c>
      <c r="B1812" s="24" t="s">
        <v>146</v>
      </c>
      <c r="C1812" s="32">
        <v>58.829000000000001</v>
      </c>
      <c r="D1812" s="28">
        <v>3.4722222222222224E-2</v>
      </c>
    </row>
    <row r="1813" spans="1:4" x14ac:dyDescent="0.25">
      <c r="A1813" s="24" t="s">
        <v>82</v>
      </c>
      <c r="B1813" s="24" t="s">
        <v>147</v>
      </c>
      <c r="C1813" s="32">
        <v>20.998999999999999</v>
      </c>
      <c r="D1813" s="28">
        <v>1.4583333333333332E-2</v>
      </c>
    </row>
    <row r="1814" spans="1:4" x14ac:dyDescent="0.25">
      <c r="A1814" s="24" t="s">
        <v>82</v>
      </c>
      <c r="B1814" s="24" t="s">
        <v>148</v>
      </c>
      <c r="C1814" s="32">
        <v>24.073</v>
      </c>
      <c r="D1814" s="28">
        <v>1.5972222222222224E-2</v>
      </c>
    </row>
    <row r="1815" spans="1:4" x14ac:dyDescent="0.25">
      <c r="A1815" s="24" t="s">
        <v>82</v>
      </c>
      <c r="B1815" s="24" t="s">
        <v>149</v>
      </c>
      <c r="C1815" s="32">
        <v>34.569000000000003</v>
      </c>
      <c r="D1815" s="28">
        <v>2.5694444444444447E-2</v>
      </c>
    </row>
    <row r="1816" spans="1:4" x14ac:dyDescent="0.25">
      <c r="A1816" s="24" t="s">
        <v>82</v>
      </c>
      <c r="B1816" s="24" t="s">
        <v>150</v>
      </c>
      <c r="C1816" s="32">
        <v>41.36</v>
      </c>
      <c r="D1816" s="28">
        <v>3.4027777777777775E-2</v>
      </c>
    </row>
    <row r="1817" spans="1:4" x14ac:dyDescent="0.25">
      <c r="A1817" s="24" t="s">
        <v>82</v>
      </c>
      <c r="B1817" s="24" t="s">
        <v>151</v>
      </c>
      <c r="C1817" s="32">
        <v>40.618000000000002</v>
      </c>
      <c r="D1817" s="28">
        <v>3.3333333333333333E-2</v>
      </c>
    </row>
    <row r="1818" spans="1:4" x14ac:dyDescent="0.25">
      <c r="A1818" s="24" t="s">
        <v>82</v>
      </c>
      <c r="B1818" s="24" t="s">
        <v>152</v>
      </c>
      <c r="C1818" s="32">
        <v>42.976999999999997</v>
      </c>
      <c r="D1818" s="28">
        <v>3.6111111111111115E-2</v>
      </c>
    </row>
    <row r="1819" spans="1:4" x14ac:dyDescent="0.25">
      <c r="A1819" s="24" t="s">
        <v>82</v>
      </c>
      <c r="B1819" s="24" t="s">
        <v>153</v>
      </c>
      <c r="C1819" s="32">
        <v>47.503999999999998</v>
      </c>
      <c r="D1819" s="28">
        <v>4.2361111111111106E-2</v>
      </c>
    </row>
    <row r="1820" spans="1:4" x14ac:dyDescent="0.25">
      <c r="A1820" s="24" t="s">
        <v>82</v>
      </c>
      <c r="B1820" s="24" t="s">
        <v>154</v>
      </c>
      <c r="C1820" s="32">
        <v>42.313000000000002</v>
      </c>
      <c r="D1820" s="28">
        <v>3.6111111111111115E-2</v>
      </c>
    </row>
    <row r="1821" spans="1:4" x14ac:dyDescent="0.25">
      <c r="A1821" s="24" t="s">
        <v>82</v>
      </c>
      <c r="B1821" s="24" t="s">
        <v>155</v>
      </c>
      <c r="C1821" s="32">
        <v>41.222000000000001</v>
      </c>
      <c r="D1821" s="28">
        <v>3.4027777777777775E-2</v>
      </c>
    </row>
    <row r="1822" spans="1:4" x14ac:dyDescent="0.25">
      <c r="A1822" s="24" t="s">
        <v>82</v>
      </c>
      <c r="B1822" s="24" t="s">
        <v>156</v>
      </c>
      <c r="C1822" s="32">
        <v>41.206000000000003</v>
      </c>
      <c r="D1822" s="28">
        <v>3.4027777777777775E-2</v>
      </c>
    </row>
    <row r="1823" spans="1:4" x14ac:dyDescent="0.25">
      <c r="A1823" s="24" t="s">
        <v>82</v>
      </c>
      <c r="B1823" s="24" t="s">
        <v>157</v>
      </c>
      <c r="C1823" s="32">
        <v>35.146999999999998</v>
      </c>
      <c r="D1823" s="28">
        <v>2.9166666666666664E-2</v>
      </c>
    </row>
    <row r="1824" spans="1:4" x14ac:dyDescent="0.25">
      <c r="A1824" s="24" t="s">
        <v>82</v>
      </c>
      <c r="B1824" s="24" t="s">
        <v>158</v>
      </c>
      <c r="C1824" s="32">
        <v>46.295999999999999</v>
      </c>
      <c r="D1824" s="28">
        <v>3.6805555555555557E-2</v>
      </c>
    </row>
    <row r="1825" spans="1:4" x14ac:dyDescent="0.25">
      <c r="A1825" s="24" t="s">
        <v>82</v>
      </c>
      <c r="B1825" s="24" t="s">
        <v>159</v>
      </c>
      <c r="C1825" s="32">
        <v>46.392000000000003</v>
      </c>
      <c r="D1825" s="28">
        <v>3.8194444444444441E-2</v>
      </c>
    </row>
    <row r="1826" spans="1:4" x14ac:dyDescent="0.25">
      <c r="A1826" s="24" t="s">
        <v>83</v>
      </c>
      <c r="B1826" s="24" t="s">
        <v>65</v>
      </c>
      <c r="C1826" s="32">
        <v>12.27</v>
      </c>
      <c r="D1826" s="28">
        <v>9.7222222222222224E-3</v>
      </c>
    </row>
    <row r="1827" spans="1:4" x14ac:dyDescent="0.25">
      <c r="A1827" s="24" t="s">
        <v>83</v>
      </c>
      <c r="B1827" s="24" t="s">
        <v>64</v>
      </c>
      <c r="C1827" s="32">
        <v>4.9160000000000004</v>
      </c>
      <c r="D1827" s="28">
        <v>6.2499999999999995E-3</v>
      </c>
    </row>
    <row r="1828" spans="1:4" x14ac:dyDescent="0.25">
      <c r="A1828" s="24" t="s">
        <v>83</v>
      </c>
      <c r="B1828" s="24" t="s">
        <v>66</v>
      </c>
      <c r="C1828" s="32">
        <v>11.635</v>
      </c>
      <c r="D1828" s="28">
        <v>1.3194444444444444E-2</v>
      </c>
    </row>
    <row r="1829" spans="1:4" x14ac:dyDescent="0.25">
      <c r="A1829" s="24" t="s">
        <v>83</v>
      </c>
      <c r="B1829" s="24" t="s">
        <v>67</v>
      </c>
      <c r="C1829" s="32">
        <v>8.8520000000000003</v>
      </c>
      <c r="D1829" s="28">
        <v>1.2499999999999999E-2</v>
      </c>
    </row>
    <row r="1830" spans="1:4" x14ac:dyDescent="0.25">
      <c r="A1830" s="24" t="s">
        <v>83</v>
      </c>
      <c r="B1830" s="24" t="s">
        <v>68</v>
      </c>
      <c r="C1830" s="32">
        <v>8.9659999999999993</v>
      </c>
      <c r="D1830" s="28">
        <v>1.3888888888888888E-2</v>
      </c>
    </row>
    <row r="1831" spans="1:4" x14ac:dyDescent="0.25">
      <c r="A1831" s="24" t="s">
        <v>83</v>
      </c>
      <c r="B1831" s="24" t="s">
        <v>69</v>
      </c>
      <c r="C1831" s="32">
        <v>8.8219999999999992</v>
      </c>
      <c r="D1831" s="28">
        <v>1.2499999999999999E-2</v>
      </c>
    </row>
    <row r="1832" spans="1:4" x14ac:dyDescent="0.25">
      <c r="A1832" s="24" t="s">
        <v>83</v>
      </c>
      <c r="B1832" s="24" t="s">
        <v>70</v>
      </c>
      <c r="C1832" s="32">
        <v>9.2059999999999995</v>
      </c>
      <c r="D1832" s="28">
        <v>1.3194444444444444E-2</v>
      </c>
    </row>
    <row r="1833" spans="1:4" x14ac:dyDescent="0.25">
      <c r="A1833" s="24" t="s">
        <v>83</v>
      </c>
      <c r="B1833" s="24" t="s">
        <v>71</v>
      </c>
      <c r="C1833" s="32">
        <v>8.5510000000000002</v>
      </c>
      <c r="D1833" s="28">
        <v>1.3194444444444444E-2</v>
      </c>
    </row>
    <row r="1834" spans="1:4" x14ac:dyDescent="0.25">
      <c r="A1834" s="24" t="s">
        <v>83</v>
      </c>
      <c r="B1834" s="24" t="s">
        <v>72</v>
      </c>
      <c r="C1834" s="32">
        <v>8.9819999999999993</v>
      </c>
      <c r="D1834" s="28">
        <v>1.4583333333333332E-2</v>
      </c>
    </row>
    <row r="1835" spans="1:4" x14ac:dyDescent="0.25">
      <c r="A1835" s="24" t="s">
        <v>83</v>
      </c>
      <c r="B1835" s="24" t="s">
        <v>73</v>
      </c>
      <c r="C1835" s="32">
        <v>7.7370000000000001</v>
      </c>
      <c r="D1835" s="28">
        <v>1.1805555555555555E-2</v>
      </c>
    </row>
    <row r="1836" spans="1:4" x14ac:dyDescent="0.25">
      <c r="A1836" s="24" t="s">
        <v>83</v>
      </c>
      <c r="B1836" s="24" t="s">
        <v>74</v>
      </c>
      <c r="C1836" s="32">
        <v>9.2590000000000003</v>
      </c>
      <c r="D1836" s="28">
        <v>1.1805555555555555E-2</v>
      </c>
    </row>
    <row r="1837" spans="1:4" x14ac:dyDescent="0.25">
      <c r="A1837" s="24" t="s">
        <v>83</v>
      </c>
      <c r="B1837" s="24" t="s">
        <v>75</v>
      </c>
      <c r="C1837" s="32">
        <v>8.2949999999999999</v>
      </c>
      <c r="D1837" s="28">
        <v>1.0416666666666666E-2</v>
      </c>
    </row>
    <row r="1838" spans="1:4" x14ac:dyDescent="0.25">
      <c r="A1838" s="24" t="s">
        <v>83</v>
      </c>
      <c r="B1838" s="24" t="s">
        <v>76</v>
      </c>
      <c r="C1838" s="32">
        <v>12.401999999999999</v>
      </c>
      <c r="D1838" s="28">
        <v>1.5972222222222224E-2</v>
      </c>
    </row>
    <row r="1839" spans="1:4" x14ac:dyDescent="0.25">
      <c r="A1839" s="24" t="s">
        <v>83</v>
      </c>
      <c r="B1839" s="24" t="s">
        <v>77</v>
      </c>
      <c r="C1839" s="32">
        <v>19.045999999999999</v>
      </c>
      <c r="D1839" s="28">
        <v>1.8055555555555557E-2</v>
      </c>
    </row>
    <row r="1840" spans="1:4" x14ac:dyDescent="0.25">
      <c r="A1840" s="24" t="s">
        <v>83</v>
      </c>
      <c r="B1840" s="24" t="s">
        <v>78</v>
      </c>
      <c r="C1840" s="32">
        <v>13.898999999999999</v>
      </c>
      <c r="D1840" s="28">
        <v>1.6666666666666666E-2</v>
      </c>
    </row>
    <row r="1841" spans="1:4" x14ac:dyDescent="0.25">
      <c r="A1841" s="24" t="s">
        <v>83</v>
      </c>
      <c r="B1841" s="24" t="s">
        <v>79</v>
      </c>
      <c r="C1841" s="32">
        <v>30.507000000000001</v>
      </c>
      <c r="D1841" s="28">
        <v>2.9166666666666664E-2</v>
      </c>
    </row>
    <row r="1842" spans="1:4" x14ac:dyDescent="0.25">
      <c r="A1842" s="24" t="s">
        <v>83</v>
      </c>
      <c r="B1842" s="24" t="s">
        <v>80</v>
      </c>
      <c r="C1842" s="32">
        <v>15.561</v>
      </c>
      <c r="D1842" s="28">
        <v>1.2499999999999999E-2</v>
      </c>
    </row>
    <row r="1843" spans="1:4" x14ac:dyDescent="0.25">
      <c r="A1843" s="24" t="s">
        <v>83</v>
      </c>
      <c r="B1843" s="24" t="s">
        <v>81</v>
      </c>
      <c r="C1843" s="32">
        <v>20.082999999999998</v>
      </c>
      <c r="D1843" s="28">
        <v>1.4583333333333332E-2</v>
      </c>
    </row>
    <row r="1844" spans="1:4" x14ac:dyDescent="0.25">
      <c r="A1844" s="24" t="s">
        <v>83</v>
      </c>
      <c r="B1844" s="24" t="s">
        <v>82</v>
      </c>
      <c r="C1844" s="32">
        <v>20.135000000000002</v>
      </c>
      <c r="D1844" s="28">
        <v>1.4583333333333332E-2</v>
      </c>
    </row>
    <row r="1845" spans="1:4" x14ac:dyDescent="0.25">
      <c r="A1845" s="24" t="s">
        <v>83</v>
      </c>
      <c r="B1845" s="24" t="s">
        <v>83</v>
      </c>
      <c r="C1845" s="32">
        <v>0</v>
      </c>
      <c r="D1845" s="28">
        <v>0</v>
      </c>
    </row>
    <row r="1846" spans="1:4" x14ac:dyDescent="0.25">
      <c r="A1846" s="24" t="s">
        <v>83</v>
      </c>
      <c r="B1846" s="24" t="s">
        <v>84</v>
      </c>
      <c r="C1846" s="32">
        <v>6.4640000000000004</v>
      </c>
      <c r="D1846" s="28">
        <v>7.6388888888888886E-3</v>
      </c>
    </row>
    <row r="1847" spans="1:4" x14ac:dyDescent="0.25">
      <c r="A1847" s="24" t="s">
        <v>83</v>
      </c>
      <c r="B1847" s="24" t="s">
        <v>85</v>
      </c>
      <c r="C1847" s="32">
        <v>6.4809999999999999</v>
      </c>
      <c r="D1847" s="28">
        <v>7.6388888888888886E-3</v>
      </c>
    </row>
    <row r="1848" spans="1:4" x14ac:dyDescent="0.25">
      <c r="A1848" s="24" t="s">
        <v>83</v>
      </c>
      <c r="B1848" s="24" t="s">
        <v>86</v>
      </c>
      <c r="C1848" s="32">
        <v>4.1070000000000002</v>
      </c>
      <c r="D1848" s="28">
        <v>4.8611111111111112E-3</v>
      </c>
    </row>
    <row r="1849" spans="1:4" x14ac:dyDescent="0.25">
      <c r="A1849" s="24" t="s">
        <v>83</v>
      </c>
      <c r="B1849" s="24" t="s">
        <v>87</v>
      </c>
      <c r="C1849" s="32">
        <v>3.46</v>
      </c>
      <c r="D1849" s="28">
        <v>4.1666666666666666E-3</v>
      </c>
    </row>
    <row r="1850" spans="1:4" x14ac:dyDescent="0.25">
      <c r="A1850" s="24" t="s">
        <v>83</v>
      </c>
      <c r="B1850" s="24" t="s">
        <v>88</v>
      </c>
      <c r="C1850" s="32">
        <v>3.0939999999999999</v>
      </c>
      <c r="D1850" s="28">
        <v>4.8611111111111112E-3</v>
      </c>
    </row>
    <row r="1851" spans="1:4" x14ac:dyDescent="0.25">
      <c r="A1851" s="24" t="s">
        <v>83</v>
      </c>
      <c r="B1851" s="24" t="s">
        <v>89</v>
      </c>
      <c r="C1851" s="32">
        <v>4.5279999999999996</v>
      </c>
      <c r="D1851" s="28">
        <v>6.9444444444444441E-3</v>
      </c>
    </row>
    <row r="1852" spans="1:4" x14ac:dyDescent="0.25">
      <c r="A1852" s="24" t="s">
        <v>83</v>
      </c>
      <c r="B1852" s="24" t="s">
        <v>90</v>
      </c>
      <c r="C1852" s="32">
        <v>15.504</v>
      </c>
      <c r="D1852" s="28">
        <v>1.2499999999999999E-2</v>
      </c>
    </row>
    <row r="1853" spans="1:4" x14ac:dyDescent="0.25">
      <c r="A1853" s="24" t="s">
        <v>83</v>
      </c>
      <c r="B1853" s="24" t="s">
        <v>91</v>
      </c>
      <c r="C1853" s="32">
        <v>3.6019999999999999</v>
      </c>
      <c r="D1853" s="28">
        <v>4.8611111111111112E-3</v>
      </c>
    </row>
    <row r="1854" spans="1:4" x14ac:dyDescent="0.25">
      <c r="A1854" s="24" t="s">
        <v>83</v>
      </c>
      <c r="B1854" s="24" t="s">
        <v>92</v>
      </c>
      <c r="C1854" s="32">
        <v>13.57</v>
      </c>
      <c r="D1854" s="28">
        <v>1.1111111111111112E-2</v>
      </c>
    </row>
    <row r="1855" spans="1:4" x14ac:dyDescent="0.25">
      <c r="A1855" s="24" t="s">
        <v>83</v>
      </c>
      <c r="B1855" s="24" t="s">
        <v>93</v>
      </c>
      <c r="C1855" s="32">
        <v>37.359000000000002</v>
      </c>
      <c r="D1855" s="28">
        <v>2.4305555555555556E-2</v>
      </c>
    </row>
    <row r="1856" spans="1:4" x14ac:dyDescent="0.25">
      <c r="A1856" s="24" t="s">
        <v>83</v>
      </c>
      <c r="B1856" s="24" t="s">
        <v>94</v>
      </c>
      <c r="C1856" s="32">
        <v>37.988</v>
      </c>
      <c r="D1856" s="28">
        <v>2.4999999999999998E-2</v>
      </c>
    </row>
    <row r="1857" spans="1:4" x14ac:dyDescent="0.25">
      <c r="A1857" s="24" t="s">
        <v>83</v>
      </c>
      <c r="B1857" s="24" t="s">
        <v>95</v>
      </c>
      <c r="C1857" s="32">
        <v>20.419</v>
      </c>
      <c r="D1857" s="28">
        <v>1.5972222222222224E-2</v>
      </c>
    </row>
    <row r="1858" spans="1:4" x14ac:dyDescent="0.25">
      <c r="A1858" s="24" t="s">
        <v>83</v>
      </c>
      <c r="B1858" s="24" t="s">
        <v>96</v>
      </c>
      <c r="C1858" s="32">
        <v>17.734999999999999</v>
      </c>
      <c r="D1858" s="28">
        <v>1.7361111111111112E-2</v>
      </c>
    </row>
    <row r="1859" spans="1:4" x14ac:dyDescent="0.25">
      <c r="A1859" s="24" t="s">
        <v>83</v>
      </c>
      <c r="B1859" s="24" t="s">
        <v>97</v>
      </c>
      <c r="C1859" s="32">
        <v>26.053999999999998</v>
      </c>
      <c r="D1859" s="28">
        <v>2.2916666666666669E-2</v>
      </c>
    </row>
    <row r="1860" spans="1:4" x14ac:dyDescent="0.25">
      <c r="A1860" s="24" t="s">
        <v>83</v>
      </c>
      <c r="B1860" s="24" t="s">
        <v>98</v>
      </c>
      <c r="C1860" s="32">
        <v>23.481999999999999</v>
      </c>
      <c r="D1860" s="28">
        <v>2.013888888888889E-2</v>
      </c>
    </row>
    <row r="1861" spans="1:4" x14ac:dyDescent="0.25">
      <c r="A1861" s="24" t="s">
        <v>83</v>
      </c>
      <c r="B1861" s="24" t="s">
        <v>99</v>
      </c>
      <c r="C1861" s="32">
        <v>30.35</v>
      </c>
      <c r="D1861" s="28">
        <v>2.361111111111111E-2</v>
      </c>
    </row>
    <row r="1862" spans="1:4" x14ac:dyDescent="0.25">
      <c r="A1862" s="24" t="s">
        <v>83</v>
      </c>
      <c r="B1862" s="24" t="s">
        <v>100</v>
      </c>
      <c r="C1862" s="32">
        <v>20.6</v>
      </c>
      <c r="D1862" s="28">
        <v>1.5972222222222224E-2</v>
      </c>
    </row>
    <row r="1863" spans="1:4" x14ac:dyDescent="0.25">
      <c r="A1863" s="24" t="s">
        <v>83</v>
      </c>
      <c r="B1863" s="24" t="s">
        <v>101</v>
      </c>
      <c r="C1863" s="32">
        <v>24.981000000000002</v>
      </c>
      <c r="D1863" s="28">
        <v>2.0833333333333332E-2</v>
      </c>
    </row>
    <row r="1864" spans="1:4" x14ac:dyDescent="0.25">
      <c r="A1864" s="24" t="s">
        <v>83</v>
      </c>
      <c r="B1864" s="24" t="s">
        <v>102</v>
      </c>
      <c r="C1864" s="32">
        <v>24.408000000000001</v>
      </c>
      <c r="D1864" s="28">
        <v>2.013888888888889E-2</v>
      </c>
    </row>
    <row r="1865" spans="1:4" x14ac:dyDescent="0.25">
      <c r="A1865" s="24" t="s">
        <v>83</v>
      </c>
      <c r="B1865" s="24" t="s">
        <v>103</v>
      </c>
      <c r="C1865" s="32">
        <v>8.4550000000000001</v>
      </c>
      <c r="D1865" s="28">
        <v>7.6388888888888886E-3</v>
      </c>
    </row>
    <row r="1866" spans="1:4" x14ac:dyDescent="0.25">
      <c r="A1866" s="24" t="s">
        <v>83</v>
      </c>
      <c r="B1866" s="24" t="s">
        <v>104</v>
      </c>
      <c r="C1866" s="32">
        <v>12.45</v>
      </c>
      <c r="D1866" s="28">
        <v>1.0416666666666666E-2</v>
      </c>
    </row>
    <row r="1867" spans="1:4" x14ac:dyDescent="0.25">
      <c r="A1867" s="24" t="s">
        <v>83</v>
      </c>
      <c r="B1867" s="24" t="s">
        <v>105</v>
      </c>
      <c r="C1867" s="32">
        <v>6.6059999999999999</v>
      </c>
      <c r="D1867" s="28">
        <v>1.1111111111111112E-2</v>
      </c>
    </row>
    <row r="1868" spans="1:4" x14ac:dyDescent="0.25">
      <c r="A1868" s="24" t="s">
        <v>83</v>
      </c>
      <c r="B1868" s="24" t="s">
        <v>106</v>
      </c>
      <c r="C1868" s="32">
        <v>5.6849999999999996</v>
      </c>
      <c r="D1868" s="28">
        <v>5.5555555555555558E-3</v>
      </c>
    </row>
    <row r="1869" spans="1:4" x14ac:dyDescent="0.25">
      <c r="A1869" s="24" t="s">
        <v>83</v>
      </c>
      <c r="B1869" s="24" t="s">
        <v>107</v>
      </c>
      <c r="C1869" s="32">
        <v>12.191000000000001</v>
      </c>
      <c r="D1869" s="28">
        <v>1.3888888888888888E-2</v>
      </c>
    </row>
    <row r="1870" spans="1:4" x14ac:dyDescent="0.25">
      <c r="A1870" s="24" t="s">
        <v>83</v>
      </c>
      <c r="B1870" s="24" t="s">
        <v>108</v>
      </c>
      <c r="C1870" s="32">
        <v>11.925000000000001</v>
      </c>
      <c r="D1870" s="28">
        <v>1.1805555555555555E-2</v>
      </c>
    </row>
    <row r="1871" spans="1:4" x14ac:dyDescent="0.25">
      <c r="A1871" s="24" t="s">
        <v>83</v>
      </c>
      <c r="B1871" s="24" t="s">
        <v>109</v>
      </c>
      <c r="C1871" s="32">
        <v>11.955</v>
      </c>
      <c r="D1871" s="28">
        <v>1.1805555555555555E-2</v>
      </c>
    </row>
    <row r="1872" spans="1:4" x14ac:dyDescent="0.25">
      <c r="A1872" s="24" t="s">
        <v>83</v>
      </c>
      <c r="B1872" s="24" t="s">
        <v>110</v>
      </c>
      <c r="C1872" s="32">
        <v>5.2119999999999997</v>
      </c>
      <c r="D1872" s="28">
        <v>6.2499999999999995E-3</v>
      </c>
    </row>
    <row r="1873" spans="1:4" x14ac:dyDescent="0.25">
      <c r="A1873" s="24" t="s">
        <v>83</v>
      </c>
      <c r="B1873" s="24" t="s">
        <v>111</v>
      </c>
      <c r="C1873" s="32">
        <v>7.2089999999999996</v>
      </c>
      <c r="D1873" s="28">
        <v>6.2499999999999995E-3</v>
      </c>
    </row>
    <row r="1874" spans="1:4" x14ac:dyDescent="0.25">
      <c r="A1874" s="24" t="s">
        <v>83</v>
      </c>
      <c r="B1874" s="24" t="s">
        <v>112</v>
      </c>
      <c r="C1874" s="32">
        <v>11.865</v>
      </c>
      <c r="D1874" s="28">
        <v>1.2499999999999999E-2</v>
      </c>
    </row>
    <row r="1875" spans="1:4" x14ac:dyDescent="0.25">
      <c r="A1875" s="24" t="s">
        <v>83</v>
      </c>
      <c r="B1875" s="24" t="s">
        <v>113</v>
      </c>
      <c r="C1875" s="32">
        <v>15.489000000000001</v>
      </c>
      <c r="D1875" s="28">
        <v>1.4583333333333332E-2</v>
      </c>
    </row>
    <row r="1876" spans="1:4" x14ac:dyDescent="0.25">
      <c r="A1876" s="24" t="s">
        <v>83</v>
      </c>
      <c r="B1876" s="24" t="s">
        <v>114</v>
      </c>
      <c r="C1876" s="32">
        <v>18.628</v>
      </c>
      <c r="D1876" s="28">
        <v>1.3194444444444444E-2</v>
      </c>
    </row>
    <row r="1877" spans="1:4" x14ac:dyDescent="0.25">
      <c r="A1877" s="24" t="s">
        <v>83</v>
      </c>
      <c r="B1877" s="24" t="s">
        <v>115</v>
      </c>
      <c r="C1877" s="32">
        <v>18.478999999999999</v>
      </c>
      <c r="D1877" s="28">
        <v>1.3888888888888888E-2</v>
      </c>
    </row>
    <row r="1878" spans="1:4" x14ac:dyDescent="0.25">
      <c r="A1878" s="24" t="s">
        <v>83</v>
      </c>
      <c r="B1878" s="24" t="s">
        <v>116</v>
      </c>
      <c r="C1878" s="32">
        <v>12.651999999999999</v>
      </c>
      <c r="D1878" s="28">
        <v>1.1111111111111112E-2</v>
      </c>
    </row>
    <row r="1879" spans="1:4" x14ac:dyDescent="0.25">
      <c r="A1879" s="24" t="s">
        <v>83</v>
      </c>
      <c r="B1879" s="24" t="s">
        <v>117</v>
      </c>
      <c r="C1879" s="32">
        <v>19.922999999999998</v>
      </c>
      <c r="D1879" s="28">
        <v>1.6666666666666666E-2</v>
      </c>
    </row>
    <row r="1880" spans="1:4" x14ac:dyDescent="0.25">
      <c r="A1880" s="24" t="s">
        <v>83</v>
      </c>
      <c r="B1880" s="24" t="s">
        <v>118</v>
      </c>
      <c r="C1880" s="32">
        <v>19.561</v>
      </c>
      <c r="D1880" s="28">
        <v>1.5277777777777777E-2</v>
      </c>
    </row>
    <row r="1881" spans="1:4" x14ac:dyDescent="0.25">
      <c r="A1881" s="24" t="s">
        <v>83</v>
      </c>
      <c r="B1881" s="24" t="s">
        <v>119</v>
      </c>
      <c r="C1881" s="32">
        <v>32.792999999999999</v>
      </c>
      <c r="D1881" s="28">
        <v>2.2222222222222223E-2</v>
      </c>
    </row>
    <row r="1882" spans="1:4" x14ac:dyDescent="0.25">
      <c r="A1882" s="24" t="s">
        <v>83</v>
      </c>
      <c r="B1882" s="24" t="s">
        <v>120</v>
      </c>
      <c r="C1882" s="32">
        <v>35.582999999999998</v>
      </c>
      <c r="D1882" s="28">
        <v>2.5694444444444447E-2</v>
      </c>
    </row>
    <row r="1883" spans="1:4" x14ac:dyDescent="0.25">
      <c r="A1883" s="24" t="s">
        <v>83</v>
      </c>
      <c r="B1883" s="24" t="s">
        <v>121</v>
      </c>
      <c r="C1883" s="32">
        <v>49.933999999999997</v>
      </c>
      <c r="D1883" s="28">
        <v>3.2638888888888891E-2</v>
      </c>
    </row>
    <row r="1884" spans="1:4" x14ac:dyDescent="0.25">
      <c r="A1884" s="24" t="s">
        <v>83</v>
      </c>
      <c r="B1884" s="24" t="s">
        <v>122</v>
      </c>
      <c r="C1884" s="32">
        <v>36.229999999999997</v>
      </c>
      <c r="D1884" s="28">
        <v>2.361111111111111E-2</v>
      </c>
    </row>
    <row r="1885" spans="1:4" x14ac:dyDescent="0.25">
      <c r="A1885" s="24" t="s">
        <v>83</v>
      </c>
      <c r="B1885" s="24" t="s">
        <v>123</v>
      </c>
      <c r="C1885" s="32">
        <v>43.518999999999998</v>
      </c>
      <c r="D1885" s="28">
        <v>2.9166666666666664E-2</v>
      </c>
    </row>
    <row r="1886" spans="1:4" x14ac:dyDescent="0.25">
      <c r="A1886" s="24" t="s">
        <v>83</v>
      </c>
      <c r="B1886" s="24" t="s">
        <v>124</v>
      </c>
      <c r="C1886" s="32">
        <v>43.518999999999998</v>
      </c>
      <c r="D1886" s="28">
        <v>2.9166666666666664E-2</v>
      </c>
    </row>
    <row r="1887" spans="1:4" x14ac:dyDescent="0.25">
      <c r="A1887" s="24" t="s">
        <v>83</v>
      </c>
      <c r="B1887" s="24" t="s">
        <v>125</v>
      </c>
      <c r="C1887" s="32">
        <v>7.7949999999999999</v>
      </c>
      <c r="D1887" s="28">
        <v>9.7222222222222224E-3</v>
      </c>
    </row>
    <row r="1888" spans="1:4" x14ac:dyDescent="0.25">
      <c r="A1888" s="24" t="s">
        <v>83</v>
      </c>
      <c r="B1888" s="24" t="s">
        <v>126</v>
      </c>
      <c r="C1888" s="32">
        <v>7.5330000000000004</v>
      </c>
      <c r="D1888" s="28">
        <v>9.0277777777777787E-3</v>
      </c>
    </row>
    <row r="1889" spans="1:4" x14ac:dyDescent="0.25">
      <c r="A1889" s="24" t="s">
        <v>83</v>
      </c>
      <c r="B1889" s="24" t="s">
        <v>127</v>
      </c>
      <c r="C1889" s="32">
        <v>8.2780000000000005</v>
      </c>
      <c r="D1889" s="28">
        <v>1.0416666666666666E-2</v>
      </c>
    </row>
    <row r="1890" spans="1:4" x14ac:dyDescent="0.25">
      <c r="A1890" s="24" t="s">
        <v>83</v>
      </c>
      <c r="B1890" s="24" t="s">
        <v>128</v>
      </c>
      <c r="C1890" s="32">
        <v>6.6059999999999999</v>
      </c>
      <c r="D1890" s="28">
        <v>7.6388888888888886E-3</v>
      </c>
    </row>
    <row r="1891" spans="1:4" x14ac:dyDescent="0.25">
      <c r="A1891" s="24" t="s">
        <v>83</v>
      </c>
      <c r="B1891" s="24" t="s">
        <v>129</v>
      </c>
      <c r="C1891" s="32">
        <v>6.6059999999999999</v>
      </c>
      <c r="D1891" s="28">
        <v>7.6388888888888886E-3</v>
      </c>
    </row>
    <row r="1892" spans="1:4" x14ac:dyDescent="0.25">
      <c r="A1892" s="24" t="s">
        <v>83</v>
      </c>
      <c r="B1892" s="24" t="s">
        <v>130</v>
      </c>
      <c r="C1892" s="32">
        <v>8.1959999999999997</v>
      </c>
      <c r="D1892" s="28">
        <v>1.1111111111111112E-2</v>
      </c>
    </row>
    <row r="1893" spans="1:4" x14ac:dyDescent="0.25">
      <c r="A1893" s="24" t="s">
        <v>83</v>
      </c>
      <c r="B1893" s="24" t="s">
        <v>131</v>
      </c>
      <c r="C1893" s="32">
        <v>8.1639999999999997</v>
      </c>
      <c r="D1893" s="28">
        <v>1.2499999999999999E-2</v>
      </c>
    </row>
    <row r="1894" spans="1:4" x14ac:dyDescent="0.25">
      <c r="A1894" s="24" t="s">
        <v>83</v>
      </c>
      <c r="B1894" s="24" t="s">
        <v>132</v>
      </c>
      <c r="C1894" s="32">
        <v>12.903</v>
      </c>
      <c r="D1894" s="28">
        <v>1.3888888888888888E-2</v>
      </c>
    </row>
    <row r="1895" spans="1:4" x14ac:dyDescent="0.25">
      <c r="A1895" s="24" t="s">
        <v>83</v>
      </c>
      <c r="B1895" s="24" t="s">
        <v>133</v>
      </c>
      <c r="C1895" s="32">
        <v>8.8309999999999995</v>
      </c>
      <c r="D1895" s="28">
        <v>1.0416666666666666E-2</v>
      </c>
    </row>
    <row r="1896" spans="1:4" x14ac:dyDescent="0.25">
      <c r="A1896" s="24" t="s">
        <v>83</v>
      </c>
      <c r="B1896" s="24" t="s">
        <v>134</v>
      </c>
      <c r="C1896" s="32">
        <v>8.3650000000000002</v>
      </c>
      <c r="D1896" s="28">
        <v>9.7222222222222224E-3</v>
      </c>
    </row>
    <row r="1897" spans="1:4" x14ac:dyDescent="0.25">
      <c r="A1897" s="24" t="s">
        <v>83</v>
      </c>
      <c r="B1897" s="24" t="s">
        <v>135</v>
      </c>
      <c r="C1897" s="32">
        <v>9.6959999999999997</v>
      </c>
      <c r="D1897" s="28">
        <v>1.1111111111111112E-2</v>
      </c>
    </row>
    <row r="1898" spans="1:4" x14ac:dyDescent="0.25">
      <c r="A1898" s="24" t="s">
        <v>83</v>
      </c>
      <c r="B1898" s="24" t="s">
        <v>136</v>
      </c>
      <c r="C1898" s="32">
        <v>9.6959999999999997</v>
      </c>
      <c r="D1898" s="28">
        <v>1.1111111111111112E-2</v>
      </c>
    </row>
    <row r="1899" spans="1:4" x14ac:dyDescent="0.25">
      <c r="A1899" s="24" t="s">
        <v>83</v>
      </c>
      <c r="B1899" s="24" t="s">
        <v>137</v>
      </c>
      <c r="C1899" s="32">
        <v>9.6370000000000005</v>
      </c>
      <c r="D1899" s="28">
        <v>1.0416666666666666E-2</v>
      </c>
    </row>
    <row r="1900" spans="1:4" x14ac:dyDescent="0.25">
      <c r="A1900" s="24" t="s">
        <v>83</v>
      </c>
      <c r="B1900" s="24" t="s">
        <v>138</v>
      </c>
      <c r="C1900" s="32">
        <v>13.853999999999999</v>
      </c>
      <c r="D1900" s="28">
        <v>1.1805555555555555E-2</v>
      </c>
    </row>
    <row r="1901" spans="1:4" x14ac:dyDescent="0.25">
      <c r="A1901" s="24" t="s">
        <v>83</v>
      </c>
      <c r="B1901" s="24" t="s">
        <v>139</v>
      </c>
      <c r="C1901" s="32">
        <v>23.975000000000001</v>
      </c>
      <c r="D1901" s="28">
        <v>1.7361111111111112E-2</v>
      </c>
    </row>
    <row r="1902" spans="1:4" x14ac:dyDescent="0.25">
      <c r="A1902" s="24" t="s">
        <v>83</v>
      </c>
      <c r="B1902" s="24" t="s">
        <v>140</v>
      </c>
      <c r="C1902" s="32">
        <v>17.7</v>
      </c>
      <c r="D1902" s="28">
        <v>1.7361111111111112E-2</v>
      </c>
    </row>
    <row r="1903" spans="1:4" x14ac:dyDescent="0.25">
      <c r="A1903" s="24" t="s">
        <v>83</v>
      </c>
      <c r="B1903" s="24" t="s">
        <v>141</v>
      </c>
      <c r="C1903" s="32">
        <v>48.686</v>
      </c>
      <c r="D1903" s="28">
        <v>3.6805555555555557E-2</v>
      </c>
    </row>
    <row r="1904" spans="1:4" x14ac:dyDescent="0.25">
      <c r="A1904" s="24" t="s">
        <v>83</v>
      </c>
      <c r="B1904" s="24" t="s">
        <v>142</v>
      </c>
      <c r="C1904" s="32">
        <v>46.774000000000001</v>
      </c>
      <c r="D1904" s="28">
        <v>2.9166666666666664E-2</v>
      </c>
    </row>
    <row r="1905" spans="1:4" x14ac:dyDescent="0.25">
      <c r="A1905" s="24" t="s">
        <v>83</v>
      </c>
      <c r="B1905" s="24" t="s">
        <v>143</v>
      </c>
      <c r="C1905" s="32">
        <v>65.152000000000001</v>
      </c>
      <c r="D1905" s="28">
        <v>3.6805555555555557E-2</v>
      </c>
    </row>
    <row r="1906" spans="1:4" x14ac:dyDescent="0.25">
      <c r="A1906" s="24" t="s">
        <v>83</v>
      </c>
      <c r="B1906" s="24" t="s">
        <v>144</v>
      </c>
      <c r="C1906" s="32">
        <v>84.268000000000001</v>
      </c>
      <c r="D1906" s="28">
        <v>4.7916666666666663E-2</v>
      </c>
    </row>
    <row r="1907" spans="1:4" x14ac:dyDescent="0.25">
      <c r="A1907" s="24" t="s">
        <v>83</v>
      </c>
      <c r="B1907" s="24" t="s">
        <v>145</v>
      </c>
      <c r="C1907" s="32">
        <v>28.661000000000001</v>
      </c>
      <c r="D1907" s="28">
        <v>2.0833333333333332E-2</v>
      </c>
    </row>
    <row r="1908" spans="1:4" x14ac:dyDescent="0.25">
      <c r="A1908" s="24" t="s">
        <v>83</v>
      </c>
      <c r="B1908" s="24" t="s">
        <v>146</v>
      </c>
      <c r="C1908" s="32">
        <v>44.12</v>
      </c>
      <c r="D1908" s="28">
        <v>2.9166666666666664E-2</v>
      </c>
    </row>
    <row r="1909" spans="1:4" x14ac:dyDescent="0.25">
      <c r="A1909" s="24" t="s">
        <v>83</v>
      </c>
      <c r="B1909" s="24" t="s">
        <v>147</v>
      </c>
      <c r="C1909" s="32">
        <v>5.9870000000000001</v>
      </c>
      <c r="D1909" s="28">
        <v>7.6388888888888886E-3</v>
      </c>
    </row>
    <row r="1910" spans="1:4" x14ac:dyDescent="0.25">
      <c r="A1910" s="24" t="s">
        <v>83</v>
      </c>
      <c r="B1910" s="24" t="s">
        <v>148</v>
      </c>
      <c r="C1910" s="32">
        <v>5.4980000000000002</v>
      </c>
      <c r="D1910" s="28">
        <v>8.3333333333333332E-3</v>
      </c>
    </row>
    <row r="1911" spans="1:4" x14ac:dyDescent="0.25">
      <c r="A1911" s="24" t="s">
        <v>83</v>
      </c>
      <c r="B1911" s="24" t="s">
        <v>149</v>
      </c>
      <c r="C1911" s="32">
        <v>13.009</v>
      </c>
      <c r="D1911" s="28">
        <v>1.3888888888888888E-2</v>
      </c>
    </row>
    <row r="1912" spans="1:4" x14ac:dyDescent="0.25">
      <c r="A1912" s="24" t="s">
        <v>83</v>
      </c>
      <c r="B1912" s="24" t="s">
        <v>150</v>
      </c>
      <c r="C1912" s="32">
        <v>20.968</v>
      </c>
      <c r="D1912" s="28">
        <v>2.2916666666666669E-2</v>
      </c>
    </row>
    <row r="1913" spans="1:4" x14ac:dyDescent="0.25">
      <c r="A1913" s="24" t="s">
        <v>83</v>
      </c>
      <c r="B1913" s="24" t="s">
        <v>151</v>
      </c>
      <c r="C1913" s="32">
        <v>20.225999999999999</v>
      </c>
      <c r="D1913" s="28">
        <v>2.2916666666666669E-2</v>
      </c>
    </row>
    <row r="1914" spans="1:4" x14ac:dyDescent="0.25">
      <c r="A1914" s="24" t="s">
        <v>83</v>
      </c>
      <c r="B1914" s="24" t="s">
        <v>152</v>
      </c>
      <c r="C1914" s="32">
        <v>28.573</v>
      </c>
      <c r="D1914" s="28">
        <v>2.7083333333333334E-2</v>
      </c>
    </row>
    <row r="1915" spans="1:4" x14ac:dyDescent="0.25">
      <c r="A1915" s="24" t="s">
        <v>83</v>
      </c>
      <c r="B1915" s="24" t="s">
        <v>153</v>
      </c>
      <c r="C1915" s="32">
        <v>29.824999999999999</v>
      </c>
      <c r="D1915" s="28">
        <v>3.125E-2</v>
      </c>
    </row>
    <row r="1916" spans="1:4" x14ac:dyDescent="0.25">
      <c r="A1916" s="24" t="s">
        <v>83</v>
      </c>
      <c r="B1916" s="24" t="s">
        <v>154</v>
      </c>
      <c r="C1916" s="32">
        <v>24.643000000000001</v>
      </c>
      <c r="D1916" s="28">
        <v>2.5694444444444447E-2</v>
      </c>
    </row>
    <row r="1917" spans="1:4" x14ac:dyDescent="0.25">
      <c r="A1917" s="24" t="s">
        <v>83</v>
      </c>
      <c r="B1917" s="24" t="s">
        <v>155</v>
      </c>
      <c r="C1917" s="32">
        <v>20.83</v>
      </c>
      <c r="D1917" s="28">
        <v>2.2916666666666669E-2</v>
      </c>
    </row>
    <row r="1918" spans="1:4" x14ac:dyDescent="0.25">
      <c r="A1918" s="24" t="s">
        <v>83</v>
      </c>
      <c r="B1918" s="24" t="s">
        <v>156</v>
      </c>
      <c r="C1918" s="32">
        <v>20.814</v>
      </c>
      <c r="D1918" s="28">
        <v>2.2916666666666669E-2</v>
      </c>
    </row>
    <row r="1919" spans="1:4" x14ac:dyDescent="0.25">
      <c r="A1919" s="24" t="s">
        <v>83</v>
      </c>
      <c r="B1919" s="24" t="s">
        <v>157</v>
      </c>
      <c r="C1919" s="32">
        <v>29.452999999999999</v>
      </c>
      <c r="D1919" s="28">
        <v>2.7083333333333334E-2</v>
      </c>
    </row>
    <row r="1920" spans="1:4" x14ac:dyDescent="0.25">
      <c r="A1920" s="24" t="s">
        <v>83</v>
      </c>
      <c r="B1920" s="24" t="s">
        <v>158</v>
      </c>
      <c r="C1920" s="32">
        <v>40.207000000000001</v>
      </c>
      <c r="D1920" s="28">
        <v>3.4722222222222224E-2</v>
      </c>
    </row>
    <row r="1921" spans="1:4" x14ac:dyDescent="0.25">
      <c r="A1921" s="24" t="s">
        <v>83</v>
      </c>
      <c r="B1921" s="24" t="s">
        <v>159</v>
      </c>
      <c r="C1921" s="32">
        <v>45.576999999999998</v>
      </c>
      <c r="D1921" s="28">
        <v>3.9583333333333331E-2</v>
      </c>
    </row>
    <row r="1922" spans="1:4" x14ac:dyDescent="0.25">
      <c r="A1922" s="24" t="s">
        <v>84</v>
      </c>
      <c r="B1922" s="24" t="s">
        <v>65</v>
      </c>
      <c r="C1922" s="32">
        <v>17.366</v>
      </c>
      <c r="D1922" s="28">
        <v>1.5972222222222224E-2</v>
      </c>
    </row>
    <row r="1923" spans="1:4" x14ac:dyDescent="0.25">
      <c r="A1923" s="24" t="s">
        <v>84</v>
      </c>
      <c r="B1923" s="24" t="s">
        <v>64</v>
      </c>
      <c r="C1923" s="32">
        <v>5.1369999999999996</v>
      </c>
      <c r="D1923" s="28">
        <v>7.6388888888888886E-3</v>
      </c>
    </row>
    <row r="1924" spans="1:4" x14ac:dyDescent="0.25">
      <c r="A1924" s="24" t="s">
        <v>84</v>
      </c>
      <c r="B1924" s="24" t="s">
        <v>66</v>
      </c>
      <c r="C1924" s="32">
        <v>9.7739999999999991</v>
      </c>
      <c r="D1924" s="28">
        <v>1.1805555555555555E-2</v>
      </c>
    </row>
    <row r="1925" spans="1:4" x14ac:dyDescent="0.25">
      <c r="A1925" s="24" t="s">
        <v>84</v>
      </c>
      <c r="B1925" s="24" t="s">
        <v>67</v>
      </c>
      <c r="C1925" s="32">
        <v>6.5490000000000004</v>
      </c>
      <c r="D1925" s="28">
        <v>1.0416666666666666E-2</v>
      </c>
    </row>
    <row r="1926" spans="1:4" x14ac:dyDescent="0.25">
      <c r="A1926" s="24" t="s">
        <v>84</v>
      </c>
      <c r="B1926" s="24" t="s">
        <v>68</v>
      </c>
      <c r="C1926" s="32">
        <v>10.179</v>
      </c>
      <c r="D1926" s="28">
        <v>1.2499999999999999E-2</v>
      </c>
    </row>
    <row r="1927" spans="1:4" x14ac:dyDescent="0.25">
      <c r="A1927" s="24" t="s">
        <v>84</v>
      </c>
      <c r="B1927" s="24" t="s">
        <v>69</v>
      </c>
      <c r="C1927" s="32">
        <v>8.3550000000000004</v>
      </c>
      <c r="D1927" s="28">
        <v>1.1805555555555555E-2</v>
      </c>
    </row>
    <row r="1928" spans="1:4" x14ac:dyDescent="0.25">
      <c r="A1928" s="24" t="s">
        <v>84</v>
      </c>
      <c r="B1928" s="24" t="s">
        <v>70</v>
      </c>
      <c r="C1928" s="32">
        <v>8.6760000000000002</v>
      </c>
      <c r="D1928" s="28">
        <v>1.1805555555555555E-2</v>
      </c>
    </row>
    <row r="1929" spans="1:4" x14ac:dyDescent="0.25">
      <c r="A1929" s="24" t="s">
        <v>84</v>
      </c>
      <c r="B1929" s="24" t="s">
        <v>71</v>
      </c>
      <c r="C1929" s="32">
        <v>6.92</v>
      </c>
      <c r="D1929" s="28">
        <v>1.1805555555555555E-2</v>
      </c>
    </row>
    <row r="1930" spans="1:4" x14ac:dyDescent="0.25">
      <c r="A1930" s="24" t="s">
        <v>84</v>
      </c>
      <c r="B1930" s="24" t="s">
        <v>72</v>
      </c>
      <c r="C1930" s="32">
        <v>9.7789999999999999</v>
      </c>
      <c r="D1930" s="28">
        <v>1.1805555555555555E-2</v>
      </c>
    </row>
    <row r="1931" spans="1:4" x14ac:dyDescent="0.25">
      <c r="A1931" s="24" t="s">
        <v>84</v>
      </c>
      <c r="B1931" s="24" t="s">
        <v>73</v>
      </c>
      <c r="C1931" s="32">
        <v>5.4690000000000003</v>
      </c>
      <c r="D1931" s="28">
        <v>9.0277777777777787E-3</v>
      </c>
    </row>
    <row r="1932" spans="1:4" x14ac:dyDescent="0.25">
      <c r="A1932" s="24" t="s">
        <v>84</v>
      </c>
      <c r="B1932" s="24" t="s">
        <v>74</v>
      </c>
      <c r="C1932" s="32">
        <v>5.734</v>
      </c>
      <c r="D1932" s="28">
        <v>9.0277777777777787E-3</v>
      </c>
    </row>
    <row r="1933" spans="1:4" x14ac:dyDescent="0.25">
      <c r="A1933" s="24" t="s">
        <v>84</v>
      </c>
      <c r="B1933" s="24" t="s">
        <v>75</v>
      </c>
      <c r="C1933" s="32">
        <v>4.7699999999999996</v>
      </c>
      <c r="D1933" s="28">
        <v>7.6388888888888886E-3</v>
      </c>
    </row>
    <row r="1934" spans="1:4" x14ac:dyDescent="0.25">
      <c r="A1934" s="24" t="s">
        <v>84</v>
      </c>
      <c r="B1934" s="24" t="s">
        <v>76</v>
      </c>
      <c r="C1934" s="32">
        <v>11.36</v>
      </c>
      <c r="D1934" s="28">
        <v>1.3194444444444444E-2</v>
      </c>
    </row>
    <row r="1935" spans="1:4" x14ac:dyDescent="0.25">
      <c r="A1935" s="24" t="s">
        <v>84</v>
      </c>
      <c r="B1935" s="24" t="s">
        <v>77</v>
      </c>
      <c r="C1935" s="32">
        <v>14.991</v>
      </c>
      <c r="D1935" s="28">
        <v>1.4583333333333332E-2</v>
      </c>
    </row>
    <row r="1936" spans="1:4" x14ac:dyDescent="0.25">
      <c r="A1936" s="24" t="s">
        <v>84</v>
      </c>
      <c r="B1936" s="24" t="s">
        <v>78</v>
      </c>
      <c r="C1936" s="32">
        <v>12.038</v>
      </c>
      <c r="D1936" s="28">
        <v>1.5277777777777777E-2</v>
      </c>
    </row>
    <row r="1937" spans="1:4" x14ac:dyDescent="0.25">
      <c r="A1937" s="24" t="s">
        <v>84</v>
      </c>
      <c r="B1937" s="24" t="s">
        <v>79</v>
      </c>
      <c r="C1937" s="32">
        <v>26.452000000000002</v>
      </c>
      <c r="D1937" s="28">
        <v>2.4999999999999998E-2</v>
      </c>
    </row>
    <row r="1938" spans="1:4" x14ac:dyDescent="0.25">
      <c r="A1938" s="24" t="s">
        <v>84</v>
      </c>
      <c r="B1938" s="24" t="s">
        <v>80</v>
      </c>
      <c r="C1938" s="32">
        <v>20.657</v>
      </c>
      <c r="D1938" s="28">
        <v>1.8055555555555557E-2</v>
      </c>
    </row>
    <row r="1939" spans="1:4" x14ac:dyDescent="0.25">
      <c r="A1939" s="24" t="s">
        <v>84</v>
      </c>
      <c r="B1939" s="24" t="s">
        <v>81</v>
      </c>
      <c r="C1939" s="32">
        <v>25.178999999999998</v>
      </c>
      <c r="D1939" s="28">
        <v>2.0833333333333332E-2</v>
      </c>
    </row>
    <row r="1940" spans="1:4" x14ac:dyDescent="0.25">
      <c r="A1940" s="24" t="s">
        <v>84</v>
      </c>
      <c r="B1940" s="24" t="s">
        <v>82</v>
      </c>
      <c r="C1940" s="32">
        <v>25.231000000000002</v>
      </c>
      <c r="D1940" s="28">
        <v>2.0833333333333332E-2</v>
      </c>
    </row>
    <row r="1941" spans="1:4" x14ac:dyDescent="0.25">
      <c r="A1941" s="24" t="s">
        <v>84</v>
      </c>
      <c r="B1941" s="24" t="s">
        <v>83</v>
      </c>
      <c r="C1941" s="32">
        <v>6.0229999999999997</v>
      </c>
      <c r="D1941" s="28">
        <v>6.9444444444444441E-3</v>
      </c>
    </row>
    <row r="1942" spans="1:4" x14ac:dyDescent="0.25">
      <c r="A1942" s="24" t="s">
        <v>84</v>
      </c>
      <c r="B1942" s="24" t="s">
        <v>84</v>
      </c>
      <c r="C1942" s="32">
        <v>0</v>
      </c>
      <c r="D1942" s="28">
        <v>0</v>
      </c>
    </row>
    <row r="1943" spans="1:4" x14ac:dyDescent="0.25">
      <c r="A1943" s="24" t="s">
        <v>84</v>
      </c>
      <c r="B1943" s="24" t="s">
        <v>85</v>
      </c>
      <c r="C1943" s="32">
        <v>2.68</v>
      </c>
      <c r="D1943" s="28">
        <v>4.1666666666666666E-3</v>
      </c>
    </row>
    <row r="1944" spans="1:4" x14ac:dyDescent="0.25">
      <c r="A1944" s="24" t="s">
        <v>84</v>
      </c>
      <c r="B1944" s="24" t="s">
        <v>86</v>
      </c>
      <c r="C1944" s="32">
        <v>3.9</v>
      </c>
      <c r="D1944" s="28">
        <v>5.5555555555555558E-3</v>
      </c>
    </row>
    <row r="1945" spans="1:4" x14ac:dyDescent="0.25">
      <c r="A1945" s="24" t="s">
        <v>84</v>
      </c>
      <c r="B1945" s="24" t="s">
        <v>87</v>
      </c>
      <c r="C1945" s="32">
        <v>4.0149999999999997</v>
      </c>
      <c r="D1945" s="28">
        <v>6.2499999999999995E-3</v>
      </c>
    </row>
    <row r="1946" spans="1:4" x14ac:dyDescent="0.25">
      <c r="A1946" s="24" t="s">
        <v>84</v>
      </c>
      <c r="B1946" s="24" t="s">
        <v>88</v>
      </c>
      <c r="C1946" s="32">
        <v>5.3940000000000001</v>
      </c>
      <c r="D1946" s="28">
        <v>7.6388888888888886E-3</v>
      </c>
    </row>
    <row r="1947" spans="1:4" x14ac:dyDescent="0.25">
      <c r="A1947" s="24" t="s">
        <v>84</v>
      </c>
      <c r="B1947" s="24" t="s">
        <v>89</v>
      </c>
      <c r="C1947" s="32">
        <v>8.6280000000000001</v>
      </c>
      <c r="D1947" s="28">
        <v>1.1805555555555555E-2</v>
      </c>
    </row>
    <row r="1948" spans="1:4" x14ac:dyDescent="0.25">
      <c r="A1948" s="24" t="s">
        <v>84</v>
      </c>
      <c r="B1948" s="24" t="s">
        <v>90</v>
      </c>
      <c r="C1948" s="32">
        <v>21.169</v>
      </c>
      <c r="D1948" s="28">
        <v>1.8749999999999999E-2</v>
      </c>
    </row>
    <row r="1949" spans="1:4" x14ac:dyDescent="0.25">
      <c r="A1949" s="24" t="s">
        <v>84</v>
      </c>
      <c r="B1949" s="24" t="s">
        <v>91</v>
      </c>
      <c r="C1949" s="32">
        <v>6.9420000000000002</v>
      </c>
      <c r="D1949" s="28">
        <v>9.7222222222222224E-3</v>
      </c>
    </row>
    <row r="1950" spans="1:4" x14ac:dyDescent="0.25">
      <c r="A1950" s="24" t="s">
        <v>84</v>
      </c>
      <c r="B1950" s="24" t="s">
        <v>92</v>
      </c>
      <c r="C1950" s="32">
        <v>18.666</v>
      </c>
      <c r="D1950" s="28">
        <v>1.7361111111111112E-2</v>
      </c>
    </row>
    <row r="1951" spans="1:4" x14ac:dyDescent="0.25">
      <c r="A1951" s="24" t="s">
        <v>84</v>
      </c>
      <c r="B1951" s="24" t="s">
        <v>93</v>
      </c>
      <c r="C1951" s="32">
        <v>42.454999999999998</v>
      </c>
      <c r="D1951" s="28">
        <v>3.0555555555555555E-2</v>
      </c>
    </row>
    <row r="1952" spans="1:4" x14ac:dyDescent="0.25">
      <c r="A1952" s="24" t="s">
        <v>84</v>
      </c>
      <c r="B1952" s="24" t="s">
        <v>94</v>
      </c>
      <c r="C1952" s="32">
        <v>43.084000000000003</v>
      </c>
      <c r="D1952" s="28">
        <v>3.125E-2</v>
      </c>
    </row>
    <row r="1953" spans="1:4" x14ac:dyDescent="0.25">
      <c r="A1953" s="24" t="s">
        <v>84</v>
      </c>
      <c r="B1953" s="24" t="s">
        <v>95</v>
      </c>
      <c r="C1953" s="32">
        <v>25.515000000000001</v>
      </c>
      <c r="D1953" s="28">
        <v>2.1527777777777781E-2</v>
      </c>
    </row>
    <row r="1954" spans="1:4" x14ac:dyDescent="0.25">
      <c r="A1954" s="24" t="s">
        <v>84</v>
      </c>
      <c r="B1954" s="24" t="s">
        <v>96</v>
      </c>
      <c r="C1954" s="32">
        <v>19.026</v>
      </c>
      <c r="D1954" s="28">
        <v>1.8749999999999999E-2</v>
      </c>
    </row>
    <row r="1955" spans="1:4" x14ac:dyDescent="0.25">
      <c r="A1955" s="24" t="s">
        <v>84</v>
      </c>
      <c r="B1955" s="24" t="s">
        <v>97</v>
      </c>
      <c r="C1955" s="32">
        <v>27.344999999999999</v>
      </c>
      <c r="D1955" s="28">
        <v>2.4999999999999998E-2</v>
      </c>
    </row>
    <row r="1956" spans="1:4" x14ac:dyDescent="0.25">
      <c r="A1956" s="24" t="s">
        <v>84</v>
      </c>
      <c r="B1956" s="24" t="s">
        <v>98</v>
      </c>
      <c r="C1956" s="32">
        <v>25.812999999999999</v>
      </c>
      <c r="D1956" s="28">
        <v>2.2916666666666669E-2</v>
      </c>
    </row>
    <row r="1957" spans="1:4" x14ac:dyDescent="0.25">
      <c r="A1957" s="24" t="s">
        <v>84</v>
      </c>
      <c r="B1957" s="24" t="s">
        <v>99</v>
      </c>
      <c r="C1957" s="32">
        <v>28.797999999999998</v>
      </c>
      <c r="D1957" s="28">
        <v>2.6388888888888889E-2</v>
      </c>
    </row>
    <row r="1958" spans="1:4" x14ac:dyDescent="0.25">
      <c r="A1958" s="24" t="s">
        <v>84</v>
      </c>
      <c r="B1958" s="24" t="s">
        <v>100</v>
      </c>
      <c r="C1958" s="32">
        <v>25.591999999999999</v>
      </c>
      <c r="D1958" s="28">
        <v>2.1527777777777781E-2</v>
      </c>
    </row>
    <row r="1959" spans="1:4" x14ac:dyDescent="0.25">
      <c r="A1959" s="24" t="s">
        <v>84</v>
      </c>
      <c r="B1959" s="24" t="s">
        <v>101</v>
      </c>
      <c r="C1959" s="32">
        <v>25.914999999999999</v>
      </c>
      <c r="D1959" s="28">
        <v>2.4305555555555556E-2</v>
      </c>
    </row>
    <row r="1960" spans="1:4" x14ac:dyDescent="0.25">
      <c r="A1960" s="24" t="s">
        <v>84</v>
      </c>
      <c r="B1960" s="24" t="s">
        <v>102</v>
      </c>
      <c r="C1960" s="32">
        <v>25.341999999999999</v>
      </c>
      <c r="D1960" s="28">
        <v>2.361111111111111E-2</v>
      </c>
    </row>
    <row r="1961" spans="1:4" x14ac:dyDescent="0.25">
      <c r="A1961" s="24" t="s">
        <v>84</v>
      </c>
      <c r="B1961" s="24" t="s">
        <v>103</v>
      </c>
      <c r="C1961" s="32">
        <v>13.551</v>
      </c>
      <c r="D1961" s="28">
        <v>1.3888888888888888E-2</v>
      </c>
    </row>
    <row r="1962" spans="1:4" x14ac:dyDescent="0.25">
      <c r="A1962" s="24" t="s">
        <v>84</v>
      </c>
      <c r="B1962" s="24" t="s">
        <v>104</v>
      </c>
      <c r="C1962" s="32">
        <v>17.545999999999999</v>
      </c>
      <c r="D1962" s="28">
        <v>1.6666666666666666E-2</v>
      </c>
    </row>
    <row r="1963" spans="1:4" x14ac:dyDescent="0.25">
      <c r="A1963" s="24" t="s">
        <v>84</v>
      </c>
      <c r="B1963" s="24" t="s">
        <v>105</v>
      </c>
      <c r="C1963" s="32">
        <v>10.706</v>
      </c>
      <c r="D1963" s="28">
        <v>1.6666666666666666E-2</v>
      </c>
    </row>
    <row r="1964" spans="1:4" x14ac:dyDescent="0.25">
      <c r="A1964" s="24" t="s">
        <v>84</v>
      </c>
      <c r="B1964" s="24" t="s">
        <v>106</v>
      </c>
      <c r="C1964" s="32">
        <v>10.781000000000001</v>
      </c>
      <c r="D1964" s="28">
        <v>1.1805555555555555E-2</v>
      </c>
    </row>
    <row r="1965" spans="1:4" x14ac:dyDescent="0.25">
      <c r="A1965" s="24" t="s">
        <v>84</v>
      </c>
      <c r="B1965" s="24" t="s">
        <v>107</v>
      </c>
      <c r="C1965" s="32">
        <v>12.042999999999999</v>
      </c>
      <c r="D1965" s="28">
        <v>1.3888888888888888E-2</v>
      </c>
    </row>
    <row r="1966" spans="1:4" x14ac:dyDescent="0.25">
      <c r="A1966" s="24" t="s">
        <v>84</v>
      </c>
      <c r="B1966" s="24" t="s">
        <v>108</v>
      </c>
      <c r="C1966" s="32">
        <v>10.429</v>
      </c>
      <c r="D1966" s="28">
        <v>1.1111111111111112E-2</v>
      </c>
    </row>
    <row r="1967" spans="1:4" x14ac:dyDescent="0.25">
      <c r="A1967" s="24" t="s">
        <v>84</v>
      </c>
      <c r="B1967" s="24" t="s">
        <v>109</v>
      </c>
      <c r="C1967" s="32">
        <v>10.459</v>
      </c>
      <c r="D1967" s="28">
        <v>1.1111111111111112E-2</v>
      </c>
    </row>
    <row r="1968" spans="1:4" x14ac:dyDescent="0.25">
      <c r="A1968" s="24" t="s">
        <v>84</v>
      </c>
      <c r="B1968" s="24" t="s">
        <v>110</v>
      </c>
      <c r="C1968" s="32">
        <v>10.308</v>
      </c>
      <c r="D1968" s="28">
        <v>1.2499999999999999E-2</v>
      </c>
    </row>
    <row r="1969" spans="1:4" x14ac:dyDescent="0.25">
      <c r="A1969" s="24" t="s">
        <v>84</v>
      </c>
      <c r="B1969" s="24" t="s">
        <v>111</v>
      </c>
      <c r="C1969" s="32">
        <v>12.305</v>
      </c>
      <c r="D1969" s="28">
        <v>1.2499999999999999E-2</v>
      </c>
    </row>
    <row r="1970" spans="1:4" x14ac:dyDescent="0.25">
      <c r="A1970" s="24" t="s">
        <v>84</v>
      </c>
      <c r="B1970" s="24" t="s">
        <v>112</v>
      </c>
      <c r="C1970" s="32">
        <v>18.875</v>
      </c>
      <c r="D1970" s="28">
        <v>1.4583333333333332E-2</v>
      </c>
    </row>
    <row r="1971" spans="1:4" x14ac:dyDescent="0.25">
      <c r="A1971" s="24" t="s">
        <v>84</v>
      </c>
      <c r="B1971" s="24" t="s">
        <v>113</v>
      </c>
      <c r="C1971" s="32">
        <v>16.007999999999999</v>
      </c>
      <c r="D1971" s="28">
        <v>1.2499999999999999E-2</v>
      </c>
    </row>
    <row r="1972" spans="1:4" x14ac:dyDescent="0.25">
      <c r="A1972" s="24" t="s">
        <v>84</v>
      </c>
      <c r="B1972" s="24" t="s">
        <v>114</v>
      </c>
      <c r="C1972" s="32">
        <v>23.724</v>
      </c>
      <c r="D1972" s="28">
        <v>1.9444444444444445E-2</v>
      </c>
    </row>
    <row r="1973" spans="1:4" x14ac:dyDescent="0.25">
      <c r="A1973" s="24" t="s">
        <v>84</v>
      </c>
      <c r="B1973" s="24" t="s">
        <v>115</v>
      </c>
      <c r="C1973" s="32">
        <v>23.574999999999999</v>
      </c>
      <c r="D1973" s="28">
        <v>1.9444444444444445E-2</v>
      </c>
    </row>
    <row r="1974" spans="1:4" x14ac:dyDescent="0.25">
      <c r="A1974" s="24" t="s">
        <v>84</v>
      </c>
      <c r="B1974" s="24" t="s">
        <v>116</v>
      </c>
      <c r="C1974" s="32">
        <v>17.748000000000001</v>
      </c>
      <c r="D1974" s="28">
        <v>1.7361111111111112E-2</v>
      </c>
    </row>
    <row r="1975" spans="1:4" x14ac:dyDescent="0.25">
      <c r="A1975" s="24" t="s">
        <v>84</v>
      </c>
      <c r="B1975" s="24" t="s">
        <v>117</v>
      </c>
      <c r="C1975" s="32">
        <v>25.018999999999998</v>
      </c>
      <c r="D1975" s="28">
        <v>2.2916666666666669E-2</v>
      </c>
    </row>
    <row r="1976" spans="1:4" x14ac:dyDescent="0.25">
      <c r="A1976" s="24" t="s">
        <v>84</v>
      </c>
      <c r="B1976" s="24" t="s">
        <v>118</v>
      </c>
      <c r="C1976" s="32">
        <v>25.712</v>
      </c>
      <c r="D1976" s="28">
        <v>1.8055555555555557E-2</v>
      </c>
    </row>
    <row r="1977" spans="1:4" x14ac:dyDescent="0.25">
      <c r="A1977" s="24" t="s">
        <v>84</v>
      </c>
      <c r="B1977" s="24" t="s">
        <v>119</v>
      </c>
      <c r="C1977" s="32">
        <v>30.95</v>
      </c>
      <c r="D1977" s="28">
        <v>1.8749999999999999E-2</v>
      </c>
    </row>
    <row r="1978" spans="1:4" x14ac:dyDescent="0.25">
      <c r="A1978" s="24" t="s">
        <v>84</v>
      </c>
      <c r="B1978" s="24" t="s">
        <v>120</v>
      </c>
      <c r="C1978" s="32">
        <v>33.74</v>
      </c>
      <c r="D1978" s="28">
        <v>2.2222222222222223E-2</v>
      </c>
    </row>
    <row r="1979" spans="1:4" x14ac:dyDescent="0.25">
      <c r="A1979" s="24" t="s">
        <v>84</v>
      </c>
      <c r="B1979" s="24" t="s">
        <v>121</v>
      </c>
      <c r="C1979" s="32">
        <v>48.091000000000001</v>
      </c>
      <c r="D1979" s="28">
        <v>2.8472222222222222E-2</v>
      </c>
    </row>
    <row r="1980" spans="1:4" x14ac:dyDescent="0.25">
      <c r="A1980" s="24" t="s">
        <v>84</v>
      </c>
      <c r="B1980" s="24" t="s">
        <v>122</v>
      </c>
      <c r="C1980" s="32">
        <v>45.965000000000003</v>
      </c>
      <c r="D1980" s="28">
        <v>2.9166666666666664E-2</v>
      </c>
    </row>
    <row r="1981" spans="1:4" x14ac:dyDescent="0.25">
      <c r="A1981" s="24" t="s">
        <v>84</v>
      </c>
      <c r="B1981" s="24" t="s">
        <v>123</v>
      </c>
      <c r="C1981" s="32">
        <v>41.676000000000002</v>
      </c>
      <c r="D1981" s="28">
        <v>2.4999999999999998E-2</v>
      </c>
    </row>
    <row r="1982" spans="1:4" x14ac:dyDescent="0.25">
      <c r="A1982" s="24" t="s">
        <v>84</v>
      </c>
      <c r="B1982" s="24" t="s">
        <v>124</v>
      </c>
      <c r="C1982" s="32">
        <v>41.676000000000002</v>
      </c>
      <c r="D1982" s="28">
        <v>2.4999999999999998E-2</v>
      </c>
    </row>
    <row r="1983" spans="1:4" x14ac:dyDescent="0.25">
      <c r="A1983" s="24" t="s">
        <v>84</v>
      </c>
      <c r="B1983" s="24" t="s">
        <v>125</v>
      </c>
      <c r="C1983" s="32">
        <v>9.2720000000000002</v>
      </c>
      <c r="D1983" s="28">
        <v>1.2499999999999999E-2</v>
      </c>
    </row>
    <row r="1984" spans="1:4" x14ac:dyDescent="0.25">
      <c r="A1984" s="24" t="s">
        <v>84</v>
      </c>
      <c r="B1984" s="24" t="s">
        <v>126</v>
      </c>
      <c r="C1984" s="32">
        <v>9.01</v>
      </c>
      <c r="D1984" s="28">
        <v>1.1111111111111112E-2</v>
      </c>
    </row>
    <row r="1985" spans="1:4" x14ac:dyDescent="0.25">
      <c r="A1985" s="24" t="s">
        <v>84</v>
      </c>
      <c r="B1985" s="24" t="s">
        <v>127</v>
      </c>
      <c r="C1985" s="32">
        <v>9.7550000000000008</v>
      </c>
      <c r="D1985" s="28">
        <v>1.2499999999999999E-2</v>
      </c>
    </row>
    <row r="1986" spans="1:4" x14ac:dyDescent="0.25">
      <c r="A1986" s="24" t="s">
        <v>84</v>
      </c>
      <c r="B1986" s="24" t="s">
        <v>128</v>
      </c>
      <c r="C1986" s="32">
        <v>8.8469999999999995</v>
      </c>
      <c r="D1986" s="28">
        <v>1.1111111111111112E-2</v>
      </c>
    </row>
    <row r="1987" spans="1:4" x14ac:dyDescent="0.25">
      <c r="A1987" s="24" t="s">
        <v>84</v>
      </c>
      <c r="B1987" s="24" t="s">
        <v>129</v>
      </c>
      <c r="C1987" s="32">
        <v>8.8469999999999995</v>
      </c>
      <c r="D1987" s="28">
        <v>1.1111111111111112E-2</v>
      </c>
    </row>
    <row r="1988" spans="1:4" x14ac:dyDescent="0.25">
      <c r="A1988" s="24" t="s">
        <v>84</v>
      </c>
      <c r="B1988" s="24" t="s">
        <v>130</v>
      </c>
      <c r="C1988" s="32">
        <v>9.673</v>
      </c>
      <c r="D1988" s="28">
        <v>1.3194444444444444E-2</v>
      </c>
    </row>
    <row r="1989" spans="1:4" x14ac:dyDescent="0.25">
      <c r="A1989" s="24" t="s">
        <v>84</v>
      </c>
      <c r="B1989" s="24" t="s">
        <v>131</v>
      </c>
      <c r="C1989" s="32">
        <v>12.144</v>
      </c>
      <c r="D1989" s="28">
        <v>1.5972222222222224E-2</v>
      </c>
    </row>
    <row r="1990" spans="1:4" x14ac:dyDescent="0.25">
      <c r="A1990" s="24" t="s">
        <v>84</v>
      </c>
      <c r="B1990" s="24" t="s">
        <v>132</v>
      </c>
      <c r="C1990" s="32">
        <v>11.923</v>
      </c>
      <c r="D1990" s="28">
        <v>1.5277777777777777E-2</v>
      </c>
    </row>
    <row r="1991" spans="1:4" x14ac:dyDescent="0.25">
      <c r="A1991" s="24" t="s">
        <v>84</v>
      </c>
      <c r="B1991" s="24" t="s">
        <v>133</v>
      </c>
      <c r="C1991" s="32">
        <v>5.8259999999999996</v>
      </c>
      <c r="D1991" s="28">
        <v>6.9444444444444441E-3</v>
      </c>
    </row>
    <row r="1992" spans="1:4" x14ac:dyDescent="0.25">
      <c r="A1992" s="24" t="s">
        <v>84</v>
      </c>
      <c r="B1992" s="24" t="s">
        <v>134</v>
      </c>
      <c r="C1992" s="32">
        <v>5.36</v>
      </c>
      <c r="D1992" s="28">
        <v>5.5555555555555558E-3</v>
      </c>
    </row>
    <row r="1993" spans="1:4" x14ac:dyDescent="0.25">
      <c r="A1993" s="24" t="s">
        <v>84</v>
      </c>
      <c r="B1993" s="24" t="s">
        <v>135</v>
      </c>
      <c r="C1993" s="32">
        <v>5.99</v>
      </c>
      <c r="D1993" s="28">
        <v>5.5555555555555558E-3</v>
      </c>
    </row>
    <row r="1994" spans="1:4" x14ac:dyDescent="0.25">
      <c r="A1994" s="24" t="s">
        <v>84</v>
      </c>
      <c r="B1994" s="24" t="s">
        <v>136</v>
      </c>
      <c r="C1994" s="32">
        <v>5.99</v>
      </c>
      <c r="D1994" s="28">
        <v>5.5555555555555558E-3</v>
      </c>
    </row>
    <row r="1995" spans="1:4" x14ac:dyDescent="0.25">
      <c r="A1995" s="24" t="s">
        <v>84</v>
      </c>
      <c r="B1995" s="24" t="s">
        <v>137</v>
      </c>
      <c r="C1995" s="32">
        <v>5.5990000000000002</v>
      </c>
      <c r="D1995" s="28">
        <v>5.5555555555555558E-3</v>
      </c>
    </row>
    <row r="1996" spans="1:4" x14ac:dyDescent="0.25">
      <c r="A1996" s="24" t="s">
        <v>84</v>
      </c>
      <c r="B1996" s="24" t="s">
        <v>138</v>
      </c>
      <c r="C1996" s="32">
        <v>12.013999999999999</v>
      </c>
      <c r="D1996" s="28">
        <v>8.3333333333333332E-3</v>
      </c>
    </row>
    <row r="1997" spans="1:4" x14ac:dyDescent="0.25">
      <c r="A1997" s="24" t="s">
        <v>84</v>
      </c>
      <c r="B1997" s="24" t="s">
        <v>139</v>
      </c>
      <c r="C1997" s="32">
        <v>22.132000000000001</v>
      </c>
      <c r="D1997" s="28">
        <v>1.3888888888888888E-2</v>
      </c>
    </row>
    <row r="1998" spans="1:4" x14ac:dyDescent="0.25">
      <c r="A1998" s="24" t="s">
        <v>84</v>
      </c>
      <c r="B1998" s="24" t="s">
        <v>140</v>
      </c>
      <c r="C1998" s="32">
        <v>17.768999999999998</v>
      </c>
      <c r="D1998" s="28">
        <v>1.4583333333333332E-2</v>
      </c>
    </row>
    <row r="1999" spans="1:4" x14ac:dyDescent="0.25">
      <c r="A1999" s="24" t="s">
        <v>84</v>
      </c>
      <c r="B1999" s="24" t="s">
        <v>141</v>
      </c>
      <c r="C1999" s="32">
        <v>46.843000000000004</v>
      </c>
      <c r="D1999" s="28">
        <v>3.3333333333333333E-2</v>
      </c>
    </row>
    <row r="2000" spans="1:4" x14ac:dyDescent="0.25">
      <c r="A2000" s="24" t="s">
        <v>84</v>
      </c>
      <c r="B2000" s="24" t="s">
        <v>142</v>
      </c>
      <c r="C2000" s="32">
        <v>35.39</v>
      </c>
      <c r="D2000" s="28">
        <v>2.6388888888888889E-2</v>
      </c>
    </row>
    <row r="2001" spans="1:4" x14ac:dyDescent="0.25">
      <c r="A2001" s="24" t="s">
        <v>84</v>
      </c>
      <c r="B2001" s="24" t="s">
        <v>143</v>
      </c>
      <c r="C2001" s="32">
        <v>63.308999999999997</v>
      </c>
      <c r="D2001" s="28">
        <v>3.2638888888888891E-2</v>
      </c>
    </row>
    <row r="2002" spans="1:4" x14ac:dyDescent="0.25">
      <c r="A2002" s="24" t="s">
        <v>84</v>
      </c>
      <c r="B2002" s="24" t="s">
        <v>144</v>
      </c>
      <c r="C2002" s="32">
        <v>82.424999999999997</v>
      </c>
      <c r="D2002" s="28">
        <v>4.3750000000000004E-2</v>
      </c>
    </row>
    <row r="2003" spans="1:4" x14ac:dyDescent="0.25">
      <c r="A2003" s="24" t="s">
        <v>84</v>
      </c>
      <c r="B2003" s="24" t="s">
        <v>145</v>
      </c>
      <c r="C2003" s="32">
        <v>26.814</v>
      </c>
      <c r="D2003" s="28">
        <v>1.6666666666666666E-2</v>
      </c>
    </row>
    <row r="2004" spans="1:4" x14ac:dyDescent="0.25">
      <c r="A2004" s="24" t="s">
        <v>84</v>
      </c>
      <c r="B2004" s="24" t="s">
        <v>146</v>
      </c>
      <c r="C2004" s="32">
        <v>42.273000000000003</v>
      </c>
      <c r="D2004" s="28">
        <v>2.4305555555555556E-2</v>
      </c>
    </row>
    <row r="2005" spans="1:4" x14ac:dyDescent="0.25">
      <c r="A2005" s="24" t="s">
        <v>84</v>
      </c>
      <c r="B2005" s="24" t="s">
        <v>147</v>
      </c>
      <c r="C2005" s="32">
        <v>12.807</v>
      </c>
      <c r="D2005" s="28">
        <v>1.2499999999999999E-2</v>
      </c>
    </row>
    <row r="2006" spans="1:4" x14ac:dyDescent="0.25">
      <c r="A2006" s="24" t="s">
        <v>84</v>
      </c>
      <c r="B2006" s="24" t="s">
        <v>148</v>
      </c>
      <c r="C2006" s="32">
        <v>10.884</v>
      </c>
      <c r="D2006" s="28">
        <v>1.2499999999999999E-2</v>
      </c>
    </row>
    <row r="2007" spans="1:4" x14ac:dyDescent="0.25">
      <c r="A2007" s="24" t="s">
        <v>84</v>
      </c>
      <c r="B2007" s="24" t="s">
        <v>149</v>
      </c>
      <c r="C2007" s="32">
        <v>12.45</v>
      </c>
      <c r="D2007" s="28">
        <v>1.5277777777777777E-2</v>
      </c>
    </row>
    <row r="2008" spans="1:4" x14ac:dyDescent="0.25">
      <c r="A2008" s="24" t="s">
        <v>84</v>
      </c>
      <c r="B2008" s="24" t="s">
        <v>150</v>
      </c>
      <c r="C2008" s="32">
        <v>20.37</v>
      </c>
      <c r="D2008" s="28">
        <v>2.2916666666666669E-2</v>
      </c>
    </row>
    <row r="2009" spans="1:4" x14ac:dyDescent="0.25">
      <c r="A2009" s="24" t="s">
        <v>84</v>
      </c>
      <c r="B2009" s="24" t="s">
        <v>151</v>
      </c>
      <c r="C2009" s="32">
        <v>19.628</v>
      </c>
      <c r="D2009" s="28">
        <v>2.2916666666666669E-2</v>
      </c>
    </row>
    <row r="2010" spans="1:4" x14ac:dyDescent="0.25">
      <c r="A2010" s="24" t="s">
        <v>84</v>
      </c>
      <c r="B2010" s="24" t="s">
        <v>152</v>
      </c>
      <c r="C2010" s="32">
        <v>26.573</v>
      </c>
      <c r="D2010" s="28">
        <v>2.7083333333333334E-2</v>
      </c>
    </row>
    <row r="2011" spans="1:4" x14ac:dyDescent="0.25">
      <c r="A2011" s="24" t="s">
        <v>84</v>
      </c>
      <c r="B2011" s="24" t="s">
        <v>153</v>
      </c>
      <c r="C2011" s="32">
        <v>29.635000000000002</v>
      </c>
      <c r="D2011" s="28">
        <v>3.1944444444444449E-2</v>
      </c>
    </row>
    <row r="2012" spans="1:4" x14ac:dyDescent="0.25">
      <c r="A2012" s="24" t="s">
        <v>84</v>
      </c>
      <c r="B2012" s="24" t="s">
        <v>154</v>
      </c>
      <c r="C2012" s="32">
        <v>24.045000000000002</v>
      </c>
      <c r="D2012" s="28">
        <v>2.5694444444444447E-2</v>
      </c>
    </row>
    <row r="2013" spans="1:4" x14ac:dyDescent="0.25">
      <c r="A2013" s="24" t="s">
        <v>84</v>
      </c>
      <c r="B2013" s="24" t="s">
        <v>155</v>
      </c>
      <c r="C2013" s="32">
        <v>20.097000000000001</v>
      </c>
      <c r="D2013" s="28">
        <v>2.2916666666666669E-2</v>
      </c>
    </row>
    <row r="2014" spans="1:4" x14ac:dyDescent="0.25">
      <c r="A2014" s="24" t="s">
        <v>84</v>
      </c>
      <c r="B2014" s="24" t="s">
        <v>156</v>
      </c>
      <c r="C2014" s="32">
        <v>20.081</v>
      </c>
      <c r="D2014" s="28">
        <v>2.2916666666666669E-2</v>
      </c>
    </row>
    <row r="2015" spans="1:4" x14ac:dyDescent="0.25">
      <c r="A2015" s="24" t="s">
        <v>84</v>
      </c>
      <c r="B2015" s="24" t="s">
        <v>157</v>
      </c>
      <c r="C2015" s="32">
        <v>30.744</v>
      </c>
      <c r="D2015" s="28">
        <v>2.8472222222222222E-2</v>
      </c>
    </row>
    <row r="2016" spans="1:4" x14ac:dyDescent="0.25">
      <c r="A2016" s="24" t="s">
        <v>84</v>
      </c>
      <c r="B2016" s="24" t="s">
        <v>158</v>
      </c>
      <c r="C2016" s="32">
        <v>41.497999999999998</v>
      </c>
      <c r="D2016" s="28">
        <v>3.6111111111111115E-2</v>
      </c>
    </row>
    <row r="2017" spans="1:4" x14ac:dyDescent="0.25">
      <c r="A2017" s="24" t="s">
        <v>84</v>
      </c>
      <c r="B2017" s="24" t="s">
        <v>159</v>
      </c>
      <c r="C2017" s="32">
        <v>46.868000000000002</v>
      </c>
      <c r="D2017" s="28">
        <v>4.1666666666666664E-2</v>
      </c>
    </row>
    <row r="2018" spans="1:4" x14ac:dyDescent="0.25">
      <c r="A2018" s="24" t="s">
        <v>85</v>
      </c>
      <c r="B2018" s="24" t="s">
        <v>65</v>
      </c>
      <c r="C2018" s="32">
        <v>17.994</v>
      </c>
      <c r="D2018" s="28">
        <v>1.5972222222222224E-2</v>
      </c>
    </row>
    <row r="2019" spans="1:4" x14ac:dyDescent="0.25">
      <c r="A2019" s="24" t="s">
        <v>85</v>
      </c>
      <c r="B2019" s="24" t="s">
        <v>64</v>
      </c>
      <c r="C2019" s="32">
        <v>5.9809999999999999</v>
      </c>
      <c r="D2019" s="28">
        <v>8.3333333333333332E-3</v>
      </c>
    </row>
    <row r="2020" spans="1:4" x14ac:dyDescent="0.25">
      <c r="A2020" s="24" t="s">
        <v>85</v>
      </c>
      <c r="B2020" s="24" t="s">
        <v>66</v>
      </c>
      <c r="C2020" s="32">
        <v>10.260999999999999</v>
      </c>
      <c r="D2020" s="28">
        <v>1.1805555555555555E-2</v>
      </c>
    </row>
    <row r="2021" spans="1:4" x14ac:dyDescent="0.25">
      <c r="A2021" s="24" t="s">
        <v>85</v>
      </c>
      <c r="B2021" s="24" t="s">
        <v>67</v>
      </c>
      <c r="C2021" s="32">
        <v>6.83</v>
      </c>
      <c r="D2021" s="28">
        <v>9.7222222222222224E-3</v>
      </c>
    </row>
    <row r="2022" spans="1:4" x14ac:dyDescent="0.25">
      <c r="A2022" s="24" t="s">
        <v>85</v>
      </c>
      <c r="B2022" s="24" t="s">
        <v>68</v>
      </c>
      <c r="C2022" s="32">
        <v>9.8989999999999991</v>
      </c>
      <c r="D2022" s="28">
        <v>1.1111111111111112E-2</v>
      </c>
    </row>
    <row r="2023" spans="1:4" x14ac:dyDescent="0.25">
      <c r="A2023" s="24" t="s">
        <v>85</v>
      </c>
      <c r="B2023" s="24" t="s">
        <v>69</v>
      </c>
      <c r="C2023" s="32">
        <v>8.8420000000000005</v>
      </c>
      <c r="D2023" s="28">
        <v>1.1805555555555555E-2</v>
      </c>
    </row>
    <row r="2024" spans="1:4" x14ac:dyDescent="0.25">
      <c r="A2024" s="24" t="s">
        <v>85</v>
      </c>
      <c r="B2024" s="24" t="s">
        <v>70</v>
      </c>
      <c r="C2024" s="32">
        <v>10.363</v>
      </c>
      <c r="D2024" s="28">
        <v>1.1805555555555555E-2</v>
      </c>
    </row>
    <row r="2025" spans="1:4" x14ac:dyDescent="0.25">
      <c r="A2025" s="24" t="s">
        <v>85</v>
      </c>
      <c r="B2025" s="24" t="s">
        <v>71</v>
      </c>
      <c r="C2025" s="32">
        <v>7.2009999999999996</v>
      </c>
      <c r="D2025" s="28">
        <v>1.1111111111111112E-2</v>
      </c>
    </row>
    <row r="2026" spans="1:4" x14ac:dyDescent="0.25">
      <c r="A2026" s="24" t="s">
        <v>85</v>
      </c>
      <c r="B2026" s="24" t="s">
        <v>72</v>
      </c>
      <c r="C2026" s="32">
        <v>9.4990000000000006</v>
      </c>
      <c r="D2026" s="28">
        <v>1.1111111111111112E-2</v>
      </c>
    </row>
    <row r="2027" spans="1:4" x14ac:dyDescent="0.25">
      <c r="A2027" s="24" t="s">
        <v>85</v>
      </c>
      <c r="B2027" s="24" t="s">
        <v>73</v>
      </c>
      <c r="C2027" s="32">
        <v>5.75</v>
      </c>
      <c r="D2027" s="28">
        <v>8.3333333333333332E-3</v>
      </c>
    </row>
    <row r="2028" spans="1:4" x14ac:dyDescent="0.25">
      <c r="A2028" s="24" t="s">
        <v>85</v>
      </c>
      <c r="B2028" s="24" t="s">
        <v>74</v>
      </c>
      <c r="C2028" s="32">
        <v>5.4539999999999997</v>
      </c>
      <c r="D2028" s="28">
        <v>8.3333333333333332E-3</v>
      </c>
    </row>
    <row r="2029" spans="1:4" x14ac:dyDescent="0.25">
      <c r="A2029" s="24" t="s">
        <v>85</v>
      </c>
      <c r="B2029" s="24" t="s">
        <v>75</v>
      </c>
      <c r="C2029" s="32">
        <v>4.49</v>
      </c>
      <c r="D2029" s="28">
        <v>6.2499999999999995E-3</v>
      </c>
    </row>
    <row r="2030" spans="1:4" x14ac:dyDescent="0.25">
      <c r="A2030" s="24" t="s">
        <v>85</v>
      </c>
      <c r="B2030" s="24" t="s">
        <v>76</v>
      </c>
      <c r="C2030" s="32">
        <v>8.5969999999999995</v>
      </c>
      <c r="D2030" s="28">
        <v>1.2499999999999999E-2</v>
      </c>
    </row>
    <row r="2031" spans="1:4" x14ac:dyDescent="0.25">
      <c r="A2031" s="24" t="s">
        <v>85</v>
      </c>
      <c r="B2031" s="24" t="s">
        <v>77</v>
      </c>
      <c r="C2031" s="32">
        <v>14.711</v>
      </c>
      <c r="D2031" s="28">
        <v>1.3194444444444444E-2</v>
      </c>
    </row>
    <row r="2032" spans="1:4" x14ac:dyDescent="0.25">
      <c r="A2032" s="24" t="s">
        <v>85</v>
      </c>
      <c r="B2032" s="24" t="s">
        <v>78</v>
      </c>
      <c r="C2032" s="32">
        <v>12.965</v>
      </c>
      <c r="D2032" s="28">
        <v>1.5277777777777777E-2</v>
      </c>
    </row>
    <row r="2033" spans="1:4" x14ac:dyDescent="0.25">
      <c r="A2033" s="24" t="s">
        <v>85</v>
      </c>
      <c r="B2033" s="24" t="s">
        <v>79</v>
      </c>
      <c r="C2033" s="32">
        <v>26.172000000000001</v>
      </c>
      <c r="D2033" s="28">
        <v>2.4305555555555556E-2</v>
      </c>
    </row>
    <row r="2034" spans="1:4" x14ac:dyDescent="0.25">
      <c r="A2034" s="24" t="s">
        <v>85</v>
      </c>
      <c r="B2034" s="24" t="s">
        <v>80</v>
      </c>
      <c r="C2034" s="32">
        <v>21.285</v>
      </c>
      <c r="D2034" s="28">
        <v>1.8749999999999999E-2</v>
      </c>
    </row>
    <row r="2035" spans="1:4" x14ac:dyDescent="0.25">
      <c r="A2035" s="24" t="s">
        <v>85</v>
      </c>
      <c r="B2035" s="24" t="s">
        <v>81</v>
      </c>
      <c r="C2035" s="32">
        <v>25.806999999999999</v>
      </c>
      <c r="D2035" s="28">
        <v>2.0833333333333332E-2</v>
      </c>
    </row>
    <row r="2036" spans="1:4" x14ac:dyDescent="0.25">
      <c r="A2036" s="24" t="s">
        <v>85</v>
      </c>
      <c r="B2036" s="24" t="s">
        <v>82</v>
      </c>
      <c r="C2036" s="32">
        <v>25.859000000000002</v>
      </c>
      <c r="D2036" s="28">
        <v>2.0833333333333332E-2</v>
      </c>
    </row>
    <row r="2037" spans="1:4" x14ac:dyDescent="0.25">
      <c r="A2037" s="24" t="s">
        <v>85</v>
      </c>
      <c r="B2037" s="24" t="s">
        <v>83</v>
      </c>
      <c r="C2037" s="32">
        <v>6.6509999999999998</v>
      </c>
      <c r="D2037" s="28">
        <v>7.6388888888888886E-3</v>
      </c>
    </row>
    <row r="2038" spans="1:4" x14ac:dyDescent="0.25">
      <c r="A2038" s="24" t="s">
        <v>85</v>
      </c>
      <c r="B2038" s="24" t="s">
        <v>84</v>
      </c>
      <c r="C2038" s="32">
        <v>1.647</v>
      </c>
      <c r="D2038" s="28">
        <v>2.7777777777777779E-3</v>
      </c>
    </row>
    <row r="2039" spans="1:4" x14ac:dyDescent="0.25">
      <c r="A2039" s="24" t="s">
        <v>85</v>
      </c>
      <c r="B2039" s="24" t="s">
        <v>85</v>
      </c>
      <c r="C2039" s="32">
        <v>0</v>
      </c>
      <c r="D2039" s="28">
        <v>0</v>
      </c>
    </row>
    <row r="2040" spans="1:4" x14ac:dyDescent="0.25">
      <c r="A2040" s="24" t="s">
        <v>85</v>
      </c>
      <c r="B2040" s="24" t="s">
        <v>86</v>
      </c>
      <c r="C2040" s="32">
        <v>5.319</v>
      </c>
      <c r="D2040" s="28">
        <v>6.2499999999999995E-3</v>
      </c>
    </row>
    <row r="2041" spans="1:4" x14ac:dyDescent="0.25">
      <c r="A2041" s="24" t="s">
        <v>85</v>
      </c>
      <c r="B2041" s="24" t="s">
        <v>87</v>
      </c>
      <c r="C2041" s="32">
        <v>5.4619999999999997</v>
      </c>
      <c r="D2041" s="28">
        <v>6.9444444444444441E-3</v>
      </c>
    </row>
    <row r="2042" spans="1:4" x14ac:dyDescent="0.25">
      <c r="A2042" s="24" t="s">
        <v>85</v>
      </c>
      <c r="B2042" s="24" t="s">
        <v>88</v>
      </c>
      <c r="C2042" s="32">
        <v>6.8129999999999997</v>
      </c>
      <c r="D2042" s="28">
        <v>8.3333333333333332E-3</v>
      </c>
    </row>
    <row r="2043" spans="1:4" x14ac:dyDescent="0.25">
      <c r="A2043" s="24" t="s">
        <v>85</v>
      </c>
      <c r="B2043" s="24" t="s">
        <v>89</v>
      </c>
      <c r="C2043" s="32">
        <v>9.2560000000000002</v>
      </c>
      <c r="D2043" s="28">
        <v>1.2499999999999999E-2</v>
      </c>
    </row>
    <row r="2044" spans="1:4" x14ac:dyDescent="0.25">
      <c r="A2044" s="24" t="s">
        <v>85</v>
      </c>
      <c r="B2044" s="24" t="s">
        <v>90</v>
      </c>
      <c r="C2044" s="32">
        <v>21.228000000000002</v>
      </c>
      <c r="D2044" s="28">
        <v>1.8749999999999999E-2</v>
      </c>
    </row>
    <row r="2045" spans="1:4" x14ac:dyDescent="0.25">
      <c r="A2045" s="24" t="s">
        <v>85</v>
      </c>
      <c r="B2045" s="24" t="s">
        <v>91</v>
      </c>
      <c r="C2045" s="32">
        <v>8.1489999999999991</v>
      </c>
      <c r="D2045" s="28">
        <v>1.0416666666666666E-2</v>
      </c>
    </row>
    <row r="2046" spans="1:4" x14ac:dyDescent="0.25">
      <c r="A2046" s="24" t="s">
        <v>85</v>
      </c>
      <c r="B2046" s="24" t="s">
        <v>92</v>
      </c>
      <c r="C2046" s="32">
        <v>19.294</v>
      </c>
      <c r="D2046" s="28">
        <v>1.8055555555555557E-2</v>
      </c>
    </row>
    <row r="2047" spans="1:4" x14ac:dyDescent="0.25">
      <c r="A2047" s="24" t="s">
        <v>85</v>
      </c>
      <c r="B2047" s="24" t="s">
        <v>93</v>
      </c>
      <c r="C2047" s="32">
        <v>43.082999999999998</v>
      </c>
      <c r="D2047" s="28">
        <v>3.125E-2</v>
      </c>
    </row>
    <row r="2048" spans="1:4" x14ac:dyDescent="0.25">
      <c r="A2048" s="24" t="s">
        <v>85</v>
      </c>
      <c r="B2048" s="24" t="s">
        <v>94</v>
      </c>
      <c r="C2048" s="32">
        <v>43.712000000000003</v>
      </c>
      <c r="D2048" s="28">
        <v>3.125E-2</v>
      </c>
    </row>
    <row r="2049" spans="1:4" x14ac:dyDescent="0.25">
      <c r="A2049" s="24" t="s">
        <v>85</v>
      </c>
      <c r="B2049" s="24" t="s">
        <v>95</v>
      </c>
      <c r="C2049" s="32">
        <v>26.712</v>
      </c>
      <c r="D2049" s="28">
        <v>2.2222222222222223E-2</v>
      </c>
    </row>
    <row r="2050" spans="1:4" x14ac:dyDescent="0.25">
      <c r="A2050" s="24" t="s">
        <v>85</v>
      </c>
      <c r="B2050" s="24" t="s">
        <v>96</v>
      </c>
      <c r="C2050" s="32">
        <v>19.87</v>
      </c>
      <c r="D2050" s="28">
        <v>1.8749999999999999E-2</v>
      </c>
    </row>
    <row r="2051" spans="1:4" x14ac:dyDescent="0.25">
      <c r="A2051" s="24" t="s">
        <v>85</v>
      </c>
      <c r="B2051" s="24" t="s">
        <v>97</v>
      </c>
      <c r="C2051" s="32">
        <v>28.189</v>
      </c>
      <c r="D2051" s="28">
        <v>2.4999999999999998E-2</v>
      </c>
    </row>
    <row r="2052" spans="1:4" x14ac:dyDescent="0.25">
      <c r="A2052" s="24" t="s">
        <v>85</v>
      </c>
      <c r="B2052" s="24" t="s">
        <v>98</v>
      </c>
      <c r="C2052" s="32">
        <v>26.657</v>
      </c>
      <c r="D2052" s="28">
        <v>2.361111111111111E-2</v>
      </c>
    </row>
    <row r="2053" spans="1:4" x14ac:dyDescent="0.25">
      <c r="A2053" s="24" t="s">
        <v>85</v>
      </c>
      <c r="B2053" s="24" t="s">
        <v>99</v>
      </c>
      <c r="C2053" s="32">
        <v>29.641999999999999</v>
      </c>
      <c r="D2053" s="28">
        <v>2.7083333333333334E-2</v>
      </c>
    </row>
    <row r="2054" spans="1:4" x14ac:dyDescent="0.25">
      <c r="A2054" s="24" t="s">
        <v>85</v>
      </c>
      <c r="B2054" s="24" t="s">
        <v>100</v>
      </c>
      <c r="C2054" s="32">
        <v>26.22</v>
      </c>
      <c r="D2054" s="28">
        <v>2.2222222222222223E-2</v>
      </c>
    </row>
    <row r="2055" spans="1:4" x14ac:dyDescent="0.25">
      <c r="A2055" s="24" t="s">
        <v>85</v>
      </c>
      <c r="B2055" s="24" t="s">
        <v>101</v>
      </c>
      <c r="C2055" s="32">
        <v>26.759</v>
      </c>
      <c r="D2055" s="28">
        <v>2.4999999999999998E-2</v>
      </c>
    </row>
    <row r="2056" spans="1:4" x14ac:dyDescent="0.25">
      <c r="A2056" s="24" t="s">
        <v>85</v>
      </c>
      <c r="B2056" s="24" t="s">
        <v>102</v>
      </c>
      <c r="C2056" s="32">
        <v>26.186</v>
      </c>
      <c r="D2056" s="28">
        <v>2.4305555555555556E-2</v>
      </c>
    </row>
    <row r="2057" spans="1:4" x14ac:dyDescent="0.25">
      <c r="A2057" s="24" t="s">
        <v>85</v>
      </c>
      <c r="B2057" s="24" t="s">
        <v>103</v>
      </c>
      <c r="C2057" s="32">
        <v>14.179</v>
      </c>
      <c r="D2057" s="28">
        <v>1.3888888888888888E-2</v>
      </c>
    </row>
    <row r="2058" spans="1:4" x14ac:dyDescent="0.25">
      <c r="A2058" s="24" t="s">
        <v>85</v>
      </c>
      <c r="B2058" s="24" t="s">
        <v>104</v>
      </c>
      <c r="C2058" s="32">
        <v>18.173999999999999</v>
      </c>
      <c r="D2058" s="28">
        <v>1.6666666666666666E-2</v>
      </c>
    </row>
    <row r="2059" spans="1:4" x14ac:dyDescent="0.25">
      <c r="A2059" s="24" t="s">
        <v>85</v>
      </c>
      <c r="B2059" s="24" t="s">
        <v>105</v>
      </c>
      <c r="C2059" s="32">
        <v>11.334</v>
      </c>
      <c r="D2059" s="28">
        <v>1.6666666666666666E-2</v>
      </c>
    </row>
    <row r="2060" spans="1:4" x14ac:dyDescent="0.25">
      <c r="A2060" s="24" t="s">
        <v>85</v>
      </c>
      <c r="B2060" s="24" t="s">
        <v>106</v>
      </c>
      <c r="C2060" s="32">
        <v>11.409000000000001</v>
      </c>
      <c r="D2060" s="28">
        <v>1.1805555555555555E-2</v>
      </c>
    </row>
    <row r="2061" spans="1:4" x14ac:dyDescent="0.25">
      <c r="A2061" s="24" t="s">
        <v>85</v>
      </c>
      <c r="B2061" s="24" t="s">
        <v>107</v>
      </c>
      <c r="C2061" s="32">
        <v>11.641</v>
      </c>
      <c r="D2061" s="28">
        <v>1.2499999999999999E-2</v>
      </c>
    </row>
    <row r="2062" spans="1:4" x14ac:dyDescent="0.25">
      <c r="A2062" s="24" t="s">
        <v>85</v>
      </c>
      <c r="B2062" s="24" t="s">
        <v>108</v>
      </c>
      <c r="C2062" s="32">
        <v>10.026999999999999</v>
      </c>
      <c r="D2062" s="28">
        <v>9.7222222222222224E-3</v>
      </c>
    </row>
    <row r="2063" spans="1:4" x14ac:dyDescent="0.25">
      <c r="A2063" s="24" t="s">
        <v>85</v>
      </c>
      <c r="B2063" s="24" t="s">
        <v>109</v>
      </c>
      <c r="C2063" s="32">
        <v>10.057</v>
      </c>
      <c r="D2063" s="28">
        <v>9.7222222222222224E-3</v>
      </c>
    </row>
    <row r="2064" spans="1:4" x14ac:dyDescent="0.25">
      <c r="A2064" s="24" t="s">
        <v>85</v>
      </c>
      <c r="B2064" s="24" t="s">
        <v>110</v>
      </c>
      <c r="C2064" s="32">
        <v>10.936</v>
      </c>
      <c r="D2064" s="28">
        <v>1.2499999999999999E-2</v>
      </c>
    </row>
    <row r="2065" spans="1:4" x14ac:dyDescent="0.25">
      <c r="A2065" s="24" t="s">
        <v>85</v>
      </c>
      <c r="B2065" s="24" t="s">
        <v>111</v>
      </c>
      <c r="C2065" s="32">
        <v>12.933</v>
      </c>
      <c r="D2065" s="28">
        <v>1.3194444444444444E-2</v>
      </c>
    </row>
    <row r="2066" spans="1:4" x14ac:dyDescent="0.25">
      <c r="A2066" s="24" t="s">
        <v>85</v>
      </c>
      <c r="B2066" s="24" t="s">
        <v>112</v>
      </c>
      <c r="C2066" s="32">
        <v>12.621</v>
      </c>
      <c r="D2066" s="28">
        <v>1.4583333333333332E-2</v>
      </c>
    </row>
    <row r="2067" spans="1:4" x14ac:dyDescent="0.25">
      <c r="A2067" s="24" t="s">
        <v>85</v>
      </c>
      <c r="B2067" s="24" t="s">
        <v>113</v>
      </c>
      <c r="C2067" s="32">
        <v>15.474</v>
      </c>
      <c r="D2067" s="28">
        <v>1.2499999999999999E-2</v>
      </c>
    </row>
    <row r="2068" spans="1:4" x14ac:dyDescent="0.25">
      <c r="A2068" s="24" t="s">
        <v>85</v>
      </c>
      <c r="B2068" s="24" t="s">
        <v>114</v>
      </c>
      <c r="C2068" s="32">
        <v>24.352</v>
      </c>
      <c r="D2068" s="28">
        <v>1.9444444444444445E-2</v>
      </c>
    </row>
    <row r="2069" spans="1:4" x14ac:dyDescent="0.25">
      <c r="A2069" s="24" t="s">
        <v>85</v>
      </c>
      <c r="B2069" s="24" t="s">
        <v>115</v>
      </c>
      <c r="C2069" s="32">
        <v>24.202999999999999</v>
      </c>
      <c r="D2069" s="28">
        <v>2.013888888888889E-2</v>
      </c>
    </row>
    <row r="2070" spans="1:4" x14ac:dyDescent="0.25">
      <c r="A2070" s="24" t="s">
        <v>85</v>
      </c>
      <c r="B2070" s="24" t="s">
        <v>116</v>
      </c>
      <c r="C2070" s="32">
        <v>18.376000000000001</v>
      </c>
      <c r="D2070" s="28">
        <v>1.7361111111111112E-2</v>
      </c>
    </row>
    <row r="2071" spans="1:4" x14ac:dyDescent="0.25">
      <c r="A2071" s="24" t="s">
        <v>85</v>
      </c>
      <c r="B2071" s="24" t="s">
        <v>117</v>
      </c>
      <c r="C2071" s="32">
        <v>25.646999999999998</v>
      </c>
      <c r="D2071" s="28">
        <v>2.2916666666666669E-2</v>
      </c>
    </row>
    <row r="2072" spans="1:4" x14ac:dyDescent="0.25">
      <c r="A2072" s="24" t="s">
        <v>85</v>
      </c>
      <c r="B2072" s="24" t="s">
        <v>118</v>
      </c>
      <c r="C2072" s="32">
        <v>25.178000000000001</v>
      </c>
      <c r="D2072" s="28">
        <v>1.8055555555555557E-2</v>
      </c>
    </row>
    <row r="2073" spans="1:4" x14ac:dyDescent="0.25">
      <c r="A2073" s="24" t="s">
        <v>85</v>
      </c>
      <c r="B2073" s="24" t="s">
        <v>119</v>
      </c>
      <c r="C2073" s="32">
        <v>30.416</v>
      </c>
      <c r="D2073" s="28">
        <v>1.8749999999999999E-2</v>
      </c>
    </row>
    <row r="2074" spans="1:4" x14ac:dyDescent="0.25">
      <c r="A2074" s="24" t="s">
        <v>85</v>
      </c>
      <c r="B2074" s="24" t="s">
        <v>120</v>
      </c>
      <c r="C2074" s="32">
        <v>33.206000000000003</v>
      </c>
      <c r="D2074" s="28">
        <v>2.2222222222222223E-2</v>
      </c>
    </row>
    <row r="2075" spans="1:4" x14ac:dyDescent="0.25">
      <c r="A2075" s="24" t="s">
        <v>85</v>
      </c>
      <c r="B2075" s="24" t="s">
        <v>121</v>
      </c>
      <c r="C2075" s="32">
        <v>47.557000000000002</v>
      </c>
      <c r="D2075" s="28">
        <v>2.9166666666666664E-2</v>
      </c>
    </row>
    <row r="2076" spans="1:4" x14ac:dyDescent="0.25">
      <c r="A2076" s="24" t="s">
        <v>85</v>
      </c>
      <c r="B2076" s="24" t="s">
        <v>122</v>
      </c>
      <c r="C2076" s="32">
        <v>45.430999999999997</v>
      </c>
      <c r="D2076" s="28">
        <v>2.9166666666666664E-2</v>
      </c>
    </row>
    <row r="2077" spans="1:4" x14ac:dyDescent="0.25">
      <c r="A2077" s="24" t="s">
        <v>85</v>
      </c>
      <c r="B2077" s="24" t="s">
        <v>123</v>
      </c>
      <c r="C2077" s="32">
        <v>41.142000000000003</v>
      </c>
      <c r="D2077" s="28">
        <v>2.4999999999999998E-2</v>
      </c>
    </row>
    <row r="2078" spans="1:4" x14ac:dyDescent="0.25">
      <c r="A2078" s="24" t="s">
        <v>85</v>
      </c>
      <c r="B2078" s="24" t="s">
        <v>124</v>
      </c>
      <c r="C2078" s="32">
        <v>41.142000000000003</v>
      </c>
      <c r="D2078" s="28">
        <v>2.4999999999999998E-2</v>
      </c>
    </row>
    <row r="2079" spans="1:4" x14ac:dyDescent="0.25">
      <c r="A2079" s="24" t="s">
        <v>85</v>
      </c>
      <c r="B2079" s="24" t="s">
        <v>125</v>
      </c>
      <c r="C2079" s="32">
        <v>10.116</v>
      </c>
      <c r="D2079" s="28">
        <v>1.2499999999999999E-2</v>
      </c>
    </row>
    <row r="2080" spans="1:4" x14ac:dyDescent="0.25">
      <c r="A2080" s="24" t="s">
        <v>85</v>
      </c>
      <c r="B2080" s="24" t="s">
        <v>126</v>
      </c>
      <c r="C2080" s="32">
        <v>9.8539999999999992</v>
      </c>
      <c r="D2080" s="28">
        <v>1.1805555555555555E-2</v>
      </c>
    </row>
    <row r="2081" spans="1:4" x14ac:dyDescent="0.25">
      <c r="A2081" s="24" t="s">
        <v>85</v>
      </c>
      <c r="B2081" s="24" t="s">
        <v>127</v>
      </c>
      <c r="C2081" s="32">
        <v>10.599</v>
      </c>
      <c r="D2081" s="28">
        <v>1.2499999999999999E-2</v>
      </c>
    </row>
    <row r="2082" spans="1:4" x14ac:dyDescent="0.25">
      <c r="A2082" s="24" t="s">
        <v>85</v>
      </c>
      <c r="B2082" s="24" t="s">
        <v>128</v>
      </c>
      <c r="C2082" s="32">
        <v>9.4749999999999996</v>
      </c>
      <c r="D2082" s="28">
        <v>1.1805555555555555E-2</v>
      </c>
    </row>
    <row r="2083" spans="1:4" x14ac:dyDescent="0.25">
      <c r="A2083" s="24" t="s">
        <v>85</v>
      </c>
      <c r="B2083" s="24" t="s">
        <v>129</v>
      </c>
      <c r="C2083" s="32">
        <v>9.4749999999999996</v>
      </c>
      <c r="D2083" s="28">
        <v>1.1805555555555555E-2</v>
      </c>
    </row>
    <row r="2084" spans="1:4" x14ac:dyDescent="0.25">
      <c r="A2084" s="24" t="s">
        <v>85</v>
      </c>
      <c r="B2084" s="24" t="s">
        <v>130</v>
      </c>
      <c r="C2084" s="32">
        <v>10.516999999999999</v>
      </c>
      <c r="D2084" s="28">
        <v>1.3194444444444444E-2</v>
      </c>
    </row>
    <row r="2085" spans="1:4" x14ac:dyDescent="0.25">
      <c r="A2085" s="24" t="s">
        <v>85</v>
      </c>
      <c r="B2085" s="24" t="s">
        <v>131</v>
      </c>
      <c r="C2085" s="32">
        <v>12.988</v>
      </c>
      <c r="D2085" s="28">
        <v>1.5972222222222224E-2</v>
      </c>
    </row>
    <row r="2086" spans="1:4" x14ac:dyDescent="0.25">
      <c r="A2086" s="24" t="s">
        <v>85</v>
      </c>
      <c r="B2086" s="24" t="s">
        <v>132</v>
      </c>
      <c r="C2086" s="32">
        <v>12.766999999999999</v>
      </c>
      <c r="D2086" s="28">
        <v>1.5277777777777777E-2</v>
      </c>
    </row>
    <row r="2087" spans="1:4" x14ac:dyDescent="0.25">
      <c r="A2087" s="24" t="s">
        <v>85</v>
      </c>
      <c r="B2087" s="24" t="s">
        <v>133</v>
      </c>
      <c r="C2087" s="32">
        <v>5.4240000000000004</v>
      </c>
      <c r="D2087" s="28">
        <v>5.5555555555555558E-3</v>
      </c>
    </row>
    <row r="2088" spans="1:4" x14ac:dyDescent="0.25">
      <c r="A2088" s="24" t="s">
        <v>85</v>
      </c>
      <c r="B2088" s="24" t="s">
        <v>134</v>
      </c>
      <c r="C2088" s="32">
        <v>4.9580000000000002</v>
      </c>
      <c r="D2088" s="28">
        <v>4.8611111111111112E-3</v>
      </c>
    </row>
    <row r="2089" spans="1:4" x14ac:dyDescent="0.25">
      <c r="A2089" s="24" t="s">
        <v>85</v>
      </c>
      <c r="B2089" s="24" t="s">
        <v>135</v>
      </c>
      <c r="C2089" s="32">
        <v>5.5019999999999998</v>
      </c>
      <c r="D2089" s="28">
        <v>6.2499999999999995E-3</v>
      </c>
    </row>
    <row r="2090" spans="1:4" x14ac:dyDescent="0.25">
      <c r="A2090" s="24" t="s">
        <v>85</v>
      </c>
      <c r="B2090" s="24" t="s">
        <v>136</v>
      </c>
      <c r="C2090" s="32">
        <v>5.5019999999999998</v>
      </c>
      <c r="D2090" s="28">
        <v>6.2499999999999995E-3</v>
      </c>
    </row>
    <row r="2091" spans="1:4" x14ac:dyDescent="0.25">
      <c r="A2091" s="24" t="s">
        <v>85</v>
      </c>
      <c r="B2091" s="24" t="s">
        <v>137</v>
      </c>
      <c r="C2091" s="32">
        <v>5.1109999999999998</v>
      </c>
      <c r="D2091" s="28">
        <v>5.5555555555555558E-3</v>
      </c>
    </row>
    <row r="2092" spans="1:4" x14ac:dyDescent="0.25">
      <c r="A2092" s="24" t="s">
        <v>85</v>
      </c>
      <c r="B2092" s="24" t="s">
        <v>138</v>
      </c>
      <c r="C2092" s="32">
        <v>11.48</v>
      </c>
      <c r="D2092" s="28">
        <v>8.3333333333333332E-3</v>
      </c>
    </row>
    <row r="2093" spans="1:4" x14ac:dyDescent="0.25">
      <c r="A2093" s="24" t="s">
        <v>85</v>
      </c>
      <c r="B2093" s="24" t="s">
        <v>139</v>
      </c>
      <c r="C2093" s="32">
        <v>21.597999999999999</v>
      </c>
      <c r="D2093" s="28">
        <v>1.3888888888888888E-2</v>
      </c>
    </row>
    <row r="2094" spans="1:4" x14ac:dyDescent="0.25">
      <c r="A2094" s="24" t="s">
        <v>85</v>
      </c>
      <c r="B2094" s="24" t="s">
        <v>140</v>
      </c>
      <c r="C2094" s="32">
        <v>13.895</v>
      </c>
      <c r="D2094" s="28">
        <v>1.3888888888888888E-2</v>
      </c>
    </row>
    <row r="2095" spans="1:4" x14ac:dyDescent="0.25">
      <c r="A2095" s="24" t="s">
        <v>85</v>
      </c>
      <c r="B2095" s="24" t="s">
        <v>141</v>
      </c>
      <c r="C2095" s="32">
        <v>46.308999999999997</v>
      </c>
      <c r="D2095" s="28">
        <v>3.3333333333333333E-2</v>
      </c>
    </row>
    <row r="2096" spans="1:4" x14ac:dyDescent="0.25">
      <c r="A2096" s="24" t="s">
        <v>85</v>
      </c>
      <c r="B2096" s="24" t="s">
        <v>142</v>
      </c>
      <c r="C2096" s="32">
        <v>35.11</v>
      </c>
      <c r="D2096" s="28">
        <v>2.4999999999999998E-2</v>
      </c>
    </row>
    <row r="2097" spans="1:4" x14ac:dyDescent="0.25">
      <c r="A2097" s="24" t="s">
        <v>85</v>
      </c>
      <c r="B2097" s="24" t="s">
        <v>143</v>
      </c>
      <c r="C2097" s="32">
        <v>53.488</v>
      </c>
      <c r="D2097" s="28">
        <v>3.2638888888888891E-2</v>
      </c>
    </row>
    <row r="2098" spans="1:4" x14ac:dyDescent="0.25">
      <c r="A2098" s="24" t="s">
        <v>85</v>
      </c>
      <c r="B2098" s="24" t="s">
        <v>144</v>
      </c>
      <c r="C2098" s="32">
        <v>72.603999999999999</v>
      </c>
      <c r="D2098" s="28">
        <v>4.3055555555555562E-2</v>
      </c>
    </row>
    <row r="2099" spans="1:4" x14ac:dyDescent="0.25">
      <c r="A2099" s="24" t="s">
        <v>85</v>
      </c>
      <c r="B2099" s="24" t="s">
        <v>145</v>
      </c>
      <c r="C2099" s="32">
        <v>26.28</v>
      </c>
      <c r="D2099" s="28">
        <v>1.6666666666666666E-2</v>
      </c>
    </row>
    <row r="2100" spans="1:4" x14ac:dyDescent="0.25">
      <c r="A2100" s="24" t="s">
        <v>85</v>
      </c>
      <c r="B2100" s="24" t="s">
        <v>146</v>
      </c>
      <c r="C2100" s="32">
        <v>41.738999999999997</v>
      </c>
      <c r="D2100" s="28">
        <v>2.4305555555555556E-2</v>
      </c>
    </row>
    <row r="2101" spans="1:4" x14ac:dyDescent="0.25">
      <c r="A2101" s="24" t="s">
        <v>85</v>
      </c>
      <c r="B2101" s="24" t="s">
        <v>147</v>
      </c>
      <c r="C2101" s="32">
        <v>13.435</v>
      </c>
      <c r="D2101" s="28">
        <v>1.3194444444444444E-2</v>
      </c>
    </row>
    <row r="2102" spans="1:4" x14ac:dyDescent="0.25">
      <c r="A2102" s="24" t="s">
        <v>85</v>
      </c>
      <c r="B2102" s="24" t="s">
        <v>148</v>
      </c>
      <c r="C2102" s="32">
        <v>11.512</v>
      </c>
      <c r="D2102" s="28">
        <v>1.3194444444444444E-2</v>
      </c>
    </row>
    <row r="2103" spans="1:4" x14ac:dyDescent="0.25">
      <c r="A2103" s="24" t="s">
        <v>85</v>
      </c>
      <c r="B2103" s="24" t="s">
        <v>149</v>
      </c>
      <c r="C2103" s="32">
        <v>13.294</v>
      </c>
      <c r="D2103" s="28">
        <v>1.5277777777777777E-2</v>
      </c>
    </row>
    <row r="2104" spans="1:4" x14ac:dyDescent="0.25">
      <c r="A2104" s="24" t="s">
        <v>85</v>
      </c>
      <c r="B2104" s="24" t="s">
        <v>150</v>
      </c>
      <c r="C2104" s="32">
        <v>21.213999999999999</v>
      </c>
      <c r="D2104" s="28">
        <v>2.361111111111111E-2</v>
      </c>
    </row>
    <row r="2105" spans="1:4" x14ac:dyDescent="0.25">
      <c r="A2105" s="24" t="s">
        <v>85</v>
      </c>
      <c r="B2105" s="24" t="s">
        <v>151</v>
      </c>
      <c r="C2105" s="32">
        <v>20.523</v>
      </c>
      <c r="D2105" s="28">
        <v>2.2916666666666669E-2</v>
      </c>
    </row>
    <row r="2106" spans="1:4" x14ac:dyDescent="0.25">
      <c r="A2106" s="24" t="s">
        <v>85</v>
      </c>
      <c r="B2106" s="24" t="s">
        <v>152</v>
      </c>
      <c r="C2106" s="32">
        <v>27.417000000000002</v>
      </c>
      <c r="D2106" s="28">
        <v>2.7083333333333334E-2</v>
      </c>
    </row>
    <row r="2107" spans="1:4" x14ac:dyDescent="0.25">
      <c r="A2107" s="24" t="s">
        <v>85</v>
      </c>
      <c r="B2107" s="24" t="s">
        <v>153</v>
      </c>
      <c r="C2107" s="32">
        <v>30.071000000000002</v>
      </c>
      <c r="D2107" s="28">
        <v>3.1944444444444449E-2</v>
      </c>
    </row>
    <row r="2108" spans="1:4" x14ac:dyDescent="0.25">
      <c r="A2108" s="24" t="s">
        <v>85</v>
      </c>
      <c r="B2108" s="24" t="s">
        <v>154</v>
      </c>
      <c r="C2108" s="32">
        <v>24.888999999999999</v>
      </c>
      <c r="D2108" s="28">
        <v>2.5694444444444447E-2</v>
      </c>
    </row>
    <row r="2109" spans="1:4" x14ac:dyDescent="0.25">
      <c r="A2109" s="24" t="s">
        <v>85</v>
      </c>
      <c r="B2109" s="24" t="s">
        <v>155</v>
      </c>
      <c r="C2109" s="32">
        <v>20.584</v>
      </c>
      <c r="D2109" s="28">
        <v>2.2916666666666669E-2</v>
      </c>
    </row>
    <row r="2110" spans="1:4" x14ac:dyDescent="0.25">
      <c r="A2110" s="24" t="s">
        <v>85</v>
      </c>
      <c r="B2110" s="24" t="s">
        <v>156</v>
      </c>
      <c r="C2110" s="32">
        <v>20.568000000000001</v>
      </c>
      <c r="D2110" s="28">
        <v>2.2916666666666669E-2</v>
      </c>
    </row>
    <row r="2111" spans="1:4" x14ac:dyDescent="0.25">
      <c r="A2111" s="24" t="s">
        <v>85</v>
      </c>
      <c r="B2111" s="24" t="s">
        <v>157</v>
      </c>
      <c r="C2111" s="32">
        <v>31.588000000000001</v>
      </c>
      <c r="D2111" s="28">
        <v>2.8472222222222222E-2</v>
      </c>
    </row>
    <row r="2112" spans="1:4" x14ac:dyDescent="0.25">
      <c r="A2112" s="24" t="s">
        <v>85</v>
      </c>
      <c r="B2112" s="24" t="s">
        <v>158</v>
      </c>
      <c r="C2112" s="32">
        <v>42.341999999999999</v>
      </c>
      <c r="D2112" s="28">
        <v>3.6111111111111115E-2</v>
      </c>
    </row>
    <row r="2113" spans="1:4" x14ac:dyDescent="0.25">
      <c r="A2113" s="24" t="s">
        <v>85</v>
      </c>
      <c r="B2113" s="24" t="s">
        <v>159</v>
      </c>
      <c r="C2113" s="32">
        <v>47.712000000000003</v>
      </c>
      <c r="D2113" s="28">
        <v>4.1666666666666664E-2</v>
      </c>
    </row>
    <row r="2114" spans="1:4" x14ac:dyDescent="0.25">
      <c r="A2114" s="24" t="s">
        <v>86</v>
      </c>
      <c r="B2114" s="24" t="s">
        <v>65</v>
      </c>
      <c r="C2114" s="32">
        <v>16.899000000000001</v>
      </c>
      <c r="D2114" s="28">
        <v>1.4583333333333332E-2</v>
      </c>
    </row>
    <row r="2115" spans="1:4" x14ac:dyDescent="0.25">
      <c r="A2115" s="24" t="s">
        <v>86</v>
      </c>
      <c r="B2115" s="24" t="s">
        <v>64</v>
      </c>
      <c r="C2115" s="32">
        <v>5.1470000000000002</v>
      </c>
      <c r="D2115" s="28">
        <v>7.6388888888888886E-3</v>
      </c>
    </row>
    <row r="2116" spans="1:4" x14ac:dyDescent="0.25">
      <c r="A2116" s="24" t="s">
        <v>86</v>
      </c>
      <c r="B2116" s="24" t="s">
        <v>66</v>
      </c>
      <c r="C2116" s="32">
        <v>11.483000000000001</v>
      </c>
      <c r="D2116" s="28">
        <v>1.3194444444444444E-2</v>
      </c>
    </row>
    <row r="2117" spans="1:4" x14ac:dyDescent="0.25">
      <c r="A2117" s="24" t="s">
        <v>86</v>
      </c>
      <c r="B2117" s="24" t="s">
        <v>67</v>
      </c>
      <c r="C2117" s="32">
        <v>8.9689999999999994</v>
      </c>
      <c r="D2117" s="28">
        <v>1.2499999999999999E-2</v>
      </c>
    </row>
    <row r="2118" spans="1:4" x14ac:dyDescent="0.25">
      <c r="A2118" s="24" t="s">
        <v>86</v>
      </c>
      <c r="B2118" s="24" t="s">
        <v>68</v>
      </c>
      <c r="C2118" s="32">
        <v>12.494999999999999</v>
      </c>
      <c r="D2118" s="28">
        <v>1.3888888888888888E-2</v>
      </c>
    </row>
    <row r="2119" spans="1:4" x14ac:dyDescent="0.25">
      <c r="A2119" s="24" t="s">
        <v>86</v>
      </c>
      <c r="B2119" s="24" t="s">
        <v>69</v>
      </c>
      <c r="C2119" s="32">
        <v>8.6590000000000007</v>
      </c>
      <c r="D2119" s="28">
        <v>1.3194444444444444E-2</v>
      </c>
    </row>
    <row r="2120" spans="1:4" x14ac:dyDescent="0.25">
      <c r="A2120" s="24" t="s">
        <v>86</v>
      </c>
      <c r="B2120" s="24" t="s">
        <v>70</v>
      </c>
      <c r="C2120" s="32">
        <v>9.0429999999999993</v>
      </c>
      <c r="D2120" s="28">
        <v>1.3888888888888888E-2</v>
      </c>
    </row>
    <row r="2121" spans="1:4" x14ac:dyDescent="0.25">
      <c r="A2121" s="24" t="s">
        <v>86</v>
      </c>
      <c r="B2121" s="24" t="s">
        <v>71</v>
      </c>
      <c r="C2121" s="32">
        <v>8.1910000000000007</v>
      </c>
      <c r="D2121" s="28">
        <v>1.3194444444444444E-2</v>
      </c>
    </row>
    <row r="2122" spans="1:4" x14ac:dyDescent="0.25">
      <c r="A2122" s="24" t="s">
        <v>86</v>
      </c>
      <c r="B2122" s="24" t="s">
        <v>72</v>
      </c>
      <c r="C2122" s="32">
        <v>12.095000000000001</v>
      </c>
      <c r="D2122" s="28">
        <v>1.3194444444444444E-2</v>
      </c>
    </row>
    <row r="2123" spans="1:4" x14ac:dyDescent="0.25">
      <c r="A2123" s="24" t="s">
        <v>86</v>
      </c>
      <c r="B2123" s="24" t="s">
        <v>73</v>
      </c>
      <c r="C2123" s="32">
        <v>7.8890000000000002</v>
      </c>
      <c r="D2123" s="28">
        <v>1.1111111111111112E-2</v>
      </c>
    </row>
    <row r="2124" spans="1:4" x14ac:dyDescent="0.25">
      <c r="A2124" s="24" t="s">
        <v>86</v>
      </c>
      <c r="B2124" s="24" t="s">
        <v>74</v>
      </c>
      <c r="C2124" s="32">
        <v>8.0500000000000007</v>
      </c>
      <c r="D2124" s="28">
        <v>1.0416666666666666E-2</v>
      </c>
    </row>
    <row r="2125" spans="1:4" x14ac:dyDescent="0.25">
      <c r="A2125" s="24" t="s">
        <v>86</v>
      </c>
      <c r="B2125" s="24" t="s">
        <v>75</v>
      </c>
      <c r="C2125" s="32">
        <v>7.0860000000000003</v>
      </c>
      <c r="D2125" s="28">
        <v>9.0277777777777787E-3</v>
      </c>
    </row>
    <row r="2126" spans="1:4" x14ac:dyDescent="0.25">
      <c r="A2126" s="24" t="s">
        <v>86</v>
      </c>
      <c r="B2126" s="24" t="s">
        <v>76</v>
      </c>
      <c r="C2126" s="32">
        <v>10.955</v>
      </c>
      <c r="D2126" s="28">
        <v>1.3888888888888888E-2</v>
      </c>
    </row>
    <row r="2127" spans="1:4" x14ac:dyDescent="0.25">
      <c r="A2127" s="24" t="s">
        <v>86</v>
      </c>
      <c r="B2127" s="24" t="s">
        <v>77</v>
      </c>
      <c r="C2127" s="32">
        <v>17.306999999999999</v>
      </c>
      <c r="D2127" s="28">
        <v>1.5972222222222224E-2</v>
      </c>
    </row>
    <row r="2128" spans="1:4" x14ac:dyDescent="0.25">
      <c r="A2128" s="24" t="s">
        <v>86</v>
      </c>
      <c r="B2128" s="24" t="s">
        <v>78</v>
      </c>
      <c r="C2128" s="32">
        <v>13.747</v>
      </c>
      <c r="D2128" s="28">
        <v>1.7361111111111112E-2</v>
      </c>
    </row>
    <row r="2129" spans="1:4" x14ac:dyDescent="0.25">
      <c r="A2129" s="24" t="s">
        <v>86</v>
      </c>
      <c r="B2129" s="24" t="s">
        <v>79</v>
      </c>
      <c r="C2129" s="32">
        <v>28.768000000000001</v>
      </c>
      <c r="D2129" s="28">
        <v>2.7083333333333334E-2</v>
      </c>
    </row>
    <row r="2130" spans="1:4" x14ac:dyDescent="0.25">
      <c r="A2130" s="24" t="s">
        <v>86</v>
      </c>
      <c r="B2130" s="24" t="s">
        <v>80</v>
      </c>
      <c r="C2130" s="32">
        <v>19.879000000000001</v>
      </c>
      <c r="D2130" s="28">
        <v>1.6666666666666666E-2</v>
      </c>
    </row>
    <row r="2131" spans="1:4" x14ac:dyDescent="0.25">
      <c r="A2131" s="24" t="s">
        <v>86</v>
      </c>
      <c r="B2131" s="24" t="s">
        <v>81</v>
      </c>
      <c r="C2131" s="32">
        <v>24.712</v>
      </c>
      <c r="D2131" s="28">
        <v>1.9444444444444445E-2</v>
      </c>
    </row>
    <row r="2132" spans="1:4" x14ac:dyDescent="0.25">
      <c r="A2132" s="24" t="s">
        <v>86</v>
      </c>
      <c r="B2132" s="24" t="s">
        <v>82</v>
      </c>
      <c r="C2132" s="32">
        <v>24.763999999999999</v>
      </c>
      <c r="D2132" s="28">
        <v>1.9444444444444445E-2</v>
      </c>
    </row>
    <row r="2133" spans="1:4" x14ac:dyDescent="0.25">
      <c r="A2133" s="24" t="s">
        <v>86</v>
      </c>
      <c r="B2133" s="24" t="s">
        <v>83</v>
      </c>
      <c r="C2133" s="32">
        <v>5.1479999999999997</v>
      </c>
      <c r="D2133" s="28">
        <v>5.5555555555555558E-3</v>
      </c>
    </row>
    <row r="2134" spans="1:4" x14ac:dyDescent="0.25">
      <c r="A2134" s="24" t="s">
        <v>86</v>
      </c>
      <c r="B2134" s="24" t="s">
        <v>84</v>
      </c>
      <c r="C2134" s="32">
        <v>3.609</v>
      </c>
      <c r="D2134" s="28">
        <v>4.8611111111111112E-3</v>
      </c>
    </row>
    <row r="2135" spans="1:4" x14ac:dyDescent="0.25">
      <c r="A2135" s="24" t="s">
        <v>86</v>
      </c>
      <c r="B2135" s="24" t="s">
        <v>85</v>
      </c>
      <c r="C2135" s="32">
        <v>2.57</v>
      </c>
      <c r="D2135" s="28">
        <v>4.1666666666666666E-3</v>
      </c>
    </row>
    <row r="2136" spans="1:4" x14ac:dyDescent="0.25">
      <c r="A2136" s="24" t="s">
        <v>86</v>
      </c>
      <c r="B2136" s="24" t="s">
        <v>86</v>
      </c>
      <c r="C2136" s="32">
        <v>0</v>
      </c>
      <c r="D2136" s="28">
        <v>0</v>
      </c>
    </row>
    <row r="2137" spans="1:4" x14ac:dyDescent="0.25">
      <c r="A2137" s="24" t="s">
        <v>86</v>
      </c>
      <c r="B2137" s="24" t="s">
        <v>87</v>
      </c>
      <c r="C2137" s="32">
        <v>2.2719999999999998</v>
      </c>
      <c r="D2137" s="28">
        <v>3.472222222222222E-3</v>
      </c>
    </row>
    <row r="2138" spans="1:4" x14ac:dyDescent="0.25">
      <c r="A2138" s="24" t="s">
        <v>86</v>
      </c>
      <c r="B2138" s="24" t="s">
        <v>88</v>
      </c>
      <c r="C2138" s="32">
        <v>3.653</v>
      </c>
      <c r="D2138" s="28">
        <v>4.8611111111111112E-3</v>
      </c>
    </row>
    <row r="2139" spans="1:4" x14ac:dyDescent="0.25">
      <c r="A2139" s="24" t="s">
        <v>86</v>
      </c>
      <c r="B2139" s="24" t="s">
        <v>89</v>
      </c>
      <c r="C2139" s="32">
        <v>7.3419999999999996</v>
      </c>
      <c r="D2139" s="28">
        <v>9.7222222222222224E-3</v>
      </c>
    </row>
    <row r="2140" spans="1:4" x14ac:dyDescent="0.25">
      <c r="A2140" s="24" t="s">
        <v>86</v>
      </c>
      <c r="B2140" s="24" t="s">
        <v>90</v>
      </c>
      <c r="C2140" s="32">
        <v>20.132999999999999</v>
      </c>
      <c r="D2140" s="28">
        <v>1.7361111111111112E-2</v>
      </c>
    </row>
    <row r="2141" spans="1:4" x14ac:dyDescent="0.25">
      <c r="A2141" s="24" t="s">
        <v>86</v>
      </c>
      <c r="B2141" s="24" t="s">
        <v>91</v>
      </c>
      <c r="C2141" s="32">
        <v>5.2009999999999996</v>
      </c>
      <c r="D2141" s="28">
        <v>6.9444444444444441E-3</v>
      </c>
    </row>
    <row r="2142" spans="1:4" x14ac:dyDescent="0.25">
      <c r="A2142" s="24" t="s">
        <v>86</v>
      </c>
      <c r="B2142" s="24" t="s">
        <v>92</v>
      </c>
      <c r="C2142" s="32">
        <v>18.199000000000002</v>
      </c>
      <c r="D2142" s="28">
        <v>1.5972222222222224E-2</v>
      </c>
    </row>
    <row r="2143" spans="1:4" x14ac:dyDescent="0.25">
      <c r="A2143" s="24" t="s">
        <v>86</v>
      </c>
      <c r="B2143" s="24" t="s">
        <v>93</v>
      </c>
      <c r="C2143" s="32">
        <v>41.988</v>
      </c>
      <c r="D2143" s="28">
        <v>2.9166666666666664E-2</v>
      </c>
    </row>
    <row r="2144" spans="1:4" x14ac:dyDescent="0.25">
      <c r="A2144" s="24" t="s">
        <v>86</v>
      </c>
      <c r="B2144" s="24" t="s">
        <v>94</v>
      </c>
      <c r="C2144" s="32">
        <v>42.616999999999997</v>
      </c>
      <c r="D2144" s="28">
        <v>2.9861111111111113E-2</v>
      </c>
    </row>
    <row r="2145" spans="1:4" x14ac:dyDescent="0.25">
      <c r="A2145" s="24" t="s">
        <v>86</v>
      </c>
      <c r="B2145" s="24" t="s">
        <v>95</v>
      </c>
      <c r="C2145" s="32">
        <v>25.306000000000001</v>
      </c>
      <c r="D2145" s="28">
        <v>2.0833333333333332E-2</v>
      </c>
    </row>
    <row r="2146" spans="1:4" x14ac:dyDescent="0.25">
      <c r="A2146" s="24" t="s">
        <v>86</v>
      </c>
      <c r="B2146" s="24" t="s">
        <v>96</v>
      </c>
      <c r="C2146" s="32">
        <v>19.198</v>
      </c>
      <c r="D2146" s="28">
        <v>1.8749999999999999E-2</v>
      </c>
    </row>
    <row r="2147" spans="1:4" x14ac:dyDescent="0.25">
      <c r="A2147" s="24" t="s">
        <v>86</v>
      </c>
      <c r="B2147" s="24" t="s">
        <v>97</v>
      </c>
      <c r="C2147" s="32">
        <v>27.516999999999999</v>
      </c>
      <c r="D2147" s="28">
        <v>2.4999999999999998E-2</v>
      </c>
    </row>
    <row r="2148" spans="1:4" x14ac:dyDescent="0.25">
      <c r="A2148" s="24" t="s">
        <v>86</v>
      </c>
      <c r="B2148" s="24" t="s">
        <v>98</v>
      </c>
      <c r="C2148" s="32">
        <v>25.823</v>
      </c>
      <c r="D2148" s="28">
        <v>2.2916666666666669E-2</v>
      </c>
    </row>
    <row r="2149" spans="1:4" x14ac:dyDescent="0.25">
      <c r="A2149" s="24" t="s">
        <v>86</v>
      </c>
      <c r="B2149" s="24" t="s">
        <v>99</v>
      </c>
      <c r="C2149" s="32">
        <v>28.808</v>
      </c>
      <c r="D2149" s="28">
        <v>2.6388888888888889E-2</v>
      </c>
    </row>
    <row r="2150" spans="1:4" x14ac:dyDescent="0.25">
      <c r="A2150" s="24" t="s">
        <v>86</v>
      </c>
      <c r="B2150" s="24" t="s">
        <v>100</v>
      </c>
      <c r="C2150" s="32">
        <v>25.125</v>
      </c>
      <c r="D2150" s="28">
        <v>2.013888888888889E-2</v>
      </c>
    </row>
    <row r="2151" spans="1:4" x14ac:dyDescent="0.25">
      <c r="A2151" s="24" t="s">
        <v>86</v>
      </c>
      <c r="B2151" s="24" t="s">
        <v>101</v>
      </c>
      <c r="C2151" s="32">
        <v>25.925000000000001</v>
      </c>
      <c r="D2151" s="28">
        <v>2.4305555555555556E-2</v>
      </c>
    </row>
    <row r="2152" spans="1:4" x14ac:dyDescent="0.25">
      <c r="A2152" s="24" t="s">
        <v>86</v>
      </c>
      <c r="B2152" s="24" t="s">
        <v>102</v>
      </c>
      <c r="C2152" s="32">
        <v>25.352</v>
      </c>
      <c r="D2152" s="28">
        <v>2.361111111111111E-2</v>
      </c>
    </row>
    <row r="2153" spans="1:4" x14ac:dyDescent="0.25">
      <c r="A2153" s="24" t="s">
        <v>86</v>
      </c>
      <c r="B2153" s="24" t="s">
        <v>103</v>
      </c>
      <c r="C2153" s="32">
        <v>13.084</v>
      </c>
      <c r="D2153" s="28">
        <v>1.2499999999999999E-2</v>
      </c>
    </row>
    <row r="2154" spans="1:4" x14ac:dyDescent="0.25">
      <c r="A2154" s="24" t="s">
        <v>86</v>
      </c>
      <c r="B2154" s="24" t="s">
        <v>104</v>
      </c>
      <c r="C2154" s="32">
        <v>17.079000000000001</v>
      </c>
      <c r="D2154" s="28">
        <v>1.5277777777777777E-2</v>
      </c>
    </row>
    <row r="2155" spans="1:4" x14ac:dyDescent="0.25">
      <c r="A2155" s="24" t="s">
        <v>86</v>
      </c>
      <c r="B2155" s="24" t="s">
        <v>105</v>
      </c>
      <c r="C2155" s="32">
        <v>10.061999999999999</v>
      </c>
      <c r="D2155" s="28">
        <v>1.5277777777777777E-2</v>
      </c>
    </row>
    <row r="2156" spans="1:4" x14ac:dyDescent="0.25">
      <c r="A2156" s="24" t="s">
        <v>86</v>
      </c>
      <c r="B2156" s="24" t="s">
        <v>106</v>
      </c>
      <c r="C2156" s="32">
        <v>10.314</v>
      </c>
      <c r="D2156" s="28">
        <v>1.0416666666666666E-2</v>
      </c>
    </row>
    <row r="2157" spans="1:4" x14ac:dyDescent="0.25">
      <c r="A2157" s="24" t="s">
        <v>86</v>
      </c>
      <c r="B2157" s="24" t="s">
        <v>107</v>
      </c>
      <c r="C2157" s="32">
        <v>9.9689999999999994</v>
      </c>
      <c r="D2157" s="28">
        <v>1.1805555555555555E-2</v>
      </c>
    </row>
    <row r="2158" spans="1:4" x14ac:dyDescent="0.25">
      <c r="A2158" s="24" t="s">
        <v>86</v>
      </c>
      <c r="B2158" s="24" t="s">
        <v>108</v>
      </c>
      <c r="C2158" s="32">
        <v>8.3550000000000004</v>
      </c>
      <c r="D2158" s="28">
        <v>9.0277777777777787E-3</v>
      </c>
    </row>
    <row r="2159" spans="1:4" x14ac:dyDescent="0.25">
      <c r="A2159" s="24" t="s">
        <v>86</v>
      </c>
      <c r="B2159" s="24" t="s">
        <v>109</v>
      </c>
      <c r="C2159" s="32">
        <v>8.3849999999999998</v>
      </c>
      <c r="D2159" s="28">
        <v>9.0277777777777787E-3</v>
      </c>
    </row>
    <row r="2160" spans="1:4" x14ac:dyDescent="0.25">
      <c r="A2160" s="24" t="s">
        <v>86</v>
      </c>
      <c r="B2160" s="24" t="s">
        <v>110</v>
      </c>
      <c r="C2160" s="32">
        <v>9.8409999999999993</v>
      </c>
      <c r="D2160" s="28">
        <v>1.1111111111111112E-2</v>
      </c>
    </row>
    <row r="2161" spans="1:4" x14ac:dyDescent="0.25">
      <c r="A2161" s="24" t="s">
        <v>86</v>
      </c>
      <c r="B2161" s="24" t="s">
        <v>111</v>
      </c>
      <c r="C2161" s="32">
        <v>11.837999999999999</v>
      </c>
      <c r="D2161" s="28">
        <v>1.1111111111111112E-2</v>
      </c>
    </row>
    <row r="2162" spans="1:4" x14ac:dyDescent="0.25">
      <c r="A2162" s="24" t="s">
        <v>86</v>
      </c>
      <c r="B2162" s="24" t="s">
        <v>112</v>
      </c>
      <c r="C2162" s="32">
        <v>10.949</v>
      </c>
      <c r="D2162" s="28">
        <v>1.3888888888888888E-2</v>
      </c>
    </row>
    <row r="2163" spans="1:4" x14ac:dyDescent="0.25">
      <c r="A2163" s="24" t="s">
        <v>86</v>
      </c>
      <c r="B2163" s="24" t="s">
        <v>113</v>
      </c>
      <c r="C2163" s="32">
        <v>14.278</v>
      </c>
      <c r="D2163" s="28">
        <v>1.3888888888888888E-2</v>
      </c>
    </row>
    <row r="2164" spans="1:4" x14ac:dyDescent="0.25">
      <c r="A2164" s="24" t="s">
        <v>86</v>
      </c>
      <c r="B2164" s="24" t="s">
        <v>114</v>
      </c>
      <c r="C2164" s="32">
        <v>23.515000000000001</v>
      </c>
      <c r="D2164" s="28">
        <v>1.8055555555555557E-2</v>
      </c>
    </row>
    <row r="2165" spans="1:4" x14ac:dyDescent="0.25">
      <c r="A2165" s="24" t="s">
        <v>86</v>
      </c>
      <c r="B2165" s="24" t="s">
        <v>115</v>
      </c>
      <c r="C2165" s="32">
        <v>23.108000000000001</v>
      </c>
      <c r="D2165" s="28">
        <v>1.8749999999999999E-2</v>
      </c>
    </row>
    <row r="2166" spans="1:4" x14ac:dyDescent="0.25">
      <c r="A2166" s="24" t="s">
        <v>86</v>
      </c>
      <c r="B2166" s="24" t="s">
        <v>116</v>
      </c>
      <c r="C2166" s="32">
        <v>17.280999999999999</v>
      </c>
      <c r="D2166" s="28">
        <v>1.5972222222222224E-2</v>
      </c>
    </row>
    <row r="2167" spans="1:4" x14ac:dyDescent="0.25">
      <c r="A2167" s="24" t="s">
        <v>86</v>
      </c>
      <c r="B2167" s="24" t="s">
        <v>117</v>
      </c>
      <c r="C2167" s="32">
        <v>24.81</v>
      </c>
      <c r="D2167" s="28">
        <v>2.1527777777777781E-2</v>
      </c>
    </row>
    <row r="2168" spans="1:4" x14ac:dyDescent="0.25">
      <c r="A2168" s="24" t="s">
        <v>86</v>
      </c>
      <c r="B2168" s="24" t="s">
        <v>118</v>
      </c>
      <c r="C2168" s="32">
        <v>23.981999999999999</v>
      </c>
      <c r="D2168" s="28">
        <v>1.8749999999999999E-2</v>
      </c>
    </row>
    <row r="2169" spans="1:4" x14ac:dyDescent="0.25">
      <c r="A2169" s="24" t="s">
        <v>86</v>
      </c>
      <c r="B2169" s="24" t="s">
        <v>119</v>
      </c>
      <c r="C2169" s="32">
        <v>29.222999999999999</v>
      </c>
      <c r="D2169" s="28">
        <v>1.9444444444444445E-2</v>
      </c>
    </row>
    <row r="2170" spans="1:4" x14ac:dyDescent="0.25">
      <c r="A2170" s="24" t="s">
        <v>86</v>
      </c>
      <c r="B2170" s="24" t="s">
        <v>120</v>
      </c>
      <c r="C2170" s="32">
        <v>32.012999999999998</v>
      </c>
      <c r="D2170" s="28">
        <v>2.2916666666666669E-2</v>
      </c>
    </row>
    <row r="2171" spans="1:4" x14ac:dyDescent="0.25">
      <c r="A2171" s="24" t="s">
        <v>86</v>
      </c>
      <c r="B2171" s="24" t="s">
        <v>121</v>
      </c>
      <c r="C2171" s="32">
        <v>46.363999999999997</v>
      </c>
      <c r="D2171" s="28">
        <v>2.9861111111111113E-2</v>
      </c>
    </row>
    <row r="2172" spans="1:4" x14ac:dyDescent="0.25">
      <c r="A2172" s="24" t="s">
        <v>86</v>
      </c>
      <c r="B2172" s="24" t="s">
        <v>122</v>
      </c>
      <c r="C2172" s="32">
        <v>40.859000000000002</v>
      </c>
      <c r="D2172" s="28">
        <v>2.8472222222222222E-2</v>
      </c>
    </row>
    <row r="2173" spans="1:4" x14ac:dyDescent="0.25">
      <c r="A2173" s="24" t="s">
        <v>86</v>
      </c>
      <c r="B2173" s="24" t="s">
        <v>123</v>
      </c>
      <c r="C2173" s="32">
        <v>39.948999999999998</v>
      </c>
      <c r="D2173" s="28">
        <v>2.6388888888888889E-2</v>
      </c>
    </row>
    <row r="2174" spans="1:4" x14ac:dyDescent="0.25">
      <c r="A2174" s="24" t="s">
        <v>86</v>
      </c>
      <c r="B2174" s="24" t="s">
        <v>124</v>
      </c>
      <c r="C2174" s="32">
        <v>39.948999999999998</v>
      </c>
      <c r="D2174" s="28">
        <v>2.6388888888888889E-2</v>
      </c>
    </row>
    <row r="2175" spans="1:4" x14ac:dyDescent="0.25">
      <c r="A2175" s="24" t="s">
        <v>86</v>
      </c>
      <c r="B2175" s="24" t="s">
        <v>125</v>
      </c>
      <c r="C2175" s="32">
        <v>9.2579999999999991</v>
      </c>
      <c r="D2175" s="28">
        <v>1.1805555555555555E-2</v>
      </c>
    </row>
    <row r="2176" spans="1:4" x14ac:dyDescent="0.25">
      <c r="A2176" s="24" t="s">
        <v>86</v>
      </c>
      <c r="B2176" s="24" t="s">
        <v>126</v>
      </c>
      <c r="C2176" s="32">
        <v>8.9960000000000004</v>
      </c>
      <c r="D2176" s="28">
        <v>1.1111111111111112E-2</v>
      </c>
    </row>
    <row r="2177" spans="1:4" x14ac:dyDescent="0.25">
      <c r="A2177" s="24" t="s">
        <v>86</v>
      </c>
      <c r="B2177" s="24" t="s">
        <v>127</v>
      </c>
      <c r="C2177" s="32">
        <v>9.7409999999999997</v>
      </c>
      <c r="D2177" s="28">
        <v>1.2499999999999999E-2</v>
      </c>
    </row>
    <row r="2178" spans="1:4" x14ac:dyDescent="0.25">
      <c r="A2178" s="24" t="s">
        <v>86</v>
      </c>
      <c r="B2178" s="24" t="s">
        <v>128</v>
      </c>
      <c r="C2178" s="32">
        <v>8.0690000000000008</v>
      </c>
      <c r="D2178" s="28">
        <v>9.7222222222222224E-3</v>
      </c>
    </row>
    <row r="2179" spans="1:4" x14ac:dyDescent="0.25">
      <c r="A2179" s="24" t="s">
        <v>86</v>
      </c>
      <c r="B2179" s="24" t="s">
        <v>129</v>
      </c>
      <c r="C2179" s="32">
        <v>8.0690000000000008</v>
      </c>
      <c r="D2179" s="28">
        <v>9.7222222222222224E-3</v>
      </c>
    </row>
    <row r="2180" spans="1:4" x14ac:dyDescent="0.25">
      <c r="A2180" s="24" t="s">
        <v>86</v>
      </c>
      <c r="B2180" s="24" t="s">
        <v>130</v>
      </c>
      <c r="C2180" s="32">
        <v>9.6590000000000007</v>
      </c>
      <c r="D2180" s="28">
        <v>1.2499999999999999E-2</v>
      </c>
    </row>
    <row r="2181" spans="1:4" x14ac:dyDescent="0.25">
      <c r="A2181" s="24" t="s">
        <v>86</v>
      </c>
      <c r="B2181" s="24" t="s">
        <v>131</v>
      </c>
      <c r="C2181" s="32">
        <v>12.13</v>
      </c>
      <c r="D2181" s="28">
        <v>1.5277777777777777E-2</v>
      </c>
    </row>
    <row r="2182" spans="1:4" x14ac:dyDescent="0.25">
      <c r="A2182" s="24" t="s">
        <v>86</v>
      </c>
      <c r="B2182" s="24" t="s">
        <v>132</v>
      </c>
      <c r="C2182" s="32">
        <v>14.204000000000001</v>
      </c>
      <c r="D2182" s="28">
        <v>1.5277777777777777E-2</v>
      </c>
    </row>
    <row r="2183" spans="1:4" x14ac:dyDescent="0.25">
      <c r="A2183" s="24" t="s">
        <v>86</v>
      </c>
      <c r="B2183" s="24" t="s">
        <v>133</v>
      </c>
      <c r="C2183" s="32">
        <v>5.2610000000000001</v>
      </c>
      <c r="D2183" s="28">
        <v>7.6388888888888886E-3</v>
      </c>
    </row>
    <row r="2184" spans="1:4" x14ac:dyDescent="0.25">
      <c r="A2184" s="24" t="s">
        <v>86</v>
      </c>
      <c r="B2184" s="24" t="s">
        <v>134</v>
      </c>
      <c r="C2184" s="32">
        <v>4.7949999999999999</v>
      </c>
      <c r="D2184" s="28">
        <v>6.9444444444444441E-3</v>
      </c>
    </row>
    <row r="2185" spans="1:4" x14ac:dyDescent="0.25">
      <c r="A2185" s="24" t="s">
        <v>86</v>
      </c>
      <c r="B2185" s="24" t="s">
        <v>135</v>
      </c>
      <c r="C2185" s="32">
        <v>6.1260000000000003</v>
      </c>
      <c r="D2185" s="28">
        <v>8.3333333333333332E-3</v>
      </c>
    </row>
    <row r="2186" spans="1:4" x14ac:dyDescent="0.25">
      <c r="A2186" s="24" t="s">
        <v>86</v>
      </c>
      <c r="B2186" s="24" t="s">
        <v>136</v>
      </c>
      <c r="C2186" s="32">
        <v>6.1260000000000003</v>
      </c>
      <c r="D2186" s="28">
        <v>8.3333333333333332E-3</v>
      </c>
    </row>
    <row r="2187" spans="1:4" x14ac:dyDescent="0.25">
      <c r="A2187" s="24" t="s">
        <v>86</v>
      </c>
      <c r="B2187" s="24" t="s">
        <v>137</v>
      </c>
      <c r="C2187" s="32">
        <v>6.93</v>
      </c>
      <c r="D2187" s="28">
        <v>7.6388888888888886E-3</v>
      </c>
    </row>
    <row r="2188" spans="1:4" x14ac:dyDescent="0.25">
      <c r="A2188" s="24" t="s">
        <v>86</v>
      </c>
      <c r="B2188" s="24" t="s">
        <v>138</v>
      </c>
      <c r="C2188" s="32">
        <v>10.284000000000001</v>
      </c>
      <c r="D2188" s="28">
        <v>9.0277777777777787E-3</v>
      </c>
    </row>
    <row r="2189" spans="1:4" x14ac:dyDescent="0.25">
      <c r="A2189" s="24" t="s">
        <v>86</v>
      </c>
      <c r="B2189" s="24" t="s">
        <v>139</v>
      </c>
      <c r="C2189" s="32">
        <v>20.405000000000001</v>
      </c>
      <c r="D2189" s="28">
        <v>1.4583333333333332E-2</v>
      </c>
    </row>
    <row r="2190" spans="1:4" x14ac:dyDescent="0.25">
      <c r="A2190" s="24" t="s">
        <v>86</v>
      </c>
      <c r="B2190" s="24" t="s">
        <v>140</v>
      </c>
      <c r="C2190" s="32">
        <v>17.364000000000001</v>
      </c>
      <c r="D2190" s="28">
        <v>1.5277777777777777E-2</v>
      </c>
    </row>
    <row r="2191" spans="1:4" x14ac:dyDescent="0.25">
      <c r="A2191" s="24" t="s">
        <v>86</v>
      </c>
      <c r="B2191" s="24" t="s">
        <v>141</v>
      </c>
      <c r="C2191" s="32">
        <v>45.116</v>
      </c>
      <c r="D2191" s="28">
        <v>3.4027777777777775E-2</v>
      </c>
    </row>
    <row r="2192" spans="1:4" x14ac:dyDescent="0.25">
      <c r="A2192" s="24" t="s">
        <v>86</v>
      </c>
      <c r="B2192" s="24" t="s">
        <v>142</v>
      </c>
      <c r="C2192" s="32">
        <v>43.204000000000001</v>
      </c>
      <c r="D2192" s="28">
        <v>2.6388888888888889E-2</v>
      </c>
    </row>
    <row r="2193" spans="1:4" x14ac:dyDescent="0.25">
      <c r="A2193" s="24" t="s">
        <v>86</v>
      </c>
      <c r="B2193" s="24" t="s">
        <v>143</v>
      </c>
      <c r="C2193" s="32">
        <v>61.582000000000001</v>
      </c>
      <c r="D2193" s="28">
        <v>3.4027777777777775E-2</v>
      </c>
    </row>
    <row r="2194" spans="1:4" x14ac:dyDescent="0.25">
      <c r="A2194" s="24" t="s">
        <v>86</v>
      </c>
      <c r="B2194" s="24" t="s">
        <v>144</v>
      </c>
      <c r="C2194" s="32">
        <v>80.697999999999993</v>
      </c>
      <c r="D2194" s="28">
        <v>4.5138888888888888E-2</v>
      </c>
    </row>
    <row r="2195" spans="1:4" x14ac:dyDescent="0.25">
      <c r="A2195" s="24" t="s">
        <v>86</v>
      </c>
      <c r="B2195" s="24" t="s">
        <v>145</v>
      </c>
      <c r="C2195" s="32">
        <v>25.091000000000001</v>
      </c>
      <c r="D2195" s="28">
        <v>1.8055555555555557E-2</v>
      </c>
    </row>
    <row r="2196" spans="1:4" x14ac:dyDescent="0.25">
      <c r="A2196" s="24" t="s">
        <v>86</v>
      </c>
      <c r="B2196" s="24" t="s">
        <v>146</v>
      </c>
      <c r="C2196" s="32">
        <v>40.549999999999997</v>
      </c>
      <c r="D2196" s="28">
        <v>2.6388888888888889E-2</v>
      </c>
    </row>
    <row r="2197" spans="1:4" x14ac:dyDescent="0.25">
      <c r="A2197" s="24" t="s">
        <v>86</v>
      </c>
      <c r="B2197" s="24" t="s">
        <v>147</v>
      </c>
      <c r="C2197" s="32">
        <v>12.029</v>
      </c>
      <c r="D2197" s="28">
        <v>1.1111111111111112E-2</v>
      </c>
    </row>
    <row r="2198" spans="1:4" x14ac:dyDescent="0.25">
      <c r="A2198" s="24" t="s">
        <v>86</v>
      </c>
      <c r="B2198" s="24" t="s">
        <v>148</v>
      </c>
      <c r="C2198" s="32">
        <v>10.106</v>
      </c>
      <c r="D2198" s="28">
        <v>1.1111111111111112E-2</v>
      </c>
    </row>
    <row r="2199" spans="1:4" x14ac:dyDescent="0.25">
      <c r="A2199" s="24" t="s">
        <v>86</v>
      </c>
      <c r="B2199" s="24" t="s">
        <v>149</v>
      </c>
      <c r="C2199" s="32">
        <v>13.298</v>
      </c>
      <c r="D2199" s="28">
        <v>1.5972222222222224E-2</v>
      </c>
    </row>
    <row r="2200" spans="1:4" x14ac:dyDescent="0.25">
      <c r="A2200" s="24" t="s">
        <v>86</v>
      </c>
      <c r="B2200" s="24" t="s">
        <v>150</v>
      </c>
      <c r="C2200" s="32">
        <v>21.218</v>
      </c>
      <c r="D2200" s="28">
        <v>2.4305555555555556E-2</v>
      </c>
    </row>
    <row r="2201" spans="1:4" x14ac:dyDescent="0.25">
      <c r="A2201" s="24" t="s">
        <v>86</v>
      </c>
      <c r="B2201" s="24" t="s">
        <v>151</v>
      </c>
      <c r="C2201" s="32">
        <v>20.475999999999999</v>
      </c>
      <c r="D2201" s="28">
        <v>2.361111111111111E-2</v>
      </c>
    </row>
    <row r="2202" spans="1:4" x14ac:dyDescent="0.25">
      <c r="A2202" s="24" t="s">
        <v>86</v>
      </c>
      <c r="B2202" s="24" t="s">
        <v>152</v>
      </c>
      <c r="C2202" s="32">
        <v>27.420999999999999</v>
      </c>
      <c r="D2202" s="28">
        <v>2.7777777777777776E-2</v>
      </c>
    </row>
    <row r="2203" spans="1:4" x14ac:dyDescent="0.25">
      <c r="A2203" s="24" t="s">
        <v>86</v>
      </c>
      <c r="B2203" s="24" t="s">
        <v>153</v>
      </c>
      <c r="C2203" s="32">
        <v>30.074999999999999</v>
      </c>
      <c r="D2203" s="28">
        <v>3.2638888888888891E-2</v>
      </c>
    </row>
    <row r="2204" spans="1:4" x14ac:dyDescent="0.25">
      <c r="A2204" s="24" t="s">
        <v>86</v>
      </c>
      <c r="B2204" s="24" t="s">
        <v>154</v>
      </c>
      <c r="C2204" s="32">
        <v>24.893000000000001</v>
      </c>
      <c r="D2204" s="28">
        <v>2.6388888888888889E-2</v>
      </c>
    </row>
    <row r="2205" spans="1:4" x14ac:dyDescent="0.25">
      <c r="A2205" s="24" t="s">
        <v>86</v>
      </c>
      <c r="B2205" s="24" t="s">
        <v>155</v>
      </c>
      <c r="C2205" s="32">
        <v>21.08</v>
      </c>
      <c r="D2205" s="28">
        <v>2.4305555555555556E-2</v>
      </c>
    </row>
    <row r="2206" spans="1:4" x14ac:dyDescent="0.25">
      <c r="A2206" s="24" t="s">
        <v>86</v>
      </c>
      <c r="B2206" s="24" t="s">
        <v>156</v>
      </c>
      <c r="C2206" s="32">
        <v>21.064</v>
      </c>
      <c r="D2206" s="28">
        <v>2.4305555555555556E-2</v>
      </c>
    </row>
    <row r="2207" spans="1:4" x14ac:dyDescent="0.25">
      <c r="A2207" s="24" t="s">
        <v>86</v>
      </c>
      <c r="B2207" s="24" t="s">
        <v>157</v>
      </c>
      <c r="C2207" s="32">
        <v>30.916</v>
      </c>
      <c r="D2207" s="28">
        <v>2.8472222222222222E-2</v>
      </c>
    </row>
    <row r="2208" spans="1:4" x14ac:dyDescent="0.25">
      <c r="A2208" s="24" t="s">
        <v>86</v>
      </c>
      <c r="B2208" s="24" t="s">
        <v>158</v>
      </c>
      <c r="C2208" s="32">
        <v>41.508000000000003</v>
      </c>
      <c r="D2208" s="28">
        <v>3.6111111111111115E-2</v>
      </c>
    </row>
    <row r="2209" spans="1:4" x14ac:dyDescent="0.25">
      <c r="A2209" s="24" t="s">
        <v>86</v>
      </c>
      <c r="B2209" s="24" t="s">
        <v>159</v>
      </c>
      <c r="C2209" s="32">
        <v>46.878</v>
      </c>
      <c r="D2209" s="28">
        <v>4.1666666666666664E-2</v>
      </c>
    </row>
    <row r="2210" spans="1:4" x14ac:dyDescent="0.25">
      <c r="A2210" s="24" t="s">
        <v>87</v>
      </c>
      <c r="B2210" s="24" t="s">
        <v>65</v>
      </c>
      <c r="C2210" s="32">
        <v>15.069000000000001</v>
      </c>
      <c r="D2210" s="28">
        <v>1.2499999999999999E-2</v>
      </c>
    </row>
    <row r="2211" spans="1:4" x14ac:dyDescent="0.25">
      <c r="A2211" s="24" t="s">
        <v>87</v>
      </c>
      <c r="B2211" s="24" t="s">
        <v>64</v>
      </c>
      <c r="C2211" s="32">
        <v>5.2279999999999998</v>
      </c>
      <c r="D2211" s="28">
        <v>6.2499999999999995E-3</v>
      </c>
    </row>
    <row r="2212" spans="1:4" x14ac:dyDescent="0.25">
      <c r="A2212" s="24" t="s">
        <v>87</v>
      </c>
      <c r="B2212" s="24" t="s">
        <v>66</v>
      </c>
      <c r="C2212" s="32">
        <v>12.138</v>
      </c>
      <c r="D2212" s="28">
        <v>1.3194444444444444E-2</v>
      </c>
    </row>
    <row r="2213" spans="1:4" x14ac:dyDescent="0.25">
      <c r="A2213" s="24" t="s">
        <v>87</v>
      </c>
      <c r="B2213" s="24" t="s">
        <v>67</v>
      </c>
      <c r="C2213" s="32">
        <v>9.5990000000000002</v>
      </c>
      <c r="D2213" s="28">
        <v>1.2499999999999999E-2</v>
      </c>
    </row>
    <row r="2214" spans="1:4" x14ac:dyDescent="0.25">
      <c r="A2214" s="24" t="s">
        <v>87</v>
      </c>
      <c r="B2214" s="24" t="s">
        <v>68</v>
      </c>
      <c r="C2214" s="32">
        <v>9.2609999999999992</v>
      </c>
      <c r="D2214" s="28">
        <v>1.3888888888888888E-2</v>
      </c>
    </row>
    <row r="2215" spans="1:4" x14ac:dyDescent="0.25">
      <c r="A2215" s="24" t="s">
        <v>87</v>
      </c>
      <c r="B2215" s="24" t="s">
        <v>69</v>
      </c>
      <c r="C2215" s="32">
        <v>9.3140000000000001</v>
      </c>
      <c r="D2215" s="28">
        <v>1.2499999999999999E-2</v>
      </c>
    </row>
    <row r="2216" spans="1:4" x14ac:dyDescent="0.25">
      <c r="A2216" s="24" t="s">
        <v>87</v>
      </c>
      <c r="B2216" s="24" t="s">
        <v>70</v>
      </c>
      <c r="C2216" s="32">
        <v>9.6980000000000004</v>
      </c>
      <c r="D2216" s="28">
        <v>1.3194444444444444E-2</v>
      </c>
    </row>
    <row r="2217" spans="1:4" x14ac:dyDescent="0.25">
      <c r="A2217" s="24" t="s">
        <v>87</v>
      </c>
      <c r="B2217" s="24" t="s">
        <v>71</v>
      </c>
      <c r="C2217" s="32">
        <v>8.8460000000000001</v>
      </c>
      <c r="D2217" s="28">
        <v>1.3194444444444444E-2</v>
      </c>
    </row>
    <row r="2218" spans="1:4" x14ac:dyDescent="0.25">
      <c r="A2218" s="24" t="s">
        <v>87</v>
      </c>
      <c r="B2218" s="24" t="s">
        <v>72</v>
      </c>
      <c r="C2218" s="32">
        <v>12.725</v>
      </c>
      <c r="D2218" s="28">
        <v>1.3888888888888888E-2</v>
      </c>
    </row>
    <row r="2219" spans="1:4" x14ac:dyDescent="0.25">
      <c r="A2219" s="24" t="s">
        <v>87</v>
      </c>
      <c r="B2219" s="24" t="s">
        <v>73</v>
      </c>
      <c r="C2219" s="32">
        <v>8.5190000000000001</v>
      </c>
      <c r="D2219" s="28">
        <v>1.1111111111111112E-2</v>
      </c>
    </row>
    <row r="2220" spans="1:4" x14ac:dyDescent="0.25">
      <c r="A2220" s="24" t="s">
        <v>87</v>
      </c>
      <c r="B2220" s="24" t="s">
        <v>74</v>
      </c>
      <c r="C2220" s="32">
        <v>8.68</v>
      </c>
      <c r="D2220" s="28">
        <v>1.0416666666666666E-2</v>
      </c>
    </row>
    <row r="2221" spans="1:4" x14ac:dyDescent="0.25">
      <c r="A2221" s="24" t="s">
        <v>87</v>
      </c>
      <c r="B2221" s="24" t="s">
        <v>75</v>
      </c>
      <c r="C2221" s="32">
        <v>7.7160000000000002</v>
      </c>
      <c r="D2221" s="28">
        <v>9.0277777777777787E-3</v>
      </c>
    </row>
    <row r="2222" spans="1:4" x14ac:dyDescent="0.25">
      <c r="A2222" s="24" t="s">
        <v>87</v>
      </c>
      <c r="B2222" s="24" t="s">
        <v>76</v>
      </c>
      <c r="C2222" s="32">
        <v>11.282999999999999</v>
      </c>
      <c r="D2222" s="28">
        <v>1.3194444444444444E-2</v>
      </c>
    </row>
    <row r="2223" spans="1:4" x14ac:dyDescent="0.25">
      <c r="A2223" s="24" t="s">
        <v>87</v>
      </c>
      <c r="B2223" s="24" t="s">
        <v>77</v>
      </c>
      <c r="C2223" s="32">
        <v>19.885000000000002</v>
      </c>
      <c r="D2223" s="28">
        <v>1.5277777777777777E-2</v>
      </c>
    </row>
    <row r="2224" spans="1:4" x14ac:dyDescent="0.25">
      <c r="A2224" s="24" t="s">
        <v>87</v>
      </c>
      <c r="B2224" s="24" t="s">
        <v>78</v>
      </c>
      <c r="C2224" s="32">
        <v>14.401999999999999</v>
      </c>
      <c r="D2224" s="28">
        <v>1.7361111111111112E-2</v>
      </c>
    </row>
    <row r="2225" spans="1:4" x14ac:dyDescent="0.25">
      <c r="A2225" s="24" t="s">
        <v>87</v>
      </c>
      <c r="B2225" s="24" t="s">
        <v>79</v>
      </c>
      <c r="C2225" s="32">
        <v>29.398</v>
      </c>
      <c r="D2225" s="28">
        <v>2.7083333333333334E-2</v>
      </c>
    </row>
    <row r="2226" spans="1:4" x14ac:dyDescent="0.25">
      <c r="A2226" s="24" t="s">
        <v>87</v>
      </c>
      <c r="B2226" s="24" t="s">
        <v>80</v>
      </c>
      <c r="C2226" s="32">
        <v>18.36</v>
      </c>
      <c r="D2226" s="28">
        <v>1.4583333333333332E-2</v>
      </c>
    </row>
    <row r="2227" spans="1:4" x14ac:dyDescent="0.25">
      <c r="A2227" s="24" t="s">
        <v>87</v>
      </c>
      <c r="B2227" s="24" t="s">
        <v>81</v>
      </c>
      <c r="C2227" s="32">
        <v>22.882000000000001</v>
      </c>
      <c r="D2227" s="28">
        <v>1.7361111111111112E-2</v>
      </c>
    </row>
    <row r="2228" spans="1:4" x14ac:dyDescent="0.25">
      <c r="A2228" s="24" t="s">
        <v>87</v>
      </c>
      <c r="B2228" s="24" t="s">
        <v>82</v>
      </c>
      <c r="C2228" s="32">
        <v>22.934000000000001</v>
      </c>
      <c r="D2228" s="28">
        <v>1.7361111111111112E-2</v>
      </c>
    </row>
    <row r="2229" spans="1:4" x14ac:dyDescent="0.25">
      <c r="A2229" s="24" t="s">
        <v>87</v>
      </c>
      <c r="B2229" s="24" t="s">
        <v>83</v>
      </c>
      <c r="C2229" s="32">
        <v>3.3929999999999998</v>
      </c>
      <c r="D2229" s="28">
        <v>3.472222222222222E-3</v>
      </c>
    </row>
    <row r="2230" spans="1:4" x14ac:dyDescent="0.25">
      <c r="A2230" s="24" t="s">
        <v>87</v>
      </c>
      <c r="B2230" s="24" t="s">
        <v>84</v>
      </c>
      <c r="C2230" s="32">
        <v>4.2389999999999999</v>
      </c>
      <c r="D2230" s="28">
        <v>4.8611111111111112E-3</v>
      </c>
    </row>
    <row r="2231" spans="1:4" x14ac:dyDescent="0.25">
      <c r="A2231" s="24" t="s">
        <v>87</v>
      </c>
      <c r="B2231" s="24" t="s">
        <v>85</v>
      </c>
      <c r="C2231" s="32">
        <v>3.2</v>
      </c>
      <c r="D2231" s="28">
        <v>4.1666666666666666E-3</v>
      </c>
    </row>
    <row r="2232" spans="1:4" x14ac:dyDescent="0.25">
      <c r="A2232" s="24" t="s">
        <v>87</v>
      </c>
      <c r="B2232" s="24" t="s">
        <v>86</v>
      </c>
      <c r="C2232" s="32">
        <v>0.82599999999999996</v>
      </c>
      <c r="D2232" s="28">
        <v>1.3888888888888889E-3</v>
      </c>
    </row>
    <row r="2233" spans="1:4" x14ac:dyDescent="0.25">
      <c r="A2233" s="24" t="s">
        <v>87</v>
      </c>
      <c r="B2233" s="24" t="s">
        <v>87</v>
      </c>
      <c r="C2233" s="32">
        <v>0</v>
      </c>
      <c r="D2233" s="28">
        <v>0</v>
      </c>
    </row>
    <row r="2234" spans="1:4" x14ac:dyDescent="0.25">
      <c r="A2234" s="24" t="s">
        <v>87</v>
      </c>
      <c r="B2234" s="24" t="s">
        <v>88</v>
      </c>
      <c r="C2234" s="32">
        <v>1.6830000000000001</v>
      </c>
      <c r="D2234" s="28">
        <v>2.0833333333333333E-3</v>
      </c>
    </row>
    <row r="2235" spans="1:4" x14ac:dyDescent="0.25">
      <c r="A2235" s="24" t="s">
        <v>87</v>
      </c>
      <c r="B2235" s="24" t="s">
        <v>89</v>
      </c>
      <c r="C2235" s="32">
        <v>5.3719999999999999</v>
      </c>
      <c r="D2235" s="28">
        <v>6.9444444444444441E-3</v>
      </c>
    </row>
    <row r="2236" spans="1:4" x14ac:dyDescent="0.25">
      <c r="A2236" s="24" t="s">
        <v>87</v>
      </c>
      <c r="B2236" s="24" t="s">
        <v>90</v>
      </c>
      <c r="C2236" s="32">
        <v>18.303000000000001</v>
      </c>
      <c r="D2236" s="28">
        <v>1.4583333333333332E-2</v>
      </c>
    </row>
    <row r="2237" spans="1:4" x14ac:dyDescent="0.25">
      <c r="A2237" s="24" t="s">
        <v>87</v>
      </c>
      <c r="B2237" s="24" t="s">
        <v>91</v>
      </c>
      <c r="C2237" s="32">
        <v>3.2309999999999999</v>
      </c>
      <c r="D2237" s="28">
        <v>4.1666666666666666E-3</v>
      </c>
    </row>
    <row r="2238" spans="1:4" x14ac:dyDescent="0.25">
      <c r="A2238" s="24" t="s">
        <v>87</v>
      </c>
      <c r="B2238" s="24" t="s">
        <v>92</v>
      </c>
      <c r="C2238" s="32">
        <v>16.369</v>
      </c>
      <c r="D2238" s="28">
        <v>1.3888888888888888E-2</v>
      </c>
    </row>
    <row r="2239" spans="1:4" x14ac:dyDescent="0.25">
      <c r="A2239" s="24" t="s">
        <v>87</v>
      </c>
      <c r="B2239" s="24" t="s">
        <v>93</v>
      </c>
      <c r="C2239" s="32">
        <v>40.158000000000001</v>
      </c>
      <c r="D2239" s="28">
        <v>2.7083333333333334E-2</v>
      </c>
    </row>
    <row r="2240" spans="1:4" x14ac:dyDescent="0.25">
      <c r="A2240" s="24" t="s">
        <v>87</v>
      </c>
      <c r="B2240" s="24" t="s">
        <v>94</v>
      </c>
      <c r="C2240" s="32">
        <v>40.786999999999999</v>
      </c>
      <c r="D2240" s="28">
        <v>2.7777777777777776E-2</v>
      </c>
    </row>
    <row r="2241" spans="1:4" x14ac:dyDescent="0.25">
      <c r="A2241" s="24" t="s">
        <v>87</v>
      </c>
      <c r="B2241" s="24" t="s">
        <v>95</v>
      </c>
      <c r="C2241" s="32">
        <v>23.218</v>
      </c>
      <c r="D2241" s="28">
        <v>1.8055555555555557E-2</v>
      </c>
    </row>
    <row r="2242" spans="1:4" x14ac:dyDescent="0.25">
      <c r="A2242" s="24" t="s">
        <v>87</v>
      </c>
      <c r="B2242" s="24" t="s">
        <v>96</v>
      </c>
      <c r="C2242" s="32">
        <v>18.047000000000001</v>
      </c>
      <c r="D2242" s="28">
        <v>1.7361111111111112E-2</v>
      </c>
    </row>
    <row r="2243" spans="1:4" x14ac:dyDescent="0.25">
      <c r="A2243" s="24" t="s">
        <v>87</v>
      </c>
      <c r="B2243" s="24" t="s">
        <v>97</v>
      </c>
      <c r="C2243" s="32">
        <v>26.366</v>
      </c>
      <c r="D2243" s="28">
        <v>2.361111111111111E-2</v>
      </c>
    </row>
    <row r="2244" spans="1:4" x14ac:dyDescent="0.25">
      <c r="A2244" s="24" t="s">
        <v>87</v>
      </c>
      <c r="B2244" s="24" t="s">
        <v>98</v>
      </c>
      <c r="C2244" s="32">
        <v>27.385999999999999</v>
      </c>
      <c r="D2244" s="28">
        <v>2.1527777777777781E-2</v>
      </c>
    </row>
    <row r="2245" spans="1:4" x14ac:dyDescent="0.25">
      <c r="A2245" s="24" t="s">
        <v>87</v>
      </c>
      <c r="B2245" s="24" t="s">
        <v>99</v>
      </c>
      <c r="C2245" s="32">
        <v>27.818999999999999</v>
      </c>
      <c r="D2245" s="28">
        <v>2.4999999999999998E-2</v>
      </c>
    </row>
    <row r="2246" spans="1:4" x14ac:dyDescent="0.25">
      <c r="A2246" s="24" t="s">
        <v>87</v>
      </c>
      <c r="B2246" s="24" t="s">
        <v>100</v>
      </c>
      <c r="C2246" s="32">
        <v>23.295000000000002</v>
      </c>
      <c r="D2246" s="28">
        <v>1.8055555555555557E-2</v>
      </c>
    </row>
    <row r="2247" spans="1:4" x14ac:dyDescent="0.25">
      <c r="A2247" s="24" t="s">
        <v>87</v>
      </c>
      <c r="B2247" s="24" t="s">
        <v>101</v>
      </c>
      <c r="C2247" s="32">
        <v>27.78</v>
      </c>
      <c r="D2247" s="28">
        <v>2.2916666666666669E-2</v>
      </c>
    </row>
    <row r="2248" spans="1:4" x14ac:dyDescent="0.25">
      <c r="A2248" s="24" t="s">
        <v>87</v>
      </c>
      <c r="B2248" s="24" t="s">
        <v>102</v>
      </c>
      <c r="C2248" s="32">
        <v>25.526</v>
      </c>
      <c r="D2248" s="28">
        <v>2.2916666666666669E-2</v>
      </c>
    </row>
    <row r="2249" spans="1:4" x14ac:dyDescent="0.25">
      <c r="A2249" s="24" t="s">
        <v>87</v>
      </c>
      <c r="B2249" s="24" t="s">
        <v>103</v>
      </c>
      <c r="C2249" s="32">
        <v>11.254</v>
      </c>
      <c r="D2249" s="28">
        <v>1.0416666666666666E-2</v>
      </c>
    </row>
    <row r="2250" spans="1:4" x14ac:dyDescent="0.25">
      <c r="A2250" s="24" t="s">
        <v>87</v>
      </c>
      <c r="B2250" s="24" t="s">
        <v>104</v>
      </c>
      <c r="C2250" s="32">
        <v>15.249000000000001</v>
      </c>
      <c r="D2250" s="28">
        <v>1.3194444444444444E-2</v>
      </c>
    </row>
    <row r="2251" spans="1:4" x14ac:dyDescent="0.25">
      <c r="A2251" s="24" t="s">
        <v>87</v>
      </c>
      <c r="B2251" s="24" t="s">
        <v>105</v>
      </c>
      <c r="C2251" s="32">
        <v>8.0920000000000005</v>
      </c>
      <c r="D2251" s="28">
        <v>1.2499999999999999E-2</v>
      </c>
    </row>
    <row r="2252" spans="1:4" x14ac:dyDescent="0.25">
      <c r="A2252" s="24" t="s">
        <v>87</v>
      </c>
      <c r="B2252" s="24" t="s">
        <v>106</v>
      </c>
      <c r="C2252" s="32">
        <v>8.484</v>
      </c>
      <c r="D2252" s="28">
        <v>8.3333333333333332E-3</v>
      </c>
    </row>
    <row r="2253" spans="1:4" x14ac:dyDescent="0.25">
      <c r="A2253" s="24" t="s">
        <v>87</v>
      </c>
      <c r="B2253" s="24" t="s">
        <v>107</v>
      </c>
      <c r="C2253" s="32">
        <v>10.297000000000001</v>
      </c>
      <c r="D2253" s="28">
        <v>1.1111111111111112E-2</v>
      </c>
    </row>
    <row r="2254" spans="1:4" x14ac:dyDescent="0.25">
      <c r="A2254" s="24" t="s">
        <v>87</v>
      </c>
      <c r="B2254" s="24" t="s">
        <v>108</v>
      </c>
      <c r="C2254" s="32">
        <v>8.6829999999999998</v>
      </c>
      <c r="D2254" s="28">
        <v>8.3333333333333332E-3</v>
      </c>
    </row>
    <row r="2255" spans="1:4" x14ac:dyDescent="0.25">
      <c r="A2255" s="24" t="s">
        <v>87</v>
      </c>
      <c r="B2255" s="24" t="s">
        <v>109</v>
      </c>
      <c r="C2255" s="32">
        <v>8.7129999999999992</v>
      </c>
      <c r="D2255" s="28">
        <v>8.3333333333333332E-3</v>
      </c>
    </row>
    <row r="2256" spans="1:4" x14ac:dyDescent="0.25">
      <c r="A2256" s="24" t="s">
        <v>87</v>
      </c>
      <c r="B2256" s="24" t="s">
        <v>110</v>
      </c>
      <c r="C2256" s="32">
        <v>8.0109999999999992</v>
      </c>
      <c r="D2256" s="28">
        <v>8.3333333333333332E-3</v>
      </c>
    </row>
    <row r="2257" spans="1:4" x14ac:dyDescent="0.25">
      <c r="A2257" s="24" t="s">
        <v>87</v>
      </c>
      <c r="B2257" s="24" t="s">
        <v>111</v>
      </c>
      <c r="C2257" s="32">
        <v>10.007999999999999</v>
      </c>
      <c r="D2257" s="28">
        <v>9.0277777777777787E-3</v>
      </c>
    </row>
    <row r="2258" spans="1:4" x14ac:dyDescent="0.25">
      <c r="A2258" s="24" t="s">
        <v>87</v>
      </c>
      <c r="B2258" s="24" t="s">
        <v>112</v>
      </c>
      <c r="C2258" s="32">
        <v>11.494</v>
      </c>
      <c r="D2258" s="28">
        <v>1.2499999999999999E-2</v>
      </c>
    </row>
    <row r="2259" spans="1:4" x14ac:dyDescent="0.25">
      <c r="A2259" s="24" t="s">
        <v>87</v>
      </c>
      <c r="B2259" s="24" t="s">
        <v>113</v>
      </c>
      <c r="C2259" s="32">
        <v>14.606</v>
      </c>
      <c r="D2259" s="28">
        <v>1.3194444444444444E-2</v>
      </c>
    </row>
    <row r="2260" spans="1:4" x14ac:dyDescent="0.25">
      <c r="A2260" s="24" t="s">
        <v>87</v>
      </c>
      <c r="B2260" s="24" t="s">
        <v>114</v>
      </c>
      <c r="C2260" s="32">
        <v>21.427</v>
      </c>
      <c r="D2260" s="28">
        <v>1.5972222222222224E-2</v>
      </c>
    </row>
    <row r="2261" spans="1:4" x14ac:dyDescent="0.25">
      <c r="A2261" s="24" t="s">
        <v>87</v>
      </c>
      <c r="B2261" s="24" t="s">
        <v>115</v>
      </c>
      <c r="C2261" s="32">
        <v>21.277999999999999</v>
      </c>
      <c r="D2261" s="28">
        <v>1.5972222222222224E-2</v>
      </c>
    </row>
    <row r="2262" spans="1:4" x14ac:dyDescent="0.25">
      <c r="A2262" s="24" t="s">
        <v>87</v>
      </c>
      <c r="B2262" s="24" t="s">
        <v>116</v>
      </c>
      <c r="C2262" s="32">
        <v>15.451000000000001</v>
      </c>
      <c r="D2262" s="28">
        <v>1.3888888888888888E-2</v>
      </c>
    </row>
    <row r="2263" spans="1:4" x14ac:dyDescent="0.25">
      <c r="A2263" s="24" t="s">
        <v>87</v>
      </c>
      <c r="B2263" s="24" t="s">
        <v>117</v>
      </c>
      <c r="C2263" s="32">
        <v>22.722000000000001</v>
      </c>
      <c r="D2263" s="28">
        <v>1.9444444444444445E-2</v>
      </c>
    </row>
    <row r="2264" spans="1:4" x14ac:dyDescent="0.25">
      <c r="A2264" s="24" t="s">
        <v>87</v>
      </c>
      <c r="B2264" s="24" t="s">
        <v>118</v>
      </c>
      <c r="C2264" s="32">
        <v>17.765999999999998</v>
      </c>
      <c r="D2264" s="28">
        <v>1.6666666666666666E-2</v>
      </c>
    </row>
    <row r="2265" spans="1:4" x14ac:dyDescent="0.25">
      <c r="A2265" s="24" t="s">
        <v>87</v>
      </c>
      <c r="B2265" s="24" t="s">
        <v>119</v>
      </c>
      <c r="C2265" s="32">
        <v>29.550999999999998</v>
      </c>
      <c r="D2265" s="28">
        <v>1.8749999999999999E-2</v>
      </c>
    </row>
    <row r="2266" spans="1:4" x14ac:dyDescent="0.25">
      <c r="A2266" s="24" t="s">
        <v>87</v>
      </c>
      <c r="B2266" s="24" t="s">
        <v>120</v>
      </c>
      <c r="C2266" s="32">
        <v>32.341000000000001</v>
      </c>
      <c r="D2266" s="28">
        <v>2.2222222222222223E-2</v>
      </c>
    </row>
    <row r="2267" spans="1:4" x14ac:dyDescent="0.25">
      <c r="A2267" s="24" t="s">
        <v>87</v>
      </c>
      <c r="B2267" s="24" t="s">
        <v>121</v>
      </c>
      <c r="C2267" s="32">
        <v>46.692</v>
      </c>
      <c r="D2267" s="28">
        <v>2.9166666666666664E-2</v>
      </c>
    </row>
    <row r="2268" spans="1:4" x14ac:dyDescent="0.25">
      <c r="A2268" s="24" t="s">
        <v>87</v>
      </c>
      <c r="B2268" s="24" t="s">
        <v>122</v>
      </c>
      <c r="C2268" s="32">
        <v>39.029000000000003</v>
      </c>
      <c r="D2268" s="28">
        <v>2.6388888888888889E-2</v>
      </c>
    </row>
    <row r="2269" spans="1:4" x14ac:dyDescent="0.25">
      <c r="A2269" s="24" t="s">
        <v>87</v>
      </c>
      <c r="B2269" s="24" t="s">
        <v>123</v>
      </c>
      <c r="C2269" s="32">
        <v>40.277000000000001</v>
      </c>
      <c r="D2269" s="28">
        <v>2.4999999999999998E-2</v>
      </c>
    </row>
    <row r="2270" spans="1:4" x14ac:dyDescent="0.25">
      <c r="A2270" s="24" t="s">
        <v>87</v>
      </c>
      <c r="B2270" s="24" t="s">
        <v>124</v>
      </c>
      <c r="C2270" s="32">
        <v>40.277000000000001</v>
      </c>
      <c r="D2270" s="28">
        <v>2.4999999999999998E-2</v>
      </c>
    </row>
    <row r="2271" spans="1:4" x14ac:dyDescent="0.25">
      <c r="A2271" s="24" t="s">
        <v>87</v>
      </c>
      <c r="B2271" s="24" t="s">
        <v>125</v>
      </c>
      <c r="C2271" s="32">
        <v>8.1069999999999993</v>
      </c>
      <c r="D2271" s="28">
        <v>1.0416666666666666E-2</v>
      </c>
    </row>
    <row r="2272" spans="1:4" x14ac:dyDescent="0.25">
      <c r="A2272" s="24" t="s">
        <v>87</v>
      </c>
      <c r="B2272" s="24" t="s">
        <v>126</v>
      </c>
      <c r="C2272" s="32">
        <v>7.8449999999999998</v>
      </c>
      <c r="D2272" s="28">
        <v>9.7222222222222224E-3</v>
      </c>
    </row>
    <row r="2273" spans="1:4" x14ac:dyDescent="0.25">
      <c r="A2273" s="24" t="s">
        <v>87</v>
      </c>
      <c r="B2273" s="24" t="s">
        <v>127</v>
      </c>
      <c r="C2273" s="32">
        <v>8.59</v>
      </c>
      <c r="D2273" s="28">
        <v>1.0416666666666666E-2</v>
      </c>
    </row>
    <row r="2274" spans="1:4" x14ac:dyDescent="0.25">
      <c r="A2274" s="24" t="s">
        <v>87</v>
      </c>
      <c r="B2274" s="24" t="s">
        <v>128</v>
      </c>
      <c r="C2274" s="32">
        <v>6.9180000000000001</v>
      </c>
      <c r="D2274" s="28">
        <v>8.3333333333333332E-3</v>
      </c>
    </row>
    <row r="2275" spans="1:4" x14ac:dyDescent="0.25">
      <c r="A2275" s="24" t="s">
        <v>87</v>
      </c>
      <c r="B2275" s="24" t="s">
        <v>129</v>
      </c>
      <c r="C2275" s="32">
        <v>6.9180000000000001</v>
      </c>
      <c r="D2275" s="28">
        <v>8.3333333333333332E-3</v>
      </c>
    </row>
    <row r="2276" spans="1:4" x14ac:dyDescent="0.25">
      <c r="A2276" s="24" t="s">
        <v>87</v>
      </c>
      <c r="B2276" s="24" t="s">
        <v>130</v>
      </c>
      <c r="C2276" s="32">
        <v>8.5079999999999991</v>
      </c>
      <c r="D2276" s="28">
        <v>1.1111111111111112E-2</v>
      </c>
    </row>
    <row r="2277" spans="1:4" x14ac:dyDescent="0.25">
      <c r="A2277" s="24" t="s">
        <v>87</v>
      </c>
      <c r="B2277" s="24" t="s">
        <v>131</v>
      </c>
      <c r="C2277" s="32">
        <v>10.978999999999999</v>
      </c>
      <c r="D2277" s="28">
        <v>1.3888888888888888E-2</v>
      </c>
    </row>
    <row r="2278" spans="1:4" x14ac:dyDescent="0.25">
      <c r="A2278" s="24" t="s">
        <v>87</v>
      </c>
      <c r="B2278" s="24" t="s">
        <v>132</v>
      </c>
      <c r="C2278" s="32">
        <v>13.215</v>
      </c>
      <c r="D2278" s="28">
        <v>1.4583333333333332E-2</v>
      </c>
    </row>
    <row r="2279" spans="1:4" x14ac:dyDescent="0.25">
      <c r="A2279" s="24" t="s">
        <v>87</v>
      </c>
      <c r="B2279" s="24" t="s">
        <v>133</v>
      </c>
      <c r="C2279" s="32">
        <v>5.5890000000000004</v>
      </c>
      <c r="D2279" s="28">
        <v>6.9444444444444441E-3</v>
      </c>
    </row>
    <row r="2280" spans="1:4" x14ac:dyDescent="0.25">
      <c r="A2280" s="24" t="s">
        <v>87</v>
      </c>
      <c r="B2280" s="24" t="s">
        <v>134</v>
      </c>
      <c r="C2280" s="32">
        <v>5.1230000000000002</v>
      </c>
      <c r="D2280" s="28">
        <v>6.2499999999999995E-3</v>
      </c>
    </row>
    <row r="2281" spans="1:4" x14ac:dyDescent="0.25">
      <c r="A2281" s="24" t="s">
        <v>87</v>
      </c>
      <c r="B2281" s="24" t="s">
        <v>135</v>
      </c>
      <c r="C2281" s="32">
        <v>6.4539999999999997</v>
      </c>
      <c r="D2281" s="28">
        <v>7.6388888888888886E-3</v>
      </c>
    </row>
    <row r="2282" spans="1:4" x14ac:dyDescent="0.25">
      <c r="A2282" s="24" t="s">
        <v>87</v>
      </c>
      <c r="B2282" s="24" t="s">
        <v>136</v>
      </c>
      <c r="C2282" s="32">
        <v>6.4539999999999997</v>
      </c>
      <c r="D2282" s="28">
        <v>7.6388888888888886E-3</v>
      </c>
    </row>
    <row r="2283" spans="1:4" x14ac:dyDescent="0.25">
      <c r="A2283" s="24" t="s">
        <v>87</v>
      </c>
      <c r="B2283" s="24" t="s">
        <v>137</v>
      </c>
      <c r="C2283" s="32">
        <v>6.6669999999999998</v>
      </c>
      <c r="D2283" s="28">
        <v>7.6388888888888886E-3</v>
      </c>
    </row>
    <row r="2284" spans="1:4" x14ac:dyDescent="0.25">
      <c r="A2284" s="24" t="s">
        <v>87</v>
      </c>
      <c r="B2284" s="24" t="s">
        <v>138</v>
      </c>
      <c r="C2284" s="32">
        <v>10.612</v>
      </c>
      <c r="D2284" s="28">
        <v>8.3333333333333332E-3</v>
      </c>
    </row>
    <row r="2285" spans="1:4" x14ac:dyDescent="0.25">
      <c r="A2285" s="24" t="s">
        <v>87</v>
      </c>
      <c r="B2285" s="24" t="s">
        <v>139</v>
      </c>
      <c r="C2285" s="32">
        <v>20.733000000000001</v>
      </c>
      <c r="D2285" s="28">
        <v>1.3888888888888888E-2</v>
      </c>
    </row>
    <row r="2286" spans="1:4" x14ac:dyDescent="0.25">
      <c r="A2286" s="24" t="s">
        <v>87</v>
      </c>
      <c r="B2286" s="24" t="s">
        <v>140</v>
      </c>
      <c r="C2286" s="32">
        <v>17.692</v>
      </c>
      <c r="D2286" s="28">
        <v>1.4583333333333332E-2</v>
      </c>
    </row>
    <row r="2287" spans="1:4" x14ac:dyDescent="0.25">
      <c r="A2287" s="24" t="s">
        <v>87</v>
      </c>
      <c r="B2287" s="24" t="s">
        <v>141</v>
      </c>
      <c r="C2287" s="32">
        <v>45.444000000000003</v>
      </c>
      <c r="D2287" s="28">
        <v>3.3333333333333333E-2</v>
      </c>
    </row>
    <row r="2288" spans="1:4" x14ac:dyDescent="0.25">
      <c r="A2288" s="24" t="s">
        <v>87</v>
      </c>
      <c r="B2288" s="24" t="s">
        <v>142</v>
      </c>
      <c r="C2288" s="32">
        <v>43.531999999999996</v>
      </c>
      <c r="D2288" s="28">
        <v>2.5694444444444447E-2</v>
      </c>
    </row>
    <row r="2289" spans="1:4" x14ac:dyDescent="0.25">
      <c r="A2289" s="24" t="s">
        <v>87</v>
      </c>
      <c r="B2289" s="24" t="s">
        <v>143</v>
      </c>
      <c r="C2289" s="32">
        <v>61.91</v>
      </c>
      <c r="D2289" s="28">
        <v>3.3333333333333333E-2</v>
      </c>
    </row>
    <row r="2290" spans="1:4" x14ac:dyDescent="0.25">
      <c r="A2290" s="24" t="s">
        <v>87</v>
      </c>
      <c r="B2290" s="24" t="s">
        <v>144</v>
      </c>
      <c r="C2290" s="32">
        <v>81.025999999999996</v>
      </c>
      <c r="D2290" s="28">
        <v>4.4444444444444446E-2</v>
      </c>
    </row>
    <row r="2291" spans="1:4" x14ac:dyDescent="0.25">
      <c r="A2291" s="24" t="s">
        <v>87</v>
      </c>
      <c r="B2291" s="24" t="s">
        <v>145</v>
      </c>
      <c r="C2291" s="32">
        <v>25.419</v>
      </c>
      <c r="D2291" s="28">
        <v>1.7361111111111112E-2</v>
      </c>
    </row>
    <row r="2292" spans="1:4" x14ac:dyDescent="0.25">
      <c r="A2292" s="24" t="s">
        <v>87</v>
      </c>
      <c r="B2292" s="24" t="s">
        <v>146</v>
      </c>
      <c r="C2292" s="32">
        <v>40.878</v>
      </c>
      <c r="D2292" s="28">
        <v>2.4999999999999998E-2</v>
      </c>
    </row>
    <row r="2293" spans="1:4" x14ac:dyDescent="0.25">
      <c r="A2293" s="24" t="s">
        <v>87</v>
      </c>
      <c r="B2293" s="24" t="s">
        <v>147</v>
      </c>
      <c r="C2293" s="32">
        <v>10.878</v>
      </c>
      <c r="D2293" s="28">
        <v>9.7222222222222224E-3</v>
      </c>
    </row>
    <row r="2294" spans="1:4" x14ac:dyDescent="0.25">
      <c r="A2294" s="24" t="s">
        <v>87</v>
      </c>
      <c r="B2294" s="24" t="s">
        <v>148</v>
      </c>
      <c r="C2294" s="32">
        <v>8.9550000000000001</v>
      </c>
      <c r="D2294" s="28">
        <v>9.7222222222222224E-3</v>
      </c>
    </row>
    <row r="2295" spans="1:4" x14ac:dyDescent="0.25">
      <c r="A2295" s="24" t="s">
        <v>87</v>
      </c>
      <c r="B2295" s="24" t="s">
        <v>149</v>
      </c>
      <c r="C2295" s="32">
        <v>13.321</v>
      </c>
      <c r="D2295" s="28">
        <v>1.4583333333333332E-2</v>
      </c>
    </row>
    <row r="2296" spans="1:4" x14ac:dyDescent="0.25">
      <c r="A2296" s="24" t="s">
        <v>87</v>
      </c>
      <c r="B2296" s="24" t="s">
        <v>150</v>
      </c>
      <c r="C2296" s="32">
        <v>21.28</v>
      </c>
      <c r="D2296" s="28">
        <v>2.361111111111111E-2</v>
      </c>
    </row>
    <row r="2297" spans="1:4" x14ac:dyDescent="0.25">
      <c r="A2297" s="24" t="s">
        <v>87</v>
      </c>
      <c r="B2297" s="24" t="s">
        <v>151</v>
      </c>
      <c r="C2297" s="32">
        <v>20.538</v>
      </c>
      <c r="D2297" s="28">
        <v>2.2916666666666669E-2</v>
      </c>
    </row>
    <row r="2298" spans="1:4" x14ac:dyDescent="0.25">
      <c r="A2298" s="24" t="s">
        <v>87</v>
      </c>
      <c r="B2298" s="24" t="s">
        <v>152</v>
      </c>
      <c r="C2298" s="32">
        <v>28.885000000000002</v>
      </c>
      <c r="D2298" s="28">
        <v>2.7083333333333334E-2</v>
      </c>
    </row>
    <row r="2299" spans="1:4" x14ac:dyDescent="0.25">
      <c r="A2299" s="24" t="s">
        <v>87</v>
      </c>
      <c r="B2299" s="24" t="s">
        <v>153</v>
      </c>
      <c r="C2299" s="32">
        <v>30.137</v>
      </c>
      <c r="D2299" s="28">
        <v>3.1944444444444449E-2</v>
      </c>
    </row>
    <row r="2300" spans="1:4" x14ac:dyDescent="0.25">
      <c r="A2300" s="24" t="s">
        <v>87</v>
      </c>
      <c r="B2300" s="24" t="s">
        <v>154</v>
      </c>
      <c r="C2300" s="32">
        <v>24.954999999999998</v>
      </c>
      <c r="D2300" s="28">
        <v>2.5694444444444447E-2</v>
      </c>
    </row>
    <row r="2301" spans="1:4" x14ac:dyDescent="0.25">
      <c r="A2301" s="24" t="s">
        <v>87</v>
      </c>
      <c r="B2301" s="24" t="s">
        <v>155</v>
      </c>
      <c r="C2301" s="32">
        <v>21.141999999999999</v>
      </c>
      <c r="D2301" s="28">
        <v>2.361111111111111E-2</v>
      </c>
    </row>
    <row r="2302" spans="1:4" x14ac:dyDescent="0.25">
      <c r="A2302" s="24" t="s">
        <v>87</v>
      </c>
      <c r="B2302" s="24" t="s">
        <v>156</v>
      </c>
      <c r="C2302" s="32">
        <v>21.126000000000001</v>
      </c>
      <c r="D2302" s="28">
        <v>2.361111111111111E-2</v>
      </c>
    </row>
    <row r="2303" spans="1:4" x14ac:dyDescent="0.25">
      <c r="A2303" s="24" t="s">
        <v>87</v>
      </c>
      <c r="B2303" s="24" t="s">
        <v>157</v>
      </c>
      <c r="C2303" s="32">
        <v>29.765000000000001</v>
      </c>
      <c r="D2303" s="28">
        <v>2.7083333333333334E-2</v>
      </c>
    </row>
    <row r="2304" spans="1:4" x14ac:dyDescent="0.25">
      <c r="A2304" s="24" t="s">
        <v>87</v>
      </c>
      <c r="B2304" s="24" t="s">
        <v>158</v>
      </c>
      <c r="C2304" s="32">
        <v>40.518999999999998</v>
      </c>
      <c r="D2304" s="28">
        <v>3.4722222222222224E-2</v>
      </c>
    </row>
    <row r="2305" spans="1:4" x14ac:dyDescent="0.25">
      <c r="A2305" s="24" t="s">
        <v>87</v>
      </c>
      <c r="B2305" s="24" t="s">
        <v>159</v>
      </c>
      <c r="C2305" s="32">
        <v>45.889000000000003</v>
      </c>
      <c r="D2305" s="28">
        <v>4.027777777777778E-2</v>
      </c>
    </row>
    <row r="2306" spans="1:4" x14ac:dyDescent="0.25">
      <c r="A2306" s="24" t="s">
        <v>88</v>
      </c>
      <c r="B2306" s="24" t="s">
        <v>65</v>
      </c>
      <c r="C2306" s="32">
        <v>14.478</v>
      </c>
      <c r="D2306" s="28">
        <v>1.1805555555555555E-2</v>
      </c>
    </row>
    <row r="2307" spans="1:4" x14ac:dyDescent="0.25">
      <c r="A2307" s="24" t="s">
        <v>88</v>
      </c>
      <c r="B2307" s="24" t="s">
        <v>64</v>
      </c>
      <c r="C2307" s="32">
        <v>6.5650000000000004</v>
      </c>
      <c r="D2307" s="28">
        <v>7.6388888888888886E-3</v>
      </c>
    </row>
    <row r="2308" spans="1:4" x14ac:dyDescent="0.25">
      <c r="A2308" s="24" t="s">
        <v>88</v>
      </c>
      <c r="B2308" s="24" t="s">
        <v>66</v>
      </c>
      <c r="C2308" s="32">
        <v>13.375999999999999</v>
      </c>
      <c r="D2308" s="28">
        <v>1.3888888888888888E-2</v>
      </c>
    </row>
    <row r="2309" spans="1:4" x14ac:dyDescent="0.25">
      <c r="A2309" s="24" t="s">
        <v>88</v>
      </c>
      <c r="B2309" s="24" t="s">
        <v>67</v>
      </c>
      <c r="C2309" s="32">
        <v>10.678000000000001</v>
      </c>
      <c r="D2309" s="28">
        <v>1.3888888888888888E-2</v>
      </c>
    </row>
    <row r="2310" spans="1:4" x14ac:dyDescent="0.25">
      <c r="A2310" s="24" t="s">
        <v>88</v>
      </c>
      <c r="B2310" s="24" t="s">
        <v>68</v>
      </c>
      <c r="C2310" s="32">
        <v>10.499000000000001</v>
      </c>
      <c r="D2310" s="28">
        <v>1.5277777777777777E-2</v>
      </c>
    </row>
    <row r="2311" spans="1:4" x14ac:dyDescent="0.25">
      <c r="A2311" s="24" t="s">
        <v>88</v>
      </c>
      <c r="B2311" s="24" t="s">
        <v>69</v>
      </c>
      <c r="C2311" s="32">
        <v>10.552</v>
      </c>
      <c r="D2311" s="28">
        <v>1.3888888888888888E-2</v>
      </c>
    </row>
    <row r="2312" spans="1:4" x14ac:dyDescent="0.25">
      <c r="A2312" s="24" t="s">
        <v>88</v>
      </c>
      <c r="B2312" s="24" t="s">
        <v>70</v>
      </c>
      <c r="C2312" s="32">
        <v>10.936</v>
      </c>
      <c r="D2312" s="28">
        <v>1.4583333333333332E-2</v>
      </c>
    </row>
    <row r="2313" spans="1:4" x14ac:dyDescent="0.25">
      <c r="A2313" s="24" t="s">
        <v>88</v>
      </c>
      <c r="B2313" s="24" t="s">
        <v>71</v>
      </c>
      <c r="C2313" s="32">
        <v>10.084</v>
      </c>
      <c r="D2313" s="28">
        <v>1.4583333333333332E-2</v>
      </c>
    </row>
    <row r="2314" spans="1:4" x14ac:dyDescent="0.25">
      <c r="A2314" s="24" t="s">
        <v>88</v>
      </c>
      <c r="B2314" s="24" t="s">
        <v>72</v>
      </c>
      <c r="C2314" s="32">
        <v>13.804</v>
      </c>
      <c r="D2314" s="28">
        <v>1.5277777777777777E-2</v>
      </c>
    </row>
    <row r="2315" spans="1:4" x14ac:dyDescent="0.25">
      <c r="A2315" s="24" t="s">
        <v>88</v>
      </c>
      <c r="B2315" s="24" t="s">
        <v>73</v>
      </c>
      <c r="C2315" s="32">
        <v>9.5980000000000008</v>
      </c>
      <c r="D2315" s="28">
        <v>1.2499999999999999E-2</v>
      </c>
    </row>
    <row r="2316" spans="1:4" x14ac:dyDescent="0.25">
      <c r="A2316" s="24" t="s">
        <v>88</v>
      </c>
      <c r="B2316" s="24" t="s">
        <v>74</v>
      </c>
      <c r="C2316" s="32">
        <v>9.7590000000000003</v>
      </c>
      <c r="D2316" s="28">
        <v>1.2499999999999999E-2</v>
      </c>
    </row>
    <row r="2317" spans="1:4" x14ac:dyDescent="0.25">
      <c r="A2317" s="24" t="s">
        <v>88</v>
      </c>
      <c r="B2317" s="24" t="s">
        <v>75</v>
      </c>
      <c r="C2317" s="32">
        <v>8.7949999999999999</v>
      </c>
      <c r="D2317" s="28">
        <v>1.0416666666666666E-2</v>
      </c>
    </row>
    <row r="2318" spans="1:4" x14ac:dyDescent="0.25">
      <c r="A2318" s="24" t="s">
        <v>88</v>
      </c>
      <c r="B2318" s="24" t="s">
        <v>76</v>
      </c>
      <c r="C2318" s="32">
        <v>12.362</v>
      </c>
      <c r="D2318" s="28">
        <v>1.4583333333333332E-2</v>
      </c>
    </row>
    <row r="2319" spans="1:4" x14ac:dyDescent="0.25">
      <c r="A2319" s="24" t="s">
        <v>88</v>
      </c>
      <c r="B2319" s="24" t="s">
        <v>77</v>
      </c>
      <c r="C2319" s="32">
        <v>20.963999999999999</v>
      </c>
      <c r="D2319" s="28">
        <v>1.6666666666666666E-2</v>
      </c>
    </row>
    <row r="2320" spans="1:4" x14ac:dyDescent="0.25">
      <c r="A2320" s="24" t="s">
        <v>88</v>
      </c>
      <c r="B2320" s="24" t="s">
        <v>78</v>
      </c>
      <c r="C2320" s="32">
        <v>15.64</v>
      </c>
      <c r="D2320" s="28">
        <v>1.8055555555555557E-2</v>
      </c>
    </row>
    <row r="2321" spans="1:4" x14ac:dyDescent="0.25">
      <c r="A2321" s="24" t="s">
        <v>88</v>
      </c>
      <c r="B2321" s="24" t="s">
        <v>79</v>
      </c>
      <c r="C2321" s="32">
        <v>30.477</v>
      </c>
      <c r="D2321" s="28">
        <v>2.8472222222222222E-2</v>
      </c>
    </row>
    <row r="2322" spans="1:4" x14ac:dyDescent="0.25">
      <c r="A2322" s="24" t="s">
        <v>88</v>
      </c>
      <c r="B2322" s="24" t="s">
        <v>80</v>
      </c>
      <c r="C2322" s="32">
        <v>17.768999999999998</v>
      </c>
      <c r="D2322" s="28">
        <v>1.3888888888888888E-2</v>
      </c>
    </row>
    <row r="2323" spans="1:4" x14ac:dyDescent="0.25">
      <c r="A2323" s="24" t="s">
        <v>88</v>
      </c>
      <c r="B2323" s="24" t="s">
        <v>81</v>
      </c>
      <c r="C2323" s="32">
        <v>22.291</v>
      </c>
      <c r="D2323" s="28">
        <v>1.6666666666666666E-2</v>
      </c>
    </row>
    <row r="2324" spans="1:4" x14ac:dyDescent="0.25">
      <c r="A2324" s="24" t="s">
        <v>88</v>
      </c>
      <c r="B2324" s="24" t="s">
        <v>82</v>
      </c>
      <c r="C2324" s="32">
        <v>22.343</v>
      </c>
      <c r="D2324" s="28">
        <v>1.6666666666666666E-2</v>
      </c>
    </row>
    <row r="2325" spans="1:4" x14ac:dyDescent="0.25">
      <c r="A2325" s="24" t="s">
        <v>88</v>
      </c>
      <c r="B2325" s="24" t="s">
        <v>83</v>
      </c>
      <c r="C2325" s="32">
        <v>2.802</v>
      </c>
      <c r="D2325" s="28">
        <v>2.7777777777777779E-3</v>
      </c>
    </row>
    <row r="2326" spans="1:4" x14ac:dyDescent="0.25">
      <c r="A2326" s="24" t="s">
        <v>88</v>
      </c>
      <c r="B2326" s="24" t="s">
        <v>84</v>
      </c>
      <c r="C2326" s="32">
        <v>5.3179999999999996</v>
      </c>
      <c r="D2326" s="28">
        <v>6.9444444444444441E-3</v>
      </c>
    </row>
    <row r="2327" spans="1:4" x14ac:dyDescent="0.25">
      <c r="A2327" s="24" t="s">
        <v>88</v>
      </c>
      <c r="B2327" s="24" t="s">
        <v>85</v>
      </c>
      <c r="C2327" s="32">
        <v>4.2789999999999999</v>
      </c>
      <c r="D2327" s="28">
        <v>5.5555555555555558E-3</v>
      </c>
    </row>
    <row r="2328" spans="1:4" x14ac:dyDescent="0.25">
      <c r="A2328" s="24" t="s">
        <v>88</v>
      </c>
      <c r="B2328" s="24" t="s">
        <v>86</v>
      </c>
      <c r="C2328" s="32">
        <v>1.905</v>
      </c>
      <c r="D2328" s="28">
        <v>2.7777777777777779E-3</v>
      </c>
    </row>
    <row r="2329" spans="1:4" x14ac:dyDescent="0.25">
      <c r="A2329" s="24" t="s">
        <v>88</v>
      </c>
      <c r="B2329" s="24" t="s">
        <v>87</v>
      </c>
      <c r="C2329" s="32">
        <v>1.6830000000000001</v>
      </c>
      <c r="D2329" s="28">
        <v>2.7777777777777779E-3</v>
      </c>
    </row>
    <row r="2330" spans="1:4" x14ac:dyDescent="0.25">
      <c r="A2330" s="24" t="s">
        <v>88</v>
      </c>
      <c r="B2330" s="24" t="s">
        <v>88</v>
      </c>
      <c r="C2330" s="32">
        <v>0</v>
      </c>
      <c r="D2330" s="28">
        <v>0</v>
      </c>
    </row>
    <row r="2331" spans="1:4" x14ac:dyDescent="0.25">
      <c r="A2331" s="24" t="s">
        <v>88</v>
      </c>
      <c r="B2331" s="24" t="s">
        <v>89</v>
      </c>
      <c r="C2331" s="32">
        <v>4.3689999999999998</v>
      </c>
      <c r="D2331" s="28">
        <v>5.5555555555555558E-3</v>
      </c>
    </row>
    <row r="2332" spans="1:4" x14ac:dyDescent="0.25">
      <c r="A2332" s="24" t="s">
        <v>88</v>
      </c>
      <c r="B2332" s="24" t="s">
        <v>90</v>
      </c>
      <c r="C2332" s="32">
        <v>17.712</v>
      </c>
      <c r="D2332" s="28">
        <v>1.3888888888888888E-2</v>
      </c>
    </row>
    <row r="2333" spans="1:4" x14ac:dyDescent="0.25">
      <c r="A2333" s="24" t="s">
        <v>88</v>
      </c>
      <c r="B2333" s="24" t="s">
        <v>91</v>
      </c>
      <c r="C2333" s="32">
        <v>2.2280000000000002</v>
      </c>
      <c r="D2333" s="28">
        <v>2.7777777777777779E-3</v>
      </c>
    </row>
    <row r="2334" spans="1:4" x14ac:dyDescent="0.25">
      <c r="A2334" s="24" t="s">
        <v>88</v>
      </c>
      <c r="B2334" s="24" t="s">
        <v>92</v>
      </c>
      <c r="C2334" s="32">
        <v>15.778</v>
      </c>
      <c r="D2334" s="28">
        <v>1.3194444444444444E-2</v>
      </c>
    </row>
    <row r="2335" spans="1:4" x14ac:dyDescent="0.25">
      <c r="A2335" s="24" t="s">
        <v>88</v>
      </c>
      <c r="B2335" s="24" t="s">
        <v>93</v>
      </c>
      <c r="C2335" s="32">
        <v>39.567</v>
      </c>
      <c r="D2335" s="28">
        <v>2.6388888888888889E-2</v>
      </c>
    </row>
    <row r="2336" spans="1:4" x14ac:dyDescent="0.25">
      <c r="A2336" s="24" t="s">
        <v>88</v>
      </c>
      <c r="B2336" s="24" t="s">
        <v>94</v>
      </c>
      <c r="C2336" s="32">
        <v>40.195999999999998</v>
      </c>
      <c r="D2336" s="28">
        <v>2.7083333333333334E-2</v>
      </c>
    </row>
    <row r="2337" spans="1:4" x14ac:dyDescent="0.25">
      <c r="A2337" s="24" t="s">
        <v>88</v>
      </c>
      <c r="B2337" s="24" t="s">
        <v>95</v>
      </c>
      <c r="C2337" s="32">
        <v>22.626999999999999</v>
      </c>
      <c r="D2337" s="28">
        <v>1.7361111111111112E-2</v>
      </c>
    </row>
    <row r="2338" spans="1:4" x14ac:dyDescent="0.25">
      <c r="A2338" s="24" t="s">
        <v>88</v>
      </c>
      <c r="B2338" s="24" t="s">
        <v>96</v>
      </c>
      <c r="C2338" s="32">
        <v>19.384</v>
      </c>
      <c r="D2338" s="28">
        <v>1.8749999999999999E-2</v>
      </c>
    </row>
    <row r="2339" spans="1:4" x14ac:dyDescent="0.25">
      <c r="A2339" s="24" t="s">
        <v>88</v>
      </c>
      <c r="B2339" s="24" t="s">
        <v>97</v>
      </c>
      <c r="C2339" s="32">
        <v>27.702999999999999</v>
      </c>
      <c r="D2339" s="28">
        <v>2.4999999999999998E-2</v>
      </c>
    </row>
    <row r="2340" spans="1:4" x14ac:dyDescent="0.25">
      <c r="A2340" s="24" t="s">
        <v>88</v>
      </c>
      <c r="B2340" s="24" t="s">
        <v>98</v>
      </c>
      <c r="C2340" s="32">
        <v>26.795000000000002</v>
      </c>
      <c r="D2340" s="28">
        <v>2.0833333333333332E-2</v>
      </c>
    </row>
    <row r="2341" spans="1:4" x14ac:dyDescent="0.25">
      <c r="A2341" s="24" t="s">
        <v>88</v>
      </c>
      <c r="B2341" s="24" t="s">
        <v>99</v>
      </c>
      <c r="C2341" s="32">
        <v>32.558</v>
      </c>
      <c r="D2341" s="28">
        <v>2.5694444444444447E-2</v>
      </c>
    </row>
    <row r="2342" spans="1:4" x14ac:dyDescent="0.25">
      <c r="A2342" s="24" t="s">
        <v>88</v>
      </c>
      <c r="B2342" s="24" t="s">
        <v>100</v>
      </c>
      <c r="C2342" s="32">
        <v>22.704000000000001</v>
      </c>
      <c r="D2342" s="28">
        <v>1.7361111111111112E-2</v>
      </c>
    </row>
    <row r="2343" spans="1:4" x14ac:dyDescent="0.25">
      <c r="A2343" s="24" t="s">
        <v>88</v>
      </c>
      <c r="B2343" s="24" t="s">
        <v>101</v>
      </c>
      <c r="C2343" s="32">
        <v>27.189</v>
      </c>
      <c r="D2343" s="28">
        <v>2.2222222222222223E-2</v>
      </c>
    </row>
    <row r="2344" spans="1:4" x14ac:dyDescent="0.25">
      <c r="A2344" s="24" t="s">
        <v>88</v>
      </c>
      <c r="B2344" s="24" t="s">
        <v>102</v>
      </c>
      <c r="C2344" s="32">
        <v>26.616</v>
      </c>
      <c r="D2344" s="28">
        <v>2.2222222222222223E-2</v>
      </c>
    </row>
    <row r="2345" spans="1:4" x14ac:dyDescent="0.25">
      <c r="A2345" s="24" t="s">
        <v>88</v>
      </c>
      <c r="B2345" s="24" t="s">
        <v>103</v>
      </c>
      <c r="C2345" s="32">
        <v>10.663</v>
      </c>
      <c r="D2345" s="28">
        <v>9.7222222222222224E-3</v>
      </c>
    </row>
    <row r="2346" spans="1:4" x14ac:dyDescent="0.25">
      <c r="A2346" s="24" t="s">
        <v>88</v>
      </c>
      <c r="B2346" s="24" t="s">
        <v>104</v>
      </c>
      <c r="C2346" s="32">
        <v>14.657999999999999</v>
      </c>
      <c r="D2346" s="28">
        <v>1.2499999999999999E-2</v>
      </c>
    </row>
    <row r="2347" spans="1:4" x14ac:dyDescent="0.25">
      <c r="A2347" s="24" t="s">
        <v>88</v>
      </c>
      <c r="B2347" s="24" t="s">
        <v>105</v>
      </c>
      <c r="C2347" s="32">
        <v>7.0890000000000004</v>
      </c>
      <c r="D2347" s="28">
        <v>1.1111111111111112E-2</v>
      </c>
    </row>
    <row r="2348" spans="1:4" x14ac:dyDescent="0.25">
      <c r="A2348" s="24" t="s">
        <v>88</v>
      </c>
      <c r="B2348" s="24" t="s">
        <v>106</v>
      </c>
      <c r="C2348" s="32">
        <v>7.8929999999999998</v>
      </c>
      <c r="D2348" s="28">
        <v>7.6388888888888886E-3</v>
      </c>
    </row>
    <row r="2349" spans="1:4" x14ac:dyDescent="0.25">
      <c r="A2349" s="24" t="s">
        <v>88</v>
      </c>
      <c r="B2349" s="24" t="s">
        <v>107</v>
      </c>
      <c r="C2349" s="32">
        <v>11.375999999999999</v>
      </c>
      <c r="D2349" s="28">
        <v>1.2499999999999999E-2</v>
      </c>
    </row>
    <row r="2350" spans="1:4" x14ac:dyDescent="0.25">
      <c r="A2350" s="24" t="s">
        <v>88</v>
      </c>
      <c r="B2350" s="24" t="s">
        <v>108</v>
      </c>
      <c r="C2350" s="32">
        <v>9.7620000000000005</v>
      </c>
      <c r="D2350" s="28">
        <v>9.7222222222222224E-3</v>
      </c>
    </row>
    <row r="2351" spans="1:4" x14ac:dyDescent="0.25">
      <c r="A2351" s="24" t="s">
        <v>88</v>
      </c>
      <c r="B2351" s="24" t="s">
        <v>109</v>
      </c>
      <c r="C2351" s="32">
        <v>9.7919999999999998</v>
      </c>
      <c r="D2351" s="28">
        <v>9.7222222222222224E-3</v>
      </c>
    </row>
    <row r="2352" spans="1:4" x14ac:dyDescent="0.25">
      <c r="A2352" s="24" t="s">
        <v>88</v>
      </c>
      <c r="B2352" s="24" t="s">
        <v>110</v>
      </c>
      <c r="C2352" s="32">
        <v>7.42</v>
      </c>
      <c r="D2352" s="28">
        <v>8.3333333333333332E-3</v>
      </c>
    </row>
    <row r="2353" spans="1:4" x14ac:dyDescent="0.25">
      <c r="A2353" s="24" t="s">
        <v>88</v>
      </c>
      <c r="B2353" s="24" t="s">
        <v>111</v>
      </c>
      <c r="C2353" s="32">
        <v>9.4169999999999998</v>
      </c>
      <c r="D2353" s="28">
        <v>8.3333333333333332E-3</v>
      </c>
    </row>
    <row r="2354" spans="1:4" x14ac:dyDescent="0.25">
      <c r="A2354" s="24" t="s">
        <v>88</v>
      </c>
      <c r="B2354" s="24" t="s">
        <v>112</v>
      </c>
      <c r="C2354" s="32">
        <v>10.491</v>
      </c>
      <c r="D2354" s="28">
        <v>1.1111111111111112E-2</v>
      </c>
    </row>
    <row r="2355" spans="1:4" x14ac:dyDescent="0.25">
      <c r="A2355" s="24" t="s">
        <v>88</v>
      </c>
      <c r="B2355" s="24" t="s">
        <v>113</v>
      </c>
      <c r="C2355" s="32">
        <v>14.115</v>
      </c>
      <c r="D2355" s="28">
        <v>1.3194444444444444E-2</v>
      </c>
    </row>
    <row r="2356" spans="1:4" x14ac:dyDescent="0.25">
      <c r="A2356" s="24" t="s">
        <v>88</v>
      </c>
      <c r="B2356" s="24" t="s">
        <v>114</v>
      </c>
      <c r="C2356" s="32">
        <v>20.835999999999999</v>
      </c>
      <c r="D2356" s="28">
        <v>1.5277777777777777E-2</v>
      </c>
    </row>
    <row r="2357" spans="1:4" x14ac:dyDescent="0.25">
      <c r="A2357" s="24" t="s">
        <v>88</v>
      </c>
      <c r="B2357" s="24" t="s">
        <v>115</v>
      </c>
      <c r="C2357" s="32">
        <v>20.687000000000001</v>
      </c>
      <c r="D2357" s="28">
        <v>1.5277777777777777E-2</v>
      </c>
    </row>
    <row r="2358" spans="1:4" x14ac:dyDescent="0.25">
      <c r="A2358" s="24" t="s">
        <v>88</v>
      </c>
      <c r="B2358" s="24" t="s">
        <v>116</v>
      </c>
      <c r="C2358" s="32">
        <v>14.86</v>
      </c>
      <c r="D2358" s="28">
        <v>1.3194444444444444E-2</v>
      </c>
    </row>
    <row r="2359" spans="1:4" x14ac:dyDescent="0.25">
      <c r="A2359" s="24" t="s">
        <v>88</v>
      </c>
      <c r="B2359" s="24" t="s">
        <v>117</v>
      </c>
      <c r="C2359" s="32">
        <v>22.131</v>
      </c>
      <c r="D2359" s="28">
        <v>1.8749999999999999E-2</v>
      </c>
    </row>
    <row r="2360" spans="1:4" x14ac:dyDescent="0.25">
      <c r="A2360" s="24" t="s">
        <v>88</v>
      </c>
      <c r="B2360" s="24" t="s">
        <v>118</v>
      </c>
      <c r="C2360" s="32">
        <v>16.763000000000002</v>
      </c>
      <c r="D2360" s="28">
        <v>1.5972222222222224E-2</v>
      </c>
    </row>
    <row r="2361" spans="1:4" x14ac:dyDescent="0.25">
      <c r="A2361" s="24" t="s">
        <v>88</v>
      </c>
      <c r="B2361" s="24" t="s">
        <v>119</v>
      </c>
      <c r="C2361" s="32">
        <v>30.63</v>
      </c>
      <c r="D2361" s="28">
        <v>2.013888888888889E-2</v>
      </c>
    </row>
    <row r="2362" spans="1:4" x14ac:dyDescent="0.25">
      <c r="A2362" s="24" t="s">
        <v>88</v>
      </c>
      <c r="B2362" s="24" t="s">
        <v>120</v>
      </c>
      <c r="C2362" s="32">
        <v>33.42</v>
      </c>
      <c r="D2362" s="28">
        <v>2.361111111111111E-2</v>
      </c>
    </row>
    <row r="2363" spans="1:4" x14ac:dyDescent="0.25">
      <c r="A2363" s="24" t="s">
        <v>88</v>
      </c>
      <c r="B2363" s="24" t="s">
        <v>121</v>
      </c>
      <c r="C2363" s="32">
        <v>47.771000000000001</v>
      </c>
      <c r="D2363" s="28">
        <v>3.0555555555555555E-2</v>
      </c>
    </row>
    <row r="2364" spans="1:4" x14ac:dyDescent="0.25">
      <c r="A2364" s="24" t="s">
        <v>88</v>
      </c>
      <c r="B2364" s="24" t="s">
        <v>122</v>
      </c>
      <c r="C2364" s="32">
        <v>38.438000000000002</v>
      </c>
      <c r="D2364" s="28">
        <v>2.5694444444444447E-2</v>
      </c>
    </row>
    <row r="2365" spans="1:4" x14ac:dyDescent="0.25">
      <c r="A2365" s="24" t="s">
        <v>88</v>
      </c>
      <c r="B2365" s="24" t="s">
        <v>123</v>
      </c>
      <c r="C2365" s="32">
        <v>41.356000000000002</v>
      </c>
      <c r="D2365" s="28">
        <v>2.7083333333333334E-2</v>
      </c>
    </row>
    <row r="2366" spans="1:4" x14ac:dyDescent="0.25">
      <c r="A2366" s="24" t="s">
        <v>88</v>
      </c>
      <c r="B2366" s="24" t="s">
        <v>124</v>
      </c>
      <c r="C2366" s="32">
        <v>41.356000000000002</v>
      </c>
      <c r="D2366" s="28">
        <v>2.7083333333333334E-2</v>
      </c>
    </row>
    <row r="2367" spans="1:4" x14ac:dyDescent="0.25">
      <c r="A2367" s="24" t="s">
        <v>88</v>
      </c>
      <c r="B2367" s="24" t="s">
        <v>125</v>
      </c>
      <c r="C2367" s="32">
        <v>9.4440000000000008</v>
      </c>
      <c r="D2367" s="28">
        <v>1.1805555555555555E-2</v>
      </c>
    </row>
    <row r="2368" spans="1:4" x14ac:dyDescent="0.25">
      <c r="A2368" s="24" t="s">
        <v>88</v>
      </c>
      <c r="B2368" s="24" t="s">
        <v>126</v>
      </c>
      <c r="C2368" s="32">
        <v>9.1820000000000004</v>
      </c>
      <c r="D2368" s="28">
        <v>1.1111111111111112E-2</v>
      </c>
    </row>
    <row r="2369" spans="1:4" x14ac:dyDescent="0.25">
      <c r="A2369" s="24" t="s">
        <v>88</v>
      </c>
      <c r="B2369" s="24" t="s">
        <v>127</v>
      </c>
      <c r="C2369" s="32">
        <v>9.9269999999999996</v>
      </c>
      <c r="D2369" s="28">
        <v>1.1805555555555555E-2</v>
      </c>
    </row>
    <row r="2370" spans="1:4" x14ac:dyDescent="0.25">
      <c r="A2370" s="24" t="s">
        <v>88</v>
      </c>
      <c r="B2370" s="24" t="s">
        <v>128</v>
      </c>
      <c r="C2370" s="32">
        <v>8.2550000000000008</v>
      </c>
      <c r="D2370" s="28">
        <v>9.7222222222222224E-3</v>
      </c>
    </row>
    <row r="2371" spans="1:4" x14ac:dyDescent="0.25">
      <c r="A2371" s="24" t="s">
        <v>88</v>
      </c>
      <c r="B2371" s="24" t="s">
        <v>129</v>
      </c>
      <c r="C2371" s="32">
        <v>8.2550000000000008</v>
      </c>
      <c r="D2371" s="28">
        <v>9.7222222222222224E-3</v>
      </c>
    </row>
    <row r="2372" spans="1:4" x14ac:dyDescent="0.25">
      <c r="A2372" s="24" t="s">
        <v>88</v>
      </c>
      <c r="B2372" s="24" t="s">
        <v>130</v>
      </c>
      <c r="C2372" s="32">
        <v>9.8450000000000006</v>
      </c>
      <c r="D2372" s="28">
        <v>1.2499999999999999E-2</v>
      </c>
    </row>
    <row r="2373" spans="1:4" x14ac:dyDescent="0.25">
      <c r="A2373" s="24" t="s">
        <v>88</v>
      </c>
      <c r="B2373" s="24" t="s">
        <v>131</v>
      </c>
      <c r="C2373" s="32">
        <v>10.282999999999999</v>
      </c>
      <c r="D2373" s="28">
        <v>1.4583333333333332E-2</v>
      </c>
    </row>
    <row r="2374" spans="1:4" x14ac:dyDescent="0.25">
      <c r="A2374" s="24" t="s">
        <v>88</v>
      </c>
      <c r="B2374" s="24" t="s">
        <v>132</v>
      </c>
      <c r="C2374" s="32">
        <v>14.552</v>
      </c>
      <c r="D2374" s="28">
        <v>1.5972222222222224E-2</v>
      </c>
    </row>
    <row r="2375" spans="1:4" x14ac:dyDescent="0.25">
      <c r="A2375" s="24" t="s">
        <v>88</v>
      </c>
      <c r="B2375" s="24" t="s">
        <v>133</v>
      </c>
      <c r="C2375" s="32">
        <v>6.6680000000000001</v>
      </c>
      <c r="D2375" s="28">
        <v>8.3333333333333332E-3</v>
      </c>
    </row>
    <row r="2376" spans="1:4" x14ac:dyDescent="0.25">
      <c r="A2376" s="24" t="s">
        <v>88</v>
      </c>
      <c r="B2376" s="24" t="s">
        <v>134</v>
      </c>
      <c r="C2376" s="32">
        <v>6.202</v>
      </c>
      <c r="D2376" s="28">
        <v>7.6388888888888886E-3</v>
      </c>
    </row>
    <row r="2377" spans="1:4" x14ac:dyDescent="0.25">
      <c r="A2377" s="24" t="s">
        <v>88</v>
      </c>
      <c r="B2377" s="24" t="s">
        <v>135</v>
      </c>
      <c r="C2377" s="32">
        <v>7.5330000000000004</v>
      </c>
      <c r="D2377" s="28">
        <v>9.0277777777777787E-3</v>
      </c>
    </row>
    <row r="2378" spans="1:4" x14ac:dyDescent="0.25">
      <c r="A2378" s="24" t="s">
        <v>88</v>
      </c>
      <c r="B2378" s="24" t="s">
        <v>136</v>
      </c>
      <c r="C2378" s="32">
        <v>7.5330000000000004</v>
      </c>
      <c r="D2378" s="28">
        <v>9.0277777777777787E-3</v>
      </c>
    </row>
    <row r="2379" spans="1:4" x14ac:dyDescent="0.25">
      <c r="A2379" s="24" t="s">
        <v>88</v>
      </c>
      <c r="B2379" s="24" t="s">
        <v>137</v>
      </c>
      <c r="C2379" s="32">
        <v>7.7460000000000004</v>
      </c>
      <c r="D2379" s="28">
        <v>9.0277777777777787E-3</v>
      </c>
    </row>
    <row r="2380" spans="1:4" x14ac:dyDescent="0.25">
      <c r="A2380" s="24" t="s">
        <v>88</v>
      </c>
      <c r="B2380" s="24" t="s">
        <v>138</v>
      </c>
      <c r="C2380" s="32">
        <v>11.691000000000001</v>
      </c>
      <c r="D2380" s="28">
        <v>9.7222222222222224E-3</v>
      </c>
    </row>
    <row r="2381" spans="1:4" x14ac:dyDescent="0.25">
      <c r="A2381" s="24" t="s">
        <v>88</v>
      </c>
      <c r="B2381" s="24" t="s">
        <v>139</v>
      </c>
      <c r="C2381" s="32">
        <v>21.812000000000001</v>
      </c>
      <c r="D2381" s="28">
        <v>1.5277777777777777E-2</v>
      </c>
    </row>
    <row r="2382" spans="1:4" x14ac:dyDescent="0.25">
      <c r="A2382" s="24" t="s">
        <v>88</v>
      </c>
      <c r="B2382" s="24" t="s">
        <v>140</v>
      </c>
      <c r="C2382" s="32">
        <v>18.771000000000001</v>
      </c>
      <c r="D2382" s="28">
        <v>1.5972222222222224E-2</v>
      </c>
    </row>
    <row r="2383" spans="1:4" x14ac:dyDescent="0.25">
      <c r="A2383" s="24" t="s">
        <v>88</v>
      </c>
      <c r="B2383" s="24" t="s">
        <v>141</v>
      </c>
      <c r="C2383" s="32">
        <v>46.523000000000003</v>
      </c>
      <c r="D2383" s="28">
        <v>3.4722222222222224E-2</v>
      </c>
    </row>
    <row r="2384" spans="1:4" x14ac:dyDescent="0.25">
      <c r="A2384" s="24" t="s">
        <v>88</v>
      </c>
      <c r="B2384" s="24" t="s">
        <v>142</v>
      </c>
      <c r="C2384" s="32">
        <v>44.610999999999997</v>
      </c>
      <c r="D2384" s="28">
        <v>2.7083333333333334E-2</v>
      </c>
    </row>
    <row r="2385" spans="1:4" x14ac:dyDescent="0.25">
      <c r="A2385" s="24" t="s">
        <v>88</v>
      </c>
      <c r="B2385" s="24" t="s">
        <v>143</v>
      </c>
      <c r="C2385" s="32">
        <v>62.988999999999997</v>
      </c>
      <c r="D2385" s="28">
        <v>3.4722222222222224E-2</v>
      </c>
    </row>
    <row r="2386" spans="1:4" x14ac:dyDescent="0.25">
      <c r="A2386" s="24" t="s">
        <v>88</v>
      </c>
      <c r="B2386" s="24" t="s">
        <v>144</v>
      </c>
      <c r="C2386" s="32">
        <v>82.105000000000004</v>
      </c>
      <c r="D2386" s="28">
        <v>4.5833333333333337E-2</v>
      </c>
    </row>
    <row r="2387" spans="1:4" x14ac:dyDescent="0.25">
      <c r="A2387" s="24" t="s">
        <v>88</v>
      </c>
      <c r="B2387" s="24" t="s">
        <v>145</v>
      </c>
      <c r="C2387" s="32">
        <v>26.498000000000001</v>
      </c>
      <c r="D2387" s="28">
        <v>1.8749999999999999E-2</v>
      </c>
    </row>
    <row r="2388" spans="1:4" x14ac:dyDescent="0.25">
      <c r="A2388" s="24" t="s">
        <v>88</v>
      </c>
      <c r="B2388" s="24" t="s">
        <v>146</v>
      </c>
      <c r="C2388" s="32">
        <v>41.957000000000001</v>
      </c>
      <c r="D2388" s="28">
        <v>2.6388888888888889E-2</v>
      </c>
    </row>
    <row r="2389" spans="1:4" x14ac:dyDescent="0.25">
      <c r="A2389" s="24" t="s">
        <v>88</v>
      </c>
      <c r="B2389" s="24" t="s">
        <v>147</v>
      </c>
      <c r="C2389" s="32">
        <v>8.1950000000000003</v>
      </c>
      <c r="D2389" s="28">
        <v>9.7222222222222224E-3</v>
      </c>
    </row>
    <row r="2390" spans="1:4" x14ac:dyDescent="0.25">
      <c r="A2390" s="24" t="s">
        <v>88</v>
      </c>
      <c r="B2390" s="24" t="s">
        <v>148</v>
      </c>
      <c r="C2390" s="32">
        <v>7.617</v>
      </c>
      <c r="D2390" s="28">
        <v>1.0416666666666666E-2</v>
      </c>
    </row>
    <row r="2391" spans="1:4" x14ac:dyDescent="0.25">
      <c r="A2391" s="24" t="s">
        <v>88</v>
      </c>
      <c r="B2391" s="24" t="s">
        <v>149</v>
      </c>
      <c r="C2391" s="32">
        <v>14.657999999999999</v>
      </c>
      <c r="D2391" s="28">
        <v>1.5972222222222224E-2</v>
      </c>
    </row>
    <row r="2392" spans="1:4" x14ac:dyDescent="0.25">
      <c r="A2392" s="24" t="s">
        <v>88</v>
      </c>
      <c r="B2392" s="24" t="s">
        <v>150</v>
      </c>
      <c r="C2392" s="32">
        <v>22.617000000000001</v>
      </c>
      <c r="D2392" s="28">
        <v>2.4999999999999998E-2</v>
      </c>
    </row>
    <row r="2393" spans="1:4" x14ac:dyDescent="0.25">
      <c r="A2393" s="24" t="s">
        <v>88</v>
      </c>
      <c r="B2393" s="24" t="s">
        <v>151</v>
      </c>
      <c r="C2393" s="32">
        <v>23.402999999999999</v>
      </c>
      <c r="D2393" s="28">
        <v>2.4999999999999998E-2</v>
      </c>
    </row>
    <row r="2394" spans="1:4" x14ac:dyDescent="0.25">
      <c r="A2394" s="24" t="s">
        <v>88</v>
      </c>
      <c r="B2394" s="24" t="s">
        <v>152</v>
      </c>
      <c r="C2394" s="32">
        <v>30.222000000000001</v>
      </c>
      <c r="D2394" s="28">
        <v>2.8472222222222222E-2</v>
      </c>
    </row>
    <row r="2395" spans="1:4" x14ac:dyDescent="0.25">
      <c r="A2395" s="24" t="s">
        <v>88</v>
      </c>
      <c r="B2395" s="24" t="s">
        <v>153</v>
      </c>
      <c r="C2395" s="32">
        <v>31.474</v>
      </c>
      <c r="D2395" s="28">
        <v>3.3333333333333333E-2</v>
      </c>
    </row>
    <row r="2396" spans="1:4" x14ac:dyDescent="0.25">
      <c r="A2396" s="24" t="s">
        <v>88</v>
      </c>
      <c r="B2396" s="24" t="s">
        <v>154</v>
      </c>
      <c r="C2396" s="32">
        <v>27.82</v>
      </c>
      <c r="D2396" s="28">
        <v>2.7777777777777776E-2</v>
      </c>
    </row>
    <row r="2397" spans="1:4" x14ac:dyDescent="0.25">
      <c r="A2397" s="24" t="s">
        <v>88</v>
      </c>
      <c r="B2397" s="24" t="s">
        <v>155</v>
      </c>
      <c r="C2397" s="32">
        <v>22.478999999999999</v>
      </c>
      <c r="D2397" s="28">
        <v>2.4999999999999998E-2</v>
      </c>
    </row>
    <row r="2398" spans="1:4" x14ac:dyDescent="0.25">
      <c r="A2398" s="24" t="s">
        <v>88</v>
      </c>
      <c r="B2398" s="24" t="s">
        <v>156</v>
      </c>
      <c r="C2398" s="32">
        <v>22.463000000000001</v>
      </c>
      <c r="D2398" s="28">
        <v>2.4999999999999998E-2</v>
      </c>
    </row>
    <row r="2399" spans="1:4" x14ac:dyDescent="0.25">
      <c r="A2399" s="24" t="s">
        <v>88</v>
      </c>
      <c r="B2399" s="24" t="s">
        <v>157</v>
      </c>
      <c r="C2399" s="32">
        <v>31.102</v>
      </c>
      <c r="D2399" s="28">
        <v>2.8472222222222222E-2</v>
      </c>
    </row>
    <row r="2400" spans="1:4" x14ac:dyDescent="0.25">
      <c r="A2400" s="24" t="s">
        <v>88</v>
      </c>
      <c r="B2400" s="24" t="s">
        <v>158</v>
      </c>
      <c r="C2400" s="32">
        <v>41.856000000000002</v>
      </c>
      <c r="D2400" s="28">
        <v>3.6111111111111115E-2</v>
      </c>
    </row>
    <row r="2401" spans="1:4" x14ac:dyDescent="0.25">
      <c r="A2401" s="24" t="s">
        <v>88</v>
      </c>
      <c r="B2401" s="24" t="s">
        <v>159</v>
      </c>
      <c r="C2401" s="32">
        <v>47.225999999999999</v>
      </c>
      <c r="D2401" s="28">
        <v>4.1666666666666664E-2</v>
      </c>
    </row>
    <row r="2402" spans="1:4" x14ac:dyDescent="0.25">
      <c r="A2402" s="24" t="s">
        <v>89</v>
      </c>
      <c r="B2402" s="24" t="s">
        <v>65</v>
      </c>
      <c r="C2402" s="32">
        <v>9.5210000000000008</v>
      </c>
      <c r="D2402" s="28">
        <v>9.0277777777777787E-3</v>
      </c>
    </row>
    <row r="2403" spans="1:4" x14ac:dyDescent="0.25">
      <c r="A2403" s="24" t="s">
        <v>89</v>
      </c>
      <c r="B2403" s="24" t="s">
        <v>64</v>
      </c>
      <c r="C2403" s="32">
        <v>8.859</v>
      </c>
      <c r="D2403" s="28">
        <v>1.0416666666666666E-2</v>
      </c>
    </row>
    <row r="2404" spans="1:4" x14ac:dyDescent="0.25">
      <c r="A2404" s="24" t="s">
        <v>89</v>
      </c>
      <c r="B2404" s="24" t="s">
        <v>66</v>
      </c>
      <c r="C2404" s="32">
        <v>15.551</v>
      </c>
      <c r="D2404" s="28">
        <v>1.7361111111111112E-2</v>
      </c>
    </row>
    <row r="2405" spans="1:4" x14ac:dyDescent="0.25">
      <c r="A2405" s="24" t="s">
        <v>89</v>
      </c>
      <c r="B2405" s="24" t="s">
        <v>67</v>
      </c>
      <c r="C2405" s="32">
        <v>12.795</v>
      </c>
      <c r="D2405" s="28">
        <v>1.6666666666666666E-2</v>
      </c>
    </row>
    <row r="2406" spans="1:4" x14ac:dyDescent="0.25">
      <c r="A2406" s="24" t="s">
        <v>89</v>
      </c>
      <c r="B2406" s="24" t="s">
        <v>68</v>
      </c>
      <c r="C2406" s="32">
        <v>12.909000000000001</v>
      </c>
      <c r="D2406" s="28">
        <v>1.8055555555555557E-2</v>
      </c>
    </row>
    <row r="2407" spans="1:4" x14ac:dyDescent="0.25">
      <c r="A2407" s="24" t="s">
        <v>89</v>
      </c>
      <c r="B2407" s="24" t="s">
        <v>69</v>
      </c>
      <c r="C2407" s="32">
        <v>12.765000000000001</v>
      </c>
      <c r="D2407" s="28">
        <v>1.6666666666666666E-2</v>
      </c>
    </row>
    <row r="2408" spans="1:4" x14ac:dyDescent="0.25">
      <c r="A2408" s="24" t="s">
        <v>89</v>
      </c>
      <c r="B2408" s="24" t="s">
        <v>70</v>
      </c>
      <c r="C2408" s="32">
        <v>13.148999999999999</v>
      </c>
      <c r="D2408" s="28">
        <v>1.7361111111111112E-2</v>
      </c>
    </row>
    <row r="2409" spans="1:4" x14ac:dyDescent="0.25">
      <c r="A2409" s="24" t="s">
        <v>89</v>
      </c>
      <c r="B2409" s="24" t="s">
        <v>71</v>
      </c>
      <c r="C2409" s="32">
        <v>12.494</v>
      </c>
      <c r="D2409" s="28">
        <v>1.7361111111111112E-2</v>
      </c>
    </row>
    <row r="2410" spans="1:4" x14ac:dyDescent="0.25">
      <c r="A2410" s="24" t="s">
        <v>89</v>
      </c>
      <c r="B2410" s="24" t="s">
        <v>72</v>
      </c>
      <c r="C2410" s="32">
        <v>17.329000000000001</v>
      </c>
      <c r="D2410" s="28">
        <v>1.8749999999999999E-2</v>
      </c>
    </row>
    <row r="2411" spans="1:4" x14ac:dyDescent="0.25">
      <c r="A2411" s="24" t="s">
        <v>89</v>
      </c>
      <c r="B2411" s="24" t="s">
        <v>73</v>
      </c>
      <c r="C2411" s="32">
        <v>11.617000000000001</v>
      </c>
      <c r="D2411" s="28">
        <v>1.5972222222222224E-2</v>
      </c>
    </row>
    <row r="2412" spans="1:4" x14ac:dyDescent="0.25">
      <c r="A2412" s="24" t="s">
        <v>89</v>
      </c>
      <c r="B2412" s="24" t="s">
        <v>74</v>
      </c>
      <c r="C2412" s="32">
        <v>13.284000000000001</v>
      </c>
      <c r="D2412" s="28">
        <v>1.5972222222222224E-2</v>
      </c>
    </row>
    <row r="2413" spans="1:4" x14ac:dyDescent="0.25">
      <c r="A2413" s="24" t="s">
        <v>89</v>
      </c>
      <c r="B2413" s="24" t="s">
        <v>75</v>
      </c>
      <c r="C2413" s="32">
        <v>12.32</v>
      </c>
      <c r="D2413" s="28">
        <v>1.4583333333333332E-2</v>
      </c>
    </row>
    <row r="2414" spans="1:4" x14ac:dyDescent="0.25">
      <c r="A2414" s="24" t="s">
        <v>89</v>
      </c>
      <c r="B2414" s="24" t="s">
        <v>76</v>
      </c>
      <c r="C2414" s="32">
        <v>15.887</v>
      </c>
      <c r="D2414" s="28">
        <v>1.8749999999999999E-2</v>
      </c>
    </row>
    <row r="2415" spans="1:4" x14ac:dyDescent="0.25">
      <c r="A2415" s="24" t="s">
        <v>89</v>
      </c>
      <c r="B2415" s="24" t="s">
        <v>77</v>
      </c>
      <c r="C2415" s="32">
        <v>24.489000000000001</v>
      </c>
      <c r="D2415" s="28">
        <v>2.0833333333333332E-2</v>
      </c>
    </row>
    <row r="2416" spans="1:4" x14ac:dyDescent="0.25">
      <c r="A2416" s="24" t="s">
        <v>89</v>
      </c>
      <c r="B2416" s="24" t="s">
        <v>78</v>
      </c>
      <c r="C2416" s="32">
        <v>17.815000000000001</v>
      </c>
      <c r="D2416" s="28">
        <v>2.1527777777777781E-2</v>
      </c>
    </row>
    <row r="2417" spans="1:4" x14ac:dyDescent="0.25">
      <c r="A2417" s="24" t="s">
        <v>89</v>
      </c>
      <c r="B2417" s="24" t="s">
        <v>79</v>
      </c>
      <c r="C2417" s="32">
        <v>34.002000000000002</v>
      </c>
      <c r="D2417" s="28">
        <v>3.2638888888888891E-2</v>
      </c>
    </row>
    <row r="2418" spans="1:4" x14ac:dyDescent="0.25">
      <c r="A2418" s="24" t="s">
        <v>89</v>
      </c>
      <c r="B2418" s="24" t="s">
        <v>80</v>
      </c>
      <c r="C2418" s="32">
        <v>12.749000000000001</v>
      </c>
      <c r="D2418" s="28">
        <v>1.1805555555555555E-2</v>
      </c>
    </row>
    <row r="2419" spans="1:4" x14ac:dyDescent="0.25">
      <c r="A2419" s="24" t="s">
        <v>89</v>
      </c>
      <c r="B2419" s="24" t="s">
        <v>81</v>
      </c>
      <c r="C2419" s="32">
        <v>12.975</v>
      </c>
      <c r="D2419" s="28">
        <v>1.3194444444444444E-2</v>
      </c>
    </row>
    <row r="2420" spans="1:4" x14ac:dyDescent="0.25">
      <c r="A2420" s="24" t="s">
        <v>89</v>
      </c>
      <c r="B2420" s="24" t="s">
        <v>82</v>
      </c>
      <c r="C2420" s="32">
        <v>13.026999999999999</v>
      </c>
      <c r="D2420" s="28">
        <v>1.3194444444444444E-2</v>
      </c>
    </row>
    <row r="2421" spans="1:4" x14ac:dyDescent="0.25">
      <c r="A2421" s="24" t="s">
        <v>89</v>
      </c>
      <c r="B2421" s="24" t="s">
        <v>83</v>
      </c>
      <c r="C2421" s="32">
        <v>4.4039999999999999</v>
      </c>
      <c r="D2421" s="28">
        <v>5.5555555555555558E-3</v>
      </c>
    </row>
    <row r="2422" spans="1:4" x14ac:dyDescent="0.25">
      <c r="A2422" s="24" t="s">
        <v>89</v>
      </c>
      <c r="B2422" s="24" t="s">
        <v>84</v>
      </c>
      <c r="C2422" s="32">
        <v>8.843</v>
      </c>
      <c r="D2422" s="28">
        <v>1.0416666666666666E-2</v>
      </c>
    </row>
    <row r="2423" spans="1:4" x14ac:dyDescent="0.25">
      <c r="A2423" s="24" t="s">
        <v>89</v>
      </c>
      <c r="B2423" s="24" t="s">
        <v>85</v>
      </c>
      <c r="C2423" s="32">
        <v>7.8040000000000003</v>
      </c>
      <c r="D2423" s="28">
        <v>9.7222222222222224E-3</v>
      </c>
    </row>
    <row r="2424" spans="1:4" x14ac:dyDescent="0.25">
      <c r="A2424" s="24" t="s">
        <v>89</v>
      </c>
      <c r="B2424" s="24" t="s">
        <v>86</v>
      </c>
      <c r="C2424" s="32">
        <v>5.43</v>
      </c>
      <c r="D2424" s="28">
        <v>6.9444444444444441E-3</v>
      </c>
    </row>
    <row r="2425" spans="1:4" x14ac:dyDescent="0.25">
      <c r="A2425" s="24" t="s">
        <v>89</v>
      </c>
      <c r="B2425" s="24" t="s">
        <v>87</v>
      </c>
      <c r="C2425" s="32">
        <v>5.2080000000000002</v>
      </c>
      <c r="D2425" s="28">
        <v>6.2499999999999995E-3</v>
      </c>
    </row>
    <row r="2426" spans="1:4" x14ac:dyDescent="0.25">
      <c r="A2426" s="24" t="s">
        <v>89</v>
      </c>
      <c r="B2426" s="24" t="s">
        <v>88</v>
      </c>
      <c r="C2426" s="32">
        <v>4.2050000000000001</v>
      </c>
      <c r="D2426" s="28">
        <v>5.5555555555555558E-3</v>
      </c>
    </row>
    <row r="2427" spans="1:4" x14ac:dyDescent="0.25">
      <c r="A2427" s="24" t="s">
        <v>89</v>
      </c>
      <c r="B2427" s="24" t="s">
        <v>89</v>
      </c>
      <c r="C2427" s="32">
        <v>0</v>
      </c>
      <c r="D2427" s="28">
        <v>0</v>
      </c>
    </row>
    <row r="2428" spans="1:4" x14ac:dyDescent="0.25">
      <c r="A2428" s="24" t="s">
        <v>89</v>
      </c>
      <c r="B2428" s="24" t="s">
        <v>90</v>
      </c>
      <c r="C2428" s="32">
        <v>11.561999999999999</v>
      </c>
      <c r="D2428" s="28">
        <v>1.1805555555555555E-2</v>
      </c>
    </row>
    <row r="2429" spans="1:4" x14ac:dyDescent="0.25">
      <c r="A2429" s="24" t="s">
        <v>89</v>
      </c>
      <c r="B2429" s="24" t="s">
        <v>91</v>
      </c>
      <c r="C2429" s="32">
        <v>2.2730000000000001</v>
      </c>
      <c r="D2429" s="28">
        <v>2.7777777777777779E-3</v>
      </c>
    </row>
    <row r="2430" spans="1:4" x14ac:dyDescent="0.25">
      <c r="A2430" s="24" t="s">
        <v>89</v>
      </c>
      <c r="B2430" s="24" t="s">
        <v>92</v>
      </c>
      <c r="C2430" s="32">
        <v>10.821</v>
      </c>
      <c r="D2430" s="28">
        <v>1.1111111111111112E-2</v>
      </c>
    </row>
    <row r="2431" spans="1:4" x14ac:dyDescent="0.25">
      <c r="A2431" s="24" t="s">
        <v>89</v>
      </c>
      <c r="B2431" s="24" t="s">
        <v>93</v>
      </c>
      <c r="C2431" s="32">
        <v>34.552</v>
      </c>
      <c r="D2431" s="28">
        <v>2.4305555555555556E-2</v>
      </c>
    </row>
    <row r="2432" spans="1:4" x14ac:dyDescent="0.25">
      <c r="A2432" s="24" t="s">
        <v>89</v>
      </c>
      <c r="B2432" s="24" t="s">
        <v>94</v>
      </c>
      <c r="C2432" s="32">
        <v>35.180999999999997</v>
      </c>
      <c r="D2432" s="28">
        <v>2.4999999999999998E-2</v>
      </c>
    </row>
    <row r="2433" spans="1:4" x14ac:dyDescent="0.25">
      <c r="A2433" s="24" t="s">
        <v>89</v>
      </c>
      <c r="B2433" s="24" t="s">
        <v>95</v>
      </c>
      <c r="C2433" s="32">
        <v>13.314</v>
      </c>
      <c r="D2433" s="28">
        <v>1.3888888888888888E-2</v>
      </c>
    </row>
    <row r="2434" spans="1:4" x14ac:dyDescent="0.25">
      <c r="A2434" s="24" t="s">
        <v>89</v>
      </c>
      <c r="B2434" s="24" t="s">
        <v>96</v>
      </c>
      <c r="C2434" s="32">
        <v>18.696999999999999</v>
      </c>
      <c r="D2434" s="28">
        <v>1.6666666666666666E-2</v>
      </c>
    </row>
    <row r="2435" spans="1:4" x14ac:dyDescent="0.25">
      <c r="A2435" s="24" t="s">
        <v>89</v>
      </c>
      <c r="B2435" s="24" t="s">
        <v>97</v>
      </c>
      <c r="C2435" s="32">
        <v>28.065000000000001</v>
      </c>
      <c r="D2435" s="28">
        <v>2.4999999999999998E-2</v>
      </c>
    </row>
    <row r="2436" spans="1:4" x14ac:dyDescent="0.25">
      <c r="A2436" s="24" t="s">
        <v>89</v>
      </c>
      <c r="B2436" s="24" t="s">
        <v>98</v>
      </c>
      <c r="C2436" s="32">
        <v>20.645</v>
      </c>
      <c r="D2436" s="28">
        <v>1.8749999999999999E-2</v>
      </c>
    </row>
    <row r="2437" spans="1:4" x14ac:dyDescent="0.25">
      <c r="A2437" s="24" t="s">
        <v>89</v>
      </c>
      <c r="B2437" s="24" t="s">
        <v>99</v>
      </c>
      <c r="C2437" s="32">
        <v>23.196000000000002</v>
      </c>
      <c r="D2437" s="28">
        <v>2.2222222222222223E-2</v>
      </c>
    </row>
    <row r="2438" spans="1:4" x14ac:dyDescent="0.25">
      <c r="A2438" s="24" t="s">
        <v>89</v>
      </c>
      <c r="B2438" s="24" t="s">
        <v>100</v>
      </c>
      <c r="C2438" s="32">
        <v>16.553999999999998</v>
      </c>
      <c r="D2438" s="28">
        <v>1.5277777777777777E-2</v>
      </c>
    </row>
    <row r="2439" spans="1:4" x14ac:dyDescent="0.25">
      <c r="A2439" s="24" t="s">
        <v>89</v>
      </c>
      <c r="B2439" s="24" t="s">
        <v>101</v>
      </c>
      <c r="C2439" s="32">
        <v>19.033000000000001</v>
      </c>
      <c r="D2439" s="28">
        <v>1.9444444444444445E-2</v>
      </c>
    </row>
    <row r="2440" spans="1:4" x14ac:dyDescent="0.25">
      <c r="A2440" s="24" t="s">
        <v>89</v>
      </c>
      <c r="B2440" s="24" t="s">
        <v>102</v>
      </c>
      <c r="C2440" s="32">
        <v>18.46</v>
      </c>
      <c r="D2440" s="28">
        <v>1.8749999999999999E-2</v>
      </c>
    </row>
    <row r="2441" spans="1:4" x14ac:dyDescent="0.25">
      <c r="A2441" s="24" t="s">
        <v>89</v>
      </c>
      <c r="B2441" s="24" t="s">
        <v>103</v>
      </c>
      <c r="C2441" s="32">
        <v>5.6180000000000003</v>
      </c>
      <c r="D2441" s="28">
        <v>6.2499999999999995E-3</v>
      </c>
    </row>
    <row r="2442" spans="1:4" x14ac:dyDescent="0.25">
      <c r="A2442" s="24" t="s">
        <v>89</v>
      </c>
      <c r="B2442" s="24" t="s">
        <v>104</v>
      </c>
      <c r="C2442" s="32">
        <v>9.7010000000000005</v>
      </c>
      <c r="D2442" s="28">
        <v>9.7222222222222224E-3</v>
      </c>
    </row>
    <row r="2443" spans="1:4" x14ac:dyDescent="0.25">
      <c r="A2443" s="24" t="s">
        <v>89</v>
      </c>
      <c r="B2443" s="24" t="s">
        <v>105</v>
      </c>
      <c r="C2443" s="32">
        <v>3.0539999999999998</v>
      </c>
      <c r="D2443" s="28">
        <v>6.9444444444444441E-3</v>
      </c>
    </row>
    <row r="2444" spans="1:4" x14ac:dyDescent="0.25">
      <c r="A2444" s="24" t="s">
        <v>89</v>
      </c>
      <c r="B2444" s="24" t="s">
        <v>106</v>
      </c>
      <c r="C2444" s="32">
        <v>6.3559999999999999</v>
      </c>
      <c r="D2444" s="28">
        <v>6.9444444444444441E-3</v>
      </c>
    </row>
    <row r="2445" spans="1:4" x14ac:dyDescent="0.25">
      <c r="A2445" s="24" t="s">
        <v>89</v>
      </c>
      <c r="B2445" s="24" t="s">
        <v>107</v>
      </c>
      <c r="C2445" s="32">
        <v>9.0500000000000007</v>
      </c>
      <c r="D2445" s="28">
        <v>1.1111111111111112E-2</v>
      </c>
    </row>
    <row r="2446" spans="1:4" x14ac:dyDescent="0.25">
      <c r="A2446" s="24" t="s">
        <v>89</v>
      </c>
      <c r="B2446" s="24" t="s">
        <v>108</v>
      </c>
      <c r="C2446" s="32">
        <v>9.6470000000000002</v>
      </c>
      <c r="D2446" s="28">
        <v>9.7222222222222224E-3</v>
      </c>
    </row>
    <row r="2447" spans="1:4" x14ac:dyDescent="0.25">
      <c r="A2447" s="24" t="s">
        <v>89</v>
      </c>
      <c r="B2447" s="24" t="s">
        <v>109</v>
      </c>
      <c r="C2447" s="32">
        <v>9.6170000000000009</v>
      </c>
      <c r="D2447" s="28">
        <v>9.7222222222222224E-3</v>
      </c>
    </row>
    <row r="2448" spans="1:4" x14ac:dyDescent="0.25">
      <c r="A2448" s="24" t="s">
        <v>89</v>
      </c>
      <c r="B2448" s="24" t="s">
        <v>110</v>
      </c>
      <c r="C2448" s="32">
        <v>5.883</v>
      </c>
      <c r="D2448" s="28">
        <v>7.6388888888888886E-3</v>
      </c>
    </row>
    <row r="2449" spans="1:4" x14ac:dyDescent="0.25">
      <c r="A2449" s="24" t="s">
        <v>89</v>
      </c>
      <c r="B2449" s="24" t="s">
        <v>111</v>
      </c>
      <c r="C2449" s="32">
        <v>5.1559999999999997</v>
      </c>
      <c r="D2449" s="28">
        <v>6.9444444444444441E-3</v>
      </c>
    </row>
    <row r="2450" spans="1:4" x14ac:dyDescent="0.25">
      <c r="A2450" s="24" t="s">
        <v>89</v>
      </c>
      <c r="B2450" s="24" t="s">
        <v>112</v>
      </c>
      <c r="C2450" s="32">
        <v>8.7240000000000002</v>
      </c>
      <c r="D2450" s="28">
        <v>9.7222222222222224E-3</v>
      </c>
    </row>
    <row r="2451" spans="1:4" x14ac:dyDescent="0.25">
      <c r="A2451" s="24" t="s">
        <v>89</v>
      </c>
      <c r="B2451" s="24" t="s">
        <v>113</v>
      </c>
      <c r="C2451" s="32">
        <v>12.348000000000001</v>
      </c>
      <c r="D2451" s="28">
        <v>1.1805555555555555E-2</v>
      </c>
    </row>
    <row r="2452" spans="1:4" x14ac:dyDescent="0.25">
      <c r="A2452" s="24" t="s">
        <v>89</v>
      </c>
      <c r="B2452" s="24" t="s">
        <v>114</v>
      </c>
      <c r="C2452" s="32">
        <v>15.816000000000001</v>
      </c>
      <c r="D2452" s="28">
        <v>1.2499999999999999E-2</v>
      </c>
    </row>
    <row r="2453" spans="1:4" x14ac:dyDescent="0.25">
      <c r="A2453" s="24" t="s">
        <v>89</v>
      </c>
      <c r="B2453" s="24" t="s">
        <v>115</v>
      </c>
      <c r="C2453" s="32">
        <v>15.667</v>
      </c>
      <c r="D2453" s="28">
        <v>1.3194444444444444E-2</v>
      </c>
    </row>
    <row r="2454" spans="1:4" x14ac:dyDescent="0.25">
      <c r="A2454" s="24" t="s">
        <v>89</v>
      </c>
      <c r="B2454" s="24" t="s">
        <v>116</v>
      </c>
      <c r="C2454" s="32">
        <v>9.9030000000000005</v>
      </c>
      <c r="D2454" s="28">
        <v>1.0416666666666666E-2</v>
      </c>
    </row>
    <row r="2455" spans="1:4" x14ac:dyDescent="0.25">
      <c r="A2455" s="24" t="s">
        <v>89</v>
      </c>
      <c r="B2455" s="24" t="s">
        <v>117</v>
      </c>
      <c r="C2455" s="32">
        <v>12.818</v>
      </c>
      <c r="D2455" s="28">
        <v>1.5277777777777777E-2</v>
      </c>
    </row>
    <row r="2456" spans="1:4" x14ac:dyDescent="0.25">
      <c r="A2456" s="24" t="s">
        <v>89</v>
      </c>
      <c r="B2456" s="24" t="s">
        <v>118</v>
      </c>
      <c r="C2456" s="32">
        <v>13.869</v>
      </c>
      <c r="D2456" s="28">
        <v>1.3194444444444444E-2</v>
      </c>
    </row>
    <row r="2457" spans="1:4" x14ac:dyDescent="0.25">
      <c r="A2457" s="24" t="s">
        <v>89</v>
      </c>
      <c r="B2457" s="24" t="s">
        <v>119</v>
      </c>
      <c r="C2457" s="32">
        <v>27.954000000000001</v>
      </c>
      <c r="D2457" s="28">
        <v>2.013888888888889E-2</v>
      </c>
    </row>
    <row r="2458" spans="1:4" x14ac:dyDescent="0.25">
      <c r="A2458" s="24" t="s">
        <v>89</v>
      </c>
      <c r="B2458" s="24" t="s">
        <v>120</v>
      </c>
      <c r="C2458" s="32">
        <v>30.744</v>
      </c>
      <c r="D2458" s="28">
        <v>2.361111111111111E-2</v>
      </c>
    </row>
    <row r="2459" spans="1:4" x14ac:dyDescent="0.25">
      <c r="A2459" s="24" t="s">
        <v>89</v>
      </c>
      <c r="B2459" s="24" t="s">
        <v>121</v>
      </c>
      <c r="C2459" s="32">
        <v>45.094999999999999</v>
      </c>
      <c r="D2459" s="28">
        <v>3.0555555555555555E-2</v>
      </c>
    </row>
    <row r="2460" spans="1:4" x14ac:dyDescent="0.25">
      <c r="A2460" s="24" t="s">
        <v>89</v>
      </c>
      <c r="B2460" s="24" t="s">
        <v>122</v>
      </c>
      <c r="C2460" s="32">
        <v>33.423000000000002</v>
      </c>
      <c r="D2460" s="28">
        <v>2.361111111111111E-2</v>
      </c>
    </row>
    <row r="2461" spans="1:4" x14ac:dyDescent="0.25">
      <c r="A2461" s="24" t="s">
        <v>89</v>
      </c>
      <c r="B2461" s="24" t="s">
        <v>123</v>
      </c>
      <c r="C2461" s="32">
        <v>38.68</v>
      </c>
      <c r="D2461" s="28">
        <v>2.6388888888888889E-2</v>
      </c>
    </row>
    <row r="2462" spans="1:4" x14ac:dyDescent="0.25">
      <c r="A2462" s="24" t="s">
        <v>89</v>
      </c>
      <c r="B2462" s="24" t="s">
        <v>124</v>
      </c>
      <c r="C2462" s="32">
        <v>38.68</v>
      </c>
      <c r="D2462" s="28">
        <v>2.6388888888888889E-2</v>
      </c>
    </row>
    <row r="2463" spans="1:4" x14ac:dyDescent="0.25">
      <c r="A2463" s="24" t="s">
        <v>89</v>
      </c>
      <c r="B2463" s="24" t="s">
        <v>125</v>
      </c>
      <c r="C2463" s="32">
        <v>11.738</v>
      </c>
      <c r="D2463" s="28">
        <v>1.4583333333333332E-2</v>
      </c>
    </row>
    <row r="2464" spans="1:4" x14ac:dyDescent="0.25">
      <c r="A2464" s="24" t="s">
        <v>89</v>
      </c>
      <c r="B2464" s="24" t="s">
        <v>126</v>
      </c>
      <c r="C2464" s="32">
        <v>11.476000000000001</v>
      </c>
      <c r="D2464" s="28">
        <v>1.3194444444444444E-2</v>
      </c>
    </row>
    <row r="2465" spans="1:4" x14ac:dyDescent="0.25">
      <c r="A2465" s="24" t="s">
        <v>89</v>
      </c>
      <c r="B2465" s="24" t="s">
        <v>127</v>
      </c>
      <c r="C2465" s="32">
        <v>13.917</v>
      </c>
      <c r="D2465" s="28">
        <v>1.2499999999999999E-2</v>
      </c>
    </row>
    <row r="2466" spans="1:4" x14ac:dyDescent="0.25">
      <c r="A2466" s="24" t="s">
        <v>89</v>
      </c>
      <c r="B2466" s="24" t="s">
        <v>128</v>
      </c>
      <c r="C2466" s="32">
        <v>10.548999999999999</v>
      </c>
      <c r="D2466" s="28">
        <v>1.2499999999999999E-2</v>
      </c>
    </row>
    <row r="2467" spans="1:4" x14ac:dyDescent="0.25">
      <c r="A2467" s="24" t="s">
        <v>89</v>
      </c>
      <c r="B2467" s="24" t="s">
        <v>129</v>
      </c>
      <c r="C2467" s="32">
        <v>10.548999999999999</v>
      </c>
      <c r="D2467" s="28">
        <v>1.2499999999999999E-2</v>
      </c>
    </row>
    <row r="2468" spans="1:4" x14ac:dyDescent="0.25">
      <c r="A2468" s="24" t="s">
        <v>89</v>
      </c>
      <c r="B2468" s="24" t="s">
        <v>130</v>
      </c>
      <c r="C2468" s="32">
        <v>12.138999999999999</v>
      </c>
      <c r="D2468" s="28">
        <v>1.5277777777777777E-2</v>
      </c>
    </row>
    <row r="2469" spans="1:4" x14ac:dyDescent="0.25">
      <c r="A2469" s="24" t="s">
        <v>89</v>
      </c>
      <c r="B2469" s="24" t="s">
        <v>131</v>
      </c>
      <c r="C2469" s="32">
        <v>12.909000000000001</v>
      </c>
      <c r="D2469" s="28">
        <v>1.3888888888888888E-2</v>
      </c>
    </row>
    <row r="2470" spans="1:4" x14ac:dyDescent="0.25">
      <c r="A2470" s="24" t="s">
        <v>89</v>
      </c>
      <c r="B2470" s="24" t="s">
        <v>132</v>
      </c>
      <c r="C2470" s="32">
        <v>16.846</v>
      </c>
      <c r="D2470" s="28">
        <v>1.8055555555555557E-2</v>
      </c>
    </row>
    <row r="2471" spans="1:4" x14ac:dyDescent="0.25">
      <c r="A2471" s="24" t="s">
        <v>89</v>
      </c>
      <c r="B2471" s="24" t="s">
        <v>133</v>
      </c>
      <c r="C2471" s="32">
        <v>10.193</v>
      </c>
      <c r="D2471" s="28">
        <v>1.2499999999999999E-2</v>
      </c>
    </row>
    <row r="2472" spans="1:4" x14ac:dyDescent="0.25">
      <c r="A2472" s="24" t="s">
        <v>89</v>
      </c>
      <c r="B2472" s="24" t="s">
        <v>134</v>
      </c>
      <c r="C2472" s="32">
        <v>9.7270000000000003</v>
      </c>
      <c r="D2472" s="28">
        <v>1.1111111111111112E-2</v>
      </c>
    </row>
    <row r="2473" spans="1:4" x14ac:dyDescent="0.25">
      <c r="A2473" s="24" t="s">
        <v>89</v>
      </c>
      <c r="B2473" s="24" t="s">
        <v>135</v>
      </c>
      <c r="C2473" s="32">
        <v>11.058</v>
      </c>
      <c r="D2473" s="28">
        <v>1.2499999999999999E-2</v>
      </c>
    </row>
    <row r="2474" spans="1:4" x14ac:dyDescent="0.25">
      <c r="A2474" s="24" t="s">
        <v>89</v>
      </c>
      <c r="B2474" s="24" t="s">
        <v>136</v>
      </c>
      <c r="C2474" s="32">
        <v>11.058</v>
      </c>
      <c r="D2474" s="28">
        <v>1.2499999999999999E-2</v>
      </c>
    </row>
    <row r="2475" spans="1:4" x14ac:dyDescent="0.25">
      <c r="A2475" s="24" t="s">
        <v>89</v>
      </c>
      <c r="B2475" s="24" t="s">
        <v>137</v>
      </c>
      <c r="C2475" s="32">
        <v>11.271000000000001</v>
      </c>
      <c r="D2475" s="28">
        <v>1.2499999999999999E-2</v>
      </c>
    </row>
    <row r="2476" spans="1:4" x14ac:dyDescent="0.25">
      <c r="A2476" s="24" t="s">
        <v>89</v>
      </c>
      <c r="B2476" s="24" t="s">
        <v>138</v>
      </c>
      <c r="C2476" s="32">
        <v>15.215999999999999</v>
      </c>
      <c r="D2476" s="28">
        <v>1.3888888888888888E-2</v>
      </c>
    </row>
    <row r="2477" spans="1:4" x14ac:dyDescent="0.25">
      <c r="A2477" s="24" t="s">
        <v>89</v>
      </c>
      <c r="B2477" s="24" t="s">
        <v>139</v>
      </c>
      <c r="C2477" s="32">
        <v>28.562999999999999</v>
      </c>
      <c r="D2477" s="28">
        <v>1.8749999999999999E-2</v>
      </c>
    </row>
    <row r="2478" spans="1:4" x14ac:dyDescent="0.25">
      <c r="A2478" s="24" t="s">
        <v>89</v>
      </c>
      <c r="B2478" s="24" t="s">
        <v>140</v>
      </c>
      <c r="C2478" s="32">
        <v>22.295999999999999</v>
      </c>
      <c r="D2478" s="28">
        <v>2.013888888888889E-2</v>
      </c>
    </row>
    <row r="2479" spans="1:4" x14ac:dyDescent="0.25">
      <c r="A2479" s="24" t="s">
        <v>89</v>
      </c>
      <c r="B2479" s="24" t="s">
        <v>141</v>
      </c>
      <c r="C2479" s="32">
        <v>53.274000000000001</v>
      </c>
      <c r="D2479" s="28">
        <v>3.8194444444444441E-2</v>
      </c>
    </row>
    <row r="2480" spans="1:4" x14ac:dyDescent="0.25">
      <c r="A2480" s="24" t="s">
        <v>89</v>
      </c>
      <c r="B2480" s="24" t="s">
        <v>142</v>
      </c>
      <c r="C2480" s="32">
        <v>48.136000000000003</v>
      </c>
      <c r="D2480" s="28">
        <v>3.125E-2</v>
      </c>
    </row>
    <row r="2481" spans="1:4" x14ac:dyDescent="0.25">
      <c r="A2481" s="24" t="s">
        <v>89</v>
      </c>
      <c r="B2481" s="24" t="s">
        <v>143</v>
      </c>
      <c r="C2481" s="32">
        <v>69.739999999999995</v>
      </c>
      <c r="D2481" s="28">
        <v>3.8194444444444441E-2</v>
      </c>
    </row>
    <row r="2482" spans="1:4" x14ac:dyDescent="0.25">
      <c r="A2482" s="24" t="s">
        <v>89</v>
      </c>
      <c r="B2482" s="24" t="s">
        <v>144</v>
      </c>
      <c r="C2482" s="32">
        <v>88.855999999999995</v>
      </c>
      <c r="D2482" s="28">
        <v>4.9305555555555554E-2</v>
      </c>
    </row>
    <row r="2483" spans="1:4" x14ac:dyDescent="0.25">
      <c r="A2483" s="24" t="s">
        <v>89</v>
      </c>
      <c r="B2483" s="24" t="s">
        <v>145</v>
      </c>
      <c r="C2483" s="32">
        <v>30.023</v>
      </c>
      <c r="D2483" s="28">
        <v>2.2916666666666669E-2</v>
      </c>
    </row>
    <row r="2484" spans="1:4" x14ac:dyDescent="0.25">
      <c r="A2484" s="24" t="s">
        <v>89</v>
      </c>
      <c r="B2484" s="24" t="s">
        <v>146</v>
      </c>
      <c r="C2484" s="32">
        <v>45.481999999999999</v>
      </c>
      <c r="D2484" s="28">
        <v>3.0555555555555555E-2</v>
      </c>
    </row>
    <row r="2485" spans="1:4" x14ac:dyDescent="0.25">
      <c r="A2485" s="24" t="s">
        <v>89</v>
      </c>
      <c r="B2485" s="24" t="s">
        <v>147</v>
      </c>
      <c r="C2485" s="32">
        <v>7.69</v>
      </c>
      <c r="D2485" s="28">
        <v>8.3333333333333332E-3</v>
      </c>
    </row>
    <row r="2486" spans="1:4" x14ac:dyDescent="0.25">
      <c r="A2486" s="24" t="s">
        <v>89</v>
      </c>
      <c r="B2486" s="24" t="s">
        <v>148</v>
      </c>
      <c r="C2486" s="32">
        <v>10.773999999999999</v>
      </c>
      <c r="D2486" s="28">
        <v>1.0416666666666666E-2</v>
      </c>
    </row>
    <row r="2487" spans="1:4" x14ac:dyDescent="0.25">
      <c r="A2487" s="24" t="s">
        <v>89</v>
      </c>
      <c r="B2487" s="24" t="s">
        <v>149</v>
      </c>
      <c r="C2487" s="32">
        <v>16.952000000000002</v>
      </c>
      <c r="D2487" s="28">
        <v>1.8749999999999999E-2</v>
      </c>
    </row>
    <row r="2488" spans="1:4" x14ac:dyDescent="0.25">
      <c r="A2488" s="24" t="s">
        <v>89</v>
      </c>
      <c r="B2488" s="24" t="s">
        <v>150</v>
      </c>
      <c r="C2488" s="32">
        <v>26.439</v>
      </c>
      <c r="D2488" s="28">
        <v>2.7777777777777776E-2</v>
      </c>
    </row>
    <row r="2489" spans="1:4" x14ac:dyDescent="0.25">
      <c r="A2489" s="24" t="s">
        <v>89</v>
      </c>
      <c r="B2489" s="24" t="s">
        <v>151</v>
      </c>
      <c r="C2489" s="32">
        <v>25.696999999999999</v>
      </c>
      <c r="D2489" s="28">
        <v>2.7083333333333334E-2</v>
      </c>
    </row>
    <row r="2490" spans="1:4" x14ac:dyDescent="0.25">
      <c r="A2490" s="24" t="s">
        <v>89</v>
      </c>
      <c r="B2490" s="24" t="s">
        <v>152</v>
      </c>
      <c r="C2490" s="32">
        <v>32.515999999999998</v>
      </c>
      <c r="D2490" s="28">
        <v>3.125E-2</v>
      </c>
    </row>
    <row r="2491" spans="1:4" x14ac:dyDescent="0.25">
      <c r="A2491" s="24" t="s">
        <v>89</v>
      </c>
      <c r="B2491" s="24" t="s">
        <v>153</v>
      </c>
      <c r="C2491" s="32">
        <v>35.295999999999999</v>
      </c>
      <c r="D2491" s="28">
        <v>3.6111111111111115E-2</v>
      </c>
    </row>
    <row r="2492" spans="1:4" x14ac:dyDescent="0.25">
      <c r="A2492" s="24" t="s">
        <v>89</v>
      </c>
      <c r="B2492" s="24" t="s">
        <v>154</v>
      </c>
      <c r="C2492" s="32">
        <v>30.114000000000001</v>
      </c>
      <c r="D2492" s="28">
        <v>2.9861111111111113E-2</v>
      </c>
    </row>
    <row r="2493" spans="1:4" x14ac:dyDescent="0.25">
      <c r="A2493" s="24" t="s">
        <v>89</v>
      </c>
      <c r="B2493" s="24" t="s">
        <v>155</v>
      </c>
      <c r="C2493" s="32">
        <v>26.300999999999998</v>
      </c>
      <c r="D2493" s="28">
        <v>2.7777777777777776E-2</v>
      </c>
    </row>
    <row r="2494" spans="1:4" x14ac:dyDescent="0.25">
      <c r="A2494" s="24" t="s">
        <v>89</v>
      </c>
      <c r="B2494" s="24" t="s">
        <v>156</v>
      </c>
      <c r="C2494" s="32">
        <v>26.285</v>
      </c>
      <c r="D2494" s="28">
        <v>2.7777777777777776E-2</v>
      </c>
    </row>
    <row r="2495" spans="1:4" x14ac:dyDescent="0.25">
      <c r="A2495" s="24" t="s">
        <v>89</v>
      </c>
      <c r="B2495" s="24" t="s">
        <v>157</v>
      </c>
      <c r="C2495" s="32">
        <v>31.31</v>
      </c>
      <c r="D2495" s="28">
        <v>2.9166666666666664E-2</v>
      </c>
    </row>
    <row r="2496" spans="1:4" x14ac:dyDescent="0.25">
      <c r="A2496" s="24" t="s">
        <v>89</v>
      </c>
      <c r="B2496" s="24" t="s">
        <v>158</v>
      </c>
      <c r="C2496" s="32">
        <v>42.064</v>
      </c>
      <c r="D2496" s="28">
        <v>3.6805555555555557E-2</v>
      </c>
    </row>
    <row r="2497" spans="1:4" x14ac:dyDescent="0.25">
      <c r="A2497" s="24" t="s">
        <v>89</v>
      </c>
      <c r="B2497" s="24" t="s">
        <v>159</v>
      </c>
      <c r="C2497" s="32">
        <v>47.588000000000001</v>
      </c>
      <c r="D2497" s="28">
        <v>4.0972222222222222E-2</v>
      </c>
    </row>
    <row r="2498" spans="1:4" x14ac:dyDescent="0.25">
      <c r="A2498" s="24" t="s">
        <v>90</v>
      </c>
      <c r="B2498" s="24" t="s">
        <v>65</v>
      </c>
      <c r="C2498" s="32">
        <v>6.25</v>
      </c>
      <c r="D2498" s="28">
        <v>5.5555555555555558E-3</v>
      </c>
    </row>
    <row r="2499" spans="1:4" x14ac:dyDescent="0.25">
      <c r="A2499" s="24" t="s">
        <v>90</v>
      </c>
      <c r="B2499" s="24" t="s">
        <v>64</v>
      </c>
      <c r="C2499" s="32">
        <v>18.846</v>
      </c>
      <c r="D2499" s="28">
        <v>1.4583333333333332E-2</v>
      </c>
    </row>
    <row r="2500" spans="1:4" x14ac:dyDescent="0.25">
      <c r="A2500" s="24" t="s">
        <v>90</v>
      </c>
      <c r="B2500" s="24" t="s">
        <v>66</v>
      </c>
      <c r="C2500" s="32">
        <v>25.193000000000001</v>
      </c>
      <c r="D2500" s="28">
        <v>2.1527777777777781E-2</v>
      </c>
    </row>
    <row r="2501" spans="1:4" x14ac:dyDescent="0.25">
      <c r="A2501" s="24" t="s">
        <v>90</v>
      </c>
      <c r="B2501" s="24" t="s">
        <v>67</v>
      </c>
      <c r="C2501" s="32">
        <v>22.437000000000001</v>
      </c>
      <c r="D2501" s="28">
        <v>2.1527777777777781E-2</v>
      </c>
    </row>
    <row r="2502" spans="1:4" x14ac:dyDescent="0.25">
      <c r="A2502" s="24" t="s">
        <v>90</v>
      </c>
      <c r="B2502" s="24" t="s">
        <v>68</v>
      </c>
      <c r="C2502" s="32">
        <v>24.742000000000001</v>
      </c>
      <c r="D2502" s="28">
        <v>2.2222222222222223E-2</v>
      </c>
    </row>
    <row r="2503" spans="1:4" x14ac:dyDescent="0.25">
      <c r="A2503" s="24" t="s">
        <v>90</v>
      </c>
      <c r="B2503" s="24" t="s">
        <v>69</v>
      </c>
      <c r="C2503" s="32">
        <v>23.75</v>
      </c>
      <c r="D2503" s="28">
        <v>2.0833333333333332E-2</v>
      </c>
    </row>
    <row r="2504" spans="1:4" x14ac:dyDescent="0.25">
      <c r="A2504" s="24" t="s">
        <v>90</v>
      </c>
      <c r="B2504" s="24" t="s">
        <v>70</v>
      </c>
      <c r="C2504" s="32">
        <v>24.134</v>
      </c>
      <c r="D2504" s="28">
        <v>2.1527777777777781E-2</v>
      </c>
    </row>
    <row r="2505" spans="1:4" x14ac:dyDescent="0.25">
      <c r="A2505" s="24" t="s">
        <v>90</v>
      </c>
      <c r="B2505" s="24" t="s">
        <v>71</v>
      </c>
      <c r="C2505" s="32">
        <v>24.327000000000002</v>
      </c>
      <c r="D2505" s="28">
        <v>2.1527777777777781E-2</v>
      </c>
    </row>
    <row r="2506" spans="1:4" x14ac:dyDescent="0.25">
      <c r="A2506" s="24" t="s">
        <v>90</v>
      </c>
      <c r="B2506" s="24" t="s">
        <v>72</v>
      </c>
      <c r="C2506" s="32">
        <v>23.67</v>
      </c>
      <c r="D2506" s="28">
        <v>2.361111111111111E-2</v>
      </c>
    </row>
    <row r="2507" spans="1:4" x14ac:dyDescent="0.25">
      <c r="A2507" s="24" t="s">
        <v>90</v>
      </c>
      <c r="B2507" s="24" t="s">
        <v>73</v>
      </c>
      <c r="C2507" s="32">
        <v>22.198</v>
      </c>
      <c r="D2507" s="28">
        <v>2.1527777777777781E-2</v>
      </c>
    </row>
    <row r="2508" spans="1:4" x14ac:dyDescent="0.25">
      <c r="A2508" s="24" t="s">
        <v>90</v>
      </c>
      <c r="B2508" s="24" t="s">
        <v>74</v>
      </c>
      <c r="C2508" s="32">
        <v>26.001000000000001</v>
      </c>
      <c r="D2508" s="28">
        <v>2.361111111111111E-2</v>
      </c>
    </row>
    <row r="2509" spans="1:4" x14ac:dyDescent="0.25">
      <c r="A2509" s="24" t="s">
        <v>90</v>
      </c>
      <c r="B2509" s="24" t="s">
        <v>75</v>
      </c>
      <c r="C2509" s="32">
        <v>25.036999999999999</v>
      </c>
      <c r="D2509" s="28">
        <v>2.2222222222222223E-2</v>
      </c>
    </row>
    <row r="2510" spans="1:4" x14ac:dyDescent="0.25">
      <c r="A2510" s="24" t="s">
        <v>90</v>
      </c>
      <c r="B2510" s="24" t="s">
        <v>76</v>
      </c>
      <c r="C2510" s="32">
        <v>28.106000000000002</v>
      </c>
      <c r="D2510" s="28">
        <v>2.7777777777777776E-2</v>
      </c>
    </row>
    <row r="2511" spans="1:4" x14ac:dyDescent="0.25">
      <c r="A2511" s="24" t="s">
        <v>90</v>
      </c>
      <c r="B2511" s="24" t="s">
        <v>77</v>
      </c>
      <c r="C2511" s="32">
        <v>29.34</v>
      </c>
      <c r="D2511" s="28">
        <v>2.8472222222222222E-2</v>
      </c>
    </row>
    <row r="2512" spans="1:4" x14ac:dyDescent="0.25">
      <c r="A2512" s="24" t="s">
        <v>90</v>
      </c>
      <c r="B2512" s="24" t="s">
        <v>78</v>
      </c>
      <c r="C2512" s="32">
        <v>24.381</v>
      </c>
      <c r="D2512" s="28">
        <v>2.4999999999999998E-2</v>
      </c>
    </row>
    <row r="2513" spans="1:4" x14ac:dyDescent="0.25">
      <c r="A2513" s="24" t="s">
        <v>90</v>
      </c>
      <c r="B2513" s="24" t="s">
        <v>79</v>
      </c>
      <c r="C2513" s="32">
        <v>46.719000000000001</v>
      </c>
      <c r="D2513" s="28">
        <v>4.027777777777778E-2</v>
      </c>
    </row>
    <row r="2514" spans="1:4" x14ac:dyDescent="0.25">
      <c r="A2514" s="24" t="s">
        <v>90</v>
      </c>
      <c r="B2514" s="24" t="s">
        <v>80</v>
      </c>
      <c r="C2514" s="32">
        <v>4.2679999999999998</v>
      </c>
      <c r="D2514" s="28">
        <v>4.1666666666666666E-3</v>
      </c>
    </row>
    <row r="2515" spans="1:4" x14ac:dyDescent="0.25">
      <c r="A2515" s="24" t="s">
        <v>90</v>
      </c>
      <c r="B2515" s="24" t="s">
        <v>81</v>
      </c>
      <c r="C2515" s="32">
        <v>8.7899999999999991</v>
      </c>
      <c r="D2515" s="28">
        <v>6.9444444444444441E-3</v>
      </c>
    </row>
    <row r="2516" spans="1:4" x14ac:dyDescent="0.25">
      <c r="A2516" s="24" t="s">
        <v>90</v>
      </c>
      <c r="B2516" s="24" t="s">
        <v>82</v>
      </c>
      <c r="C2516" s="32">
        <v>8.8420000000000005</v>
      </c>
      <c r="D2516" s="28">
        <v>6.9444444444444441E-3</v>
      </c>
    </row>
    <row r="2517" spans="1:4" x14ac:dyDescent="0.25">
      <c r="A2517" s="24" t="s">
        <v>90</v>
      </c>
      <c r="B2517" s="24" t="s">
        <v>83</v>
      </c>
      <c r="C2517" s="32">
        <v>16.623999999999999</v>
      </c>
      <c r="D2517" s="28">
        <v>1.3194444444444444E-2</v>
      </c>
    </row>
    <row r="2518" spans="1:4" x14ac:dyDescent="0.25">
      <c r="A2518" s="24" t="s">
        <v>90</v>
      </c>
      <c r="B2518" s="24" t="s">
        <v>84</v>
      </c>
      <c r="C2518" s="32">
        <v>23.206</v>
      </c>
      <c r="D2518" s="28">
        <v>1.9444444444444445E-2</v>
      </c>
    </row>
    <row r="2519" spans="1:4" x14ac:dyDescent="0.25">
      <c r="A2519" s="24" t="s">
        <v>90</v>
      </c>
      <c r="B2519" s="24" t="s">
        <v>85</v>
      </c>
      <c r="C2519" s="32">
        <v>23.222999999999999</v>
      </c>
      <c r="D2519" s="28">
        <v>1.9444444444444445E-2</v>
      </c>
    </row>
    <row r="2520" spans="1:4" x14ac:dyDescent="0.25">
      <c r="A2520" s="24" t="s">
        <v>90</v>
      </c>
      <c r="B2520" s="24" t="s">
        <v>86</v>
      </c>
      <c r="C2520" s="32">
        <v>20.849</v>
      </c>
      <c r="D2520" s="28">
        <v>1.6666666666666666E-2</v>
      </c>
    </row>
    <row r="2521" spans="1:4" x14ac:dyDescent="0.25">
      <c r="A2521" s="24" t="s">
        <v>90</v>
      </c>
      <c r="B2521" s="24" t="s">
        <v>87</v>
      </c>
      <c r="C2521" s="32">
        <v>19.213000000000001</v>
      </c>
      <c r="D2521" s="28">
        <v>1.5972222222222224E-2</v>
      </c>
    </row>
    <row r="2522" spans="1:4" x14ac:dyDescent="0.25">
      <c r="A2522" s="24" t="s">
        <v>90</v>
      </c>
      <c r="B2522" s="24" t="s">
        <v>88</v>
      </c>
      <c r="C2522" s="32">
        <v>18.366</v>
      </c>
      <c r="D2522" s="28">
        <v>1.5277777777777777E-2</v>
      </c>
    </row>
    <row r="2523" spans="1:4" x14ac:dyDescent="0.25">
      <c r="A2523" s="24" t="s">
        <v>90</v>
      </c>
      <c r="B2523" s="24" t="s">
        <v>89</v>
      </c>
      <c r="C2523" s="32">
        <v>13.643000000000001</v>
      </c>
      <c r="D2523" s="28">
        <v>1.1805555555555555E-2</v>
      </c>
    </row>
    <row r="2524" spans="1:4" x14ac:dyDescent="0.25">
      <c r="A2524" s="24" t="s">
        <v>90</v>
      </c>
      <c r="B2524" s="24" t="s">
        <v>90</v>
      </c>
      <c r="C2524" s="32">
        <v>0</v>
      </c>
      <c r="D2524" s="28">
        <v>0</v>
      </c>
    </row>
    <row r="2525" spans="1:4" x14ac:dyDescent="0.25">
      <c r="A2525" s="24" t="s">
        <v>90</v>
      </c>
      <c r="B2525" s="24" t="s">
        <v>91</v>
      </c>
      <c r="C2525" s="32">
        <v>16.087</v>
      </c>
      <c r="D2525" s="28">
        <v>1.3888888888888888E-2</v>
      </c>
    </row>
    <row r="2526" spans="1:4" x14ac:dyDescent="0.25">
      <c r="A2526" s="24" t="s">
        <v>90</v>
      </c>
      <c r="B2526" s="24" t="s">
        <v>92</v>
      </c>
      <c r="C2526" s="32">
        <v>8.8989999999999991</v>
      </c>
      <c r="D2526" s="28">
        <v>8.3333333333333332E-3</v>
      </c>
    </row>
    <row r="2527" spans="1:4" x14ac:dyDescent="0.25">
      <c r="A2527" s="24" t="s">
        <v>90</v>
      </c>
      <c r="B2527" s="24" t="s">
        <v>93</v>
      </c>
      <c r="C2527" s="32">
        <v>25.082999999999998</v>
      </c>
      <c r="D2527" s="28">
        <v>1.7361111111111112E-2</v>
      </c>
    </row>
    <row r="2528" spans="1:4" x14ac:dyDescent="0.25">
      <c r="A2528" s="24" t="s">
        <v>90</v>
      </c>
      <c r="B2528" s="24" t="s">
        <v>94</v>
      </c>
      <c r="C2528" s="32">
        <v>25.712</v>
      </c>
      <c r="D2528" s="28">
        <v>1.8055555555555557E-2</v>
      </c>
    </row>
    <row r="2529" spans="1:4" x14ac:dyDescent="0.25">
      <c r="A2529" s="24" t="s">
        <v>90</v>
      </c>
      <c r="B2529" s="24" t="s">
        <v>95</v>
      </c>
      <c r="C2529" s="32">
        <v>9.1259999999999994</v>
      </c>
      <c r="D2529" s="28">
        <v>7.6388888888888886E-3</v>
      </c>
    </row>
    <row r="2530" spans="1:4" x14ac:dyDescent="0.25">
      <c r="A2530" s="24" t="s">
        <v>90</v>
      </c>
      <c r="B2530" s="24" t="s">
        <v>96</v>
      </c>
      <c r="C2530" s="32">
        <v>20.556999999999999</v>
      </c>
      <c r="D2530" s="28">
        <v>1.5277777777777777E-2</v>
      </c>
    </row>
    <row r="2531" spans="1:4" x14ac:dyDescent="0.25">
      <c r="A2531" s="24" t="s">
        <v>90</v>
      </c>
      <c r="B2531" s="24" t="s">
        <v>97</v>
      </c>
      <c r="C2531" s="32">
        <v>19.475000000000001</v>
      </c>
      <c r="D2531" s="28">
        <v>1.5972222222222224E-2</v>
      </c>
    </row>
    <row r="2532" spans="1:4" x14ac:dyDescent="0.25">
      <c r="A2532" s="24" t="s">
        <v>90</v>
      </c>
      <c r="B2532" s="24" t="s">
        <v>98</v>
      </c>
      <c r="C2532" s="32">
        <v>9.3369999999999997</v>
      </c>
      <c r="D2532" s="28">
        <v>7.6388888888888886E-3</v>
      </c>
    </row>
    <row r="2533" spans="1:4" x14ac:dyDescent="0.25">
      <c r="A2533" s="24" t="s">
        <v>90</v>
      </c>
      <c r="B2533" s="24" t="s">
        <v>99</v>
      </c>
      <c r="C2533" s="32">
        <v>15.835000000000001</v>
      </c>
      <c r="D2533" s="28">
        <v>1.2499999999999999E-2</v>
      </c>
    </row>
    <row r="2534" spans="1:4" x14ac:dyDescent="0.25">
      <c r="A2534" s="24" t="s">
        <v>90</v>
      </c>
      <c r="B2534" s="24" t="s">
        <v>100</v>
      </c>
      <c r="C2534" s="32">
        <v>5.2460000000000004</v>
      </c>
      <c r="D2534" s="28">
        <v>4.1666666666666666E-3</v>
      </c>
    </row>
    <row r="2535" spans="1:4" x14ac:dyDescent="0.25">
      <c r="A2535" s="24" t="s">
        <v>90</v>
      </c>
      <c r="B2535" s="24" t="s">
        <v>101</v>
      </c>
      <c r="C2535" s="32">
        <v>11.032999999999999</v>
      </c>
      <c r="D2535" s="28">
        <v>9.0277777777777787E-3</v>
      </c>
    </row>
    <row r="2536" spans="1:4" x14ac:dyDescent="0.25">
      <c r="A2536" s="24" t="s">
        <v>90</v>
      </c>
      <c r="B2536" s="24" t="s">
        <v>102</v>
      </c>
      <c r="C2536" s="32">
        <v>11.538</v>
      </c>
      <c r="D2536" s="28">
        <v>1.1111111111111112E-2</v>
      </c>
    </row>
    <row r="2537" spans="1:4" x14ac:dyDescent="0.25">
      <c r="A2537" s="24" t="s">
        <v>90</v>
      </c>
      <c r="B2537" s="24" t="s">
        <v>103</v>
      </c>
      <c r="C2537" s="32">
        <v>9.99</v>
      </c>
      <c r="D2537" s="28">
        <v>7.6388888888888886E-3</v>
      </c>
    </row>
    <row r="2538" spans="1:4" x14ac:dyDescent="0.25">
      <c r="A2538" s="24" t="s">
        <v>90</v>
      </c>
      <c r="B2538" s="24" t="s">
        <v>104</v>
      </c>
      <c r="C2538" s="32">
        <v>7.0540000000000003</v>
      </c>
      <c r="D2538" s="28">
        <v>6.2499999999999995E-3</v>
      </c>
    </row>
    <row r="2539" spans="1:4" x14ac:dyDescent="0.25">
      <c r="A2539" s="24" t="s">
        <v>90</v>
      </c>
      <c r="B2539" s="24" t="s">
        <v>105</v>
      </c>
      <c r="C2539" s="32">
        <v>13.288</v>
      </c>
      <c r="D2539" s="28">
        <v>1.3194444444444444E-2</v>
      </c>
    </row>
    <row r="2540" spans="1:4" x14ac:dyDescent="0.25">
      <c r="A2540" s="24" t="s">
        <v>90</v>
      </c>
      <c r="B2540" s="24" t="s">
        <v>106</v>
      </c>
      <c r="C2540" s="32">
        <v>11.669</v>
      </c>
      <c r="D2540" s="28">
        <v>8.3333333333333332E-3</v>
      </c>
    </row>
    <row r="2541" spans="1:4" x14ac:dyDescent="0.25">
      <c r="A2541" s="24" t="s">
        <v>90</v>
      </c>
      <c r="B2541" s="24" t="s">
        <v>107</v>
      </c>
      <c r="C2541" s="32">
        <v>22.492999999999999</v>
      </c>
      <c r="D2541" s="28">
        <v>1.8055555555555557E-2</v>
      </c>
    </row>
    <row r="2542" spans="1:4" x14ac:dyDescent="0.25">
      <c r="A2542" s="24" t="s">
        <v>90</v>
      </c>
      <c r="B2542" s="24" t="s">
        <v>108</v>
      </c>
      <c r="C2542" s="32">
        <v>23.09</v>
      </c>
      <c r="D2542" s="28">
        <v>1.6666666666666666E-2</v>
      </c>
    </row>
    <row r="2543" spans="1:4" x14ac:dyDescent="0.25">
      <c r="A2543" s="24" t="s">
        <v>90</v>
      </c>
      <c r="B2543" s="24" t="s">
        <v>109</v>
      </c>
      <c r="C2543" s="32">
        <v>23.06</v>
      </c>
      <c r="D2543" s="28">
        <v>1.6666666666666666E-2</v>
      </c>
    </row>
    <row r="2544" spans="1:4" x14ac:dyDescent="0.25">
      <c r="A2544" s="24" t="s">
        <v>90</v>
      </c>
      <c r="B2544" s="24" t="s">
        <v>110</v>
      </c>
      <c r="C2544" s="32">
        <v>14.228999999999999</v>
      </c>
      <c r="D2544" s="28">
        <v>1.1805555555555555E-2</v>
      </c>
    </row>
    <row r="2545" spans="1:4" x14ac:dyDescent="0.25">
      <c r="A2545" s="24" t="s">
        <v>90</v>
      </c>
      <c r="B2545" s="24" t="s">
        <v>111</v>
      </c>
      <c r="C2545" s="32">
        <v>11.747999999999999</v>
      </c>
      <c r="D2545" s="28">
        <v>8.3333333333333332E-3</v>
      </c>
    </row>
    <row r="2546" spans="1:4" x14ac:dyDescent="0.25">
      <c r="A2546" s="24" t="s">
        <v>90</v>
      </c>
      <c r="B2546" s="24" t="s">
        <v>112</v>
      </c>
      <c r="C2546" s="32">
        <v>19.835000000000001</v>
      </c>
      <c r="D2546" s="28">
        <v>1.7361111111111112E-2</v>
      </c>
    </row>
    <row r="2547" spans="1:4" x14ac:dyDescent="0.25">
      <c r="A2547" s="24" t="s">
        <v>90</v>
      </c>
      <c r="B2547" s="24" t="s">
        <v>113</v>
      </c>
      <c r="C2547" s="32">
        <v>23.459</v>
      </c>
      <c r="D2547" s="28">
        <v>1.9444444444444445E-2</v>
      </c>
    </row>
    <row r="2548" spans="1:4" x14ac:dyDescent="0.25">
      <c r="A2548" s="24" t="s">
        <v>90</v>
      </c>
      <c r="B2548" s="24" t="s">
        <v>114</v>
      </c>
      <c r="C2548" s="32">
        <v>4.0949999999999998</v>
      </c>
      <c r="D2548" s="28">
        <v>3.472222222222222E-3</v>
      </c>
    </row>
    <row r="2549" spans="1:4" x14ac:dyDescent="0.25">
      <c r="A2549" s="24" t="s">
        <v>90</v>
      </c>
      <c r="B2549" s="24" t="s">
        <v>115</v>
      </c>
      <c r="C2549" s="32">
        <v>3.5470000000000002</v>
      </c>
      <c r="D2549" s="28">
        <v>3.472222222222222E-3</v>
      </c>
    </row>
    <row r="2550" spans="1:4" x14ac:dyDescent="0.25">
      <c r="A2550" s="24" t="s">
        <v>90</v>
      </c>
      <c r="B2550" s="24" t="s">
        <v>116</v>
      </c>
      <c r="C2550" s="32">
        <v>7.3630000000000004</v>
      </c>
      <c r="D2550" s="28">
        <v>7.6388888888888886E-3</v>
      </c>
    </row>
    <row r="2551" spans="1:4" x14ac:dyDescent="0.25">
      <c r="A2551" s="24" t="s">
        <v>90</v>
      </c>
      <c r="B2551" s="24" t="s">
        <v>117</v>
      </c>
      <c r="C2551" s="32">
        <v>8.6300000000000008</v>
      </c>
      <c r="D2551" s="28">
        <v>8.3333333333333332E-3</v>
      </c>
    </row>
    <row r="2552" spans="1:4" x14ac:dyDescent="0.25">
      <c r="A2552" s="24" t="s">
        <v>90</v>
      </c>
      <c r="B2552" s="24" t="s">
        <v>118</v>
      </c>
      <c r="C2552" s="32">
        <v>18.600999999999999</v>
      </c>
      <c r="D2552" s="28">
        <v>1.5972222222222224E-2</v>
      </c>
    </row>
    <row r="2553" spans="1:4" x14ac:dyDescent="0.25">
      <c r="A2553" s="24" t="s">
        <v>90</v>
      </c>
      <c r="B2553" s="24" t="s">
        <v>119</v>
      </c>
      <c r="C2553" s="32">
        <v>23.204000000000001</v>
      </c>
      <c r="D2553" s="28">
        <v>1.5972222222222224E-2</v>
      </c>
    </row>
    <row r="2554" spans="1:4" x14ac:dyDescent="0.25">
      <c r="A2554" s="24" t="s">
        <v>90</v>
      </c>
      <c r="B2554" s="24" t="s">
        <v>120</v>
      </c>
      <c r="C2554" s="32">
        <v>28.164999999999999</v>
      </c>
      <c r="D2554" s="28">
        <v>2.0833333333333332E-2</v>
      </c>
    </row>
    <row r="2555" spans="1:4" x14ac:dyDescent="0.25">
      <c r="A2555" s="24" t="s">
        <v>90</v>
      </c>
      <c r="B2555" s="24" t="s">
        <v>121</v>
      </c>
      <c r="C2555" s="32">
        <v>41.430999999999997</v>
      </c>
      <c r="D2555" s="28">
        <v>2.8472222222222222E-2</v>
      </c>
    </row>
    <row r="2556" spans="1:4" x14ac:dyDescent="0.25">
      <c r="A2556" s="24" t="s">
        <v>90</v>
      </c>
      <c r="B2556" s="24" t="s">
        <v>122</v>
      </c>
      <c r="C2556" s="32">
        <v>23.954000000000001</v>
      </c>
      <c r="D2556" s="28">
        <v>1.6666666666666666E-2</v>
      </c>
    </row>
    <row r="2557" spans="1:4" x14ac:dyDescent="0.25">
      <c r="A2557" s="24" t="s">
        <v>90</v>
      </c>
      <c r="B2557" s="24" t="s">
        <v>123</v>
      </c>
      <c r="C2557" s="32">
        <v>35.015999999999998</v>
      </c>
      <c r="D2557" s="28">
        <v>2.4999999999999998E-2</v>
      </c>
    </row>
    <row r="2558" spans="1:4" x14ac:dyDescent="0.25">
      <c r="A2558" s="24" t="s">
        <v>90</v>
      </c>
      <c r="B2558" s="24" t="s">
        <v>124</v>
      </c>
      <c r="C2558" s="32">
        <v>35.015999999999998</v>
      </c>
      <c r="D2558" s="28">
        <v>2.4999999999999998E-2</v>
      </c>
    </row>
    <row r="2559" spans="1:4" x14ac:dyDescent="0.25">
      <c r="A2559" s="24" t="s">
        <v>90</v>
      </c>
      <c r="B2559" s="24" t="s">
        <v>125</v>
      </c>
      <c r="C2559" s="32">
        <v>16.602</v>
      </c>
      <c r="D2559" s="28">
        <v>1.5277777777777777E-2</v>
      </c>
    </row>
    <row r="2560" spans="1:4" x14ac:dyDescent="0.25">
      <c r="A2560" s="24" t="s">
        <v>90</v>
      </c>
      <c r="B2560" s="24" t="s">
        <v>126</v>
      </c>
      <c r="C2560" s="32">
        <v>16.34</v>
      </c>
      <c r="D2560" s="28">
        <v>1.3888888888888888E-2</v>
      </c>
    </row>
    <row r="2561" spans="1:4" x14ac:dyDescent="0.25">
      <c r="A2561" s="24" t="s">
        <v>90</v>
      </c>
      <c r="B2561" s="24" t="s">
        <v>127</v>
      </c>
      <c r="C2561" s="32">
        <v>15.334</v>
      </c>
      <c r="D2561" s="28">
        <v>1.2499999999999999E-2</v>
      </c>
    </row>
    <row r="2562" spans="1:4" x14ac:dyDescent="0.25">
      <c r="A2562" s="24" t="s">
        <v>90</v>
      </c>
      <c r="B2562" s="24" t="s">
        <v>128</v>
      </c>
      <c r="C2562" s="32">
        <v>18.989000000000001</v>
      </c>
      <c r="D2562" s="28">
        <v>1.3194444444444444E-2</v>
      </c>
    </row>
    <row r="2563" spans="1:4" x14ac:dyDescent="0.25">
      <c r="A2563" s="24" t="s">
        <v>90</v>
      </c>
      <c r="B2563" s="24" t="s">
        <v>129</v>
      </c>
      <c r="C2563" s="32">
        <v>18.989000000000001</v>
      </c>
      <c r="D2563" s="28">
        <v>1.3194444444444444E-2</v>
      </c>
    </row>
    <row r="2564" spans="1:4" x14ac:dyDescent="0.25">
      <c r="A2564" s="24" t="s">
        <v>90</v>
      </c>
      <c r="B2564" s="24" t="s">
        <v>130</v>
      </c>
      <c r="C2564" s="32">
        <v>18.367999999999999</v>
      </c>
      <c r="D2564" s="28">
        <v>1.5277777777777777E-2</v>
      </c>
    </row>
    <row r="2565" spans="1:4" x14ac:dyDescent="0.25">
      <c r="A2565" s="24" t="s">
        <v>90</v>
      </c>
      <c r="B2565" s="24" t="s">
        <v>131</v>
      </c>
      <c r="C2565" s="32">
        <v>14.326000000000001</v>
      </c>
      <c r="D2565" s="28">
        <v>1.3888888888888888E-2</v>
      </c>
    </row>
    <row r="2566" spans="1:4" x14ac:dyDescent="0.25">
      <c r="A2566" s="24" t="s">
        <v>90</v>
      </c>
      <c r="B2566" s="24" t="s">
        <v>132</v>
      </c>
      <c r="C2566" s="32">
        <v>22.234000000000002</v>
      </c>
      <c r="D2566" s="28">
        <v>1.7361111111111112E-2</v>
      </c>
    </row>
    <row r="2567" spans="1:4" x14ac:dyDescent="0.25">
      <c r="A2567" s="24" t="s">
        <v>90</v>
      </c>
      <c r="B2567" s="24" t="s">
        <v>133</v>
      </c>
      <c r="C2567" s="32">
        <v>22.411999999999999</v>
      </c>
      <c r="D2567" s="28">
        <v>2.1527777777777781E-2</v>
      </c>
    </row>
    <row r="2568" spans="1:4" x14ac:dyDescent="0.25">
      <c r="A2568" s="24" t="s">
        <v>90</v>
      </c>
      <c r="B2568" s="24" t="s">
        <v>134</v>
      </c>
      <c r="C2568" s="32">
        <v>21.946000000000002</v>
      </c>
      <c r="D2568" s="28">
        <v>2.0833333333333332E-2</v>
      </c>
    </row>
    <row r="2569" spans="1:4" x14ac:dyDescent="0.25">
      <c r="A2569" s="24" t="s">
        <v>90</v>
      </c>
      <c r="B2569" s="24" t="s">
        <v>135</v>
      </c>
      <c r="C2569" s="32">
        <v>23.277000000000001</v>
      </c>
      <c r="D2569" s="28">
        <v>2.2222222222222223E-2</v>
      </c>
    </row>
    <row r="2570" spans="1:4" x14ac:dyDescent="0.25">
      <c r="A2570" s="24" t="s">
        <v>90</v>
      </c>
      <c r="B2570" s="24" t="s">
        <v>136</v>
      </c>
      <c r="C2570" s="32">
        <v>23.277000000000001</v>
      </c>
      <c r="D2570" s="28">
        <v>2.2222222222222223E-2</v>
      </c>
    </row>
    <row r="2571" spans="1:4" x14ac:dyDescent="0.25">
      <c r="A2571" s="24" t="s">
        <v>90</v>
      </c>
      <c r="B2571" s="24" t="s">
        <v>137</v>
      </c>
      <c r="C2571" s="32">
        <v>26.379000000000001</v>
      </c>
      <c r="D2571" s="28">
        <v>2.2222222222222223E-2</v>
      </c>
    </row>
    <row r="2572" spans="1:4" x14ac:dyDescent="0.25">
      <c r="A2572" s="24" t="s">
        <v>90</v>
      </c>
      <c r="B2572" s="24" t="s">
        <v>138</v>
      </c>
      <c r="C2572" s="32">
        <v>29.376999999999999</v>
      </c>
      <c r="D2572" s="28">
        <v>2.361111111111111E-2</v>
      </c>
    </row>
    <row r="2573" spans="1:4" x14ac:dyDescent="0.25">
      <c r="A2573" s="24" t="s">
        <v>90</v>
      </c>
      <c r="B2573" s="24" t="s">
        <v>139</v>
      </c>
      <c r="C2573" s="32">
        <v>42.006</v>
      </c>
      <c r="D2573" s="28">
        <v>2.5694444444444447E-2</v>
      </c>
    </row>
    <row r="2574" spans="1:4" x14ac:dyDescent="0.25">
      <c r="A2574" s="24" t="s">
        <v>90</v>
      </c>
      <c r="B2574" s="24" t="s">
        <v>140</v>
      </c>
      <c r="C2574" s="32">
        <v>42.317999999999998</v>
      </c>
      <c r="D2574" s="28">
        <v>2.8472222222222222E-2</v>
      </c>
    </row>
    <row r="2575" spans="1:4" x14ac:dyDescent="0.25">
      <c r="A2575" s="24" t="s">
        <v>90</v>
      </c>
      <c r="B2575" s="24" t="s">
        <v>141</v>
      </c>
      <c r="C2575" s="32">
        <v>66.716999999999999</v>
      </c>
      <c r="D2575" s="28">
        <v>4.5138888888888888E-2</v>
      </c>
    </row>
    <row r="2576" spans="1:4" x14ac:dyDescent="0.25">
      <c r="A2576" s="24" t="s">
        <v>90</v>
      </c>
      <c r="B2576" s="24" t="s">
        <v>142</v>
      </c>
      <c r="C2576" s="32">
        <v>64.805000000000007</v>
      </c>
      <c r="D2576" s="28">
        <v>3.7499999999999999E-2</v>
      </c>
    </row>
    <row r="2577" spans="1:4" x14ac:dyDescent="0.25">
      <c r="A2577" s="24" t="s">
        <v>90</v>
      </c>
      <c r="B2577" s="24" t="s">
        <v>143</v>
      </c>
      <c r="C2577" s="32">
        <v>83.183000000000007</v>
      </c>
      <c r="D2577" s="28">
        <v>4.5138888888888888E-2</v>
      </c>
    </row>
    <row r="2578" spans="1:4" x14ac:dyDescent="0.25">
      <c r="A2578" s="24" t="s">
        <v>90</v>
      </c>
      <c r="B2578" s="24" t="s">
        <v>144</v>
      </c>
      <c r="C2578" s="32">
        <v>102.29900000000001</v>
      </c>
      <c r="D2578" s="28">
        <v>5.6250000000000001E-2</v>
      </c>
    </row>
    <row r="2579" spans="1:4" x14ac:dyDescent="0.25">
      <c r="A2579" s="24" t="s">
        <v>90</v>
      </c>
      <c r="B2579" s="24" t="s">
        <v>145</v>
      </c>
      <c r="C2579" s="32">
        <v>46.813000000000002</v>
      </c>
      <c r="D2579" s="28">
        <v>3.0555555555555555E-2</v>
      </c>
    </row>
    <row r="2580" spans="1:4" x14ac:dyDescent="0.25">
      <c r="A2580" s="24" t="s">
        <v>90</v>
      </c>
      <c r="B2580" s="24" t="s">
        <v>146</v>
      </c>
      <c r="C2580" s="32">
        <v>62.271999999999998</v>
      </c>
      <c r="D2580" s="28">
        <v>3.8194444444444441E-2</v>
      </c>
    </row>
    <row r="2581" spans="1:4" x14ac:dyDescent="0.25">
      <c r="A2581" s="24" t="s">
        <v>90</v>
      </c>
      <c r="B2581" s="24" t="s">
        <v>147</v>
      </c>
      <c r="C2581" s="32">
        <v>11.821999999999999</v>
      </c>
      <c r="D2581" s="28">
        <v>7.6388888888888886E-3</v>
      </c>
    </row>
    <row r="2582" spans="1:4" x14ac:dyDescent="0.25">
      <c r="A2582" s="24" t="s">
        <v>90</v>
      </c>
      <c r="B2582" s="24" t="s">
        <v>148</v>
      </c>
      <c r="C2582" s="32">
        <v>14.896000000000001</v>
      </c>
      <c r="D2582" s="28">
        <v>9.7222222222222224E-3</v>
      </c>
    </row>
    <row r="2583" spans="1:4" x14ac:dyDescent="0.25">
      <c r="A2583" s="24" t="s">
        <v>90</v>
      </c>
      <c r="B2583" s="24" t="s">
        <v>149</v>
      </c>
      <c r="C2583" s="32">
        <v>22.34</v>
      </c>
      <c r="D2583" s="28">
        <v>1.7361111111111112E-2</v>
      </c>
    </row>
    <row r="2584" spans="1:4" x14ac:dyDescent="0.25">
      <c r="A2584" s="24" t="s">
        <v>90</v>
      </c>
      <c r="B2584" s="24" t="s">
        <v>150</v>
      </c>
      <c r="C2584" s="32">
        <v>31.827000000000002</v>
      </c>
      <c r="D2584" s="28">
        <v>2.6388888888888889E-2</v>
      </c>
    </row>
    <row r="2585" spans="1:4" x14ac:dyDescent="0.25">
      <c r="A2585" s="24" t="s">
        <v>90</v>
      </c>
      <c r="B2585" s="24" t="s">
        <v>151</v>
      </c>
      <c r="C2585" s="32">
        <v>31.085000000000001</v>
      </c>
      <c r="D2585" s="28">
        <v>2.6388888888888889E-2</v>
      </c>
    </row>
    <row r="2586" spans="1:4" x14ac:dyDescent="0.25">
      <c r="A2586" s="24" t="s">
        <v>90</v>
      </c>
      <c r="B2586" s="24" t="s">
        <v>152</v>
      </c>
      <c r="C2586" s="32">
        <v>33.444000000000003</v>
      </c>
      <c r="D2586" s="28">
        <v>2.8472222222222222E-2</v>
      </c>
    </row>
    <row r="2587" spans="1:4" x14ac:dyDescent="0.25">
      <c r="A2587" s="24" t="s">
        <v>90</v>
      </c>
      <c r="B2587" s="24" t="s">
        <v>153</v>
      </c>
      <c r="C2587" s="32">
        <v>37.970999999999997</v>
      </c>
      <c r="D2587" s="28">
        <v>3.4722222222222224E-2</v>
      </c>
    </row>
    <row r="2588" spans="1:4" x14ac:dyDescent="0.25">
      <c r="A2588" s="24" t="s">
        <v>90</v>
      </c>
      <c r="B2588" s="24" t="s">
        <v>154</v>
      </c>
      <c r="C2588" s="32">
        <v>32.78</v>
      </c>
      <c r="D2588" s="28">
        <v>2.8472222222222222E-2</v>
      </c>
    </row>
    <row r="2589" spans="1:4" x14ac:dyDescent="0.25">
      <c r="A2589" s="24" t="s">
        <v>90</v>
      </c>
      <c r="B2589" s="24" t="s">
        <v>155</v>
      </c>
      <c r="C2589" s="32">
        <v>31.689</v>
      </c>
      <c r="D2589" s="28">
        <v>2.6388888888888889E-2</v>
      </c>
    </row>
    <row r="2590" spans="1:4" x14ac:dyDescent="0.25">
      <c r="A2590" s="24" t="s">
        <v>90</v>
      </c>
      <c r="B2590" s="24" t="s">
        <v>156</v>
      </c>
      <c r="C2590" s="32">
        <v>31.672999999999998</v>
      </c>
      <c r="D2590" s="28">
        <v>2.6388888888888889E-2</v>
      </c>
    </row>
    <row r="2591" spans="1:4" x14ac:dyDescent="0.25">
      <c r="A2591" s="24" t="s">
        <v>90</v>
      </c>
      <c r="B2591" s="24" t="s">
        <v>157</v>
      </c>
      <c r="C2591" s="32">
        <v>25.614000000000001</v>
      </c>
      <c r="D2591" s="28">
        <v>2.1527777777777781E-2</v>
      </c>
    </row>
    <row r="2592" spans="1:4" x14ac:dyDescent="0.25">
      <c r="A2592" s="24" t="s">
        <v>90</v>
      </c>
      <c r="B2592" s="24" t="s">
        <v>158</v>
      </c>
      <c r="C2592" s="32">
        <v>36.368000000000002</v>
      </c>
      <c r="D2592" s="28">
        <v>2.9166666666666664E-2</v>
      </c>
    </row>
    <row r="2593" spans="1:4" x14ac:dyDescent="0.25">
      <c r="A2593" s="24" t="s">
        <v>90</v>
      </c>
      <c r="B2593" s="24" t="s">
        <v>159</v>
      </c>
      <c r="C2593" s="32">
        <v>36.859000000000002</v>
      </c>
      <c r="D2593" s="28">
        <v>3.0555555555555555E-2</v>
      </c>
    </row>
    <row r="2594" spans="1:4" x14ac:dyDescent="0.25">
      <c r="A2594" s="24" t="s">
        <v>91</v>
      </c>
      <c r="B2594" s="24" t="s">
        <v>65</v>
      </c>
      <c r="C2594" s="32">
        <v>13.662000000000001</v>
      </c>
      <c r="D2594" s="28">
        <v>1.1111111111111112E-2</v>
      </c>
    </row>
    <row r="2595" spans="1:4" x14ac:dyDescent="0.25">
      <c r="A2595" s="24" t="s">
        <v>91</v>
      </c>
      <c r="B2595" s="24" t="s">
        <v>64</v>
      </c>
      <c r="C2595" s="32">
        <v>8.4629999999999992</v>
      </c>
      <c r="D2595" s="28">
        <v>9.7222222222222224E-3</v>
      </c>
    </row>
    <row r="2596" spans="1:4" x14ac:dyDescent="0.25">
      <c r="A2596" s="24" t="s">
        <v>91</v>
      </c>
      <c r="B2596" s="24" t="s">
        <v>66</v>
      </c>
      <c r="C2596" s="32">
        <v>15.154999999999999</v>
      </c>
      <c r="D2596" s="28">
        <v>1.6666666666666666E-2</v>
      </c>
    </row>
    <row r="2597" spans="1:4" x14ac:dyDescent="0.25">
      <c r="A2597" s="24" t="s">
        <v>91</v>
      </c>
      <c r="B2597" s="24" t="s">
        <v>67</v>
      </c>
      <c r="C2597" s="32">
        <v>12.398999999999999</v>
      </c>
      <c r="D2597" s="28">
        <v>1.5972222222222224E-2</v>
      </c>
    </row>
    <row r="2598" spans="1:4" x14ac:dyDescent="0.25">
      <c r="A2598" s="24" t="s">
        <v>91</v>
      </c>
      <c r="B2598" s="24" t="s">
        <v>68</v>
      </c>
      <c r="C2598" s="32">
        <v>12.513</v>
      </c>
      <c r="D2598" s="28">
        <v>1.6666666666666666E-2</v>
      </c>
    </row>
    <row r="2599" spans="1:4" x14ac:dyDescent="0.25">
      <c r="A2599" s="24" t="s">
        <v>91</v>
      </c>
      <c r="B2599" s="24" t="s">
        <v>69</v>
      </c>
      <c r="C2599" s="32">
        <v>12.369</v>
      </c>
      <c r="D2599" s="28">
        <v>1.5972222222222224E-2</v>
      </c>
    </row>
    <row r="2600" spans="1:4" x14ac:dyDescent="0.25">
      <c r="A2600" s="24" t="s">
        <v>91</v>
      </c>
      <c r="B2600" s="24" t="s">
        <v>70</v>
      </c>
      <c r="C2600" s="32">
        <v>12.753</v>
      </c>
      <c r="D2600" s="28">
        <v>1.6666666666666666E-2</v>
      </c>
    </row>
    <row r="2601" spans="1:4" x14ac:dyDescent="0.25">
      <c r="A2601" s="24" t="s">
        <v>91</v>
      </c>
      <c r="B2601" s="24" t="s">
        <v>71</v>
      </c>
      <c r="C2601" s="32">
        <v>12.098000000000001</v>
      </c>
      <c r="D2601" s="28">
        <v>1.5972222222222224E-2</v>
      </c>
    </row>
    <row r="2602" spans="1:4" x14ac:dyDescent="0.25">
      <c r="A2602" s="24" t="s">
        <v>91</v>
      </c>
      <c r="B2602" s="24" t="s">
        <v>72</v>
      </c>
      <c r="C2602" s="32">
        <v>15.741</v>
      </c>
      <c r="D2602" s="28">
        <v>1.7361111111111112E-2</v>
      </c>
    </row>
    <row r="2603" spans="1:4" x14ac:dyDescent="0.25">
      <c r="A2603" s="24" t="s">
        <v>91</v>
      </c>
      <c r="B2603" s="24" t="s">
        <v>73</v>
      </c>
      <c r="C2603" s="32">
        <v>11.535</v>
      </c>
      <c r="D2603" s="28">
        <v>1.4583333333333332E-2</v>
      </c>
    </row>
    <row r="2604" spans="1:4" x14ac:dyDescent="0.25">
      <c r="A2604" s="24" t="s">
        <v>91</v>
      </c>
      <c r="B2604" s="24" t="s">
        <v>74</v>
      </c>
      <c r="C2604" s="32">
        <v>11.696</v>
      </c>
      <c r="D2604" s="28">
        <v>1.4583333333333332E-2</v>
      </c>
    </row>
    <row r="2605" spans="1:4" x14ac:dyDescent="0.25">
      <c r="A2605" s="24" t="s">
        <v>91</v>
      </c>
      <c r="B2605" s="24" t="s">
        <v>75</v>
      </c>
      <c r="C2605" s="32">
        <v>10.731999999999999</v>
      </c>
      <c r="D2605" s="28">
        <v>1.2499999999999999E-2</v>
      </c>
    </row>
    <row r="2606" spans="1:4" x14ac:dyDescent="0.25">
      <c r="A2606" s="24" t="s">
        <v>91</v>
      </c>
      <c r="B2606" s="24" t="s">
        <v>76</v>
      </c>
      <c r="C2606" s="32">
        <v>14.298999999999999</v>
      </c>
      <c r="D2606" s="28">
        <v>1.6666666666666666E-2</v>
      </c>
    </row>
    <row r="2607" spans="1:4" x14ac:dyDescent="0.25">
      <c r="A2607" s="24" t="s">
        <v>91</v>
      </c>
      <c r="B2607" s="24" t="s">
        <v>77</v>
      </c>
      <c r="C2607" s="32">
        <v>22.901</v>
      </c>
      <c r="D2607" s="28">
        <v>1.9444444444444445E-2</v>
      </c>
    </row>
    <row r="2608" spans="1:4" x14ac:dyDescent="0.25">
      <c r="A2608" s="24" t="s">
        <v>91</v>
      </c>
      <c r="B2608" s="24" t="s">
        <v>78</v>
      </c>
      <c r="C2608" s="32">
        <v>17.419</v>
      </c>
      <c r="D2608" s="28">
        <v>2.013888888888889E-2</v>
      </c>
    </row>
    <row r="2609" spans="1:4" x14ac:dyDescent="0.25">
      <c r="A2609" s="24" t="s">
        <v>91</v>
      </c>
      <c r="B2609" s="24" t="s">
        <v>79</v>
      </c>
      <c r="C2609" s="32">
        <v>32.414000000000001</v>
      </c>
      <c r="D2609" s="28">
        <v>3.0555555555555555E-2</v>
      </c>
    </row>
    <row r="2610" spans="1:4" x14ac:dyDescent="0.25">
      <c r="A2610" s="24" t="s">
        <v>91</v>
      </c>
      <c r="B2610" s="24" t="s">
        <v>80</v>
      </c>
      <c r="C2610" s="32">
        <v>16.952999999999999</v>
      </c>
      <c r="D2610" s="28">
        <v>1.3888888888888888E-2</v>
      </c>
    </row>
    <row r="2611" spans="1:4" x14ac:dyDescent="0.25">
      <c r="A2611" s="24" t="s">
        <v>91</v>
      </c>
      <c r="B2611" s="24" t="s">
        <v>81</v>
      </c>
      <c r="C2611" s="32">
        <v>21.475000000000001</v>
      </c>
      <c r="D2611" s="28">
        <v>1.5972222222222224E-2</v>
      </c>
    </row>
    <row r="2612" spans="1:4" x14ac:dyDescent="0.25">
      <c r="A2612" s="24" t="s">
        <v>91</v>
      </c>
      <c r="B2612" s="24" t="s">
        <v>82</v>
      </c>
      <c r="C2612" s="32">
        <v>21.527000000000001</v>
      </c>
      <c r="D2612" s="28">
        <v>1.5972222222222224E-2</v>
      </c>
    </row>
    <row r="2613" spans="1:4" x14ac:dyDescent="0.25">
      <c r="A2613" s="24" t="s">
        <v>91</v>
      </c>
      <c r="B2613" s="24" t="s">
        <v>83</v>
      </c>
      <c r="C2613" s="32">
        <v>4.008</v>
      </c>
      <c r="D2613" s="28">
        <v>4.8611111111111112E-3</v>
      </c>
    </row>
    <row r="2614" spans="1:4" x14ac:dyDescent="0.25">
      <c r="A2614" s="24" t="s">
        <v>91</v>
      </c>
      <c r="B2614" s="24" t="s">
        <v>84</v>
      </c>
      <c r="C2614" s="32">
        <v>7.2549999999999999</v>
      </c>
      <c r="D2614" s="28">
        <v>9.0277777777777787E-3</v>
      </c>
    </row>
    <row r="2615" spans="1:4" x14ac:dyDescent="0.25">
      <c r="A2615" s="24" t="s">
        <v>91</v>
      </c>
      <c r="B2615" s="24" t="s">
        <v>85</v>
      </c>
      <c r="C2615" s="32">
        <v>6.2160000000000002</v>
      </c>
      <c r="D2615" s="28">
        <v>8.3333333333333332E-3</v>
      </c>
    </row>
    <row r="2616" spans="1:4" x14ac:dyDescent="0.25">
      <c r="A2616" s="24" t="s">
        <v>91</v>
      </c>
      <c r="B2616" s="24" t="s">
        <v>86</v>
      </c>
      <c r="C2616" s="32">
        <v>3.8420000000000001</v>
      </c>
      <c r="D2616" s="28">
        <v>5.5555555555555558E-3</v>
      </c>
    </row>
    <row r="2617" spans="1:4" x14ac:dyDescent="0.25">
      <c r="A2617" s="24" t="s">
        <v>91</v>
      </c>
      <c r="B2617" s="24" t="s">
        <v>87</v>
      </c>
      <c r="C2617" s="32">
        <v>3.62</v>
      </c>
      <c r="D2617" s="28">
        <v>4.8611111111111112E-3</v>
      </c>
    </row>
    <row r="2618" spans="1:4" x14ac:dyDescent="0.25">
      <c r="A2618" s="24" t="s">
        <v>91</v>
      </c>
      <c r="B2618" s="24" t="s">
        <v>88</v>
      </c>
      <c r="C2618" s="32">
        <v>2.617</v>
      </c>
      <c r="D2618" s="28">
        <v>4.1666666666666666E-3</v>
      </c>
    </row>
    <row r="2619" spans="1:4" x14ac:dyDescent="0.25">
      <c r="A2619" s="24" t="s">
        <v>91</v>
      </c>
      <c r="B2619" s="24" t="s">
        <v>89</v>
      </c>
      <c r="C2619" s="32">
        <v>2.544</v>
      </c>
      <c r="D2619" s="28">
        <v>4.1666666666666666E-3</v>
      </c>
    </row>
    <row r="2620" spans="1:4" x14ac:dyDescent="0.25">
      <c r="A2620" s="24" t="s">
        <v>91</v>
      </c>
      <c r="B2620" s="24" t="s">
        <v>90</v>
      </c>
      <c r="C2620" s="32">
        <v>16.896000000000001</v>
      </c>
      <c r="D2620" s="28">
        <v>1.3888888888888888E-2</v>
      </c>
    </row>
    <row r="2621" spans="1:4" x14ac:dyDescent="0.25">
      <c r="A2621" s="24" t="s">
        <v>91</v>
      </c>
      <c r="B2621" s="24" t="s">
        <v>91</v>
      </c>
      <c r="C2621" s="32">
        <v>0</v>
      </c>
      <c r="D2621" s="28">
        <v>0</v>
      </c>
    </row>
    <row r="2622" spans="1:4" x14ac:dyDescent="0.25">
      <c r="A2622" s="24" t="s">
        <v>91</v>
      </c>
      <c r="B2622" s="24" t="s">
        <v>92</v>
      </c>
      <c r="C2622" s="32">
        <v>14.962</v>
      </c>
      <c r="D2622" s="28">
        <v>1.2499999999999999E-2</v>
      </c>
    </row>
    <row r="2623" spans="1:4" x14ac:dyDescent="0.25">
      <c r="A2623" s="24" t="s">
        <v>91</v>
      </c>
      <c r="B2623" s="24" t="s">
        <v>93</v>
      </c>
      <c r="C2623" s="32">
        <v>38.750999999999998</v>
      </c>
      <c r="D2623" s="28">
        <v>2.5694444444444447E-2</v>
      </c>
    </row>
    <row r="2624" spans="1:4" x14ac:dyDescent="0.25">
      <c r="A2624" s="24" t="s">
        <v>91</v>
      </c>
      <c r="B2624" s="24" t="s">
        <v>94</v>
      </c>
      <c r="C2624" s="32">
        <v>39.380000000000003</v>
      </c>
      <c r="D2624" s="28">
        <v>2.6388888888888889E-2</v>
      </c>
    </row>
    <row r="2625" spans="1:4" x14ac:dyDescent="0.25">
      <c r="A2625" s="24" t="s">
        <v>91</v>
      </c>
      <c r="B2625" s="24" t="s">
        <v>95</v>
      </c>
      <c r="C2625" s="32">
        <v>21.811</v>
      </c>
      <c r="D2625" s="28">
        <v>1.7361111111111112E-2</v>
      </c>
    </row>
    <row r="2626" spans="1:4" x14ac:dyDescent="0.25">
      <c r="A2626" s="24" t="s">
        <v>91</v>
      </c>
      <c r="B2626" s="24" t="s">
        <v>96</v>
      </c>
      <c r="C2626" s="32">
        <v>19.260000000000002</v>
      </c>
      <c r="D2626" s="28">
        <v>1.8749999999999999E-2</v>
      </c>
    </row>
    <row r="2627" spans="1:4" x14ac:dyDescent="0.25">
      <c r="A2627" s="24" t="s">
        <v>91</v>
      </c>
      <c r="B2627" s="24" t="s">
        <v>97</v>
      </c>
      <c r="C2627" s="32">
        <v>28.628</v>
      </c>
      <c r="D2627" s="28">
        <v>2.6388888888888889E-2</v>
      </c>
    </row>
    <row r="2628" spans="1:4" x14ac:dyDescent="0.25">
      <c r="A2628" s="24" t="s">
        <v>91</v>
      </c>
      <c r="B2628" s="24" t="s">
        <v>98</v>
      </c>
      <c r="C2628" s="32">
        <v>23.914000000000001</v>
      </c>
      <c r="D2628" s="28">
        <v>2.1527777777777781E-2</v>
      </c>
    </row>
    <row r="2629" spans="1:4" x14ac:dyDescent="0.25">
      <c r="A2629" s="24" t="s">
        <v>91</v>
      </c>
      <c r="B2629" s="24" t="s">
        <v>99</v>
      </c>
      <c r="C2629" s="32">
        <v>30.411999999999999</v>
      </c>
      <c r="D2629" s="28">
        <v>2.5694444444444447E-2</v>
      </c>
    </row>
    <row r="2630" spans="1:4" x14ac:dyDescent="0.25">
      <c r="A2630" s="24" t="s">
        <v>91</v>
      </c>
      <c r="B2630" s="24" t="s">
        <v>100</v>
      </c>
      <c r="C2630" s="32">
        <v>21.888000000000002</v>
      </c>
      <c r="D2630" s="28">
        <v>1.7361111111111112E-2</v>
      </c>
    </row>
    <row r="2631" spans="1:4" x14ac:dyDescent="0.25">
      <c r="A2631" s="24" t="s">
        <v>91</v>
      </c>
      <c r="B2631" s="24" t="s">
        <v>101</v>
      </c>
      <c r="C2631" s="32">
        <v>26.373000000000001</v>
      </c>
      <c r="D2631" s="28">
        <v>2.2222222222222223E-2</v>
      </c>
    </row>
    <row r="2632" spans="1:4" x14ac:dyDescent="0.25">
      <c r="A2632" s="24" t="s">
        <v>91</v>
      </c>
      <c r="B2632" s="24" t="s">
        <v>102</v>
      </c>
      <c r="C2632" s="32">
        <v>21.728999999999999</v>
      </c>
      <c r="D2632" s="28">
        <v>2.1527777777777781E-2</v>
      </c>
    </row>
    <row r="2633" spans="1:4" x14ac:dyDescent="0.25">
      <c r="A2633" s="24" t="s">
        <v>91</v>
      </c>
      <c r="B2633" s="24" t="s">
        <v>103</v>
      </c>
      <c r="C2633" s="32">
        <v>8.8870000000000005</v>
      </c>
      <c r="D2633" s="28">
        <v>9.0277777777777787E-3</v>
      </c>
    </row>
    <row r="2634" spans="1:4" x14ac:dyDescent="0.25">
      <c r="A2634" s="24" t="s">
        <v>91</v>
      </c>
      <c r="B2634" s="24" t="s">
        <v>104</v>
      </c>
      <c r="C2634" s="32">
        <v>13.842000000000001</v>
      </c>
      <c r="D2634" s="28">
        <v>1.1805555555555555E-2</v>
      </c>
    </row>
    <row r="2635" spans="1:4" x14ac:dyDescent="0.25">
      <c r="A2635" s="24" t="s">
        <v>91</v>
      </c>
      <c r="B2635" s="24" t="s">
        <v>105</v>
      </c>
      <c r="C2635" s="32">
        <v>4.766</v>
      </c>
      <c r="D2635" s="28">
        <v>9.7222222222222224E-3</v>
      </c>
    </row>
    <row r="2636" spans="1:4" x14ac:dyDescent="0.25">
      <c r="A2636" s="24" t="s">
        <v>91</v>
      </c>
      <c r="B2636" s="24" t="s">
        <v>106</v>
      </c>
      <c r="C2636" s="32">
        <v>7.077</v>
      </c>
      <c r="D2636" s="28">
        <v>6.9444444444444441E-3</v>
      </c>
    </row>
    <row r="2637" spans="1:4" x14ac:dyDescent="0.25">
      <c r="A2637" s="24" t="s">
        <v>91</v>
      </c>
      <c r="B2637" s="24" t="s">
        <v>107</v>
      </c>
      <c r="C2637" s="32">
        <v>8.9920000000000009</v>
      </c>
      <c r="D2637" s="28">
        <v>1.1111111111111112E-2</v>
      </c>
    </row>
    <row r="2638" spans="1:4" x14ac:dyDescent="0.25">
      <c r="A2638" s="24" t="s">
        <v>91</v>
      </c>
      <c r="B2638" s="24" t="s">
        <v>108</v>
      </c>
      <c r="C2638" s="32">
        <v>9.5890000000000004</v>
      </c>
      <c r="D2638" s="28">
        <v>9.7222222222222224E-3</v>
      </c>
    </row>
    <row r="2639" spans="1:4" x14ac:dyDescent="0.25">
      <c r="A2639" s="24" t="s">
        <v>91</v>
      </c>
      <c r="B2639" s="24" t="s">
        <v>109</v>
      </c>
      <c r="C2639" s="32">
        <v>9.5589999999999993</v>
      </c>
      <c r="D2639" s="28">
        <v>9.7222222222222224E-3</v>
      </c>
    </row>
    <row r="2640" spans="1:4" x14ac:dyDescent="0.25">
      <c r="A2640" s="24" t="s">
        <v>91</v>
      </c>
      <c r="B2640" s="24" t="s">
        <v>110</v>
      </c>
      <c r="C2640" s="32">
        <v>6.6040000000000001</v>
      </c>
      <c r="D2640" s="28">
        <v>7.6388888888888886E-3</v>
      </c>
    </row>
    <row r="2641" spans="1:4" x14ac:dyDescent="0.25">
      <c r="A2641" s="24" t="s">
        <v>91</v>
      </c>
      <c r="B2641" s="24" t="s">
        <v>111</v>
      </c>
      <c r="C2641" s="32">
        <v>8.6010000000000009</v>
      </c>
      <c r="D2641" s="28">
        <v>8.3333333333333332E-3</v>
      </c>
    </row>
    <row r="2642" spans="1:4" x14ac:dyDescent="0.25">
      <c r="A2642" s="24" t="s">
        <v>91</v>
      </c>
      <c r="B2642" s="24" t="s">
        <v>112</v>
      </c>
      <c r="C2642" s="32">
        <v>8.6660000000000004</v>
      </c>
      <c r="D2642" s="28">
        <v>9.7222222222222224E-3</v>
      </c>
    </row>
    <row r="2643" spans="1:4" x14ac:dyDescent="0.25">
      <c r="A2643" s="24" t="s">
        <v>91</v>
      </c>
      <c r="B2643" s="24" t="s">
        <v>113</v>
      </c>
      <c r="C2643" s="32">
        <v>12.29</v>
      </c>
      <c r="D2643" s="28">
        <v>1.1805555555555555E-2</v>
      </c>
    </row>
    <row r="2644" spans="1:4" x14ac:dyDescent="0.25">
      <c r="A2644" s="24" t="s">
        <v>91</v>
      </c>
      <c r="B2644" s="24" t="s">
        <v>114</v>
      </c>
      <c r="C2644" s="32">
        <v>20.02</v>
      </c>
      <c r="D2644" s="28">
        <v>1.4583333333333332E-2</v>
      </c>
    </row>
    <row r="2645" spans="1:4" x14ac:dyDescent="0.25">
      <c r="A2645" s="24" t="s">
        <v>91</v>
      </c>
      <c r="B2645" s="24" t="s">
        <v>115</v>
      </c>
      <c r="C2645" s="32">
        <v>19.870999999999999</v>
      </c>
      <c r="D2645" s="28">
        <v>1.5277777777777777E-2</v>
      </c>
    </row>
    <row r="2646" spans="1:4" x14ac:dyDescent="0.25">
      <c r="A2646" s="24" t="s">
        <v>91</v>
      </c>
      <c r="B2646" s="24" t="s">
        <v>116</v>
      </c>
      <c r="C2646" s="32">
        <v>14.044</v>
      </c>
      <c r="D2646" s="28">
        <v>1.2499999999999999E-2</v>
      </c>
    </row>
    <row r="2647" spans="1:4" x14ac:dyDescent="0.25">
      <c r="A2647" s="24" t="s">
        <v>91</v>
      </c>
      <c r="B2647" s="24" t="s">
        <v>117</v>
      </c>
      <c r="C2647" s="32">
        <v>21.315000000000001</v>
      </c>
      <c r="D2647" s="28">
        <v>1.8055555555555557E-2</v>
      </c>
    </row>
    <row r="2648" spans="1:4" x14ac:dyDescent="0.25">
      <c r="A2648" s="24" t="s">
        <v>91</v>
      </c>
      <c r="B2648" s="24" t="s">
        <v>118</v>
      </c>
      <c r="C2648" s="32">
        <v>14.938000000000001</v>
      </c>
      <c r="D2648" s="28">
        <v>1.4583333333333332E-2</v>
      </c>
    </row>
    <row r="2649" spans="1:4" x14ac:dyDescent="0.25">
      <c r="A2649" s="24" t="s">
        <v>91</v>
      </c>
      <c r="B2649" s="24" t="s">
        <v>119</v>
      </c>
      <c r="C2649" s="32">
        <v>28.544</v>
      </c>
      <c r="D2649" s="28">
        <v>2.0833333333333332E-2</v>
      </c>
    </row>
    <row r="2650" spans="1:4" x14ac:dyDescent="0.25">
      <c r="A2650" s="24" t="s">
        <v>91</v>
      </c>
      <c r="B2650" s="24" t="s">
        <v>120</v>
      </c>
      <c r="C2650" s="32">
        <v>31.334</v>
      </c>
      <c r="D2650" s="28">
        <v>2.4305555555555556E-2</v>
      </c>
    </row>
    <row r="2651" spans="1:4" x14ac:dyDescent="0.25">
      <c r="A2651" s="24" t="s">
        <v>91</v>
      </c>
      <c r="B2651" s="24" t="s">
        <v>121</v>
      </c>
      <c r="C2651" s="32">
        <v>45.685000000000002</v>
      </c>
      <c r="D2651" s="28">
        <v>3.125E-2</v>
      </c>
    </row>
    <row r="2652" spans="1:4" x14ac:dyDescent="0.25">
      <c r="A2652" s="24" t="s">
        <v>91</v>
      </c>
      <c r="B2652" s="24" t="s">
        <v>122</v>
      </c>
      <c r="C2652" s="32">
        <v>37.622</v>
      </c>
      <c r="D2652" s="28">
        <v>2.4999999999999998E-2</v>
      </c>
    </row>
    <row r="2653" spans="1:4" x14ac:dyDescent="0.25">
      <c r="A2653" s="24" t="s">
        <v>91</v>
      </c>
      <c r="B2653" s="24" t="s">
        <v>123</v>
      </c>
      <c r="C2653" s="32">
        <v>39.270000000000003</v>
      </c>
      <c r="D2653" s="28">
        <v>2.7777777777777776E-2</v>
      </c>
    </row>
    <row r="2654" spans="1:4" x14ac:dyDescent="0.25">
      <c r="A2654" s="24" t="s">
        <v>91</v>
      </c>
      <c r="B2654" s="24" t="s">
        <v>124</v>
      </c>
      <c r="C2654" s="32">
        <v>39.270000000000003</v>
      </c>
      <c r="D2654" s="28">
        <v>2.7777777777777776E-2</v>
      </c>
    </row>
    <row r="2655" spans="1:4" x14ac:dyDescent="0.25">
      <c r="A2655" s="24" t="s">
        <v>91</v>
      </c>
      <c r="B2655" s="24" t="s">
        <v>125</v>
      </c>
      <c r="C2655" s="32">
        <v>11.342000000000001</v>
      </c>
      <c r="D2655" s="28">
        <v>1.3194444444444444E-2</v>
      </c>
    </row>
    <row r="2656" spans="1:4" x14ac:dyDescent="0.25">
      <c r="A2656" s="24" t="s">
        <v>91</v>
      </c>
      <c r="B2656" s="24" t="s">
        <v>126</v>
      </c>
      <c r="C2656" s="32">
        <v>11.08</v>
      </c>
      <c r="D2656" s="28">
        <v>1.2499999999999999E-2</v>
      </c>
    </row>
    <row r="2657" spans="1:4" x14ac:dyDescent="0.25">
      <c r="A2657" s="24" t="s">
        <v>91</v>
      </c>
      <c r="B2657" s="24" t="s">
        <v>127</v>
      </c>
      <c r="C2657" s="32">
        <v>10.6</v>
      </c>
      <c r="D2657" s="28">
        <v>1.3194444444444444E-2</v>
      </c>
    </row>
    <row r="2658" spans="1:4" x14ac:dyDescent="0.25">
      <c r="A2658" s="24" t="s">
        <v>91</v>
      </c>
      <c r="B2658" s="24" t="s">
        <v>128</v>
      </c>
      <c r="C2658" s="32">
        <v>10.153</v>
      </c>
      <c r="D2658" s="28">
        <v>1.1111111111111112E-2</v>
      </c>
    </row>
    <row r="2659" spans="1:4" x14ac:dyDescent="0.25">
      <c r="A2659" s="24" t="s">
        <v>91</v>
      </c>
      <c r="B2659" s="24" t="s">
        <v>129</v>
      </c>
      <c r="C2659" s="32">
        <v>10.153</v>
      </c>
      <c r="D2659" s="28">
        <v>1.1111111111111112E-2</v>
      </c>
    </row>
    <row r="2660" spans="1:4" x14ac:dyDescent="0.25">
      <c r="A2660" s="24" t="s">
        <v>91</v>
      </c>
      <c r="B2660" s="24" t="s">
        <v>130</v>
      </c>
      <c r="C2660" s="32">
        <v>11.743</v>
      </c>
      <c r="D2660" s="28">
        <v>1.3888888888888888E-2</v>
      </c>
    </row>
    <row r="2661" spans="1:4" x14ac:dyDescent="0.25">
      <c r="A2661" s="24" t="s">
        <v>91</v>
      </c>
      <c r="B2661" s="24" t="s">
        <v>131</v>
      </c>
      <c r="C2661" s="32">
        <v>9.5559999999999992</v>
      </c>
      <c r="D2661" s="28">
        <v>1.4583333333333332E-2</v>
      </c>
    </row>
    <row r="2662" spans="1:4" x14ac:dyDescent="0.25">
      <c r="A2662" s="24" t="s">
        <v>91</v>
      </c>
      <c r="B2662" s="24" t="s">
        <v>132</v>
      </c>
      <c r="C2662" s="32">
        <v>16.45</v>
      </c>
      <c r="D2662" s="28">
        <v>1.7361111111111112E-2</v>
      </c>
    </row>
    <row r="2663" spans="1:4" x14ac:dyDescent="0.25">
      <c r="A2663" s="24" t="s">
        <v>91</v>
      </c>
      <c r="B2663" s="24" t="s">
        <v>133</v>
      </c>
      <c r="C2663" s="32">
        <v>8.6050000000000004</v>
      </c>
      <c r="D2663" s="28">
        <v>1.0416666666666666E-2</v>
      </c>
    </row>
    <row r="2664" spans="1:4" x14ac:dyDescent="0.25">
      <c r="A2664" s="24" t="s">
        <v>91</v>
      </c>
      <c r="B2664" s="24" t="s">
        <v>134</v>
      </c>
      <c r="C2664" s="32">
        <v>8.1389999999999993</v>
      </c>
      <c r="D2664" s="28">
        <v>9.7222222222222224E-3</v>
      </c>
    </row>
    <row r="2665" spans="1:4" x14ac:dyDescent="0.25">
      <c r="A2665" s="24" t="s">
        <v>91</v>
      </c>
      <c r="B2665" s="24" t="s">
        <v>135</v>
      </c>
      <c r="C2665" s="32">
        <v>9.4700000000000006</v>
      </c>
      <c r="D2665" s="28">
        <v>1.1111111111111112E-2</v>
      </c>
    </row>
    <row r="2666" spans="1:4" x14ac:dyDescent="0.25">
      <c r="A2666" s="24" t="s">
        <v>91</v>
      </c>
      <c r="B2666" s="24" t="s">
        <v>136</v>
      </c>
      <c r="C2666" s="32">
        <v>9.4700000000000006</v>
      </c>
      <c r="D2666" s="28">
        <v>1.1111111111111112E-2</v>
      </c>
    </row>
    <row r="2667" spans="1:4" x14ac:dyDescent="0.25">
      <c r="A2667" s="24" t="s">
        <v>91</v>
      </c>
      <c r="B2667" s="24" t="s">
        <v>137</v>
      </c>
      <c r="C2667" s="32">
        <v>9.6829999999999998</v>
      </c>
      <c r="D2667" s="28">
        <v>1.1111111111111112E-2</v>
      </c>
    </row>
    <row r="2668" spans="1:4" x14ac:dyDescent="0.25">
      <c r="A2668" s="24" t="s">
        <v>91</v>
      </c>
      <c r="B2668" s="24" t="s">
        <v>138</v>
      </c>
      <c r="C2668" s="32">
        <v>13.628</v>
      </c>
      <c r="D2668" s="28">
        <v>1.1805555555555555E-2</v>
      </c>
    </row>
    <row r="2669" spans="1:4" x14ac:dyDescent="0.25">
      <c r="A2669" s="24" t="s">
        <v>91</v>
      </c>
      <c r="B2669" s="24" t="s">
        <v>139</v>
      </c>
      <c r="C2669" s="32">
        <v>23.748999999999999</v>
      </c>
      <c r="D2669" s="28">
        <v>1.8055555555555557E-2</v>
      </c>
    </row>
    <row r="2670" spans="1:4" x14ac:dyDescent="0.25">
      <c r="A2670" s="24" t="s">
        <v>91</v>
      </c>
      <c r="B2670" s="24" t="s">
        <v>140</v>
      </c>
      <c r="C2670" s="32">
        <v>20.707999999999998</v>
      </c>
      <c r="D2670" s="28">
        <v>1.8749999999999999E-2</v>
      </c>
    </row>
    <row r="2671" spans="1:4" x14ac:dyDescent="0.25">
      <c r="A2671" s="24" t="s">
        <v>91</v>
      </c>
      <c r="B2671" s="24" t="s">
        <v>141</v>
      </c>
      <c r="C2671" s="32">
        <v>48.46</v>
      </c>
      <c r="D2671" s="28">
        <v>3.6805555555555557E-2</v>
      </c>
    </row>
    <row r="2672" spans="1:4" x14ac:dyDescent="0.25">
      <c r="A2672" s="24" t="s">
        <v>91</v>
      </c>
      <c r="B2672" s="24" t="s">
        <v>142</v>
      </c>
      <c r="C2672" s="32">
        <v>46.548000000000002</v>
      </c>
      <c r="D2672" s="28">
        <v>2.9861111111111113E-2</v>
      </c>
    </row>
    <row r="2673" spans="1:4" x14ac:dyDescent="0.25">
      <c r="A2673" s="24" t="s">
        <v>91</v>
      </c>
      <c r="B2673" s="24" t="s">
        <v>143</v>
      </c>
      <c r="C2673" s="32">
        <v>64.926000000000002</v>
      </c>
      <c r="D2673" s="28">
        <v>3.6805555555555557E-2</v>
      </c>
    </row>
    <row r="2674" spans="1:4" x14ac:dyDescent="0.25">
      <c r="A2674" s="24" t="s">
        <v>91</v>
      </c>
      <c r="B2674" s="24" t="s">
        <v>144</v>
      </c>
      <c r="C2674" s="32">
        <v>84.042000000000002</v>
      </c>
      <c r="D2674" s="28">
        <v>4.7916666666666663E-2</v>
      </c>
    </row>
    <row r="2675" spans="1:4" x14ac:dyDescent="0.25">
      <c r="A2675" s="24" t="s">
        <v>91</v>
      </c>
      <c r="B2675" s="24" t="s">
        <v>145</v>
      </c>
      <c r="C2675" s="32">
        <v>28.434999999999999</v>
      </c>
      <c r="D2675" s="28">
        <v>2.0833333333333332E-2</v>
      </c>
    </row>
    <row r="2676" spans="1:4" x14ac:dyDescent="0.25">
      <c r="A2676" s="24" t="s">
        <v>91</v>
      </c>
      <c r="B2676" s="24" t="s">
        <v>146</v>
      </c>
      <c r="C2676" s="32">
        <v>43.893999999999998</v>
      </c>
      <c r="D2676" s="28">
        <v>2.9166666666666664E-2</v>
      </c>
    </row>
    <row r="2677" spans="1:4" x14ac:dyDescent="0.25">
      <c r="A2677" s="24" t="s">
        <v>91</v>
      </c>
      <c r="B2677" s="24" t="s">
        <v>147</v>
      </c>
      <c r="C2677" s="32">
        <v>7.3789999999999996</v>
      </c>
      <c r="D2677" s="28">
        <v>9.0277777777777787E-3</v>
      </c>
    </row>
    <row r="2678" spans="1:4" x14ac:dyDescent="0.25">
      <c r="A2678" s="24" t="s">
        <v>91</v>
      </c>
      <c r="B2678" s="24" t="s">
        <v>148</v>
      </c>
      <c r="C2678" s="32">
        <v>6.89</v>
      </c>
      <c r="D2678" s="28">
        <v>9.7222222222222224E-3</v>
      </c>
    </row>
    <row r="2679" spans="1:4" x14ac:dyDescent="0.25">
      <c r="A2679" s="24" t="s">
        <v>91</v>
      </c>
      <c r="B2679" s="24" t="s">
        <v>149</v>
      </c>
      <c r="C2679" s="32">
        <v>16.556000000000001</v>
      </c>
      <c r="D2679" s="28">
        <v>1.7361111111111112E-2</v>
      </c>
    </row>
    <row r="2680" spans="1:4" x14ac:dyDescent="0.25">
      <c r="A2680" s="24" t="s">
        <v>91</v>
      </c>
      <c r="B2680" s="24" t="s">
        <v>150</v>
      </c>
      <c r="C2680" s="32">
        <v>26.042999999999999</v>
      </c>
      <c r="D2680" s="28">
        <v>2.6388888888888889E-2</v>
      </c>
    </row>
    <row r="2681" spans="1:4" x14ac:dyDescent="0.25">
      <c r="A2681" s="24" t="s">
        <v>91</v>
      </c>
      <c r="B2681" s="24" t="s">
        <v>151</v>
      </c>
      <c r="C2681" s="32">
        <v>25.300999999999998</v>
      </c>
      <c r="D2681" s="28">
        <v>2.6388888888888889E-2</v>
      </c>
    </row>
    <row r="2682" spans="1:4" x14ac:dyDescent="0.25">
      <c r="A2682" s="24" t="s">
        <v>91</v>
      </c>
      <c r="B2682" s="24" t="s">
        <v>152</v>
      </c>
      <c r="C2682" s="32">
        <v>32.119999999999997</v>
      </c>
      <c r="D2682" s="28">
        <v>2.9861111111111113E-2</v>
      </c>
    </row>
    <row r="2683" spans="1:4" x14ac:dyDescent="0.25">
      <c r="A2683" s="24" t="s">
        <v>91</v>
      </c>
      <c r="B2683" s="24" t="s">
        <v>153</v>
      </c>
      <c r="C2683" s="32">
        <v>33.753</v>
      </c>
      <c r="D2683" s="28">
        <v>3.6111111111111115E-2</v>
      </c>
    </row>
    <row r="2684" spans="1:4" x14ac:dyDescent="0.25">
      <c r="A2684" s="24" t="s">
        <v>91</v>
      </c>
      <c r="B2684" s="24" t="s">
        <v>154</v>
      </c>
      <c r="C2684" s="32">
        <v>29.718</v>
      </c>
      <c r="D2684" s="28">
        <v>2.9166666666666664E-2</v>
      </c>
    </row>
    <row r="2685" spans="1:4" x14ac:dyDescent="0.25">
      <c r="A2685" s="24" t="s">
        <v>91</v>
      </c>
      <c r="B2685" s="24" t="s">
        <v>155</v>
      </c>
      <c r="C2685" s="32">
        <v>25.905000000000001</v>
      </c>
      <c r="D2685" s="28">
        <v>2.6388888888888889E-2</v>
      </c>
    </row>
    <row r="2686" spans="1:4" x14ac:dyDescent="0.25">
      <c r="A2686" s="24" t="s">
        <v>91</v>
      </c>
      <c r="B2686" s="24" t="s">
        <v>156</v>
      </c>
      <c r="C2686" s="32">
        <v>25.888999999999999</v>
      </c>
      <c r="D2686" s="28">
        <v>2.6388888888888889E-2</v>
      </c>
    </row>
    <row r="2687" spans="1:4" x14ac:dyDescent="0.25">
      <c r="A2687" s="24" t="s">
        <v>91</v>
      </c>
      <c r="B2687" s="24" t="s">
        <v>157</v>
      </c>
      <c r="C2687" s="32">
        <v>33</v>
      </c>
      <c r="D2687" s="28">
        <v>2.9861111111111113E-2</v>
      </c>
    </row>
    <row r="2688" spans="1:4" x14ac:dyDescent="0.25">
      <c r="A2688" s="24" t="s">
        <v>91</v>
      </c>
      <c r="B2688" s="24" t="s">
        <v>158</v>
      </c>
      <c r="C2688" s="32">
        <v>43.753999999999998</v>
      </c>
      <c r="D2688" s="28">
        <v>3.7499999999999999E-2</v>
      </c>
    </row>
    <row r="2689" spans="1:4" x14ac:dyDescent="0.25">
      <c r="A2689" s="24" t="s">
        <v>91</v>
      </c>
      <c r="B2689" s="24" t="s">
        <v>159</v>
      </c>
      <c r="C2689" s="32">
        <v>48.151000000000003</v>
      </c>
      <c r="D2689" s="28">
        <v>4.3055555555555562E-2</v>
      </c>
    </row>
    <row r="2690" spans="1:4" x14ac:dyDescent="0.25">
      <c r="A2690" s="24" t="s">
        <v>92</v>
      </c>
      <c r="B2690" s="24" t="s">
        <v>65</v>
      </c>
      <c r="C2690" s="32">
        <v>1.52</v>
      </c>
      <c r="D2690" s="28">
        <v>1.3888888888888889E-3</v>
      </c>
    </row>
    <row r="2691" spans="1:4" x14ac:dyDescent="0.25">
      <c r="A2691" s="24" t="s">
        <v>92</v>
      </c>
      <c r="B2691" s="24" t="s">
        <v>64</v>
      </c>
      <c r="C2691" s="32">
        <v>18.318000000000001</v>
      </c>
      <c r="D2691" s="28">
        <v>1.5277777777777777E-2</v>
      </c>
    </row>
    <row r="2692" spans="1:4" x14ac:dyDescent="0.25">
      <c r="A2692" s="24" t="s">
        <v>92</v>
      </c>
      <c r="B2692" s="24" t="s">
        <v>66</v>
      </c>
      <c r="C2692" s="32">
        <v>24.664999999999999</v>
      </c>
      <c r="D2692" s="28">
        <v>2.2222222222222223E-2</v>
      </c>
    </row>
    <row r="2693" spans="1:4" x14ac:dyDescent="0.25">
      <c r="A2693" s="24" t="s">
        <v>92</v>
      </c>
      <c r="B2693" s="24" t="s">
        <v>67</v>
      </c>
      <c r="C2693" s="32">
        <v>21.908999999999999</v>
      </c>
      <c r="D2693" s="28">
        <v>2.2222222222222223E-2</v>
      </c>
    </row>
    <row r="2694" spans="1:4" x14ac:dyDescent="0.25">
      <c r="A2694" s="24" t="s">
        <v>92</v>
      </c>
      <c r="B2694" s="24" t="s">
        <v>68</v>
      </c>
      <c r="C2694" s="32">
        <v>24.213999999999999</v>
      </c>
      <c r="D2694" s="28">
        <v>2.2222222222222223E-2</v>
      </c>
    </row>
    <row r="2695" spans="1:4" x14ac:dyDescent="0.25">
      <c r="A2695" s="24" t="s">
        <v>92</v>
      </c>
      <c r="B2695" s="24" t="s">
        <v>69</v>
      </c>
      <c r="C2695" s="32">
        <v>23.222000000000001</v>
      </c>
      <c r="D2695" s="28">
        <v>2.1527777777777781E-2</v>
      </c>
    </row>
    <row r="2696" spans="1:4" x14ac:dyDescent="0.25">
      <c r="A2696" s="24" t="s">
        <v>92</v>
      </c>
      <c r="B2696" s="24" t="s">
        <v>70</v>
      </c>
      <c r="C2696" s="32">
        <v>23.606000000000002</v>
      </c>
      <c r="D2696" s="28">
        <v>2.1527777777777781E-2</v>
      </c>
    </row>
    <row r="2697" spans="1:4" x14ac:dyDescent="0.25">
      <c r="A2697" s="24" t="s">
        <v>92</v>
      </c>
      <c r="B2697" s="24" t="s">
        <v>71</v>
      </c>
      <c r="C2697" s="32">
        <v>23.798999999999999</v>
      </c>
      <c r="D2697" s="28">
        <v>2.2222222222222223E-2</v>
      </c>
    </row>
    <row r="2698" spans="1:4" x14ac:dyDescent="0.25">
      <c r="A2698" s="24" t="s">
        <v>92</v>
      </c>
      <c r="B2698" s="24" t="s">
        <v>72</v>
      </c>
      <c r="C2698" s="32">
        <v>23.141999999999999</v>
      </c>
      <c r="D2698" s="28">
        <v>2.4305555555555556E-2</v>
      </c>
    </row>
    <row r="2699" spans="1:4" x14ac:dyDescent="0.25">
      <c r="A2699" s="24" t="s">
        <v>92</v>
      </c>
      <c r="B2699" s="24" t="s">
        <v>73</v>
      </c>
      <c r="C2699" s="32">
        <v>21.67</v>
      </c>
      <c r="D2699" s="28">
        <v>2.1527777777777781E-2</v>
      </c>
    </row>
    <row r="2700" spans="1:4" x14ac:dyDescent="0.25">
      <c r="A2700" s="24" t="s">
        <v>92</v>
      </c>
      <c r="B2700" s="24" t="s">
        <v>74</v>
      </c>
      <c r="C2700" s="32">
        <v>21.439</v>
      </c>
      <c r="D2700" s="28">
        <v>2.361111111111111E-2</v>
      </c>
    </row>
    <row r="2701" spans="1:4" x14ac:dyDescent="0.25">
      <c r="A2701" s="24" t="s">
        <v>92</v>
      </c>
      <c r="B2701" s="24" t="s">
        <v>75</v>
      </c>
      <c r="C2701" s="32">
        <v>20.428000000000001</v>
      </c>
      <c r="D2701" s="28">
        <v>2.1527777777777781E-2</v>
      </c>
    </row>
    <row r="2702" spans="1:4" x14ac:dyDescent="0.25">
      <c r="A2702" s="24" t="s">
        <v>92</v>
      </c>
      <c r="B2702" s="24" t="s">
        <v>76</v>
      </c>
      <c r="C2702" s="32">
        <v>23.768000000000001</v>
      </c>
      <c r="D2702" s="28">
        <v>2.6388888888888889E-2</v>
      </c>
    </row>
    <row r="2703" spans="1:4" x14ac:dyDescent="0.25">
      <c r="A2703" s="24" t="s">
        <v>92</v>
      </c>
      <c r="B2703" s="24" t="s">
        <v>77</v>
      </c>
      <c r="C2703" s="32">
        <v>30.649000000000001</v>
      </c>
      <c r="D2703" s="28">
        <v>2.8472222222222222E-2</v>
      </c>
    </row>
    <row r="2704" spans="1:4" x14ac:dyDescent="0.25">
      <c r="A2704" s="24" t="s">
        <v>92</v>
      </c>
      <c r="B2704" s="24" t="s">
        <v>78</v>
      </c>
      <c r="C2704" s="32">
        <v>27.661999999999999</v>
      </c>
      <c r="D2704" s="28">
        <v>2.4999999999999998E-2</v>
      </c>
    </row>
    <row r="2705" spans="1:4" x14ac:dyDescent="0.25">
      <c r="A2705" s="24" t="s">
        <v>92</v>
      </c>
      <c r="B2705" s="24" t="s">
        <v>79</v>
      </c>
      <c r="C2705" s="32">
        <v>42.188000000000002</v>
      </c>
      <c r="D2705" s="28">
        <v>4.027777777777778E-2</v>
      </c>
    </row>
    <row r="2706" spans="1:4" x14ac:dyDescent="0.25">
      <c r="A2706" s="24" t="s">
        <v>92</v>
      </c>
      <c r="B2706" s="24" t="s">
        <v>80</v>
      </c>
      <c r="C2706" s="32">
        <v>4.8330000000000002</v>
      </c>
      <c r="D2706" s="28">
        <v>4.1666666666666666E-3</v>
      </c>
    </row>
    <row r="2707" spans="1:4" x14ac:dyDescent="0.25">
      <c r="A2707" s="24" t="s">
        <v>92</v>
      </c>
      <c r="B2707" s="24" t="s">
        <v>81</v>
      </c>
      <c r="C2707" s="32">
        <v>9.3550000000000004</v>
      </c>
      <c r="D2707" s="28">
        <v>6.9444444444444441E-3</v>
      </c>
    </row>
    <row r="2708" spans="1:4" x14ac:dyDescent="0.25">
      <c r="A2708" s="24" t="s">
        <v>92</v>
      </c>
      <c r="B2708" s="24" t="s">
        <v>82</v>
      </c>
      <c r="C2708" s="32">
        <v>9.407</v>
      </c>
      <c r="D2708" s="28">
        <v>6.9444444444444441E-3</v>
      </c>
    </row>
    <row r="2709" spans="1:4" x14ac:dyDescent="0.25">
      <c r="A2709" s="24" t="s">
        <v>92</v>
      </c>
      <c r="B2709" s="24" t="s">
        <v>83</v>
      </c>
      <c r="C2709" s="32">
        <v>12.657</v>
      </c>
      <c r="D2709" s="28">
        <v>1.2499999999999999E-2</v>
      </c>
    </row>
    <row r="2710" spans="1:4" x14ac:dyDescent="0.25">
      <c r="A2710" s="24" t="s">
        <v>92</v>
      </c>
      <c r="B2710" s="24" t="s">
        <v>84</v>
      </c>
      <c r="C2710" s="32">
        <v>19.036999999999999</v>
      </c>
      <c r="D2710" s="28">
        <v>1.9444444444444445E-2</v>
      </c>
    </row>
    <row r="2711" spans="1:4" x14ac:dyDescent="0.25">
      <c r="A2711" s="24" t="s">
        <v>92</v>
      </c>
      <c r="B2711" s="24" t="s">
        <v>85</v>
      </c>
      <c r="C2711" s="32">
        <v>17.998000000000001</v>
      </c>
      <c r="D2711" s="28">
        <v>1.8749999999999999E-2</v>
      </c>
    </row>
    <row r="2712" spans="1:4" x14ac:dyDescent="0.25">
      <c r="A2712" s="24" t="s">
        <v>92</v>
      </c>
      <c r="B2712" s="24" t="s">
        <v>86</v>
      </c>
      <c r="C2712" s="32">
        <v>16.07</v>
      </c>
      <c r="D2712" s="28">
        <v>1.5972222222222224E-2</v>
      </c>
    </row>
    <row r="2713" spans="1:4" x14ac:dyDescent="0.25">
      <c r="A2713" s="24" t="s">
        <v>92</v>
      </c>
      <c r="B2713" s="24" t="s">
        <v>87</v>
      </c>
      <c r="C2713" s="32">
        <v>15.246</v>
      </c>
      <c r="D2713" s="28">
        <v>1.5277777777777777E-2</v>
      </c>
    </row>
    <row r="2714" spans="1:4" x14ac:dyDescent="0.25">
      <c r="A2714" s="24" t="s">
        <v>92</v>
      </c>
      <c r="B2714" s="24" t="s">
        <v>88</v>
      </c>
      <c r="C2714" s="32">
        <v>14.398999999999999</v>
      </c>
      <c r="D2714" s="28">
        <v>1.4583333333333332E-2</v>
      </c>
    </row>
    <row r="2715" spans="1:4" x14ac:dyDescent="0.25">
      <c r="A2715" s="24" t="s">
        <v>92</v>
      </c>
      <c r="B2715" s="24" t="s">
        <v>89</v>
      </c>
      <c r="C2715" s="32">
        <v>9.3049999999999997</v>
      </c>
      <c r="D2715" s="28">
        <v>1.0416666666666666E-2</v>
      </c>
    </row>
    <row r="2716" spans="1:4" x14ac:dyDescent="0.25">
      <c r="A2716" s="24" t="s">
        <v>92</v>
      </c>
      <c r="B2716" s="24" t="s">
        <v>90</v>
      </c>
      <c r="C2716" s="32">
        <v>9.5679999999999996</v>
      </c>
      <c r="D2716" s="28">
        <v>7.6388888888888886E-3</v>
      </c>
    </row>
    <row r="2717" spans="1:4" x14ac:dyDescent="0.25">
      <c r="A2717" s="24" t="s">
        <v>92</v>
      </c>
      <c r="B2717" s="24" t="s">
        <v>91</v>
      </c>
      <c r="C2717" s="32">
        <v>11.749000000000001</v>
      </c>
      <c r="D2717" s="28">
        <v>1.3194444444444444E-2</v>
      </c>
    </row>
    <row r="2718" spans="1:4" x14ac:dyDescent="0.25">
      <c r="A2718" s="24" t="s">
        <v>92</v>
      </c>
      <c r="B2718" s="24" t="s">
        <v>92</v>
      </c>
      <c r="C2718" s="32">
        <v>0</v>
      </c>
      <c r="D2718" s="28">
        <v>0</v>
      </c>
    </row>
    <row r="2719" spans="1:4" x14ac:dyDescent="0.25">
      <c r="A2719" s="24" t="s">
        <v>92</v>
      </c>
      <c r="B2719" s="24" t="s">
        <v>93</v>
      </c>
      <c r="C2719" s="32">
        <v>26.645</v>
      </c>
      <c r="D2719" s="28">
        <v>1.7361111111111112E-2</v>
      </c>
    </row>
    <row r="2720" spans="1:4" x14ac:dyDescent="0.25">
      <c r="A2720" s="24" t="s">
        <v>92</v>
      </c>
      <c r="B2720" s="24" t="s">
        <v>94</v>
      </c>
      <c r="C2720" s="32">
        <v>27.274000000000001</v>
      </c>
      <c r="D2720" s="28">
        <v>1.8055555555555557E-2</v>
      </c>
    </row>
    <row r="2721" spans="1:4" x14ac:dyDescent="0.25">
      <c r="A2721" s="24" t="s">
        <v>92</v>
      </c>
      <c r="B2721" s="24" t="s">
        <v>95</v>
      </c>
      <c r="C2721" s="32">
        <v>9.6910000000000007</v>
      </c>
      <c r="D2721" s="28">
        <v>8.3333333333333332E-3</v>
      </c>
    </row>
    <row r="2722" spans="1:4" x14ac:dyDescent="0.25">
      <c r="A2722" s="24" t="s">
        <v>92</v>
      </c>
      <c r="B2722" s="24" t="s">
        <v>96</v>
      </c>
      <c r="C2722" s="32">
        <v>21.413</v>
      </c>
      <c r="D2722" s="28">
        <v>1.8055555555555557E-2</v>
      </c>
    </row>
    <row r="2723" spans="1:4" x14ac:dyDescent="0.25">
      <c r="A2723" s="24" t="s">
        <v>92</v>
      </c>
      <c r="B2723" s="24" t="s">
        <v>97</v>
      </c>
      <c r="C2723" s="32">
        <v>26.655999999999999</v>
      </c>
      <c r="D2723" s="28">
        <v>2.0833333333333332E-2</v>
      </c>
    </row>
    <row r="2724" spans="1:4" x14ac:dyDescent="0.25">
      <c r="A2724" s="24" t="s">
        <v>92</v>
      </c>
      <c r="B2724" s="24" t="s">
        <v>98</v>
      </c>
      <c r="C2724" s="32">
        <v>16.518000000000001</v>
      </c>
      <c r="D2724" s="28">
        <v>1.2499999999999999E-2</v>
      </c>
    </row>
    <row r="2725" spans="1:4" x14ac:dyDescent="0.25">
      <c r="A2725" s="24" t="s">
        <v>92</v>
      </c>
      <c r="B2725" s="24" t="s">
        <v>99</v>
      </c>
      <c r="C2725" s="32">
        <v>23.015999999999998</v>
      </c>
      <c r="D2725" s="28">
        <v>1.6666666666666666E-2</v>
      </c>
    </row>
    <row r="2726" spans="1:4" x14ac:dyDescent="0.25">
      <c r="A2726" s="24" t="s">
        <v>92</v>
      </c>
      <c r="B2726" s="24" t="s">
        <v>100</v>
      </c>
      <c r="C2726" s="32">
        <v>12.584</v>
      </c>
      <c r="D2726" s="28">
        <v>9.0277777777777787E-3</v>
      </c>
    </row>
    <row r="2727" spans="1:4" x14ac:dyDescent="0.25">
      <c r="A2727" s="24" t="s">
        <v>92</v>
      </c>
      <c r="B2727" s="24" t="s">
        <v>101</v>
      </c>
      <c r="C2727" s="32">
        <v>18.213999999999999</v>
      </c>
      <c r="D2727" s="28">
        <v>1.3888888888888888E-2</v>
      </c>
    </row>
    <row r="2728" spans="1:4" x14ac:dyDescent="0.25">
      <c r="A2728" s="24" t="s">
        <v>92</v>
      </c>
      <c r="B2728" s="24" t="s">
        <v>102</v>
      </c>
      <c r="C2728" s="32">
        <v>18.719000000000001</v>
      </c>
      <c r="D2728" s="28">
        <v>1.5277777777777777E-2</v>
      </c>
    </row>
    <row r="2729" spans="1:4" x14ac:dyDescent="0.25">
      <c r="A2729" s="24" t="s">
        <v>92</v>
      </c>
      <c r="B2729" s="24" t="s">
        <v>103</v>
      </c>
      <c r="C2729" s="32">
        <v>8.3339999999999996</v>
      </c>
      <c r="D2729" s="28">
        <v>7.6388888888888886E-3</v>
      </c>
    </row>
    <row r="2730" spans="1:4" x14ac:dyDescent="0.25">
      <c r="A2730" s="24" t="s">
        <v>92</v>
      </c>
      <c r="B2730" s="24" t="s">
        <v>104</v>
      </c>
      <c r="C2730" s="32">
        <v>6.5140000000000002</v>
      </c>
      <c r="D2730" s="28">
        <v>6.2499999999999995E-3</v>
      </c>
    </row>
    <row r="2731" spans="1:4" x14ac:dyDescent="0.25">
      <c r="A2731" s="24" t="s">
        <v>92</v>
      </c>
      <c r="B2731" s="24" t="s">
        <v>105</v>
      </c>
      <c r="C2731" s="32">
        <v>6.3810000000000002</v>
      </c>
      <c r="D2731" s="28">
        <v>9.0277777777777787E-3</v>
      </c>
    </row>
    <row r="2732" spans="1:4" x14ac:dyDescent="0.25">
      <c r="A2732" s="24" t="s">
        <v>92</v>
      </c>
      <c r="B2732" s="24" t="s">
        <v>106</v>
      </c>
      <c r="C2732" s="32">
        <v>11.141</v>
      </c>
      <c r="D2732" s="28">
        <v>9.0277777777777787E-3</v>
      </c>
    </row>
    <row r="2733" spans="1:4" x14ac:dyDescent="0.25">
      <c r="A2733" s="24" t="s">
        <v>92</v>
      </c>
      <c r="B2733" s="24" t="s">
        <v>107</v>
      </c>
      <c r="C2733" s="32">
        <v>15.141</v>
      </c>
      <c r="D2733" s="28">
        <v>1.3888888888888888E-2</v>
      </c>
    </row>
    <row r="2734" spans="1:4" x14ac:dyDescent="0.25">
      <c r="A2734" s="24" t="s">
        <v>92</v>
      </c>
      <c r="B2734" s="24" t="s">
        <v>108</v>
      </c>
      <c r="C2734" s="32">
        <v>15.738</v>
      </c>
      <c r="D2734" s="28">
        <v>1.3194444444444444E-2</v>
      </c>
    </row>
    <row r="2735" spans="1:4" x14ac:dyDescent="0.25">
      <c r="A2735" s="24" t="s">
        <v>92</v>
      </c>
      <c r="B2735" s="24" t="s">
        <v>109</v>
      </c>
      <c r="C2735" s="32">
        <v>15.708</v>
      </c>
      <c r="D2735" s="28">
        <v>1.3194444444444444E-2</v>
      </c>
    </row>
    <row r="2736" spans="1:4" x14ac:dyDescent="0.25">
      <c r="A2736" s="24" t="s">
        <v>92</v>
      </c>
      <c r="B2736" s="24" t="s">
        <v>110</v>
      </c>
      <c r="C2736" s="32">
        <v>8.8949999999999996</v>
      </c>
      <c r="D2736" s="28">
        <v>9.7222222222222224E-3</v>
      </c>
    </row>
    <row r="2737" spans="1:4" x14ac:dyDescent="0.25">
      <c r="A2737" s="24" t="s">
        <v>92</v>
      </c>
      <c r="B2737" s="24" t="s">
        <v>111</v>
      </c>
      <c r="C2737" s="32">
        <v>5.3490000000000002</v>
      </c>
      <c r="D2737" s="28">
        <v>5.5555555555555558E-3</v>
      </c>
    </row>
    <row r="2738" spans="1:4" x14ac:dyDescent="0.25">
      <c r="A2738" s="24" t="s">
        <v>92</v>
      </c>
      <c r="B2738" s="24" t="s">
        <v>112</v>
      </c>
      <c r="C2738" s="32">
        <v>14.815</v>
      </c>
      <c r="D2738" s="28">
        <v>1.2499999999999999E-2</v>
      </c>
    </row>
    <row r="2739" spans="1:4" x14ac:dyDescent="0.25">
      <c r="A2739" s="24" t="s">
        <v>92</v>
      </c>
      <c r="B2739" s="24" t="s">
        <v>113</v>
      </c>
      <c r="C2739" s="32">
        <v>18.439</v>
      </c>
      <c r="D2739" s="28">
        <v>1.4583333333333332E-2</v>
      </c>
    </row>
    <row r="2740" spans="1:4" x14ac:dyDescent="0.25">
      <c r="A2740" s="24" t="s">
        <v>92</v>
      </c>
      <c r="B2740" s="24" t="s">
        <v>114</v>
      </c>
      <c r="C2740" s="32">
        <v>7.9</v>
      </c>
      <c r="D2740" s="28">
        <v>5.5555555555555558E-3</v>
      </c>
    </row>
    <row r="2741" spans="1:4" x14ac:dyDescent="0.25">
      <c r="A2741" s="24" t="s">
        <v>92</v>
      </c>
      <c r="B2741" s="24" t="s">
        <v>115</v>
      </c>
      <c r="C2741" s="32">
        <v>7.7510000000000003</v>
      </c>
      <c r="D2741" s="28">
        <v>6.2499999999999995E-3</v>
      </c>
    </row>
    <row r="2742" spans="1:4" x14ac:dyDescent="0.25">
      <c r="A2742" s="24" t="s">
        <v>92</v>
      </c>
      <c r="B2742" s="24" t="s">
        <v>116</v>
      </c>
      <c r="C2742" s="32">
        <v>1.9019999999999999</v>
      </c>
      <c r="D2742" s="28">
        <v>2.7777777777777779E-3</v>
      </c>
    </row>
    <row r="2743" spans="1:4" x14ac:dyDescent="0.25">
      <c r="A2743" s="24" t="s">
        <v>92</v>
      </c>
      <c r="B2743" s="24" t="s">
        <v>117</v>
      </c>
      <c r="C2743" s="32">
        <v>9.1950000000000003</v>
      </c>
      <c r="D2743" s="28">
        <v>9.0277777777777787E-3</v>
      </c>
    </row>
    <row r="2744" spans="1:4" x14ac:dyDescent="0.25">
      <c r="A2744" s="24" t="s">
        <v>92</v>
      </c>
      <c r="B2744" s="24" t="s">
        <v>118</v>
      </c>
      <c r="C2744" s="32">
        <v>13.581</v>
      </c>
      <c r="D2744" s="28">
        <v>1.1111111111111112E-2</v>
      </c>
    </row>
    <row r="2745" spans="1:4" x14ac:dyDescent="0.25">
      <c r="A2745" s="24" t="s">
        <v>92</v>
      </c>
      <c r="B2745" s="24" t="s">
        <v>119</v>
      </c>
      <c r="C2745" s="32">
        <v>23.768999999999998</v>
      </c>
      <c r="D2745" s="28">
        <v>1.5972222222222224E-2</v>
      </c>
    </row>
    <row r="2746" spans="1:4" x14ac:dyDescent="0.25">
      <c r="A2746" s="24" t="s">
        <v>92</v>
      </c>
      <c r="B2746" s="24" t="s">
        <v>120</v>
      </c>
      <c r="C2746" s="32">
        <v>28.73</v>
      </c>
      <c r="D2746" s="28">
        <v>2.1527777777777781E-2</v>
      </c>
    </row>
    <row r="2747" spans="1:4" x14ac:dyDescent="0.25">
      <c r="A2747" s="24" t="s">
        <v>92</v>
      </c>
      <c r="B2747" s="24" t="s">
        <v>121</v>
      </c>
      <c r="C2747" s="32">
        <v>44.807000000000002</v>
      </c>
      <c r="D2747" s="28">
        <v>2.9166666666666664E-2</v>
      </c>
    </row>
    <row r="2748" spans="1:4" x14ac:dyDescent="0.25">
      <c r="A2748" s="24" t="s">
        <v>92</v>
      </c>
      <c r="B2748" s="24" t="s">
        <v>122</v>
      </c>
      <c r="C2748" s="32">
        <v>25.515999999999998</v>
      </c>
      <c r="D2748" s="28">
        <v>1.6666666666666666E-2</v>
      </c>
    </row>
    <row r="2749" spans="1:4" x14ac:dyDescent="0.25">
      <c r="A2749" s="24" t="s">
        <v>92</v>
      </c>
      <c r="B2749" s="24" t="s">
        <v>123</v>
      </c>
      <c r="C2749" s="32">
        <v>38.392000000000003</v>
      </c>
      <c r="D2749" s="28">
        <v>2.4999999999999998E-2</v>
      </c>
    </row>
    <row r="2750" spans="1:4" x14ac:dyDescent="0.25">
      <c r="A2750" s="24" t="s">
        <v>92</v>
      </c>
      <c r="B2750" s="24" t="s">
        <v>124</v>
      </c>
      <c r="C2750" s="32">
        <v>38.392000000000003</v>
      </c>
      <c r="D2750" s="28">
        <v>2.4999999999999998E-2</v>
      </c>
    </row>
    <row r="2751" spans="1:4" x14ac:dyDescent="0.25">
      <c r="A2751" s="24" t="s">
        <v>92</v>
      </c>
      <c r="B2751" s="24" t="s">
        <v>125</v>
      </c>
      <c r="C2751" s="32">
        <v>19.649999999999999</v>
      </c>
      <c r="D2751" s="28">
        <v>1.5277777777777777E-2</v>
      </c>
    </row>
    <row r="2752" spans="1:4" x14ac:dyDescent="0.25">
      <c r="A2752" s="24" t="s">
        <v>92</v>
      </c>
      <c r="B2752" s="24" t="s">
        <v>126</v>
      </c>
      <c r="C2752" s="32">
        <v>19.388000000000002</v>
      </c>
      <c r="D2752" s="28">
        <v>1.4583333333333332E-2</v>
      </c>
    </row>
    <row r="2753" spans="1:4" x14ac:dyDescent="0.25">
      <c r="A2753" s="24" t="s">
        <v>92</v>
      </c>
      <c r="B2753" s="24" t="s">
        <v>127</v>
      </c>
      <c r="C2753" s="32">
        <v>16.632999999999999</v>
      </c>
      <c r="D2753" s="28">
        <v>1.3888888888888888E-2</v>
      </c>
    </row>
    <row r="2754" spans="1:4" x14ac:dyDescent="0.25">
      <c r="A2754" s="24" t="s">
        <v>92</v>
      </c>
      <c r="B2754" s="24" t="s">
        <v>128</v>
      </c>
      <c r="C2754" s="32">
        <v>18.460999999999999</v>
      </c>
      <c r="D2754" s="28">
        <v>1.3194444444444444E-2</v>
      </c>
    </row>
    <row r="2755" spans="1:4" x14ac:dyDescent="0.25">
      <c r="A2755" s="24" t="s">
        <v>92</v>
      </c>
      <c r="B2755" s="24" t="s">
        <v>129</v>
      </c>
      <c r="C2755" s="32">
        <v>18.460999999999999</v>
      </c>
      <c r="D2755" s="28">
        <v>1.3194444444444444E-2</v>
      </c>
    </row>
    <row r="2756" spans="1:4" x14ac:dyDescent="0.25">
      <c r="A2756" s="24" t="s">
        <v>92</v>
      </c>
      <c r="B2756" s="24" t="s">
        <v>130</v>
      </c>
      <c r="C2756" s="32">
        <v>17.84</v>
      </c>
      <c r="D2756" s="28">
        <v>1.5277777777777777E-2</v>
      </c>
    </row>
    <row r="2757" spans="1:4" x14ac:dyDescent="0.25">
      <c r="A2757" s="24" t="s">
        <v>92</v>
      </c>
      <c r="B2757" s="24" t="s">
        <v>131</v>
      </c>
      <c r="C2757" s="32">
        <v>15.625</v>
      </c>
      <c r="D2757" s="28">
        <v>1.5277777777777777E-2</v>
      </c>
    </row>
    <row r="2758" spans="1:4" x14ac:dyDescent="0.25">
      <c r="A2758" s="24" t="s">
        <v>92</v>
      </c>
      <c r="B2758" s="24" t="s">
        <v>132</v>
      </c>
      <c r="C2758" s="32">
        <v>24.757999999999999</v>
      </c>
      <c r="D2758" s="28">
        <v>1.9444444444444445E-2</v>
      </c>
    </row>
    <row r="2759" spans="1:4" x14ac:dyDescent="0.25">
      <c r="A2759" s="24" t="s">
        <v>92</v>
      </c>
      <c r="B2759" s="24" t="s">
        <v>133</v>
      </c>
      <c r="C2759" s="32">
        <v>18.074000000000002</v>
      </c>
      <c r="D2759" s="28">
        <v>2.013888888888889E-2</v>
      </c>
    </row>
    <row r="2760" spans="1:4" x14ac:dyDescent="0.25">
      <c r="A2760" s="24" t="s">
        <v>92</v>
      </c>
      <c r="B2760" s="24" t="s">
        <v>134</v>
      </c>
      <c r="C2760" s="32">
        <v>17.608000000000001</v>
      </c>
      <c r="D2760" s="28">
        <v>1.9444444444444445E-2</v>
      </c>
    </row>
    <row r="2761" spans="1:4" x14ac:dyDescent="0.25">
      <c r="A2761" s="24" t="s">
        <v>92</v>
      </c>
      <c r="B2761" s="24" t="s">
        <v>135</v>
      </c>
      <c r="C2761" s="32">
        <v>18.939</v>
      </c>
      <c r="D2761" s="28">
        <v>2.0833333333333332E-2</v>
      </c>
    </row>
    <row r="2762" spans="1:4" x14ac:dyDescent="0.25">
      <c r="A2762" s="24" t="s">
        <v>92</v>
      </c>
      <c r="B2762" s="24" t="s">
        <v>136</v>
      </c>
      <c r="C2762" s="32">
        <v>18.939</v>
      </c>
      <c r="D2762" s="28">
        <v>2.0833333333333332E-2</v>
      </c>
    </row>
    <row r="2763" spans="1:4" x14ac:dyDescent="0.25">
      <c r="A2763" s="24" t="s">
        <v>92</v>
      </c>
      <c r="B2763" s="24" t="s">
        <v>137</v>
      </c>
      <c r="C2763" s="32">
        <v>19.152000000000001</v>
      </c>
      <c r="D2763" s="28">
        <v>2.0833333333333332E-2</v>
      </c>
    </row>
    <row r="2764" spans="1:4" x14ac:dyDescent="0.25">
      <c r="A2764" s="24" t="s">
        <v>92</v>
      </c>
      <c r="B2764" s="24" t="s">
        <v>138</v>
      </c>
      <c r="C2764" s="32">
        <v>26.213999999999999</v>
      </c>
      <c r="D2764" s="28">
        <v>2.013888888888889E-2</v>
      </c>
    </row>
    <row r="2765" spans="1:4" x14ac:dyDescent="0.25">
      <c r="A2765" s="24" t="s">
        <v>92</v>
      </c>
      <c r="B2765" s="24" t="s">
        <v>139</v>
      </c>
      <c r="C2765" s="32">
        <v>34.654000000000003</v>
      </c>
      <c r="D2765" s="28">
        <v>2.2222222222222223E-2</v>
      </c>
    </row>
    <row r="2766" spans="1:4" x14ac:dyDescent="0.25">
      <c r="A2766" s="24" t="s">
        <v>92</v>
      </c>
      <c r="B2766" s="24" t="s">
        <v>140</v>
      </c>
      <c r="C2766" s="32">
        <v>34.966000000000001</v>
      </c>
      <c r="D2766" s="28">
        <v>2.4305555555555556E-2</v>
      </c>
    </row>
    <row r="2767" spans="1:4" x14ac:dyDescent="0.25">
      <c r="A2767" s="24" t="s">
        <v>92</v>
      </c>
      <c r="B2767" s="24" t="s">
        <v>141</v>
      </c>
      <c r="C2767" s="32">
        <v>59.365000000000002</v>
      </c>
      <c r="D2767" s="28">
        <v>4.0972222222222222E-2</v>
      </c>
    </row>
    <row r="2768" spans="1:4" x14ac:dyDescent="0.25">
      <c r="A2768" s="24" t="s">
        <v>92</v>
      </c>
      <c r="B2768" s="24" t="s">
        <v>142</v>
      </c>
      <c r="C2768" s="32">
        <v>57.453000000000003</v>
      </c>
      <c r="D2768" s="28">
        <v>3.4027777777777775E-2</v>
      </c>
    </row>
    <row r="2769" spans="1:4" x14ac:dyDescent="0.25">
      <c r="A2769" s="24" t="s">
        <v>92</v>
      </c>
      <c r="B2769" s="24" t="s">
        <v>143</v>
      </c>
      <c r="C2769" s="32">
        <v>75.831000000000003</v>
      </c>
      <c r="D2769" s="28">
        <v>4.0972222222222222E-2</v>
      </c>
    </row>
    <row r="2770" spans="1:4" x14ac:dyDescent="0.25">
      <c r="A2770" s="24" t="s">
        <v>92</v>
      </c>
      <c r="B2770" s="24" t="s">
        <v>144</v>
      </c>
      <c r="C2770" s="32">
        <v>94.947000000000003</v>
      </c>
      <c r="D2770" s="28">
        <v>5.2083333333333336E-2</v>
      </c>
    </row>
    <row r="2771" spans="1:4" x14ac:dyDescent="0.25">
      <c r="A2771" s="24" t="s">
        <v>92</v>
      </c>
      <c r="B2771" s="24" t="s">
        <v>145</v>
      </c>
      <c r="C2771" s="32">
        <v>39.460999999999999</v>
      </c>
      <c r="D2771" s="28">
        <v>2.6388888888888889E-2</v>
      </c>
    </row>
    <row r="2772" spans="1:4" x14ac:dyDescent="0.25">
      <c r="A2772" s="24" t="s">
        <v>92</v>
      </c>
      <c r="B2772" s="24" t="s">
        <v>146</v>
      </c>
      <c r="C2772" s="32">
        <v>54.92</v>
      </c>
      <c r="D2772" s="28">
        <v>3.4722222222222224E-2</v>
      </c>
    </row>
    <row r="2773" spans="1:4" x14ac:dyDescent="0.25">
      <c r="A2773" s="24" t="s">
        <v>92</v>
      </c>
      <c r="B2773" s="24" t="s">
        <v>147</v>
      </c>
      <c r="C2773" s="32">
        <v>11.294</v>
      </c>
      <c r="D2773" s="28">
        <v>8.3333333333333332E-3</v>
      </c>
    </row>
    <row r="2774" spans="1:4" x14ac:dyDescent="0.25">
      <c r="A2774" s="24" t="s">
        <v>92</v>
      </c>
      <c r="B2774" s="24" t="s">
        <v>148</v>
      </c>
      <c r="C2774" s="32">
        <v>14.368</v>
      </c>
      <c r="D2774" s="28">
        <v>1.0416666666666666E-2</v>
      </c>
    </row>
    <row r="2775" spans="1:4" x14ac:dyDescent="0.25">
      <c r="A2775" s="24" t="s">
        <v>92</v>
      </c>
      <c r="B2775" s="24" t="s">
        <v>149</v>
      </c>
      <c r="C2775" s="32">
        <v>24.864000000000001</v>
      </c>
      <c r="D2775" s="28">
        <v>1.9444444444444445E-2</v>
      </c>
    </row>
    <row r="2776" spans="1:4" x14ac:dyDescent="0.25">
      <c r="A2776" s="24" t="s">
        <v>92</v>
      </c>
      <c r="B2776" s="24" t="s">
        <v>150</v>
      </c>
      <c r="C2776" s="32">
        <v>34.350999999999999</v>
      </c>
      <c r="D2776" s="28">
        <v>2.9166666666666664E-2</v>
      </c>
    </row>
    <row r="2777" spans="1:4" x14ac:dyDescent="0.25">
      <c r="A2777" s="24" t="s">
        <v>92</v>
      </c>
      <c r="B2777" s="24" t="s">
        <v>151</v>
      </c>
      <c r="C2777" s="32">
        <v>33.609000000000002</v>
      </c>
      <c r="D2777" s="28">
        <v>2.8472222222222222E-2</v>
      </c>
    </row>
    <row r="2778" spans="1:4" x14ac:dyDescent="0.25">
      <c r="A2778" s="24" t="s">
        <v>92</v>
      </c>
      <c r="B2778" s="24" t="s">
        <v>152</v>
      </c>
      <c r="C2778" s="32">
        <v>34.299999999999997</v>
      </c>
      <c r="D2778" s="28">
        <v>3.125E-2</v>
      </c>
    </row>
    <row r="2779" spans="1:4" x14ac:dyDescent="0.25">
      <c r="A2779" s="24" t="s">
        <v>92</v>
      </c>
      <c r="B2779" s="24" t="s">
        <v>153</v>
      </c>
      <c r="C2779" s="32">
        <v>38.826999999999998</v>
      </c>
      <c r="D2779" s="28">
        <v>3.8194444444444441E-2</v>
      </c>
    </row>
    <row r="2780" spans="1:4" x14ac:dyDescent="0.25">
      <c r="A2780" s="24" t="s">
        <v>92</v>
      </c>
      <c r="B2780" s="24" t="s">
        <v>154</v>
      </c>
      <c r="C2780" s="32">
        <v>33.636000000000003</v>
      </c>
      <c r="D2780" s="28">
        <v>3.1944444444444449E-2</v>
      </c>
    </row>
    <row r="2781" spans="1:4" x14ac:dyDescent="0.25">
      <c r="A2781" s="24" t="s">
        <v>92</v>
      </c>
      <c r="B2781" s="24" t="s">
        <v>155</v>
      </c>
      <c r="C2781" s="32">
        <v>34.213000000000001</v>
      </c>
      <c r="D2781" s="28">
        <v>2.9166666666666664E-2</v>
      </c>
    </row>
    <row r="2782" spans="1:4" x14ac:dyDescent="0.25">
      <c r="A2782" s="24" t="s">
        <v>92</v>
      </c>
      <c r="B2782" s="24" t="s">
        <v>156</v>
      </c>
      <c r="C2782" s="32">
        <v>34.197000000000003</v>
      </c>
      <c r="D2782" s="28">
        <v>2.9166666666666664E-2</v>
      </c>
    </row>
    <row r="2783" spans="1:4" x14ac:dyDescent="0.25">
      <c r="A2783" s="24" t="s">
        <v>92</v>
      </c>
      <c r="B2783" s="24" t="s">
        <v>157</v>
      </c>
      <c r="C2783" s="32">
        <v>32.795000000000002</v>
      </c>
      <c r="D2783" s="28">
        <v>2.6388888888888889E-2</v>
      </c>
    </row>
    <row r="2784" spans="1:4" x14ac:dyDescent="0.25">
      <c r="A2784" s="24" t="s">
        <v>92</v>
      </c>
      <c r="B2784" s="24" t="s">
        <v>158</v>
      </c>
      <c r="C2784" s="32">
        <v>43.548999999999999</v>
      </c>
      <c r="D2784" s="28">
        <v>3.4027777777777775E-2</v>
      </c>
    </row>
    <row r="2785" spans="1:4" x14ac:dyDescent="0.25">
      <c r="A2785" s="24" t="s">
        <v>92</v>
      </c>
      <c r="B2785" s="24" t="s">
        <v>159</v>
      </c>
      <c r="C2785" s="32">
        <v>44.04</v>
      </c>
      <c r="D2785" s="28">
        <v>3.5416666666666666E-2</v>
      </c>
    </row>
    <row r="2786" spans="1:4" x14ac:dyDescent="0.25">
      <c r="A2786" s="24" t="s">
        <v>93</v>
      </c>
      <c r="B2786" s="24" t="s">
        <v>65</v>
      </c>
      <c r="C2786" s="32">
        <v>27.321999999999999</v>
      </c>
      <c r="D2786" s="28">
        <v>1.8749999999999999E-2</v>
      </c>
    </row>
    <row r="2787" spans="1:4" x14ac:dyDescent="0.25">
      <c r="A2787" s="24" t="s">
        <v>93</v>
      </c>
      <c r="B2787" s="24" t="s">
        <v>64</v>
      </c>
      <c r="C2787" s="32">
        <v>40.381999999999998</v>
      </c>
      <c r="D2787" s="28">
        <v>2.7083333333333334E-2</v>
      </c>
    </row>
    <row r="2788" spans="1:4" x14ac:dyDescent="0.25">
      <c r="A2788" s="24" t="s">
        <v>93</v>
      </c>
      <c r="B2788" s="24" t="s">
        <v>66</v>
      </c>
      <c r="C2788" s="32">
        <v>46.728999999999999</v>
      </c>
      <c r="D2788" s="28">
        <v>3.4722222222222224E-2</v>
      </c>
    </row>
    <row r="2789" spans="1:4" x14ac:dyDescent="0.25">
      <c r="A2789" s="24" t="s">
        <v>93</v>
      </c>
      <c r="B2789" s="24" t="s">
        <v>67</v>
      </c>
      <c r="C2789" s="32">
        <v>43.972999999999999</v>
      </c>
      <c r="D2789" s="28">
        <v>3.4027777777777775E-2</v>
      </c>
    </row>
    <row r="2790" spans="1:4" x14ac:dyDescent="0.25">
      <c r="A2790" s="24" t="s">
        <v>93</v>
      </c>
      <c r="B2790" s="24" t="s">
        <v>68</v>
      </c>
      <c r="C2790" s="32">
        <v>44.087000000000003</v>
      </c>
      <c r="D2790" s="28">
        <v>3.5416666666666666E-2</v>
      </c>
    </row>
    <row r="2791" spans="1:4" x14ac:dyDescent="0.25">
      <c r="A2791" s="24" t="s">
        <v>93</v>
      </c>
      <c r="B2791" s="24" t="s">
        <v>69</v>
      </c>
      <c r="C2791" s="32">
        <v>43.942999999999998</v>
      </c>
      <c r="D2791" s="28">
        <v>3.4722222222222224E-2</v>
      </c>
    </row>
    <row r="2792" spans="1:4" x14ac:dyDescent="0.25">
      <c r="A2792" s="24" t="s">
        <v>93</v>
      </c>
      <c r="B2792" s="24" t="s">
        <v>70</v>
      </c>
      <c r="C2792" s="32">
        <v>44.326999999999998</v>
      </c>
      <c r="D2792" s="28">
        <v>3.4722222222222224E-2</v>
      </c>
    </row>
    <row r="2793" spans="1:4" x14ac:dyDescent="0.25">
      <c r="A2793" s="24" t="s">
        <v>93</v>
      </c>
      <c r="B2793" s="24" t="s">
        <v>71</v>
      </c>
      <c r="C2793" s="32">
        <v>43.671999999999997</v>
      </c>
      <c r="D2793" s="28">
        <v>3.4722222222222224E-2</v>
      </c>
    </row>
    <row r="2794" spans="1:4" x14ac:dyDescent="0.25">
      <c r="A2794" s="24" t="s">
        <v>93</v>
      </c>
      <c r="B2794" s="24" t="s">
        <v>72</v>
      </c>
      <c r="C2794" s="32">
        <v>45.206000000000003</v>
      </c>
      <c r="D2794" s="28">
        <v>3.6805555555555557E-2</v>
      </c>
    </row>
    <row r="2795" spans="1:4" x14ac:dyDescent="0.25">
      <c r="A2795" s="24" t="s">
        <v>93</v>
      </c>
      <c r="B2795" s="24" t="s">
        <v>73</v>
      </c>
      <c r="C2795" s="32">
        <v>43.734000000000002</v>
      </c>
      <c r="D2795" s="28">
        <v>3.4027777777777775E-2</v>
      </c>
    </row>
    <row r="2796" spans="1:4" x14ac:dyDescent="0.25">
      <c r="A2796" s="24" t="s">
        <v>93</v>
      </c>
      <c r="B2796" s="24" t="s">
        <v>74</v>
      </c>
      <c r="C2796" s="32">
        <v>47.506999999999998</v>
      </c>
      <c r="D2796" s="28">
        <v>3.6805555555555557E-2</v>
      </c>
    </row>
    <row r="2797" spans="1:4" x14ac:dyDescent="0.25">
      <c r="A2797" s="24" t="s">
        <v>93</v>
      </c>
      <c r="B2797" s="24" t="s">
        <v>75</v>
      </c>
      <c r="C2797" s="32">
        <v>46.542999999999999</v>
      </c>
      <c r="D2797" s="28">
        <v>3.5416666666666666E-2</v>
      </c>
    </row>
    <row r="2798" spans="1:4" x14ac:dyDescent="0.25">
      <c r="A2798" s="24" t="s">
        <v>93</v>
      </c>
      <c r="B2798" s="24" t="s">
        <v>76</v>
      </c>
      <c r="C2798" s="32">
        <v>49.642000000000003</v>
      </c>
      <c r="D2798" s="28">
        <v>4.0972222222222222E-2</v>
      </c>
    </row>
    <row r="2799" spans="1:4" x14ac:dyDescent="0.25">
      <c r="A2799" s="24" t="s">
        <v>93</v>
      </c>
      <c r="B2799" s="24" t="s">
        <v>77</v>
      </c>
      <c r="C2799" s="32">
        <v>54.15</v>
      </c>
      <c r="D2799" s="28">
        <v>4.1666666666666664E-2</v>
      </c>
    </row>
    <row r="2800" spans="1:4" x14ac:dyDescent="0.25">
      <c r="A2800" s="24" t="s">
        <v>93</v>
      </c>
      <c r="B2800" s="24" t="s">
        <v>78</v>
      </c>
      <c r="C2800" s="32">
        <v>50.110999999999997</v>
      </c>
      <c r="D2800" s="28">
        <v>3.7499999999999999E-2</v>
      </c>
    </row>
    <row r="2801" spans="1:4" x14ac:dyDescent="0.25">
      <c r="A2801" s="24" t="s">
        <v>93</v>
      </c>
      <c r="B2801" s="24" t="s">
        <v>79</v>
      </c>
      <c r="C2801" s="32">
        <v>68.784999999999997</v>
      </c>
      <c r="D2801" s="28">
        <v>5.347222222222222E-2</v>
      </c>
    </row>
    <row r="2802" spans="1:4" x14ac:dyDescent="0.25">
      <c r="A2802" s="24" t="s">
        <v>93</v>
      </c>
      <c r="B2802" s="24" t="s">
        <v>80</v>
      </c>
      <c r="C2802" s="32">
        <v>27.353000000000002</v>
      </c>
      <c r="D2802" s="28">
        <v>2.013888888888889E-2</v>
      </c>
    </row>
    <row r="2803" spans="1:4" x14ac:dyDescent="0.25">
      <c r="A2803" s="24" t="s">
        <v>93</v>
      </c>
      <c r="B2803" s="24" t="s">
        <v>81</v>
      </c>
      <c r="C2803" s="32">
        <v>31.875</v>
      </c>
      <c r="D2803" s="28">
        <v>2.2222222222222223E-2</v>
      </c>
    </row>
    <row r="2804" spans="1:4" x14ac:dyDescent="0.25">
      <c r="A2804" s="24" t="s">
        <v>93</v>
      </c>
      <c r="B2804" s="24" t="s">
        <v>82</v>
      </c>
      <c r="C2804" s="32">
        <v>31.927</v>
      </c>
      <c r="D2804" s="28">
        <v>2.2222222222222223E-2</v>
      </c>
    </row>
    <row r="2805" spans="1:4" x14ac:dyDescent="0.25">
      <c r="A2805" s="24" t="s">
        <v>93</v>
      </c>
      <c r="B2805" s="24" t="s">
        <v>83</v>
      </c>
      <c r="C2805" s="32">
        <v>38.159999999999997</v>
      </c>
      <c r="D2805" s="28">
        <v>2.6388888888888889E-2</v>
      </c>
    </row>
    <row r="2806" spans="1:4" x14ac:dyDescent="0.25">
      <c r="A2806" s="24" t="s">
        <v>93</v>
      </c>
      <c r="B2806" s="24" t="s">
        <v>84</v>
      </c>
      <c r="C2806" s="32">
        <v>44.741999999999997</v>
      </c>
      <c r="D2806" s="28">
        <v>3.2638888888888891E-2</v>
      </c>
    </row>
    <row r="2807" spans="1:4" x14ac:dyDescent="0.25">
      <c r="A2807" s="24" t="s">
        <v>93</v>
      </c>
      <c r="B2807" s="24" t="s">
        <v>85</v>
      </c>
      <c r="C2807" s="32">
        <v>44.759</v>
      </c>
      <c r="D2807" s="28">
        <v>3.1944444444444449E-2</v>
      </c>
    </row>
    <row r="2808" spans="1:4" x14ac:dyDescent="0.25">
      <c r="A2808" s="24" t="s">
        <v>93</v>
      </c>
      <c r="B2808" s="24" t="s">
        <v>86</v>
      </c>
      <c r="C2808" s="32">
        <v>42.384999999999998</v>
      </c>
      <c r="D2808" s="28">
        <v>2.9166666666666664E-2</v>
      </c>
    </row>
    <row r="2809" spans="1:4" x14ac:dyDescent="0.25">
      <c r="A2809" s="24" t="s">
        <v>93</v>
      </c>
      <c r="B2809" s="24" t="s">
        <v>87</v>
      </c>
      <c r="C2809" s="32">
        <v>40.749000000000002</v>
      </c>
      <c r="D2809" s="28">
        <v>2.8472222222222222E-2</v>
      </c>
    </row>
    <row r="2810" spans="1:4" x14ac:dyDescent="0.25">
      <c r="A2810" s="24" t="s">
        <v>93</v>
      </c>
      <c r="B2810" s="24" t="s">
        <v>88</v>
      </c>
      <c r="C2810" s="32">
        <v>39.902000000000001</v>
      </c>
      <c r="D2810" s="28">
        <v>2.8472222222222222E-2</v>
      </c>
    </row>
    <row r="2811" spans="1:4" x14ac:dyDescent="0.25">
      <c r="A2811" s="24" t="s">
        <v>93</v>
      </c>
      <c r="B2811" s="24" t="s">
        <v>89</v>
      </c>
      <c r="C2811" s="32">
        <v>35.179000000000002</v>
      </c>
      <c r="D2811" s="28">
        <v>2.4999999999999998E-2</v>
      </c>
    </row>
    <row r="2812" spans="1:4" x14ac:dyDescent="0.25">
      <c r="A2812" s="24" t="s">
        <v>93</v>
      </c>
      <c r="B2812" s="24" t="s">
        <v>90</v>
      </c>
      <c r="C2812" s="32">
        <v>27.234999999999999</v>
      </c>
      <c r="D2812" s="28">
        <v>1.9444444444444445E-2</v>
      </c>
    </row>
    <row r="2813" spans="1:4" x14ac:dyDescent="0.25">
      <c r="A2813" s="24" t="s">
        <v>93</v>
      </c>
      <c r="B2813" s="24" t="s">
        <v>91</v>
      </c>
      <c r="C2813" s="32">
        <v>37.622999999999998</v>
      </c>
      <c r="D2813" s="28">
        <v>2.7083333333333334E-2</v>
      </c>
    </row>
    <row r="2814" spans="1:4" x14ac:dyDescent="0.25">
      <c r="A2814" s="24" t="s">
        <v>93</v>
      </c>
      <c r="B2814" s="24" t="s">
        <v>92</v>
      </c>
      <c r="C2814" s="32">
        <v>29.971</v>
      </c>
      <c r="D2814" s="28">
        <v>2.2222222222222223E-2</v>
      </c>
    </row>
    <row r="2815" spans="1:4" x14ac:dyDescent="0.25">
      <c r="A2815" s="24" t="s">
        <v>93</v>
      </c>
      <c r="B2815" s="24" t="s">
        <v>93</v>
      </c>
      <c r="C2815" s="32">
        <v>0</v>
      </c>
      <c r="D2815" s="28">
        <v>0</v>
      </c>
    </row>
    <row r="2816" spans="1:4" x14ac:dyDescent="0.25">
      <c r="A2816" s="24" t="s">
        <v>93</v>
      </c>
      <c r="B2816" s="24" t="s">
        <v>94</v>
      </c>
      <c r="C2816" s="32">
        <v>0.96599999999999997</v>
      </c>
      <c r="D2816" s="28">
        <v>2.0833333333333333E-3</v>
      </c>
    </row>
    <row r="2817" spans="1:4" x14ac:dyDescent="0.25">
      <c r="A2817" s="24" t="s">
        <v>93</v>
      </c>
      <c r="B2817" s="24" t="s">
        <v>95</v>
      </c>
      <c r="C2817" s="32">
        <v>27.350999999999999</v>
      </c>
      <c r="D2817" s="28">
        <v>2.2222222222222223E-2</v>
      </c>
    </row>
    <row r="2818" spans="1:4" x14ac:dyDescent="0.25">
      <c r="A2818" s="24" t="s">
        <v>93</v>
      </c>
      <c r="B2818" s="24" t="s">
        <v>96</v>
      </c>
      <c r="C2818" s="32">
        <v>44.604999999999997</v>
      </c>
      <c r="D2818" s="28">
        <v>3.125E-2</v>
      </c>
    </row>
    <row r="2819" spans="1:4" x14ac:dyDescent="0.25">
      <c r="A2819" s="24" t="s">
        <v>93</v>
      </c>
      <c r="B2819" s="24" t="s">
        <v>97</v>
      </c>
      <c r="C2819" s="32">
        <v>44.402999999999999</v>
      </c>
      <c r="D2819" s="28">
        <v>3.1944444444444449E-2</v>
      </c>
    </row>
    <row r="2820" spans="1:4" x14ac:dyDescent="0.25">
      <c r="A2820" s="24" t="s">
        <v>93</v>
      </c>
      <c r="B2820" s="24" t="s">
        <v>98</v>
      </c>
      <c r="C2820" s="32">
        <v>34.265000000000001</v>
      </c>
      <c r="D2820" s="28">
        <v>2.361111111111111E-2</v>
      </c>
    </row>
    <row r="2821" spans="1:4" x14ac:dyDescent="0.25">
      <c r="A2821" s="24" t="s">
        <v>93</v>
      </c>
      <c r="B2821" s="24" t="s">
        <v>99</v>
      </c>
      <c r="C2821" s="32">
        <v>40.762999999999998</v>
      </c>
      <c r="D2821" s="28">
        <v>2.7777777777777776E-2</v>
      </c>
    </row>
    <row r="2822" spans="1:4" x14ac:dyDescent="0.25">
      <c r="A2822" s="24" t="s">
        <v>93</v>
      </c>
      <c r="B2822" s="24" t="s">
        <v>100</v>
      </c>
      <c r="C2822" s="32">
        <v>20.648</v>
      </c>
      <c r="D2822" s="28">
        <v>1.5277777777777777E-2</v>
      </c>
    </row>
    <row r="2823" spans="1:4" x14ac:dyDescent="0.25">
      <c r="A2823" s="24" t="s">
        <v>93</v>
      </c>
      <c r="B2823" s="24" t="s">
        <v>101</v>
      </c>
      <c r="C2823" s="32">
        <v>35.960999999999999</v>
      </c>
      <c r="D2823" s="28">
        <v>2.4999999999999998E-2</v>
      </c>
    </row>
    <row r="2824" spans="1:4" x14ac:dyDescent="0.25">
      <c r="A2824" s="24" t="s">
        <v>93</v>
      </c>
      <c r="B2824" s="24" t="s">
        <v>102</v>
      </c>
      <c r="C2824" s="32">
        <v>36.466000000000001</v>
      </c>
      <c r="D2824" s="28">
        <v>2.6388888888888889E-2</v>
      </c>
    </row>
    <row r="2825" spans="1:4" x14ac:dyDescent="0.25">
      <c r="A2825" s="24" t="s">
        <v>93</v>
      </c>
      <c r="B2825" s="24" t="s">
        <v>103</v>
      </c>
      <c r="C2825" s="32">
        <v>31.526</v>
      </c>
      <c r="D2825" s="28">
        <v>2.0833333333333332E-2</v>
      </c>
    </row>
    <row r="2826" spans="1:4" x14ac:dyDescent="0.25">
      <c r="A2826" s="24" t="s">
        <v>93</v>
      </c>
      <c r="B2826" s="24" t="s">
        <v>104</v>
      </c>
      <c r="C2826" s="32">
        <v>28.585999999999999</v>
      </c>
      <c r="D2826" s="28">
        <v>1.9444444444444445E-2</v>
      </c>
    </row>
    <row r="2827" spans="1:4" x14ac:dyDescent="0.25">
      <c r="A2827" s="24" t="s">
        <v>93</v>
      </c>
      <c r="B2827" s="24" t="s">
        <v>105</v>
      </c>
      <c r="C2827" s="32">
        <v>34.823999999999998</v>
      </c>
      <c r="D2827" s="28">
        <v>2.6388888888888889E-2</v>
      </c>
    </row>
    <row r="2828" spans="1:4" x14ac:dyDescent="0.25">
      <c r="A2828" s="24" t="s">
        <v>93</v>
      </c>
      <c r="B2828" s="24" t="s">
        <v>106</v>
      </c>
      <c r="C2828" s="32">
        <v>33.204999999999998</v>
      </c>
      <c r="D2828" s="28">
        <v>2.1527777777777781E-2</v>
      </c>
    </row>
    <row r="2829" spans="1:4" x14ac:dyDescent="0.25">
      <c r="A2829" s="24" t="s">
        <v>93</v>
      </c>
      <c r="B2829" s="24" t="s">
        <v>107</v>
      </c>
      <c r="C2829" s="32">
        <v>44.029000000000003</v>
      </c>
      <c r="D2829" s="28">
        <v>3.125E-2</v>
      </c>
    </row>
    <row r="2830" spans="1:4" x14ac:dyDescent="0.25">
      <c r="A2830" s="24" t="s">
        <v>93</v>
      </c>
      <c r="B2830" s="24" t="s">
        <v>108</v>
      </c>
      <c r="C2830" s="32">
        <v>44.625999999999998</v>
      </c>
      <c r="D2830" s="28">
        <v>2.9861111111111113E-2</v>
      </c>
    </row>
    <row r="2831" spans="1:4" x14ac:dyDescent="0.25">
      <c r="A2831" s="24" t="s">
        <v>93</v>
      </c>
      <c r="B2831" s="24" t="s">
        <v>109</v>
      </c>
      <c r="C2831" s="32">
        <v>44.595999999999997</v>
      </c>
      <c r="D2831" s="28">
        <v>2.9861111111111113E-2</v>
      </c>
    </row>
    <row r="2832" spans="1:4" x14ac:dyDescent="0.25">
      <c r="A2832" s="24" t="s">
        <v>93</v>
      </c>
      <c r="B2832" s="24" t="s">
        <v>110</v>
      </c>
      <c r="C2832" s="32">
        <v>35.765000000000001</v>
      </c>
      <c r="D2832" s="28">
        <v>2.4305555555555556E-2</v>
      </c>
    </row>
    <row r="2833" spans="1:4" x14ac:dyDescent="0.25">
      <c r="A2833" s="24" t="s">
        <v>93</v>
      </c>
      <c r="B2833" s="24" t="s">
        <v>111</v>
      </c>
      <c r="C2833" s="32">
        <v>33.283999999999999</v>
      </c>
      <c r="D2833" s="28">
        <v>2.1527777777777781E-2</v>
      </c>
    </row>
    <row r="2834" spans="1:4" x14ac:dyDescent="0.25">
      <c r="A2834" s="24" t="s">
        <v>93</v>
      </c>
      <c r="B2834" s="24" t="s">
        <v>112</v>
      </c>
      <c r="C2834" s="32">
        <v>43.703000000000003</v>
      </c>
      <c r="D2834" s="28">
        <v>2.9861111111111113E-2</v>
      </c>
    </row>
    <row r="2835" spans="1:4" x14ac:dyDescent="0.25">
      <c r="A2835" s="24" t="s">
        <v>93</v>
      </c>
      <c r="B2835" s="24" t="s">
        <v>113</v>
      </c>
      <c r="C2835" s="32">
        <v>44.475000000000001</v>
      </c>
      <c r="D2835" s="28">
        <v>3.125E-2</v>
      </c>
    </row>
    <row r="2836" spans="1:4" x14ac:dyDescent="0.25">
      <c r="A2836" s="24" t="s">
        <v>93</v>
      </c>
      <c r="B2836" s="24" t="s">
        <v>114</v>
      </c>
      <c r="C2836" s="32">
        <v>25.631</v>
      </c>
      <c r="D2836" s="28">
        <v>1.6666666666666666E-2</v>
      </c>
    </row>
    <row r="2837" spans="1:4" x14ac:dyDescent="0.25">
      <c r="A2837" s="24" t="s">
        <v>93</v>
      </c>
      <c r="B2837" s="24" t="s">
        <v>115</v>
      </c>
      <c r="C2837" s="32">
        <v>25.498000000000001</v>
      </c>
      <c r="D2837" s="28">
        <v>1.7361111111111112E-2</v>
      </c>
    </row>
    <row r="2838" spans="1:4" x14ac:dyDescent="0.25">
      <c r="A2838" s="24" t="s">
        <v>93</v>
      </c>
      <c r="B2838" s="24" t="s">
        <v>116</v>
      </c>
      <c r="C2838" s="32">
        <v>28.434999999999999</v>
      </c>
      <c r="D2838" s="28">
        <v>2.0833333333333332E-2</v>
      </c>
    </row>
    <row r="2839" spans="1:4" x14ac:dyDescent="0.25">
      <c r="A2839" s="24" t="s">
        <v>93</v>
      </c>
      <c r="B2839" s="24" t="s">
        <v>117</v>
      </c>
      <c r="C2839" s="32">
        <v>26.838999999999999</v>
      </c>
      <c r="D2839" s="28">
        <v>2.361111111111111E-2</v>
      </c>
    </row>
    <row r="2840" spans="1:4" x14ac:dyDescent="0.25">
      <c r="A2840" s="24" t="s">
        <v>93</v>
      </c>
      <c r="B2840" s="24" t="s">
        <v>118</v>
      </c>
      <c r="C2840" s="32">
        <v>42.469000000000001</v>
      </c>
      <c r="D2840" s="28">
        <v>2.8472222222222222E-2</v>
      </c>
    </row>
    <row r="2841" spans="1:4" x14ac:dyDescent="0.25">
      <c r="A2841" s="24" t="s">
        <v>93</v>
      </c>
      <c r="B2841" s="24" t="s">
        <v>119</v>
      </c>
      <c r="C2841" s="32">
        <v>37.844999999999999</v>
      </c>
      <c r="D2841" s="28">
        <v>2.7777777777777776E-2</v>
      </c>
    </row>
    <row r="2842" spans="1:4" x14ac:dyDescent="0.25">
      <c r="A2842" s="24" t="s">
        <v>93</v>
      </c>
      <c r="B2842" s="24" t="s">
        <v>120</v>
      </c>
      <c r="C2842" s="32">
        <v>42.805999999999997</v>
      </c>
      <c r="D2842" s="28">
        <v>3.2638888888888891E-2</v>
      </c>
    </row>
    <row r="2843" spans="1:4" x14ac:dyDescent="0.25">
      <c r="A2843" s="24" t="s">
        <v>93</v>
      </c>
      <c r="B2843" s="24" t="s">
        <v>121</v>
      </c>
      <c r="C2843" s="32">
        <v>45.13</v>
      </c>
      <c r="D2843" s="28">
        <v>2.4999999999999998E-2</v>
      </c>
    </row>
    <row r="2844" spans="1:4" x14ac:dyDescent="0.25">
      <c r="A2844" s="24" t="s">
        <v>93</v>
      </c>
      <c r="B2844" s="24" t="s">
        <v>122</v>
      </c>
      <c r="C2844" s="32">
        <v>13.933</v>
      </c>
      <c r="D2844" s="28">
        <v>1.3194444444444444E-2</v>
      </c>
    </row>
    <row r="2845" spans="1:4" x14ac:dyDescent="0.25">
      <c r="A2845" s="24" t="s">
        <v>93</v>
      </c>
      <c r="B2845" s="24" t="s">
        <v>123</v>
      </c>
      <c r="C2845" s="32">
        <v>41.881</v>
      </c>
      <c r="D2845" s="28">
        <v>2.4999999999999998E-2</v>
      </c>
    </row>
    <row r="2846" spans="1:4" x14ac:dyDescent="0.25">
      <c r="A2846" s="24" t="s">
        <v>93</v>
      </c>
      <c r="B2846" s="24" t="s">
        <v>124</v>
      </c>
      <c r="C2846" s="32">
        <v>41.881</v>
      </c>
      <c r="D2846" s="28">
        <v>2.4999999999999998E-2</v>
      </c>
    </row>
    <row r="2847" spans="1:4" x14ac:dyDescent="0.25">
      <c r="A2847" s="24" t="s">
        <v>93</v>
      </c>
      <c r="B2847" s="24" t="s">
        <v>125</v>
      </c>
      <c r="C2847" s="32">
        <v>41.713999999999999</v>
      </c>
      <c r="D2847" s="28">
        <v>2.7777777777777776E-2</v>
      </c>
    </row>
    <row r="2848" spans="1:4" x14ac:dyDescent="0.25">
      <c r="A2848" s="24" t="s">
        <v>93</v>
      </c>
      <c r="B2848" s="24" t="s">
        <v>126</v>
      </c>
      <c r="C2848" s="32">
        <v>41.451999999999998</v>
      </c>
      <c r="D2848" s="28">
        <v>2.7083333333333334E-2</v>
      </c>
    </row>
    <row r="2849" spans="1:4" x14ac:dyDescent="0.25">
      <c r="A2849" s="24" t="s">
        <v>93</v>
      </c>
      <c r="B2849" s="24" t="s">
        <v>127</v>
      </c>
      <c r="C2849" s="32">
        <v>39.825000000000003</v>
      </c>
      <c r="D2849" s="28">
        <v>2.7083333333333334E-2</v>
      </c>
    </row>
    <row r="2850" spans="1:4" x14ac:dyDescent="0.25">
      <c r="A2850" s="24" t="s">
        <v>93</v>
      </c>
      <c r="B2850" s="24" t="s">
        <v>128</v>
      </c>
      <c r="C2850" s="32">
        <v>40.524999999999999</v>
      </c>
      <c r="D2850" s="28">
        <v>2.5694444444444447E-2</v>
      </c>
    </row>
    <row r="2851" spans="1:4" x14ac:dyDescent="0.25">
      <c r="A2851" s="24" t="s">
        <v>93</v>
      </c>
      <c r="B2851" s="24" t="s">
        <v>129</v>
      </c>
      <c r="C2851" s="32">
        <v>40.524999999999999</v>
      </c>
      <c r="D2851" s="28">
        <v>2.5694444444444447E-2</v>
      </c>
    </row>
    <row r="2852" spans="1:4" x14ac:dyDescent="0.25">
      <c r="A2852" s="24" t="s">
        <v>93</v>
      </c>
      <c r="B2852" s="24" t="s">
        <v>130</v>
      </c>
      <c r="C2852" s="32">
        <v>39.904000000000003</v>
      </c>
      <c r="D2852" s="28">
        <v>2.7777777777777776E-2</v>
      </c>
    </row>
    <row r="2853" spans="1:4" x14ac:dyDescent="0.25">
      <c r="A2853" s="24" t="s">
        <v>93</v>
      </c>
      <c r="B2853" s="24" t="s">
        <v>131</v>
      </c>
      <c r="C2853" s="32">
        <v>38.817</v>
      </c>
      <c r="D2853" s="28">
        <v>2.7777777777777776E-2</v>
      </c>
    </row>
    <row r="2854" spans="1:4" x14ac:dyDescent="0.25">
      <c r="A2854" s="24" t="s">
        <v>93</v>
      </c>
      <c r="B2854" s="24" t="s">
        <v>132</v>
      </c>
      <c r="C2854" s="32">
        <v>46.822000000000003</v>
      </c>
      <c r="D2854" s="28">
        <v>3.1944444444444449E-2</v>
      </c>
    </row>
    <row r="2855" spans="1:4" x14ac:dyDescent="0.25">
      <c r="A2855" s="24" t="s">
        <v>93</v>
      </c>
      <c r="B2855" s="24" t="s">
        <v>133</v>
      </c>
      <c r="C2855" s="32">
        <v>43.948</v>
      </c>
      <c r="D2855" s="28">
        <v>3.4722222222222224E-2</v>
      </c>
    </row>
    <row r="2856" spans="1:4" x14ac:dyDescent="0.25">
      <c r="A2856" s="24" t="s">
        <v>93</v>
      </c>
      <c r="B2856" s="24" t="s">
        <v>134</v>
      </c>
      <c r="C2856" s="32">
        <v>43.481999999999999</v>
      </c>
      <c r="D2856" s="28">
        <v>3.4027777777777775E-2</v>
      </c>
    </row>
    <row r="2857" spans="1:4" x14ac:dyDescent="0.25">
      <c r="A2857" s="24" t="s">
        <v>93</v>
      </c>
      <c r="B2857" s="24" t="s">
        <v>135</v>
      </c>
      <c r="C2857" s="32">
        <v>44.813000000000002</v>
      </c>
      <c r="D2857" s="28">
        <v>3.4722222222222224E-2</v>
      </c>
    </row>
    <row r="2858" spans="1:4" x14ac:dyDescent="0.25">
      <c r="A2858" s="24" t="s">
        <v>93</v>
      </c>
      <c r="B2858" s="24" t="s">
        <v>136</v>
      </c>
      <c r="C2858" s="32">
        <v>44.813000000000002</v>
      </c>
      <c r="D2858" s="28">
        <v>3.4722222222222224E-2</v>
      </c>
    </row>
    <row r="2859" spans="1:4" x14ac:dyDescent="0.25">
      <c r="A2859" s="24" t="s">
        <v>93</v>
      </c>
      <c r="B2859" s="24" t="s">
        <v>137</v>
      </c>
      <c r="C2859" s="32">
        <v>45.026000000000003</v>
      </c>
      <c r="D2859" s="28">
        <v>3.5416666666666666E-2</v>
      </c>
    </row>
    <row r="2860" spans="1:4" x14ac:dyDescent="0.25">
      <c r="A2860" s="24" t="s">
        <v>93</v>
      </c>
      <c r="B2860" s="24" t="s">
        <v>138</v>
      </c>
      <c r="C2860" s="32">
        <v>52.271999999999998</v>
      </c>
      <c r="D2860" s="28">
        <v>3.6111111111111115E-2</v>
      </c>
    </row>
    <row r="2861" spans="1:4" x14ac:dyDescent="0.25">
      <c r="A2861" s="24" t="s">
        <v>93</v>
      </c>
      <c r="B2861" s="24" t="s">
        <v>139</v>
      </c>
      <c r="C2861" s="32">
        <v>60.36</v>
      </c>
      <c r="D2861" s="28">
        <v>3.6111111111111115E-2</v>
      </c>
    </row>
    <row r="2862" spans="1:4" x14ac:dyDescent="0.25">
      <c r="A2862" s="24" t="s">
        <v>93</v>
      </c>
      <c r="B2862" s="24" t="s">
        <v>140</v>
      </c>
      <c r="C2862" s="32">
        <v>67</v>
      </c>
      <c r="D2862" s="28">
        <v>3.888888888888889E-2</v>
      </c>
    </row>
    <row r="2863" spans="1:4" x14ac:dyDescent="0.25">
      <c r="A2863" s="24" t="s">
        <v>93</v>
      </c>
      <c r="B2863" s="24" t="s">
        <v>141</v>
      </c>
      <c r="C2863" s="32">
        <v>85.070999999999998</v>
      </c>
      <c r="D2863" s="28">
        <v>5.5555555555555552E-2</v>
      </c>
    </row>
    <row r="2864" spans="1:4" x14ac:dyDescent="0.25">
      <c r="A2864" s="24" t="s">
        <v>93</v>
      </c>
      <c r="B2864" s="24" t="s">
        <v>142</v>
      </c>
      <c r="C2864" s="32">
        <v>83.159000000000006</v>
      </c>
      <c r="D2864" s="28">
        <v>4.7916666666666663E-2</v>
      </c>
    </row>
    <row r="2865" spans="1:4" x14ac:dyDescent="0.25">
      <c r="A2865" s="24" t="s">
        <v>93</v>
      </c>
      <c r="B2865" s="24" t="s">
        <v>143</v>
      </c>
      <c r="C2865" s="32">
        <v>101.53700000000001</v>
      </c>
      <c r="D2865" s="28">
        <v>5.5555555555555552E-2</v>
      </c>
    </row>
    <row r="2866" spans="1:4" x14ac:dyDescent="0.25">
      <c r="A2866" s="24" t="s">
        <v>93</v>
      </c>
      <c r="B2866" s="24" t="s">
        <v>144</v>
      </c>
      <c r="C2866" s="32">
        <v>120.65300000000001</v>
      </c>
      <c r="D2866" s="28">
        <v>6.5972222222222224E-2</v>
      </c>
    </row>
    <row r="2867" spans="1:4" x14ac:dyDescent="0.25">
      <c r="A2867" s="24" t="s">
        <v>93</v>
      </c>
      <c r="B2867" s="24" t="s">
        <v>145</v>
      </c>
      <c r="C2867" s="32">
        <v>65.167000000000002</v>
      </c>
      <c r="D2867" s="28">
        <v>4.0972222222222222E-2</v>
      </c>
    </row>
    <row r="2868" spans="1:4" x14ac:dyDescent="0.25">
      <c r="A2868" s="24" t="s">
        <v>93</v>
      </c>
      <c r="B2868" s="24" t="s">
        <v>146</v>
      </c>
      <c r="C2868" s="32">
        <v>80.626000000000005</v>
      </c>
      <c r="D2868" s="28">
        <v>4.8611111111111112E-2</v>
      </c>
    </row>
    <row r="2869" spans="1:4" x14ac:dyDescent="0.25">
      <c r="A2869" s="24" t="s">
        <v>93</v>
      </c>
      <c r="B2869" s="24" t="s">
        <v>147</v>
      </c>
      <c r="C2869" s="32">
        <v>33.357999999999997</v>
      </c>
      <c r="D2869" s="28">
        <v>2.0833333333333332E-2</v>
      </c>
    </row>
    <row r="2870" spans="1:4" x14ac:dyDescent="0.25">
      <c r="A2870" s="24" t="s">
        <v>93</v>
      </c>
      <c r="B2870" s="24" t="s">
        <v>148</v>
      </c>
      <c r="C2870" s="32">
        <v>36.432000000000002</v>
      </c>
      <c r="D2870" s="28">
        <v>2.2916666666666669E-2</v>
      </c>
    </row>
    <row r="2871" spans="1:4" x14ac:dyDescent="0.25">
      <c r="A2871" s="24" t="s">
        <v>93</v>
      </c>
      <c r="B2871" s="24" t="s">
        <v>149</v>
      </c>
      <c r="C2871" s="32">
        <v>46.927999999999997</v>
      </c>
      <c r="D2871" s="28">
        <v>3.1944444444444449E-2</v>
      </c>
    </row>
    <row r="2872" spans="1:4" x14ac:dyDescent="0.25">
      <c r="A2872" s="24" t="s">
        <v>93</v>
      </c>
      <c r="B2872" s="24" t="s">
        <v>150</v>
      </c>
      <c r="C2872" s="32">
        <v>56.414999999999999</v>
      </c>
      <c r="D2872" s="28">
        <v>4.0972222222222222E-2</v>
      </c>
    </row>
    <row r="2873" spans="1:4" x14ac:dyDescent="0.25">
      <c r="A2873" s="24" t="s">
        <v>93</v>
      </c>
      <c r="B2873" s="24" t="s">
        <v>151</v>
      </c>
      <c r="C2873" s="32">
        <v>55.673000000000002</v>
      </c>
      <c r="D2873" s="28">
        <v>4.0972222222222222E-2</v>
      </c>
    </row>
    <row r="2874" spans="1:4" x14ac:dyDescent="0.25">
      <c r="A2874" s="24" t="s">
        <v>93</v>
      </c>
      <c r="B2874" s="24" t="s">
        <v>152</v>
      </c>
      <c r="C2874" s="32">
        <v>57.491999999999997</v>
      </c>
      <c r="D2874" s="28">
        <v>4.4444444444444446E-2</v>
      </c>
    </row>
    <row r="2875" spans="1:4" x14ac:dyDescent="0.25">
      <c r="A2875" s="24" t="s">
        <v>93</v>
      </c>
      <c r="B2875" s="24" t="s">
        <v>153</v>
      </c>
      <c r="C2875" s="32">
        <v>62.018999999999998</v>
      </c>
      <c r="D2875" s="28">
        <v>5.0694444444444452E-2</v>
      </c>
    </row>
    <row r="2876" spans="1:4" x14ac:dyDescent="0.25">
      <c r="A2876" s="24" t="s">
        <v>93</v>
      </c>
      <c r="B2876" s="24" t="s">
        <v>154</v>
      </c>
      <c r="C2876" s="32">
        <v>56.828000000000003</v>
      </c>
      <c r="D2876" s="28">
        <v>4.4444444444444446E-2</v>
      </c>
    </row>
    <row r="2877" spans="1:4" x14ac:dyDescent="0.25">
      <c r="A2877" s="24" t="s">
        <v>93</v>
      </c>
      <c r="B2877" s="24" t="s">
        <v>155</v>
      </c>
      <c r="C2877" s="32">
        <v>55.831000000000003</v>
      </c>
      <c r="D2877" s="28">
        <v>4.3750000000000004E-2</v>
      </c>
    </row>
    <row r="2878" spans="1:4" x14ac:dyDescent="0.25">
      <c r="A2878" s="24" t="s">
        <v>93</v>
      </c>
      <c r="B2878" s="24" t="s">
        <v>156</v>
      </c>
      <c r="C2878" s="32">
        <v>55.814999999999998</v>
      </c>
      <c r="D2878" s="28">
        <v>4.3055555555555562E-2</v>
      </c>
    </row>
    <row r="2879" spans="1:4" x14ac:dyDescent="0.25">
      <c r="A2879" s="24" t="s">
        <v>93</v>
      </c>
      <c r="B2879" s="24" t="s">
        <v>157</v>
      </c>
      <c r="C2879" s="32">
        <v>50.542000000000002</v>
      </c>
      <c r="D2879" s="28">
        <v>3.7499999999999999E-2</v>
      </c>
    </row>
    <row r="2880" spans="1:4" x14ac:dyDescent="0.25">
      <c r="A2880" s="24" t="s">
        <v>93</v>
      </c>
      <c r="B2880" s="24" t="s">
        <v>158</v>
      </c>
      <c r="C2880" s="32">
        <v>65.113</v>
      </c>
      <c r="D2880" s="28">
        <v>4.7222222222222221E-2</v>
      </c>
    </row>
    <row r="2881" spans="1:4" x14ac:dyDescent="0.25">
      <c r="A2881" s="24" t="s">
        <v>93</v>
      </c>
      <c r="B2881" s="24" t="s">
        <v>159</v>
      </c>
      <c r="C2881" s="32">
        <v>54.101999999999997</v>
      </c>
      <c r="D2881" s="28">
        <v>4.6527777777777779E-2</v>
      </c>
    </row>
    <row r="2882" spans="1:4" x14ac:dyDescent="0.25">
      <c r="A2882" s="24" t="s">
        <v>94</v>
      </c>
      <c r="B2882" s="24" t="s">
        <v>65</v>
      </c>
      <c r="C2882" s="32">
        <v>28.172000000000001</v>
      </c>
      <c r="D2882" s="28">
        <v>1.9444444444444445E-2</v>
      </c>
    </row>
    <row r="2883" spans="1:4" x14ac:dyDescent="0.25">
      <c r="A2883" s="24" t="s">
        <v>94</v>
      </c>
      <c r="B2883" s="24" t="s">
        <v>64</v>
      </c>
      <c r="C2883" s="32">
        <v>41.231999999999999</v>
      </c>
      <c r="D2883" s="28">
        <v>2.7777777777777776E-2</v>
      </c>
    </row>
    <row r="2884" spans="1:4" x14ac:dyDescent="0.25">
      <c r="A2884" s="24" t="s">
        <v>94</v>
      </c>
      <c r="B2884" s="24" t="s">
        <v>66</v>
      </c>
      <c r="C2884" s="32">
        <v>47.579000000000001</v>
      </c>
      <c r="D2884" s="28">
        <v>3.5416666666666666E-2</v>
      </c>
    </row>
    <row r="2885" spans="1:4" x14ac:dyDescent="0.25">
      <c r="A2885" s="24" t="s">
        <v>94</v>
      </c>
      <c r="B2885" s="24" t="s">
        <v>67</v>
      </c>
      <c r="C2885" s="32">
        <v>44.823</v>
      </c>
      <c r="D2885" s="28">
        <v>3.4722222222222224E-2</v>
      </c>
    </row>
    <row r="2886" spans="1:4" x14ac:dyDescent="0.25">
      <c r="A2886" s="24" t="s">
        <v>94</v>
      </c>
      <c r="B2886" s="24" t="s">
        <v>68</v>
      </c>
      <c r="C2886" s="32">
        <v>44.936999999999998</v>
      </c>
      <c r="D2886" s="28">
        <v>3.6111111111111115E-2</v>
      </c>
    </row>
    <row r="2887" spans="1:4" x14ac:dyDescent="0.25">
      <c r="A2887" s="24" t="s">
        <v>94</v>
      </c>
      <c r="B2887" s="24" t="s">
        <v>69</v>
      </c>
      <c r="C2887" s="32">
        <v>44.792999999999999</v>
      </c>
      <c r="D2887" s="28">
        <v>3.4722222222222224E-2</v>
      </c>
    </row>
    <row r="2888" spans="1:4" x14ac:dyDescent="0.25">
      <c r="A2888" s="24" t="s">
        <v>94</v>
      </c>
      <c r="B2888" s="24" t="s">
        <v>70</v>
      </c>
      <c r="C2888" s="32">
        <v>45.177</v>
      </c>
      <c r="D2888" s="28">
        <v>3.5416666666666666E-2</v>
      </c>
    </row>
    <row r="2889" spans="1:4" x14ac:dyDescent="0.25">
      <c r="A2889" s="24" t="s">
        <v>94</v>
      </c>
      <c r="B2889" s="24" t="s">
        <v>71</v>
      </c>
      <c r="C2889" s="32">
        <v>44.521999999999998</v>
      </c>
      <c r="D2889" s="28">
        <v>3.5416666666666666E-2</v>
      </c>
    </row>
    <row r="2890" spans="1:4" x14ac:dyDescent="0.25">
      <c r="A2890" s="24" t="s">
        <v>94</v>
      </c>
      <c r="B2890" s="24" t="s">
        <v>72</v>
      </c>
      <c r="C2890" s="32">
        <v>46.055999999999997</v>
      </c>
      <c r="D2890" s="28">
        <v>3.7499999999999999E-2</v>
      </c>
    </row>
    <row r="2891" spans="1:4" x14ac:dyDescent="0.25">
      <c r="A2891" s="24" t="s">
        <v>94</v>
      </c>
      <c r="B2891" s="24" t="s">
        <v>73</v>
      </c>
      <c r="C2891" s="32">
        <v>44.584000000000003</v>
      </c>
      <c r="D2891" s="28">
        <v>3.4722222222222224E-2</v>
      </c>
    </row>
    <row r="2892" spans="1:4" x14ac:dyDescent="0.25">
      <c r="A2892" s="24" t="s">
        <v>94</v>
      </c>
      <c r="B2892" s="24" t="s">
        <v>74</v>
      </c>
      <c r="C2892" s="32">
        <v>48.356999999999999</v>
      </c>
      <c r="D2892" s="28">
        <v>3.7499999999999999E-2</v>
      </c>
    </row>
    <row r="2893" spans="1:4" x14ac:dyDescent="0.25">
      <c r="A2893" s="24" t="s">
        <v>94</v>
      </c>
      <c r="B2893" s="24" t="s">
        <v>75</v>
      </c>
      <c r="C2893" s="32">
        <v>47.393000000000001</v>
      </c>
      <c r="D2893" s="28">
        <v>3.6111111111111115E-2</v>
      </c>
    </row>
    <row r="2894" spans="1:4" x14ac:dyDescent="0.25">
      <c r="A2894" s="24" t="s">
        <v>94</v>
      </c>
      <c r="B2894" s="24" t="s">
        <v>76</v>
      </c>
      <c r="C2894" s="32">
        <v>50.491999999999997</v>
      </c>
      <c r="D2894" s="28">
        <v>4.1666666666666664E-2</v>
      </c>
    </row>
    <row r="2895" spans="1:4" x14ac:dyDescent="0.25">
      <c r="A2895" s="24" t="s">
        <v>94</v>
      </c>
      <c r="B2895" s="24" t="s">
        <v>77</v>
      </c>
      <c r="C2895" s="32">
        <v>55</v>
      </c>
      <c r="D2895" s="28">
        <v>4.2361111111111106E-2</v>
      </c>
    </row>
    <row r="2896" spans="1:4" x14ac:dyDescent="0.25">
      <c r="A2896" s="24" t="s">
        <v>94</v>
      </c>
      <c r="B2896" s="24" t="s">
        <v>78</v>
      </c>
      <c r="C2896" s="32">
        <v>50.960999999999999</v>
      </c>
      <c r="D2896" s="28">
        <v>3.8194444444444441E-2</v>
      </c>
    </row>
    <row r="2897" spans="1:4" x14ac:dyDescent="0.25">
      <c r="A2897" s="24" t="s">
        <v>94</v>
      </c>
      <c r="B2897" s="24" t="s">
        <v>79</v>
      </c>
      <c r="C2897" s="32">
        <v>69.635000000000005</v>
      </c>
      <c r="D2897" s="28">
        <v>5.4166666666666669E-2</v>
      </c>
    </row>
    <row r="2898" spans="1:4" x14ac:dyDescent="0.25">
      <c r="A2898" s="24" t="s">
        <v>94</v>
      </c>
      <c r="B2898" s="24" t="s">
        <v>80</v>
      </c>
      <c r="C2898" s="32">
        <v>28.202999999999999</v>
      </c>
      <c r="D2898" s="28">
        <v>2.0833333333333332E-2</v>
      </c>
    </row>
    <row r="2899" spans="1:4" x14ac:dyDescent="0.25">
      <c r="A2899" s="24" t="s">
        <v>94</v>
      </c>
      <c r="B2899" s="24" t="s">
        <v>81</v>
      </c>
      <c r="C2899" s="32">
        <v>32.725000000000001</v>
      </c>
      <c r="D2899" s="28">
        <v>2.2916666666666669E-2</v>
      </c>
    </row>
    <row r="2900" spans="1:4" x14ac:dyDescent="0.25">
      <c r="A2900" s="24" t="s">
        <v>94</v>
      </c>
      <c r="B2900" s="24" t="s">
        <v>82</v>
      </c>
      <c r="C2900" s="32">
        <v>32.777000000000001</v>
      </c>
      <c r="D2900" s="28">
        <v>2.2916666666666669E-2</v>
      </c>
    </row>
    <row r="2901" spans="1:4" x14ac:dyDescent="0.25">
      <c r="A2901" s="24" t="s">
        <v>94</v>
      </c>
      <c r="B2901" s="24" t="s">
        <v>83</v>
      </c>
      <c r="C2901" s="32">
        <v>39.01</v>
      </c>
      <c r="D2901" s="28">
        <v>2.7083333333333334E-2</v>
      </c>
    </row>
    <row r="2902" spans="1:4" x14ac:dyDescent="0.25">
      <c r="A2902" s="24" t="s">
        <v>94</v>
      </c>
      <c r="B2902" s="24" t="s">
        <v>84</v>
      </c>
      <c r="C2902" s="32">
        <v>45.591999999999999</v>
      </c>
      <c r="D2902" s="28">
        <v>3.3333333333333333E-2</v>
      </c>
    </row>
    <row r="2903" spans="1:4" x14ac:dyDescent="0.25">
      <c r="A2903" s="24" t="s">
        <v>94</v>
      </c>
      <c r="B2903" s="24" t="s">
        <v>85</v>
      </c>
      <c r="C2903" s="32">
        <v>45.609000000000002</v>
      </c>
      <c r="D2903" s="28">
        <v>3.2638888888888891E-2</v>
      </c>
    </row>
    <row r="2904" spans="1:4" x14ac:dyDescent="0.25">
      <c r="A2904" s="24" t="s">
        <v>94</v>
      </c>
      <c r="B2904" s="24" t="s">
        <v>86</v>
      </c>
      <c r="C2904" s="32">
        <v>43.234999999999999</v>
      </c>
      <c r="D2904" s="28">
        <v>2.9861111111111113E-2</v>
      </c>
    </row>
    <row r="2905" spans="1:4" x14ac:dyDescent="0.25">
      <c r="A2905" s="24" t="s">
        <v>94</v>
      </c>
      <c r="B2905" s="24" t="s">
        <v>87</v>
      </c>
      <c r="C2905" s="32">
        <v>41.598999999999997</v>
      </c>
      <c r="D2905" s="28">
        <v>2.9166666666666664E-2</v>
      </c>
    </row>
    <row r="2906" spans="1:4" x14ac:dyDescent="0.25">
      <c r="A2906" s="24" t="s">
        <v>94</v>
      </c>
      <c r="B2906" s="24" t="s">
        <v>88</v>
      </c>
      <c r="C2906" s="32">
        <v>40.752000000000002</v>
      </c>
      <c r="D2906" s="28">
        <v>2.9166666666666664E-2</v>
      </c>
    </row>
    <row r="2907" spans="1:4" x14ac:dyDescent="0.25">
      <c r="A2907" s="24" t="s">
        <v>94</v>
      </c>
      <c r="B2907" s="24" t="s">
        <v>89</v>
      </c>
      <c r="C2907" s="32">
        <v>36.029000000000003</v>
      </c>
      <c r="D2907" s="28">
        <v>2.5694444444444447E-2</v>
      </c>
    </row>
    <row r="2908" spans="1:4" x14ac:dyDescent="0.25">
      <c r="A2908" s="24" t="s">
        <v>94</v>
      </c>
      <c r="B2908" s="24" t="s">
        <v>90</v>
      </c>
      <c r="C2908" s="32">
        <v>28.085000000000001</v>
      </c>
      <c r="D2908" s="28">
        <v>2.013888888888889E-2</v>
      </c>
    </row>
    <row r="2909" spans="1:4" x14ac:dyDescent="0.25">
      <c r="A2909" s="24" t="s">
        <v>94</v>
      </c>
      <c r="B2909" s="24" t="s">
        <v>91</v>
      </c>
      <c r="C2909" s="32">
        <v>38.472999999999999</v>
      </c>
      <c r="D2909" s="28">
        <v>2.7777777777777776E-2</v>
      </c>
    </row>
    <row r="2910" spans="1:4" x14ac:dyDescent="0.25">
      <c r="A2910" s="24" t="s">
        <v>94</v>
      </c>
      <c r="B2910" s="24" t="s">
        <v>92</v>
      </c>
      <c r="C2910" s="32">
        <v>30.821000000000002</v>
      </c>
      <c r="D2910" s="28">
        <v>2.2916666666666669E-2</v>
      </c>
    </row>
    <row r="2911" spans="1:4" x14ac:dyDescent="0.25">
      <c r="A2911" s="24" t="s">
        <v>94</v>
      </c>
      <c r="B2911" s="24" t="s">
        <v>93</v>
      </c>
      <c r="C2911" s="32">
        <v>0.91600000000000004</v>
      </c>
      <c r="D2911" s="28">
        <v>2.0833333333333333E-3</v>
      </c>
    </row>
    <row r="2912" spans="1:4" x14ac:dyDescent="0.25">
      <c r="A2912" s="24" t="s">
        <v>94</v>
      </c>
      <c r="B2912" s="24" t="s">
        <v>94</v>
      </c>
      <c r="C2912" s="32">
        <v>0</v>
      </c>
      <c r="D2912" s="28">
        <v>0</v>
      </c>
    </row>
    <row r="2913" spans="1:4" x14ac:dyDescent="0.25">
      <c r="A2913" s="24" t="s">
        <v>94</v>
      </c>
      <c r="B2913" s="24" t="s">
        <v>95</v>
      </c>
      <c r="C2913" s="32">
        <v>28.201000000000001</v>
      </c>
      <c r="D2913" s="28">
        <v>2.2222222222222223E-2</v>
      </c>
    </row>
    <row r="2914" spans="1:4" x14ac:dyDescent="0.25">
      <c r="A2914" s="24" t="s">
        <v>94</v>
      </c>
      <c r="B2914" s="24" t="s">
        <v>96</v>
      </c>
      <c r="C2914" s="32">
        <v>45.454999999999998</v>
      </c>
      <c r="D2914" s="28">
        <v>3.1944444444444449E-2</v>
      </c>
    </row>
    <row r="2915" spans="1:4" x14ac:dyDescent="0.25">
      <c r="A2915" s="24" t="s">
        <v>94</v>
      </c>
      <c r="B2915" s="24" t="s">
        <v>97</v>
      </c>
      <c r="C2915" s="32">
        <v>45.253</v>
      </c>
      <c r="D2915" s="28">
        <v>3.2638888888888891E-2</v>
      </c>
    </row>
    <row r="2916" spans="1:4" x14ac:dyDescent="0.25">
      <c r="A2916" s="24" t="s">
        <v>94</v>
      </c>
      <c r="B2916" s="24" t="s">
        <v>98</v>
      </c>
      <c r="C2916" s="32">
        <v>35.115000000000002</v>
      </c>
      <c r="D2916" s="28">
        <v>2.4305555555555556E-2</v>
      </c>
    </row>
    <row r="2917" spans="1:4" x14ac:dyDescent="0.25">
      <c r="A2917" s="24" t="s">
        <v>94</v>
      </c>
      <c r="B2917" s="24" t="s">
        <v>99</v>
      </c>
      <c r="C2917" s="32">
        <v>41.613</v>
      </c>
      <c r="D2917" s="28">
        <v>2.8472222222222222E-2</v>
      </c>
    </row>
    <row r="2918" spans="1:4" x14ac:dyDescent="0.25">
      <c r="A2918" s="24" t="s">
        <v>94</v>
      </c>
      <c r="B2918" s="24" t="s">
        <v>100</v>
      </c>
      <c r="C2918" s="32">
        <v>21.498000000000001</v>
      </c>
      <c r="D2918" s="28">
        <v>1.5972222222222224E-2</v>
      </c>
    </row>
    <row r="2919" spans="1:4" x14ac:dyDescent="0.25">
      <c r="A2919" s="24" t="s">
        <v>94</v>
      </c>
      <c r="B2919" s="24" t="s">
        <v>101</v>
      </c>
      <c r="C2919" s="32">
        <v>36.811</v>
      </c>
      <c r="D2919" s="28">
        <v>2.5694444444444447E-2</v>
      </c>
    </row>
    <row r="2920" spans="1:4" x14ac:dyDescent="0.25">
      <c r="A2920" s="24" t="s">
        <v>94</v>
      </c>
      <c r="B2920" s="24" t="s">
        <v>102</v>
      </c>
      <c r="C2920" s="32">
        <v>37.316000000000003</v>
      </c>
      <c r="D2920" s="28">
        <v>2.7083333333333334E-2</v>
      </c>
    </row>
    <row r="2921" spans="1:4" x14ac:dyDescent="0.25">
      <c r="A2921" s="24" t="s">
        <v>94</v>
      </c>
      <c r="B2921" s="24" t="s">
        <v>103</v>
      </c>
      <c r="C2921" s="32">
        <v>32.375999999999998</v>
      </c>
      <c r="D2921" s="28">
        <v>2.0833333333333332E-2</v>
      </c>
    </row>
    <row r="2922" spans="1:4" x14ac:dyDescent="0.25">
      <c r="A2922" s="24" t="s">
        <v>94</v>
      </c>
      <c r="B2922" s="24" t="s">
        <v>104</v>
      </c>
      <c r="C2922" s="32">
        <v>29.436</v>
      </c>
      <c r="D2922" s="28">
        <v>2.013888888888889E-2</v>
      </c>
    </row>
    <row r="2923" spans="1:4" x14ac:dyDescent="0.25">
      <c r="A2923" s="24" t="s">
        <v>94</v>
      </c>
      <c r="B2923" s="24" t="s">
        <v>105</v>
      </c>
      <c r="C2923" s="32">
        <v>35.673999999999999</v>
      </c>
      <c r="D2923" s="28">
        <v>2.7083333333333334E-2</v>
      </c>
    </row>
    <row r="2924" spans="1:4" x14ac:dyDescent="0.25">
      <c r="A2924" s="24" t="s">
        <v>94</v>
      </c>
      <c r="B2924" s="24" t="s">
        <v>106</v>
      </c>
      <c r="C2924" s="32">
        <v>34.055</v>
      </c>
      <c r="D2924" s="28">
        <v>2.2222222222222223E-2</v>
      </c>
    </row>
    <row r="2925" spans="1:4" x14ac:dyDescent="0.25">
      <c r="A2925" s="24" t="s">
        <v>94</v>
      </c>
      <c r="B2925" s="24" t="s">
        <v>107</v>
      </c>
      <c r="C2925" s="32">
        <v>44.878999999999998</v>
      </c>
      <c r="D2925" s="28">
        <v>3.1944444444444449E-2</v>
      </c>
    </row>
    <row r="2926" spans="1:4" x14ac:dyDescent="0.25">
      <c r="A2926" s="24" t="s">
        <v>94</v>
      </c>
      <c r="B2926" s="24" t="s">
        <v>108</v>
      </c>
      <c r="C2926" s="32">
        <v>45.475999999999999</v>
      </c>
      <c r="D2926" s="28">
        <v>3.0555555555555555E-2</v>
      </c>
    </row>
    <row r="2927" spans="1:4" x14ac:dyDescent="0.25">
      <c r="A2927" s="24" t="s">
        <v>94</v>
      </c>
      <c r="B2927" s="24" t="s">
        <v>109</v>
      </c>
      <c r="C2927" s="32">
        <v>45.445999999999998</v>
      </c>
      <c r="D2927" s="28">
        <v>3.0555555555555555E-2</v>
      </c>
    </row>
    <row r="2928" spans="1:4" x14ac:dyDescent="0.25">
      <c r="A2928" s="24" t="s">
        <v>94</v>
      </c>
      <c r="B2928" s="24" t="s">
        <v>110</v>
      </c>
      <c r="C2928" s="32">
        <v>36.615000000000002</v>
      </c>
      <c r="D2928" s="28">
        <v>2.4999999999999998E-2</v>
      </c>
    </row>
    <row r="2929" spans="1:4" x14ac:dyDescent="0.25">
      <c r="A2929" s="24" t="s">
        <v>94</v>
      </c>
      <c r="B2929" s="24" t="s">
        <v>111</v>
      </c>
      <c r="C2929" s="32">
        <v>34.134</v>
      </c>
      <c r="D2929" s="28">
        <v>2.2222222222222223E-2</v>
      </c>
    </row>
    <row r="2930" spans="1:4" x14ac:dyDescent="0.25">
      <c r="A2930" s="24" t="s">
        <v>94</v>
      </c>
      <c r="B2930" s="24" t="s">
        <v>112</v>
      </c>
      <c r="C2930" s="32">
        <v>44.552999999999997</v>
      </c>
      <c r="D2930" s="28">
        <v>3.0555555555555555E-2</v>
      </c>
    </row>
    <row r="2931" spans="1:4" x14ac:dyDescent="0.25">
      <c r="A2931" s="24" t="s">
        <v>94</v>
      </c>
      <c r="B2931" s="24" t="s">
        <v>113</v>
      </c>
      <c r="C2931" s="32">
        <v>45.325000000000003</v>
      </c>
      <c r="D2931" s="28">
        <v>3.1944444444444449E-2</v>
      </c>
    </row>
    <row r="2932" spans="1:4" x14ac:dyDescent="0.25">
      <c r="A2932" s="24" t="s">
        <v>94</v>
      </c>
      <c r="B2932" s="24" t="s">
        <v>114</v>
      </c>
      <c r="C2932" s="32">
        <v>26.481000000000002</v>
      </c>
      <c r="D2932" s="28">
        <v>1.7361111111111112E-2</v>
      </c>
    </row>
    <row r="2933" spans="1:4" x14ac:dyDescent="0.25">
      <c r="A2933" s="24" t="s">
        <v>94</v>
      </c>
      <c r="B2933" s="24" t="s">
        <v>115</v>
      </c>
      <c r="C2933" s="32">
        <v>26.347999999999999</v>
      </c>
      <c r="D2933" s="28">
        <v>1.8055555555555557E-2</v>
      </c>
    </row>
    <row r="2934" spans="1:4" x14ac:dyDescent="0.25">
      <c r="A2934" s="24" t="s">
        <v>94</v>
      </c>
      <c r="B2934" s="24" t="s">
        <v>116</v>
      </c>
      <c r="C2934" s="32">
        <v>29.285</v>
      </c>
      <c r="D2934" s="28">
        <v>2.1527777777777781E-2</v>
      </c>
    </row>
    <row r="2935" spans="1:4" x14ac:dyDescent="0.25">
      <c r="A2935" s="24" t="s">
        <v>94</v>
      </c>
      <c r="B2935" s="24" t="s">
        <v>117</v>
      </c>
      <c r="C2935" s="32">
        <v>27.689</v>
      </c>
      <c r="D2935" s="28">
        <v>2.4305555555555556E-2</v>
      </c>
    </row>
    <row r="2936" spans="1:4" x14ac:dyDescent="0.25">
      <c r="A2936" s="24" t="s">
        <v>94</v>
      </c>
      <c r="B2936" s="24" t="s">
        <v>118</v>
      </c>
      <c r="C2936" s="32">
        <v>43.319000000000003</v>
      </c>
      <c r="D2936" s="28">
        <v>2.9166666666666664E-2</v>
      </c>
    </row>
    <row r="2937" spans="1:4" x14ac:dyDescent="0.25">
      <c r="A2937" s="24" t="s">
        <v>94</v>
      </c>
      <c r="B2937" s="24" t="s">
        <v>119</v>
      </c>
      <c r="C2937" s="32">
        <v>38.695</v>
      </c>
      <c r="D2937" s="28">
        <v>2.7777777777777776E-2</v>
      </c>
    </row>
    <row r="2938" spans="1:4" x14ac:dyDescent="0.25">
      <c r="A2938" s="24" t="s">
        <v>94</v>
      </c>
      <c r="B2938" s="24" t="s">
        <v>120</v>
      </c>
      <c r="C2938" s="32">
        <v>43.655999999999999</v>
      </c>
      <c r="D2938" s="28">
        <v>3.3333333333333333E-2</v>
      </c>
    </row>
    <row r="2939" spans="1:4" x14ac:dyDescent="0.25">
      <c r="A2939" s="24" t="s">
        <v>94</v>
      </c>
      <c r="B2939" s="24" t="s">
        <v>121</v>
      </c>
      <c r="C2939" s="32">
        <v>45.095999999999997</v>
      </c>
      <c r="D2939" s="28">
        <v>2.5694444444444447E-2</v>
      </c>
    </row>
    <row r="2940" spans="1:4" x14ac:dyDescent="0.25">
      <c r="A2940" s="24" t="s">
        <v>94</v>
      </c>
      <c r="B2940" s="24" t="s">
        <v>122</v>
      </c>
      <c r="C2940" s="32">
        <v>14.782999999999999</v>
      </c>
      <c r="D2940" s="28">
        <v>1.3888888888888888E-2</v>
      </c>
    </row>
    <row r="2941" spans="1:4" x14ac:dyDescent="0.25">
      <c r="A2941" s="24" t="s">
        <v>94</v>
      </c>
      <c r="B2941" s="24" t="s">
        <v>123</v>
      </c>
      <c r="C2941" s="32">
        <v>41.847000000000001</v>
      </c>
      <c r="D2941" s="28">
        <v>2.6388888888888889E-2</v>
      </c>
    </row>
    <row r="2942" spans="1:4" x14ac:dyDescent="0.25">
      <c r="A2942" s="24" t="s">
        <v>94</v>
      </c>
      <c r="B2942" s="24" t="s">
        <v>124</v>
      </c>
      <c r="C2942" s="32">
        <v>41.847000000000001</v>
      </c>
      <c r="D2942" s="28">
        <v>2.6388888888888889E-2</v>
      </c>
    </row>
    <row r="2943" spans="1:4" x14ac:dyDescent="0.25">
      <c r="A2943" s="24" t="s">
        <v>94</v>
      </c>
      <c r="B2943" s="24" t="s">
        <v>125</v>
      </c>
      <c r="C2943" s="32">
        <v>42.564</v>
      </c>
      <c r="D2943" s="28">
        <v>2.8472222222222222E-2</v>
      </c>
    </row>
    <row r="2944" spans="1:4" x14ac:dyDescent="0.25">
      <c r="A2944" s="24" t="s">
        <v>94</v>
      </c>
      <c r="B2944" s="24" t="s">
        <v>126</v>
      </c>
      <c r="C2944" s="32">
        <v>42.302</v>
      </c>
      <c r="D2944" s="28">
        <v>2.7777777777777776E-2</v>
      </c>
    </row>
    <row r="2945" spans="1:4" x14ac:dyDescent="0.25">
      <c r="A2945" s="24" t="s">
        <v>94</v>
      </c>
      <c r="B2945" s="24" t="s">
        <v>127</v>
      </c>
      <c r="C2945" s="32">
        <v>40.674999999999997</v>
      </c>
      <c r="D2945" s="28">
        <v>2.7777777777777776E-2</v>
      </c>
    </row>
    <row r="2946" spans="1:4" x14ac:dyDescent="0.25">
      <c r="A2946" s="24" t="s">
        <v>94</v>
      </c>
      <c r="B2946" s="24" t="s">
        <v>128</v>
      </c>
      <c r="C2946" s="32">
        <v>41.375</v>
      </c>
      <c r="D2946" s="28">
        <v>2.6388888888888889E-2</v>
      </c>
    </row>
    <row r="2947" spans="1:4" x14ac:dyDescent="0.25">
      <c r="A2947" s="24" t="s">
        <v>94</v>
      </c>
      <c r="B2947" s="24" t="s">
        <v>129</v>
      </c>
      <c r="C2947" s="32">
        <v>41.375</v>
      </c>
      <c r="D2947" s="28">
        <v>2.6388888888888889E-2</v>
      </c>
    </row>
    <row r="2948" spans="1:4" x14ac:dyDescent="0.25">
      <c r="A2948" s="24" t="s">
        <v>94</v>
      </c>
      <c r="B2948" s="24" t="s">
        <v>130</v>
      </c>
      <c r="C2948" s="32">
        <v>40.753999999999998</v>
      </c>
      <c r="D2948" s="28">
        <v>2.8472222222222222E-2</v>
      </c>
    </row>
    <row r="2949" spans="1:4" x14ac:dyDescent="0.25">
      <c r="A2949" s="24" t="s">
        <v>94</v>
      </c>
      <c r="B2949" s="24" t="s">
        <v>131</v>
      </c>
      <c r="C2949" s="32">
        <v>39.667000000000002</v>
      </c>
      <c r="D2949" s="28">
        <v>2.8472222222222222E-2</v>
      </c>
    </row>
    <row r="2950" spans="1:4" x14ac:dyDescent="0.25">
      <c r="A2950" s="24" t="s">
        <v>94</v>
      </c>
      <c r="B2950" s="24" t="s">
        <v>132</v>
      </c>
      <c r="C2950" s="32">
        <v>47.671999999999997</v>
      </c>
      <c r="D2950" s="28">
        <v>3.2638888888888891E-2</v>
      </c>
    </row>
    <row r="2951" spans="1:4" x14ac:dyDescent="0.25">
      <c r="A2951" s="24" t="s">
        <v>94</v>
      </c>
      <c r="B2951" s="24" t="s">
        <v>133</v>
      </c>
      <c r="C2951" s="32">
        <v>44.798000000000002</v>
      </c>
      <c r="D2951" s="28">
        <v>3.5416666666666666E-2</v>
      </c>
    </row>
    <row r="2952" spans="1:4" x14ac:dyDescent="0.25">
      <c r="A2952" s="24" t="s">
        <v>94</v>
      </c>
      <c r="B2952" s="24" t="s">
        <v>134</v>
      </c>
      <c r="C2952" s="32">
        <v>44.332000000000001</v>
      </c>
      <c r="D2952" s="28">
        <v>3.4722222222222224E-2</v>
      </c>
    </row>
    <row r="2953" spans="1:4" x14ac:dyDescent="0.25">
      <c r="A2953" s="24" t="s">
        <v>94</v>
      </c>
      <c r="B2953" s="24" t="s">
        <v>135</v>
      </c>
      <c r="C2953" s="32">
        <v>45.662999999999997</v>
      </c>
      <c r="D2953" s="28">
        <v>3.5416666666666666E-2</v>
      </c>
    </row>
    <row r="2954" spans="1:4" x14ac:dyDescent="0.25">
      <c r="A2954" s="24" t="s">
        <v>94</v>
      </c>
      <c r="B2954" s="24" t="s">
        <v>136</v>
      </c>
      <c r="C2954" s="32">
        <v>45.662999999999997</v>
      </c>
      <c r="D2954" s="28">
        <v>3.5416666666666666E-2</v>
      </c>
    </row>
    <row r="2955" spans="1:4" x14ac:dyDescent="0.25">
      <c r="A2955" s="24" t="s">
        <v>94</v>
      </c>
      <c r="B2955" s="24" t="s">
        <v>137</v>
      </c>
      <c r="C2955" s="32">
        <v>45.875999999999998</v>
      </c>
      <c r="D2955" s="28">
        <v>3.6111111111111115E-2</v>
      </c>
    </row>
    <row r="2956" spans="1:4" x14ac:dyDescent="0.25">
      <c r="A2956" s="24" t="s">
        <v>94</v>
      </c>
      <c r="B2956" s="24" t="s">
        <v>138</v>
      </c>
      <c r="C2956" s="32">
        <v>53.122</v>
      </c>
      <c r="D2956" s="28">
        <v>3.6805555555555557E-2</v>
      </c>
    </row>
    <row r="2957" spans="1:4" x14ac:dyDescent="0.25">
      <c r="A2957" s="24" t="s">
        <v>94</v>
      </c>
      <c r="B2957" s="24" t="s">
        <v>139</v>
      </c>
      <c r="C2957" s="32">
        <v>61.21</v>
      </c>
      <c r="D2957" s="28">
        <v>3.6805555555555557E-2</v>
      </c>
    </row>
    <row r="2958" spans="1:4" x14ac:dyDescent="0.25">
      <c r="A2958" s="24" t="s">
        <v>94</v>
      </c>
      <c r="B2958" s="24" t="s">
        <v>140</v>
      </c>
      <c r="C2958" s="32">
        <v>67.849999999999994</v>
      </c>
      <c r="D2958" s="28">
        <v>3.9583333333333331E-2</v>
      </c>
    </row>
    <row r="2959" spans="1:4" x14ac:dyDescent="0.25">
      <c r="A2959" s="24" t="s">
        <v>94</v>
      </c>
      <c r="B2959" s="24" t="s">
        <v>141</v>
      </c>
      <c r="C2959" s="32">
        <v>85.921000000000006</v>
      </c>
      <c r="D2959" s="28">
        <v>5.6250000000000001E-2</v>
      </c>
    </row>
    <row r="2960" spans="1:4" x14ac:dyDescent="0.25">
      <c r="A2960" s="24" t="s">
        <v>94</v>
      </c>
      <c r="B2960" s="24" t="s">
        <v>142</v>
      </c>
      <c r="C2960" s="32">
        <v>84.009</v>
      </c>
      <c r="D2960" s="28">
        <v>4.8611111111111112E-2</v>
      </c>
    </row>
    <row r="2961" spans="1:4" x14ac:dyDescent="0.25">
      <c r="A2961" s="24" t="s">
        <v>94</v>
      </c>
      <c r="B2961" s="24" t="s">
        <v>143</v>
      </c>
      <c r="C2961" s="32">
        <v>102.387</v>
      </c>
      <c r="D2961" s="28">
        <v>5.6250000000000001E-2</v>
      </c>
    </row>
    <row r="2962" spans="1:4" x14ac:dyDescent="0.25">
      <c r="A2962" s="24" t="s">
        <v>94</v>
      </c>
      <c r="B2962" s="24" t="s">
        <v>144</v>
      </c>
      <c r="C2962" s="32">
        <v>121.503</v>
      </c>
      <c r="D2962" s="28">
        <v>6.6666666666666666E-2</v>
      </c>
    </row>
    <row r="2963" spans="1:4" x14ac:dyDescent="0.25">
      <c r="A2963" s="24" t="s">
        <v>94</v>
      </c>
      <c r="B2963" s="24" t="s">
        <v>145</v>
      </c>
      <c r="C2963" s="32">
        <v>66.016999999999996</v>
      </c>
      <c r="D2963" s="28">
        <v>4.1666666666666664E-2</v>
      </c>
    </row>
    <row r="2964" spans="1:4" x14ac:dyDescent="0.25">
      <c r="A2964" s="24" t="s">
        <v>94</v>
      </c>
      <c r="B2964" s="24" t="s">
        <v>146</v>
      </c>
      <c r="C2964" s="32">
        <v>81.475999999999999</v>
      </c>
      <c r="D2964" s="28">
        <v>4.9305555555555554E-2</v>
      </c>
    </row>
    <row r="2965" spans="1:4" x14ac:dyDescent="0.25">
      <c r="A2965" s="24" t="s">
        <v>94</v>
      </c>
      <c r="B2965" s="24" t="s">
        <v>147</v>
      </c>
      <c r="C2965" s="32">
        <v>34.207999999999998</v>
      </c>
      <c r="D2965" s="28">
        <v>2.1527777777777781E-2</v>
      </c>
    </row>
    <row r="2966" spans="1:4" x14ac:dyDescent="0.25">
      <c r="A2966" s="24" t="s">
        <v>94</v>
      </c>
      <c r="B2966" s="24" t="s">
        <v>148</v>
      </c>
      <c r="C2966" s="32">
        <v>37.281999999999996</v>
      </c>
      <c r="D2966" s="28">
        <v>2.361111111111111E-2</v>
      </c>
    </row>
    <row r="2967" spans="1:4" x14ac:dyDescent="0.25">
      <c r="A2967" s="24" t="s">
        <v>94</v>
      </c>
      <c r="B2967" s="24" t="s">
        <v>149</v>
      </c>
      <c r="C2967" s="32">
        <v>47.777999999999999</v>
      </c>
      <c r="D2967" s="28">
        <v>3.2638888888888891E-2</v>
      </c>
    </row>
    <row r="2968" spans="1:4" x14ac:dyDescent="0.25">
      <c r="A2968" s="24" t="s">
        <v>94</v>
      </c>
      <c r="B2968" s="24" t="s">
        <v>150</v>
      </c>
      <c r="C2968" s="32">
        <v>57.265000000000001</v>
      </c>
      <c r="D2968" s="28">
        <v>4.1666666666666664E-2</v>
      </c>
    </row>
    <row r="2969" spans="1:4" x14ac:dyDescent="0.25">
      <c r="A2969" s="24" t="s">
        <v>94</v>
      </c>
      <c r="B2969" s="24" t="s">
        <v>151</v>
      </c>
      <c r="C2969" s="32">
        <v>56.523000000000003</v>
      </c>
      <c r="D2969" s="28">
        <v>4.1666666666666664E-2</v>
      </c>
    </row>
    <row r="2970" spans="1:4" x14ac:dyDescent="0.25">
      <c r="A2970" s="24" t="s">
        <v>94</v>
      </c>
      <c r="B2970" s="24" t="s">
        <v>152</v>
      </c>
      <c r="C2970" s="32">
        <v>58.341999999999999</v>
      </c>
      <c r="D2970" s="28">
        <v>4.5138888888888888E-2</v>
      </c>
    </row>
    <row r="2971" spans="1:4" x14ac:dyDescent="0.25">
      <c r="A2971" s="24" t="s">
        <v>94</v>
      </c>
      <c r="B2971" s="24" t="s">
        <v>153</v>
      </c>
      <c r="C2971" s="32">
        <v>62.869</v>
      </c>
      <c r="D2971" s="28">
        <v>5.1388888888888894E-2</v>
      </c>
    </row>
    <row r="2972" spans="1:4" x14ac:dyDescent="0.25">
      <c r="A2972" s="24" t="s">
        <v>94</v>
      </c>
      <c r="B2972" s="24" t="s">
        <v>154</v>
      </c>
      <c r="C2972" s="32">
        <v>57.677999999999997</v>
      </c>
      <c r="D2972" s="28">
        <v>4.5138888888888888E-2</v>
      </c>
    </row>
    <row r="2973" spans="1:4" x14ac:dyDescent="0.25">
      <c r="A2973" s="24" t="s">
        <v>94</v>
      </c>
      <c r="B2973" s="24" t="s">
        <v>155</v>
      </c>
      <c r="C2973" s="32">
        <v>57.127000000000002</v>
      </c>
      <c r="D2973" s="28">
        <v>4.1666666666666664E-2</v>
      </c>
    </row>
    <row r="2974" spans="1:4" x14ac:dyDescent="0.25">
      <c r="A2974" s="24" t="s">
        <v>94</v>
      </c>
      <c r="B2974" s="24" t="s">
        <v>156</v>
      </c>
      <c r="C2974" s="32">
        <v>57.110999999999997</v>
      </c>
      <c r="D2974" s="28">
        <v>4.1666666666666664E-2</v>
      </c>
    </row>
    <row r="2975" spans="1:4" x14ac:dyDescent="0.25">
      <c r="A2975" s="24" t="s">
        <v>94</v>
      </c>
      <c r="B2975" s="24" t="s">
        <v>157</v>
      </c>
      <c r="C2975" s="32">
        <v>51.392000000000003</v>
      </c>
      <c r="D2975" s="28">
        <v>3.8194444444444441E-2</v>
      </c>
    </row>
    <row r="2976" spans="1:4" x14ac:dyDescent="0.25">
      <c r="A2976" s="24" t="s">
        <v>94</v>
      </c>
      <c r="B2976" s="24" t="s">
        <v>158</v>
      </c>
      <c r="C2976" s="32">
        <v>65.962999999999994</v>
      </c>
      <c r="D2976" s="28">
        <v>4.7916666666666663E-2</v>
      </c>
    </row>
    <row r="2977" spans="1:4" x14ac:dyDescent="0.25">
      <c r="A2977" s="24" t="s">
        <v>94</v>
      </c>
      <c r="B2977" s="24" t="s">
        <v>159</v>
      </c>
      <c r="C2977" s="32">
        <v>54.951999999999998</v>
      </c>
      <c r="D2977" s="28">
        <v>4.7222222222222221E-2</v>
      </c>
    </row>
    <row r="2978" spans="1:4" x14ac:dyDescent="0.25">
      <c r="A2978" s="24" t="s">
        <v>95</v>
      </c>
      <c r="B2978" s="24" t="s">
        <v>65</v>
      </c>
      <c r="C2978" s="32">
        <v>7.8220000000000001</v>
      </c>
      <c r="D2978" s="28">
        <v>6.9444444444444441E-3</v>
      </c>
    </row>
    <row r="2979" spans="1:4" x14ac:dyDescent="0.25">
      <c r="A2979" s="24" t="s">
        <v>95</v>
      </c>
      <c r="B2979" s="24" t="s">
        <v>64</v>
      </c>
      <c r="C2979" s="32">
        <v>25.707000000000001</v>
      </c>
      <c r="D2979" s="28">
        <v>1.9444444444444445E-2</v>
      </c>
    </row>
    <row r="2980" spans="1:4" x14ac:dyDescent="0.25">
      <c r="A2980" s="24" t="s">
        <v>95</v>
      </c>
      <c r="B2980" s="24" t="s">
        <v>66</v>
      </c>
      <c r="C2980" s="32">
        <v>32.054000000000002</v>
      </c>
      <c r="D2980" s="28">
        <v>2.6388888888888889E-2</v>
      </c>
    </row>
    <row r="2981" spans="1:4" x14ac:dyDescent="0.25">
      <c r="A2981" s="24" t="s">
        <v>95</v>
      </c>
      <c r="B2981" s="24" t="s">
        <v>67</v>
      </c>
      <c r="C2981" s="32">
        <v>29.297999999999998</v>
      </c>
      <c r="D2981" s="28">
        <v>2.6388888888888889E-2</v>
      </c>
    </row>
    <row r="2982" spans="1:4" x14ac:dyDescent="0.25">
      <c r="A2982" s="24" t="s">
        <v>95</v>
      </c>
      <c r="B2982" s="24" t="s">
        <v>68</v>
      </c>
      <c r="C2982" s="32">
        <v>31.603000000000002</v>
      </c>
      <c r="D2982" s="28">
        <v>2.7083333333333334E-2</v>
      </c>
    </row>
    <row r="2983" spans="1:4" x14ac:dyDescent="0.25">
      <c r="A2983" s="24" t="s">
        <v>95</v>
      </c>
      <c r="B2983" s="24" t="s">
        <v>69</v>
      </c>
      <c r="C2983" s="32">
        <v>30.611000000000001</v>
      </c>
      <c r="D2983" s="28">
        <v>2.5694444444444447E-2</v>
      </c>
    </row>
    <row r="2984" spans="1:4" x14ac:dyDescent="0.25">
      <c r="A2984" s="24" t="s">
        <v>95</v>
      </c>
      <c r="B2984" s="24" t="s">
        <v>70</v>
      </c>
      <c r="C2984" s="32">
        <v>30.995000000000001</v>
      </c>
      <c r="D2984" s="28">
        <v>2.6388888888888889E-2</v>
      </c>
    </row>
    <row r="2985" spans="1:4" x14ac:dyDescent="0.25">
      <c r="A2985" s="24" t="s">
        <v>95</v>
      </c>
      <c r="B2985" s="24" t="s">
        <v>71</v>
      </c>
      <c r="C2985" s="32">
        <v>30.433</v>
      </c>
      <c r="D2985" s="28">
        <v>2.6388888888888889E-2</v>
      </c>
    </row>
    <row r="2986" spans="1:4" x14ac:dyDescent="0.25">
      <c r="A2986" s="24" t="s">
        <v>95</v>
      </c>
      <c r="B2986" s="24" t="s">
        <v>72</v>
      </c>
      <c r="C2986" s="32">
        <v>30.530999999999999</v>
      </c>
      <c r="D2986" s="28">
        <v>2.8472222222222222E-2</v>
      </c>
    </row>
    <row r="2987" spans="1:4" x14ac:dyDescent="0.25">
      <c r="A2987" s="24" t="s">
        <v>95</v>
      </c>
      <c r="B2987" s="24" t="s">
        <v>73</v>
      </c>
      <c r="C2987" s="32">
        <v>29.059000000000001</v>
      </c>
      <c r="D2987" s="28">
        <v>2.6388888888888889E-2</v>
      </c>
    </row>
    <row r="2988" spans="1:4" x14ac:dyDescent="0.25">
      <c r="A2988" s="24" t="s">
        <v>95</v>
      </c>
      <c r="B2988" s="24" t="s">
        <v>74</v>
      </c>
      <c r="C2988" s="32">
        <v>32.862000000000002</v>
      </c>
      <c r="D2988" s="28">
        <v>2.8472222222222222E-2</v>
      </c>
    </row>
    <row r="2989" spans="1:4" x14ac:dyDescent="0.25">
      <c r="A2989" s="24" t="s">
        <v>95</v>
      </c>
      <c r="B2989" s="24" t="s">
        <v>75</v>
      </c>
      <c r="C2989" s="32">
        <v>31.898</v>
      </c>
      <c r="D2989" s="28">
        <v>2.7083333333333334E-2</v>
      </c>
    </row>
    <row r="2990" spans="1:4" x14ac:dyDescent="0.25">
      <c r="A2990" s="24" t="s">
        <v>95</v>
      </c>
      <c r="B2990" s="24" t="s">
        <v>76</v>
      </c>
      <c r="C2990" s="32">
        <v>35.619999999999997</v>
      </c>
      <c r="D2990" s="28">
        <v>2.9166666666666664E-2</v>
      </c>
    </row>
    <row r="2991" spans="1:4" x14ac:dyDescent="0.25">
      <c r="A2991" s="24" t="s">
        <v>95</v>
      </c>
      <c r="B2991" s="24" t="s">
        <v>77</v>
      </c>
      <c r="C2991" s="32">
        <v>36.210999999999999</v>
      </c>
      <c r="D2991" s="28">
        <v>3.2638888888888891E-2</v>
      </c>
    </row>
    <row r="2992" spans="1:4" x14ac:dyDescent="0.25">
      <c r="A2992" s="24" t="s">
        <v>95</v>
      </c>
      <c r="B2992" s="24" t="s">
        <v>78</v>
      </c>
      <c r="C2992" s="32">
        <v>35.051000000000002</v>
      </c>
      <c r="D2992" s="28">
        <v>2.9166666666666664E-2</v>
      </c>
    </row>
    <row r="2993" spans="1:4" x14ac:dyDescent="0.25">
      <c r="A2993" s="24" t="s">
        <v>95</v>
      </c>
      <c r="B2993" s="24" t="s">
        <v>79</v>
      </c>
      <c r="C2993" s="32">
        <v>47.939</v>
      </c>
      <c r="D2993" s="28">
        <v>4.5138888888888888E-2</v>
      </c>
    </row>
    <row r="2994" spans="1:4" x14ac:dyDescent="0.25">
      <c r="A2994" s="24" t="s">
        <v>95</v>
      </c>
      <c r="B2994" s="24" t="s">
        <v>80</v>
      </c>
      <c r="C2994" s="32">
        <v>5.8220000000000001</v>
      </c>
      <c r="D2994" s="28">
        <v>5.5555555555555558E-3</v>
      </c>
    </row>
    <row r="2995" spans="1:4" x14ac:dyDescent="0.25">
      <c r="A2995" s="24" t="s">
        <v>95</v>
      </c>
      <c r="B2995" s="24" t="s">
        <v>81</v>
      </c>
      <c r="C2995" s="32">
        <v>6.5519999999999996</v>
      </c>
      <c r="D2995" s="28">
        <v>5.5555555555555558E-3</v>
      </c>
    </row>
    <row r="2996" spans="1:4" x14ac:dyDescent="0.25">
      <c r="A2996" s="24" t="s">
        <v>95</v>
      </c>
      <c r="B2996" s="24" t="s">
        <v>82</v>
      </c>
      <c r="C2996" s="32">
        <v>6.6040000000000001</v>
      </c>
      <c r="D2996" s="28">
        <v>6.2499999999999995E-3</v>
      </c>
    </row>
    <row r="2997" spans="1:4" x14ac:dyDescent="0.25">
      <c r="A2997" s="24" t="s">
        <v>95</v>
      </c>
      <c r="B2997" s="24" t="s">
        <v>83</v>
      </c>
      <c r="C2997" s="32">
        <v>23.484999999999999</v>
      </c>
      <c r="D2997" s="28">
        <v>1.8055555555555557E-2</v>
      </c>
    </row>
    <row r="2998" spans="1:4" x14ac:dyDescent="0.25">
      <c r="A2998" s="24" t="s">
        <v>95</v>
      </c>
      <c r="B2998" s="24" t="s">
        <v>84</v>
      </c>
      <c r="C2998" s="32">
        <v>22.16</v>
      </c>
      <c r="D2998" s="28">
        <v>2.4305555555555556E-2</v>
      </c>
    </row>
    <row r="2999" spans="1:4" x14ac:dyDescent="0.25">
      <c r="A2999" s="24" t="s">
        <v>95</v>
      </c>
      <c r="B2999" s="24" t="s">
        <v>85</v>
      </c>
      <c r="C2999" s="32">
        <v>21.120999999999999</v>
      </c>
      <c r="D2999" s="28">
        <v>2.361111111111111E-2</v>
      </c>
    </row>
    <row r="3000" spans="1:4" x14ac:dyDescent="0.25">
      <c r="A3000" s="24" t="s">
        <v>95</v>
      </c>
      <c r="B3000" s="24" t="s">
        <v>86</v>
      </c>
      <c r="C3000" s="32">
        <v>18.747</v>
      </c>
      <c r="D3000" s="28">
        <v>2.0833333333333332E-2</v>
      </c>
    </row>
    <row r="3001" spans="1:4" x14ac:dyDescent="0.25">
      <c r="A3001" s="24" t="s">
        <v>95</v>
      </c>
      <c r="B3001" s="24" t="s">
        <v>87</v>
      </c>
      <c r="C3001" s="32">
        <v>18.524999999999999</v>
      </c>
      <c r="D3001" s="28">
        <v>2.013888888888889E-2</v>
      </c>
    </row>
    <row r="3002" spans="1:4" x14ac:dyDescent="0.25">
      <c r="A3002" s="24" t="s">
        <v>95</v>
      </c>
      <c r="B3002" s="24" t="s">
        <v>88</v>
      </c>
      <c r="C3002" s="32">
        <v>17.521999999999998</v>
      </c>
      <c r="D3002" s="28">
        <v>1.9444444444444445E-2</v>
      </c>
    </row>
    <row r="3003" spans="1:4" x14ac:dyDescent="0.25">
      <c r="A3003" s="24" t="s">
        <v>95</v>
      </c>
      <c r="B3003" s="24" t="s">
        <v>89</v>
      </c>
      <c r="C3003" s="32">
        <v>13.146000000000001</v>
      </c>
      <c r="D3003" s="28">
        <v>1.4583333333333332E-2</v>
      </c>
    </row>
    <row r="3004" spans="1:4" x14ac:dyDescent="0.25">
      <c r="A3004" s="24" t="s">
        <v>95</v>
      </c>
      <c r="B3004" s="24" t="s">
        <v>90</v>
      </c>
      <c r="C3004" s="32">
        <v>9.5239999999999991</v>
      </c>
      <c r="D3004" s="28">
        <v>9.0277777777777787E-3</v>
      </c>
    </row>
    <row r="3005" spans="1:4" x14ac:dyDescent="0.25">
      <c r="A3005" s="24" t="s">
        <v>95</v>
      </c>
      <c r="B3005" s="24" t="s">
        <v>91</v>
      </c>
      <c r="C3005" s="32">
        <v>15.59</v>
      </c>
      <c r="D3005" s="28">
        <v>1.6666666666666666E-2</v>
      </c>
    </row>
    <row r="3006" spans="1:4" x14ac:dyDescent="0.25">
      <c r="A3006" s="24" t="s">
        <v>95</v>
      </c>
      <c r="B3006" s="24" t="s">
        <v>92</v>
      </c>
      <c r="C3006" s="32">
        <v>8.2370000000000001</v>
      </c>
      <c r="D3006" s="28">
        <v>9.0277777777777787E-3</v>
      </c>
    </row>
    <row r="3007" spans="1:4" x14ac:dyDescent="0.25">
      <c r="A3007" s="24" t="s">
        <v>95</v>
      </c>
      <c r="B3007" s="24" t="s">
        <v>93</v>
      </c>
      <c r="C3007" s="32">
        <v>26.350999999999999</v>
      </c>
      <c r="D3007" s="28">
        <v>1.9444444444444445E-2</v>
      </c>
    </row>
    <row r="3008" spans="1:4" x14ac:dyDescent="0.25">
      <c r="A3008" s="24" t="s">
        <v>95</v>
      </c>
      <c r="B3008" s="24" t="s">
        <v>94</v>
      </c>
      <c r="C3008" s="32">
        <v>26.98</v>
      </c>
      <c r="D3008" s="28">
        <v>1.9444444444444445E-2</v>
      </c>
    </row>
    <row r="3009" spans="1:4" x14ac:dyDescent="0.25">
      <c r="A3009" s="24" t="s">
        <v>95</v>
      </c>
      <c r="B3009" s="24" t="s">
        <v>95</v>
      </c>
      <c r="C3009" s="32">
        <v>0</v>
      </c>
      <c r="D3009" s="28">
        <v>0</v>
      </c>
    </row>
    <row r="3010" spans="1:4" x14ac:dyDescent="0.25">
      <c r="A3010" s="24" t="s">
        <v>95</v>
      </c>
      <c r="B3010" s="24" t="s">
        <v>96</v>
      </c>
      <c r="C3010" s="32">
        <v>27.774000000000001</v>
      </c>
      <c r="D3010" s="28">
        <v>2.0833333333333332E-2</v>
      </c>
    </row>
    <row r="3011" spans="1:4" x14ac:dyDescent="0.25">
      <c r="A3011" s="24" t="s">
        <v>95</v>
      </c>
      <c r="B3011" s="24" t="s">
        <v>97</v>
      </c>
      <c r="C3011" s="32">
        <v>26.692</v>
      </c>
      <c r="D3011" s="28">
        <v>2.1527777777777781E-2</v>
      </c>
    </row>
    <row r="3012" spans="1:4" x14ac:dyDescent="0.25">
      <c r="A3012" s="24" t="s">
        <v>95</v>
      </c>
      <c r="B3012" s="24" t="s">
        <v>98</v>
      </c>
      <c r="C3012" s="32">
        <v>16.553999999999998</v>
      </c>
      <c r="D3012" s="28">
        <v>1.3194444444444444E-2</v>
      </c>
    </row>
    <row r="3013" spans="1:4" x14ac:dyDescent="0.25">
      <c r="A3013" s="24" t="s">
        <v>95</v>
      </c>
      <c r="B3013" s="24" t="s">
        <v>99</v>
      </c>
      <c r="C3013" s="32">
        <v>23.052</v>
      </c>
      <c r="D3013" s="28">
        <v>1.8055555555555557E-2</v>
      </c>
    </row>
    <row r="3014" spans="1:4" x14ac:dyDescent="0.25">
      <c r="A3014" s="24" t="s">
        <v>95</v>
      </c>
      <c r="B3014" s="24" t="s">
        <v>100</v>
      </c>
      <c r="C3014" s="32">
        <v>12.62</v>
      </c>
      <c r="D3014" s="28">
        <v>1.0416666666666666E-2</v>
      </c>
    </row>
    <row r="3015" spans="1:4" x14ac:dyDescent="0.25">
      <c r="A3015" s="24" t="s">
        <v>95</v>
      </c>
      <c r="B3015" s="24" t="s">
        <v>101</v>
      </c>
      <c r="C3015" s="32">
        <v>18.25</v>
      </c>
      <c r="D3015" s="28">
        <v>1.5277777777777777E-2</v>
      </c>
    </row>
    <row r="3016" spans="1:4" x14ac:dyDescent="0.25">
      <c r="A3016" s="24" t="s">
        <v>95</v>
      </c>
      <c r="B3016" s="24" t="s">
        <v>102</v>
      </c>
      <c r="C3016" s="32">
        <v>18.754999999999999</v>
      </c>
      <c r="D3016" s="28">
        <v>1.6666666666666666E-2</v>
      </c>
    </row>
    <row r="3017" spans="1:4" x14ac:dyDescent="0.25">
      <c r="A3017" s="24" t="s">
        <v>95</v>
      </c>
      <c r="B3017" s="24" t="s">
        <v>103</v>
      </c>
      <c r="C3017" s="32">
        <v>16.850999999999999</v>
      </c>
      <c r="D3017" s="28">
        <v>1.2499999999999999E-2</v>
      </c>
    </row>
    <row r="3018" spans="1:4" x14ac:dyDescent="0.25">
      <c r="A3018" s="24" t="s">
        <v>95</v>
      </c>
      <c r="B3018" s="24" t="s">
        <v>104</v>
      </c>
      <c r="C3018" s="32">
        <v>13.911</v>
      </c>
      <c r="D3018" s="28">
        <v>1.1111111111111112E-2</v>
      </c>
    </row>
    <row r="3019" spans="1:4" x14ac:dyDescent="0.25">
      <c r="A3019" s="24" t="s">
        <v>95</v>
      </c>
      <c r="B3019" s="24" t="s">
        <v>105</v>
      </c>
      <c r="C3019" s="32">
        <v>12.791</v>
      </c>
      <c r="D3019" s="28">
        <v>1.5972222222222224E-2</v>
      </c>
    </row>
    <row r="3020" spans="1:4" x14ac:dyDescent="0.25">
      <c r="A3020" s="24" t="s">
        <v>95</v>
      </c>
      <c r="B3020" s="24" t="s">
        <v>106</v>
      </c>
      <c r="C3020" s="32">
        <v>18.53</v>
      </c>
      <c r="D3020" s="28">
        <v>1.3194444444444444E-2</v>
      </c>
    </row>
    <row r="3021" spans="1:4" x14ac:dyDescent="0.25">
      <c r="A3021" s="24" t="s">
        <v>95</v>
      </c>
      <c r="B3021" s="24" t="s">
        <v>107</v>
      </c>
      <c r="C3021" s="32">
        <v>17.925999999999998</v>
      </c>
      <c r="D3021" s="28">
        <v>1.8055555555555557E-2</v>
      </c>
    </row>
    <row r="3022" spans="1:4" x14ac:dyDescent="0.25">
      <c r="A3022" s="24" t="s">
        <v>95</v>
      </c>
      <c r="B3022" s="24" t="s">
        <v>108</v>
      </c>
      <c r="C3022" s="32">
        <v>18.523</v>
      </c>
      <c r="D3022" s="28">
        <v>1.6666666666666666E-2</v>
      </c>
    </row>
    <row r="3023" spans="1:4" x14ac:dyDescent="0.25">
      <c r="A3023" s="24" t="s">
        <v>95</v>
      </c>
      <c r="B3023" s="24" t="s">
        <v>109</v>
      </c>
      <c r="C3023" s="32">
        <v>18.492999999999999</v>
      </c>
      <c r="D3023" s="28">
        <v>1.6666666666666666E-2</v>
      </c>
    </row>
    <row r="3024" spans="1:4" x14ac:dyDescent="0.25">
      <c r="A3024" s="24" t="s">
        <v>95</v>
      </c>
      <c r="B3024" s="24" t="s">
        <v>110</v>
      </c>
      <c r="C3024" s="32">
        <v>16.489999999999998</v>
      </c>
      <c r="D3024" s="28">
        <v>1.5277777777777777E-2</v>
      </c>
    </row>
    <row r="3025" spans="1:4" x14ac:dyDescent="0.25">
      <c r="A3025" s="24" t="s">
        <v>95</v>
      </c>
      <c r="B3025" s="24" t="s">
        <v>111</v>
      </c>
      <c r="C3025" s="32">
        <v>12.944000000000001</v>
      </c>
      <c r="D3025" s="28">
        <v>1.1111111111111112E-2</v>
      </c>
    </row>
    <row r="3026" spans="1:4" x14ac:dyDescent="0.25">
      <c r="A3026" s="24" t="s">
        <v>95</v>
      </c>
      <c r="B3026" s="24" t="s">
        <v>112</v>
      </c>
      <c r="C3026" s="32">
        <v>17.600000000000001</v>
      </c>
      <c r="D3026" s="28">
        <v>1.5972222222222224E-2</v>
      </c>
    </row>
    <row r="3027" spans="1:4" x14ac:dyDescent="0.25">
      <c r="A3027" s="24" t="s">
        <v>95</v>
      </c>
      <c r="B3027" s="24" t="s">
        <v>113</v>
      </c>
      <c r="C3027" s="32">
        <v>21.224</v>
      </c>
      <c r="D3027" s="28">
        <v>1.8749999999999999E-2</v>
      </c>
    </row>
    <row r="3028" spans="1:4" x14ac:dyDescent="0.25">
      <c r="A3028" s="24" t="s">
        <v>95</v>
      </c>
      <c r="B3028" s="24" t="s">
        <v>114</v>
      </c>
      <c r="C3028" s="32">
        <v>10.956</v>
      </c>
      <c r="D3028" s="28">
        <v>8.3333333333333332E-3</v>
      </c>
    </row>
    <row r="3029" spans="1:4" x14ac:dyDescent="0.25">
      <c r="A3029" s="24" t="s">
        <v>95</v>
      </c>
      <c r="B3029" s="24" t="s">
        <v>115</v>
      </c>
      <c r="C3029" s="32">
        <v>10.807</v>
      </c>
      <c r="D3029" s="28">
        <v>9.0277777777777787E-3</v>
      </c>
    </row>
    <row r="3030" spans="1:4" x14ac:dyDescent="0.25">
      <c r="A3030" s="24" t="s">
        <v>95</v>
      </c>
      <c r="B3030" s="24" t="s">
        <v>116</v>
      </c>
      <c r="C3030" s="32">
        <v>8.9350000000000005</v>
      </c>
      <c r="D3030" s="28">
        <v>8.3333333333333332E-3</v>
      </c>
    </row>
    <row r="3031" spans="1:4" x14ac:dyDescent="0.25">
      <c r="A3031" s="24" t="s">
        <v>95</v>
      </c>
      <c r="B3031" s="24" t="s">
        <v>117</v>
      </c>
      <c r="C3031" s="32">
        <v>2.5179999999999998</v>
      </c>
      <c r="D3031" s="28">
        <v>4.1666666666666666E-3</v>
      </c>
    </row>
    <row r="3032" spans="1:4" x14ac:dyDescent="0.25">
      <c r="A3032" s="24" t="s">
        <v>95</v>
      </c>
      <c r="B3032" s="24" t="s">
        <v>118</v>
      </c>
      <c r="C3032" s="32">
        <v>16.366</v>
      </c>
      <c r="D3032" s="28">
        <v>1.5277777777777777E-2</v>
      </c>
    </row>
    <row r="3033" spans="1:4" x14ac:dyDescent="0.25">
      <c r="A3033" s="24" t="s">
        <v>95</v>
      </c>
      <c r="B3033" s="24" t="s">
        <v>119</v>
      </c>
      <c r="C3033" s="32">
        <v>20.966000000000001</v>
      </c>
      <c r="D3033" s="28">
        <v>1.5277777777777777E-2</v>
      </c>
    </row>
    <row r="3034" spans="1:4" x14ac:dyDescent="0.25">
      <c r="A3034" s="24" t="s">
        <v>95</v>
      </c>
      <c r="B3034" s="24" t="s">
        <v>120</v>
      </c>
      <c r="C3034" s="32">
        <v>25.927</v>
      </c>
      <c r="D3034" s="28">
        <v>2.013888888888889E-2</v>
      </c>
    </row>
    <row r="3035" spans="1:4" x14ac:dyDescent="0.25">
      <c r="A3035" s="24" t="s">
        <v>95</v>
      </c>
      <c r="B3035" s="24" t="s">
        <v>121</v>
      </c>
      <c r="C3035" s="32">
        <v>34.046999999999997</v>
      </c>
      <c r="D3035" s="28">
        <v>2.361111111111111E-2</v>
      </c>
    </row>
    <row r="3036" spans="1:4" x14ac:dyDescent="0.25">
      <c r="A3036" s="24" t="s">
        <v>95</v>
      </c>
      <c r="B3036" s="24" t="s">
        <v>122</v>
      </c>
      <c r="C3036" s="32">
        <v>14.401999999999999</v>
      </c>
      <c r="D3036" s="28">
        <v>1.1805555555555555E-2</v>
      </c>
    </row>
    <row r="3037" spans="1:4" x14ac:dyDescent="0.25">
      <c r="A3037" s="24" t="s">
        <v>95</v>
      </c>
      <c r="B3037" s="24" t="s">
        <v>123</v>
      </c>
      <c r="C3037" s="32">
        <v>26.844000000000001</v>
      </c>
      <c r="D3037" s="28">
        <v>2.1527777777777781E-2</v>
      </c>
    </row>
    <row r="3038" spans="1:4" x14ac:dyDescent="0.25">
      <c r="A3038" s="24" t="s">
        <v>95</v>
      </c>
      <c r="B3038" s="24" t="s">
        <v>124</v>
      </c>
      <c r="C3038" s="32">
        <v>26.844000000000001</v>
      </c>
      <c r="D3038" s="28">
        <v>2.1527777777777781E-2</v>
      </c>
    </row>
    <row r="3039" spans="1:4" x14ac:dyDescent="0.25">
      <c r="A3039" s="24" t="s">
        <v>95</v>
      </c>
      <c r="B3039" s="24" t="s">
        <v>125</v>
      </c>
      <c r="C3039" s="32">
        <v>27.039000000000001</v>
      </c>
      <c r="D3039" s="28">
        <v>2.013888888888889E-2</v>
      </c>
    </row>
    <row r="3040" spans="1:4" x14ac:dyDescent="0.25">
      <c r="A3040" s="24" t="s">
        <v>95</v>
      </c>
      <c r="B3040" s="24" t="s">
        <v>126</v>
      </c>
      <c r="C3040" s="32">
        <v>26.777000000000001</v>
      </c>
      <c r="D3040" s="28">
        <v>1.9444444444444445E-2</v>
      </c>
    </row>
    <row r="3041" spans="1:4" x14ac:dyDescent="0.25">
      <c r="A3041" s="24" t="s">
        <v>95</v>
      </c>
      <c r="B3041" s="24" t="s">
        <v>127</v>
      </c>
      <c r="C3041" s="32">
        <v>21.509</v>
      </c>
      <c r="D3041" s="28">
        <v>1.8749999999999999E-2</v>
      </c>
    </row>
    <row r="3042" spans="1:4" x14ac:dyDescent="0.25">
      <c r="A3042" s="24" t="s">
        <v>95</v>
      </c>
      <c r="B3042" s="24" t="s">
        <v>128</v>
      </c>
      <c r="C3042" s="32">
        <v>25.85</v>
      </c>
      <c r="D3042" s="28">
        <v>1.8055555555555557E-2</v>
      </c>
    </row>
    <row r="3043" spans="1:4" x14ac:dyDescent="0.25">
      <c r="A3043" s="24" t="s">
        <v>95</v>
      </c>
      <c r="B3043" s="24" t="s">
        <v>129</v>
      </c>
      <c r="C3043" s="32">
        <v>25.85</v>
      </c>
      <c r="D3043" s="28">
        <v>1.8055555555555557E-2</v>
      </c>
    </row>
    <row r="3044" spans="1:4" x14ac:dyDescent="0.25">
      <c r="A3044" s="24" t="s">
        <v>95</v>
      </c>
      <c r="B3044" s="24" t="s">
        <v>130</v>
      </c>
      <c r="C3044" s="32">
        <v>25.228999999999999</v>
      </c>
      <c r="D3044" s="28">
        <v>2.013888888888889E-2</v>
      </c>
    </row>
    <row r="3045" spans="1:4" x14ac:dyDescent="0.25">
      <c r="A3045" s="24" t="s">
        <v>95</v>
      </c>
      <c r="B3045" s="24" t="s">
        <v>131</v>
      </c>
      <c r="C3045" s="32">
        <v>20.501000000000001</v>
      </c>
      <c r="D3045" s="28">
        <v>1.9444444444444445E-2</v>
      </c>
    </row>
    <row r="3046" spans="1:4" x14ac:dyDescent="0.25">
      <c r="A3046" s="24" t="s">
        <v>95</v>
      </c>
      <c r="B3046" s="24" t="s">
        <v>132</v>
      </c>
      <c r="C3046" s="32">
        <v>29.451000000000001</v>
      </c>
      <c r="D3046" s="28">
        <v>2.2916666666666669E-2</v>
      </c>
    </row>
    <row r="3047" spans="1:4" x14ac:dyDescent="0.25">
      <c r="A3047" s="24" t="s">
        <v>95</v>
      </c>
      <c r="B3047" s="24" t="s">
        <v>133</v>
      </c>
      <c r="C3047" s="32">
        <v>21.914999999999999</v>
      </c>
      <c r="D3047" s="28">
        <v>2.4305555555555556E-2</v>
      </c>
    </row>
    <row r="3048" spans="1:4" x14ac:dyDescent="0.25">
      <c r="A3048" s="24" t="s">
        <v>95</v>
      </c>
      <c r="B3048" s="24" t="s">
        <v>134</v>
      </c>
      <c r="C3048" s="32">
        <v>21.449000000000002</v>
      </c>
      <c r="D3048" s="28">
        <v>2.361111111111111E-2</v>
      </c>
    </row>
    <row r="3049" spans="1:4" x14ac:dyDescent="0.25">
      <c r="A3049" s="24" t="s">
        <v>95</v>
      </c>
      <c r="B3049" s="24" t="s">
        <v>135</v>
      </c>
      <c r="C3049" s="32">
        <v>22.78</v>
      </c>
      <c r="D3049" s="28">
        <v>2.4999999999999998E-2</v>
      </c>
    </row>
    <row r="3050" spans="1:4" x14ac:dyDescent="0.25">
      <c r="A3050" s="24" t="s">
        <v>95</v>
      </c>
      <c r="B3050" s="24" t="s">
        <v>136</v>
      </c>
      <c r="C3050" s="32">
        <v>22.78</v>
      </c>
      <c r="D3050" s="28">
        <v>2.4999999999999998E-2</v>
      </c>
    </row>
    <row r="3051" spans="1:4" x14ac:dyDescent="0.25">
      <c r="A3051" s="24" t="s">
        <v>95</v>
      </c>
      <c r="B3051" s="24" t="s">
        <v>137</v>
      </c>
      <c r="C3051" s="32">
        <v>22.992999999999999</v>
      </c>
      <c r="D3051" s="28">
        <v>2.4999999999999998E-2</v>
      </c>
    </row>
    <row r="3052" spans="1:4" x14ac:dyDescent="0.25">
      <c r="A3052" s="24" t="s">
        <v>95</v>
      </c>
      <c r="B3052" s="24" t="s">
        <v>138</v>
      </c>
      <c r="C3052" s="32">
        <v>28.998999999999999</v>
      </c>
      <c r="D3052" s="28">
        <v>2.361111111111111E-2</v>
      </c>
    </row>
    <row r="3053" spans="1:4" x14ac:dyDescent="0.25">
      <c r="A3053" s="24" t="s">
        <v>95</v>
      </c>
      <c r="B3053" s="24" t="s">
        <v>139</v>
      </c>
      <c r="C3053" s="32">
        <v>37.439</v>
      </c>
      <c r="D3053" s="28">
        <v>2.5694444444444447E-2</v>
      </c>
    </row>
    <row r="3054" spans="1:4" x14ac:dyDescent="0.25">
      <c r="A3054" s="24" t="s">
        <v>95</v>
      </c>
      <c r="B3054" s="24" t="s">
        <v>140</v>
      </c>
      <c r="C3054" s="32">
        <v>37.750999999999998</v>
      </c>
      <c r="D3054" s="28">
        <v>2.7777777777777776E-2</v>
      </c>
    </row>
    <row r="3055" spans="1:4" x14ac:dyDescent="0.25">
      <c r="A3055" s="24" t="s">
        <v>95</v>
      </c>
      <c r="B3055" s="24" t="s">
        <v>141</v>
      </c>
      <c r="C3055" s="32">
        <v>70.376000000000005</v>
      </c>
      <c r="D3055" s="28">
        <v>4.4444444444444446E-2</v>
      </c>
    </row>
    <row r="3056" spans="1:4" x14ac:dyDescent="0.25">
      <c r="A3056" s="24" t="s">
        <v>95</v>
      </c>
      <c r="B3056" s="24" t="s">
        <v>142</v>
      </c>
      <c r="C3056" s="32">
        <v>68.463999999999999</v>
      </c>
      <c r="D3056" s="28">
        <v>3.6805555555555557E-2</v>
      </c>
    </row>
    <row r="3057" spans="1:4" x14ac:dyDescent="0.25">
      <c r="A3057" s="24" t="s">
        <v>95</v>
      </c>
      <c r="B3057" s="24" t="s">
        <v>143</v>
      </c>
      <c r="C3057" s="32">
        <v>86.841999999999999</v>
      </c>
      <c r="D3057" s="28">
        <v>4.4444444444444446E-2</v>
      </c>
    </row>
    <row r="3058" spans="1:4" x14ac:dyDescent="0.25">
      <c r="A3058" s="24" t="s">
        <v>95</v>
      </c>
      <c r="B3058" s="24" t="s">
        <v>144</v>
      </c>
      <c r="C3058" s="32">
        <v>105.958</v>
      </c>
      <c r="D3058" s="28">
        <v>5.486111111111111E-2</v>
      </c>
    </row>
    <row r="3059" spans="1:4" x14ac:dyDescent="0.25">
      <c r="A3059" s="24" t="s">
        <v>95</v>
      </c>
      <c r="B3059" s="24" t="s">
        <v>145</v>
      </c>
      <c r="C3059" s="32">
        <v>50.472000000000001</v>
      </c>
      <c r="D3059" s="28">
        <v>2.9861111111111113E-2</v>
      </c>
    </row>
    <row r="3060" spans="1:4" x14ac:dyDescent="0.25">
      <c r="A3060" s="24" t="s">
        <v>95</v>
      </c>
      <c r="B3060" s="24" t="s">
        <v>146</v>
      </c>
      <c r="C3060" s="32">
        <v>65.930999999999997</v>
      </c>
      <c r="D3060" s="28">
        <v>3.7499999999999999E-2</v>
      </c>
    </row>
    <row r="3061" spans="1:4" x14ac:dyDescent="0.25">
      <c r="A3061" s="24" t="s">
        <v>95</v>
      </c>
      <c r="B3061" s="24" t="s">
        <v>147</v>
      </c>
      <c r="C3061" s="32">
        <v>18.683</v>
      </c>
      <c r="D3061" s="28">
        <v>1.2499999999999999E-2</v>
      </c>
    </row>
    <row r="3062" spans="1:4" x14ac:dyDescent="0.25">
      <c r="A3062" s="24" t="s">
        <v>95</v>
      </c>
      <c r="B3062" s="24" t="s">
        <v>148</v>
      </c>
      <c r="C3062" s="32">
        <v>21.757000000000001</v>
      </c>
      <c r="D3062" s="28">
        <v>1.4583333333333332E-2</v>
      </c>
    </row>
    <row r="3063" spans="1:4" x14ac:dyDescent="0.25">
      <c r="A3063" s="24" t="s">
        <v>95</v>
      </c>
      <c r="B3063" s="24" t="s">
        <v>149</v>
      </c>
      <c r="C3063" s="32">
        <v>29.556999999999999</v>
      </c>
      <c r="D3063" s="28">
        <v>2.361111111111111E-2</v>
      </c>
    </row>
    <row r="3064" spans="1:4" x14ac:dyDescent="0.25">
      <c r="A3064" s="24" t="s">
        <v>95</v>
      </c>
      <c r="B3064" s="24" t="s">
        <v>150</v>
      </c>
      <c r="C3064" s="32">
        <v>39.043999999999997</v>
      </c>
      <c r="D3064" s="28">
        <v>3.1944444444444449E-2</v>
      </c>
    </row>
    <row r="3065" spans="1:4" x14ac:dyDescent="0.25">
      <c r="A3065" s="24" t="s">
        <v>95</v>
      </c>
      <c r="B3065" s="24" t="s">
        <v>151</v>
      </c>
      <c r="C3065" s="32">
        <v>38.302</v>
      </c>
      <c r="D3065" s="28">
        <v>3.1944444444444449E-2</v>
      </c>
    </row>
    <row r="3066" spans="1:4" x14ac:dyDescent="0.25">
      <c r="A3066" s="24" t="s">
        <v>95</v>
      </c>
      <c r="B3066" s="24" t="s">
        <v>152</v>
      </c>
      <c r="C3066" s="32">
        <v>40.661000000000001</v>
      </c>
      <c r="D3066" s="28">
        <v>3.4027777777777775E-2</v>
      </c>
    </row>
    <row r="3067" spans="1:4" x14ac:dyDescent="0.25">
      <c r="A3067" s="24" t="s">
        <v>95</v>
      </c>
      <c r="B3067" s="24" t="s">
        <v>153</v>
      </c>
      <c r="C3067" s="32">
        <v>45.188000000000002</v>
      </c>
      <c r="D3067" s="28">
        <v>4.0972222222222222E-2</v>
      </c>
    </row>
    <row r="3068" spans="1:4" x14ac:dyDescent="0.25">
      <c r="A3068" s="24" t="s">
        <v>95</v>
      </c>
      <c r="B3068" s="24" t="s">
        <v>154</v>
      </c>
      <c r="C3068" s="32">
        <v>39.997</v>
      </c>
      <c r="D3068" s="28">
        <v>3.4722222222222224E-2</v>
      </c>
    </row>
    <row r="3069" spans="1:4" x14ac:dyDescent="0.25">
      <c r="A3069" s="24" t="s">
        <v>95</v>
      </c>
      <c r="B3069" s="24" t="s">
        <v>155</v>
      </c>
      <c r="C3069" s="32">
        <v>38.905999999999999</v>
      </c>
      <c r="D3069" s="28">
        <v>3.2638888888888891E-2</v>
      </c>
    </row>
    <row r="3070" spans="1:4" x14ac:dyDescent="0.25">
      <c r="A3070" s="24" t="s">
        <v>95</v>
      </c>
      <c r="B3070" s="24" t="s">
        <v>156</v>
      </c>
      <c r="C3070" s="32">
        <v>38.89</v>
      </c>
      <c r="D3070" s="28">
        <v>3.2638888888888891E-2</v>
      </c>
    </row>
    <row r="3071" spans="1:4" x14ac:dyDescent="0.25">
      <c r="A3071" s="24" t="s">
        <v>95</v>
      </c>
      <c r="B3071" s="24" t="s">
        <v>157</v>
      </c>
      <c r="C3071" s="32">
        <v>32.831000000000003</v>
      </c>
      <c r="D3071" s="28">
        <v>2.7777777777777776E-2</v>
      </c>
    </row>
    <row r="3072" spans="1:4" x14ac:dyDescent="0.25">
      <c r="A3072" s="24" t="s">
        <v>95</v>
      </c>
      <c r="B3072" s="24" t="s">
        <v>158</v>
      </c>
      <c r="C3072" s="32">
        <v>43.585000000000001</v>
      </c>
      <c r="D3072" s="28">
        <v>3.4722222222222224E-2</v>
      </c>
    </row>
    <row r="3073" spans="1:4" x14ac:dyDescent="0.25">
      <c r="A3073" s="24" t="s">
        <v>95</v>
      </c>
      <c r="B3073" s="24" t="s">
        <v>159</v>
      </c>
      <c r="C3073" s="32">
        <v>44.076000000000001</v>
      </c>
      <c r="D3073" s="28">
        <v>3.6111111111111115E-2</v>
      </c>
    </row>
    <row r="3074" spans="1:4" x14ac:dyDescent="0.25">
      <c r="A3074" s="24" t="s">
        <v>96</v>
      </c>
      <c r="B3074" s="24" t="s">
        <v>65</v>
      </c>
      <c r="C3074" s="32">
        <v>21.440999999999999</v>
      </c>
      <c r="D3074" s="28">
        <v>1.8055555555555557E-2</v>
      </c>
    </row>
    <row r="3075" spans="1:4" x14ac:dyDescent="0.25">
      <c r="A3075" s="24" t="s">
        <v>96</v>
      </c>
      <c r="B3075" s="24" t="s">
        <v>64</v>
      </c>
      <c r="C3075" s="32">
        <v>15.593</v>
      </c>
      <c r="D3075" s="28">
        <v>1.6666666666666666E-2</v>
      </c>
    </row>
    <row r="3076" spans="1:4" x14ac:dyDescent="0.25">
      <c r="A3076" s="24" t="s">
        <v>96</v>
      </c>
      <c r="B3076" s="24" t="s">
        <v>66</v>
      </c>
      <c r="C3076" s="32">
        <v>20.087</v>
      </c>
      <c r="D3076" s="28">
        <v>2.0833333333333332E-2</v>
      </c>
    </row>
    <row r="3077" spans="1:4" x14ac:dyDescent="0.25">
      <c r="A3077" s="24" t="s">
        <v>96</v>
      </c>
      <c r="B3077" s="24" t="s">
        <v>67</v>
      </c>
      <c r="C3077" s="32">
        <v>19.452999999999999</v>
      </c>
      <c r="D3077" s="28">
        <v>2.2222222222222223E-2</v>
      </c>
    </row>
    <row r="3078" spans="1:4" x14ac:dyDescent="0.25">
      <c r="A3078" s="24" t="s">
        <v>96</v>
      </c>
      <c r="B3078" s="24" t="s">
        <v>68</v>
      </c>
      <c r="C3078" s="32">
        <v>18.937000000000001</v>
      </c>
      <c r="D3078" s="28">
        <v>2.2222222222222223E-2</v>
      </c>
    </row>
    <row r="3079" spans="1:4" x14ac:dyDescent="0.25">
      <c r="A3079" s="24" t="s">
        <v>96</v>
      </c>
      <c r="B3079" s="24" t="s">
        <v>69</v>
      </c>
      <c r="C3079" s="32">
        <v>17.945</v>
      </c>
      <c r="D3079" s="28">
        <v>2.0833333333333332E-2</v>
      </c>
    </row>
    <row r="3080" spans="1:4" x14ac:dyDescent="0.25">
      <c r="A3080" s="24" t="s">
        <v>96</v>
      </c>
      <c r="B3080" s="24" t="s">
        <v>70</v>
      </c>
      <c r="C3080" s="32">
        <v>19.015000000000001</v>
      </c>
      <c r="D3080" s="28">
        <v>2.1527777777777781E-2</v>
      </c>
    </row>
    <row r="3081" spans="1:4" x14ac:dyDescent="0.25">
      <c r="A3081" s="24" t="s">
        <v>96</v>
      </c>
      <c r="B3081" s="24" t="s">
        <v>71</v>
      </c>
      <c r="C3081" s="32">
        <v>18.521999999999998</v>
      </c>
      <c r="D3081" s="28">
        <v>2.1527777777777781E-2</v>
      </c>
    </row>
    <row r="3082" spans="1:4" x14ac:dyDescent="0.25">
      <c r="A3082" s="24" t="s">
        <v>96</v>
      </c>
      <c r="B3082" s="24" t="s">
        <v>72</v>
      </c>
      <c r="C3082" s="32">
        <v>20.686</v>
      </c>
      <c r="D3082" s="28">
        <v>2.4999999999999998E-2</v>
      </c>
    </row>
    <row r="3083" spans="1:4" x14ac:dyDescent="0.25">
      <c r="A3083" s="24" t="s">
        <v>96</v>
      </c>
      <c r="B3083" s="24" t="s">
        <v>73</v>
      </c>
      <c r="C3083" s="32">
        <v>19.213999999999999</v>
      </c>
      <c r="D3083" s="28">
        <v>2.2222222222222223E-2</v>
      </c>
    </row>
    <row r="3084" spans="1:4" x14ac:dyDescent="0.25">
      <c r="A3084" s="24" t="s">
        <v>96</v>
      </c>
      <c r="B3084" s="24" t="s">
        <v>74</v>
      </c>
      <c r="C3084" s="32">
        <v>22.814</v>
      </c>
      <c r="D3084" s="28">
        <v>2.5694444444444447E-2</v>
      </c>
    </row>
    <row r="3085" spans="1:4" x14ac:dyDescent="0.25">
      <c r="A3085" s="24" t="s">
        <v>96</v>
      </c>
      <c r="B3085" s="24" t="s">
        <v>75</v>
      </c>
      <c r="C3085" s="32">
        <v>21.85</v>
      </c>
      <c r="D3085" s="28">
        <v>2.4305555555555556E-2</v>
      </c>
    </row>
    <row r="3086" spans="1:4" x14ac:dyDescent="0.25">
      <c r="A3086" s="24" t="s">
        <v>96</v>
      </c>
      <c r="B3086" s="24" t="s">
        <v>76</v>
      </c>
      <c r="C3086" s="32">
        <v>25.957000000000001</v>
      </c>
      <c r="D3086" s="28">
        <v>2.9861111111111113E-2</v>
      </c>
    </row>
    <row r="3087" spans="1:4" x14ac:dyDescent="0.25">
      <c r="A3087" s="24" t="s">
        <v>96</v>
      </c>
      <c r="B3087" s="24" t="s">
        <v>77</v>
      </c>
      <c r="C3087" s="32">
        <v>24.238</v>
      </c>
      <c r="D3087" s="28">
        <v>2.4999999999999998E-2</v>
      </c>
    </row>
    <row r="3088" spans="1:4" x14ac:dyDescent="0.25">
      <c r="A3088" s="24" t="s">
        <v>96</v>
      </c>
      <c r="B3088" s="24" t="s">
        <v>78</v>
      </c>
      <c r="C3088" s="32">
        <v>19.279</v>
      </c>
      <c r="D3088" s="28">
        <v>2.1527777777777781E-2</v>
      </c>
    </row>
    <row r="3089" spans="1:4" x14ac:dyDescent="0.25">
      <c r="A3089" s="24" t="s">
        <v>96</v>
      </c>
      <c r="B3089" s="24" t="s">
        <v>79</v>
      </c>
      <c r="C3089" s="32">
        <v>37.645000000000003</v>
      </c>
      <c r="D3089" s="28">
        <v>3.8194444444444441E-2</v>
      </c>
    </row>
    <row r="3090" spans="1:4" x14ac:dyDescent="0.25">
      <c r="A3090" s="24" t="s">
        <v>96</v>
      </c>
      <c r="B3090" s="24" t="s">
        <v>80</v>
      </c>
      <c r="C3090" s="32">
        <v>19.459</v>
      </c>
      <c r="D3090" s="28">
        <v>1.6666666666666666E-2</v>
      </c>
    </row>
    <row r="3091" spans="1:4" x14ac:dyDescent="0.25">
      <c r="A3091" s="24" t="s">
        <v>96</v>
      </c>
      <c r="B3091" s="24" t="s">
        <v>81</v>
      </c>
      <c r="C3091" s="32">
        <v>23.981000000000002</v>
      </c>
      <c r="D3091" s="28">
        <v>1.9444444444444445E-2</v>
      </c>
    </row>
    <row r="3092" spans="1:4" x14ac:dyDescent="0.25">
      <c r="A3092" s="24" t="s">
        <v>96</v>
      </c>
      <c r="B3092" s="24" t="s">
        <v>82</v>
      </c>
      <c r="C3092" s="32">
        <v>24.033000000000001</v>
      </c>
      <c r="D3092" s="28">
        <v>1.9444444444444445E-2</v>
      </c>
    </row>
    <row r="3093" spans="1:4" x14ac:dyDescent="0.25">
      <c r="A3093" s="24" t="s">
        <v>96</v>
      </c>
      <c r="B3093" s="24" t="s">
        <v>83</v>
      </c>
      <c r="C3093" s="32">
        <v>18.077000000000002</v>
      </c>
      <c r="D3093" s="28">
        <v>1.8055555555555557E-2</v>
      </c>
    </row>
    <row r="3094" spans="1:4" x14ac:dyDescent="0.25">
      <c r="A3094" s="24" t="s">
        <v>96</v>
      </c>
      <c r="B3094" s="24" t="s">
        <v>84</v>
      </c>
      <c r="C3094" s="32">
        <v>20.018999999999998</v>
      </c>
      <c r="D3094" s="28">
        <v>2.1527777777777781E-2</v>
      </c>
    </row>
    <row r="3095" spans="1:4" x14ac:dyDescent="0.25">
      <c r="A3095" s="24" t="s">
        <v>96</v>
      </c>
      <c r="B3095" s="24" t="s">
        <v>85</v>
      </c>
      <c r="C3095" s="32">
        <v>20.87</v>
      </c>
      <c r="D3095" s="28">
        <v>2.1527777777777781E-2</v>
      </c>
    </row>
    <row r="3096" spans="1:4" x14ac:dyDescent="0.25">
      <c r="A3096" s="24" t="s">
        <v>96</v>
      </c>
      <c r="B3096" s="24" t="s">
        <v>86</v>
      </c>
      <c r="C3096" s="32">
        <v>18.495999999999999</v>
      </c>
      <c r="D3096" s="28">
        <v>1.8749999999999999E-2</v>
      </c>
    </row>
    <row r="3097" spans="1:4" x14ac:dyDescent="0.25">
      <c r="A3097" s="24" t="s">
        <v>96</v>
      </c>
      <c r="B3097" s="24" t="s">
        <v>87</v>
      </c>
      <c r="C3097" s="32">
        <v>18.611000000000001</v>
      </c>
      <c r="D3097" s="28">
        <v>1.9444444444444445E-2</v>
      </c>
    </row>
    <row r="3098" spans="1:4" x14ac:dyDescent="0.25">
      <c r="A3098" s="24" t="s">
        <v>96</v>
      </c>
      <c r="B3098" s="24" t="s">
        <v>88</v>
      </c>
      <c r="C3098" s="32">
        <v>19.818999999999999</v>
      </c>
      <c r="D3098" s="28">
        <v>2.013888888888889E-2</v>
      </c>
    </row>
    <row r="3099" spans="1:4" x14ac:dyDescent="0.25">
      <c r="A3099" s="24" t="s">
        <v>96</v>
      </c>
      <c r="B3099" s="24" t="s">
        <v>89</v>
      </c>
      <c r="C3099" s="32">
        <v>18.890999999999998</v>
      </c>
      <c r="D3099" s="28">
        <v>1.8749999999999999E-2</v>
      </c>
    </row>
    <row r="3100" spans="1:4" x14ac:dyDescent="0.25">
      <c r="A3100" s="24" t="s">
        <v>96</v>
      </c>
      <c r="B3100" s="24" t="s">
        <v>90</v>
      </c>
      <c r="C3100" s="32">
        <v>16.774999999999999</v>
      </c>
      <c r="D3100" s="28">
        <v>1.5277777777777777E-2</v>
      </c>
    </row>
    <row r="3101" spans="1:4" x14ac:dyDescent="0.25">
      <c r="A3101" s="24" t="s">
        <v>96</v>
      </c>
      <c r="B3101" s="24" t="s">
        <v>91</v>
      </c>
      <c r="C3101" s="32">
        <v>19.093</v>
      </c>
      <c r="D3101" s="28">
        <v>2.013888888888889E-2</v>
      </c>
    </row>
    <row r="3102" spans="1:4" x14ac:dyDescent="0.25">
      <c r="A3102" s="24" t="s">
        <v>96</v>
      </c>
      <c r="B3102" s="24" t="s">
        <v>92</v>
      </c>
      <c r="C3102" s="32">
        <v>21.428000000000001</v>
      </c>
      <c r="D3102" s="28">
        <v>2.013888888888889E-2</v>
      </c>
    </row>
    <row r="3103" spans="1:4" x14ac:dyDescent="0.25">
      <c r="A3103" s="24" t="s">
        <v>96</v>
      </c>
      <c r="B3103" s="24" t="s">
        <v>93</v>
      </c>
      <c r="C3103" s="32">
        <v>40.287999999999997</v>
      </c>
      <c r="D3103" s="28">
        <v>3.0555555555555555E-2</v>
      </c>
    </row>
    <row r="3104" spans="1:4" x14ac:dyDescent="0.25">
      <c r="A3104" s="24" t="s">
        <v>96</v>
      </c>
      <c r="B3104" s="24" t="s">
        <v>94</v>
      </c>
      <c r="C3104" s="32">
        <v>40.917000000000002</v>
      </c>
      <c r="D3104" s="28">
        <v>3.125E-2</v>
      </c>
    </row>
    <row r="3105" spans="1:4" x14ac:dyDescent="0.25">
      <c r="A3105" s="24" t="s">
        <v>96</v>
      </c>
      <c r="B3105" s="24" t="s">
        <v>95</v>
      </c>
      <c r="C3105" s="32">
        <v>24.317</v>
      </c>
      <c r="D3105" s="28">
        <v>2.013888888888889E-2</v>
      </c>
    </row>
    <row r="3106" spans="1:4" x14ac:dyDescent="0.25">
      <c r="A3106" s="24" t="s">
        <v>96</v>
      </c>
      <c r="B3106" s="24" t="s">
        <v>96</v>
      </c>
      <c r="C3106" s="32">
        <v>0</v>
      </c>
      <c r="D3106" s="28">
        <v>0</v>
      </c>
    </row>
    <row r="3107" spans="1:4" x14ac:dyDescent="0.25">
      <c r="A3107" s="24" t="s">
        <v>96</v>
      </c>
      <c r="B3107" s="24" t="s">
        <v>97</v>
      </c>
      <c r="C3107" s="32">
        <v>11.134</v>
      </c>
      <c r="D3107" s="28">
        <v>1.1111111111111112E-2</v>
      </c>
    </row>
    <row r="3108" spans="1:4" x14ac:dyDescent="0.25">
      <c r="A3108" s="24" t="s">
        <v>96</v>
      </c>
      <c r="B3108" s="24" t="s">
        <v>98</v>
      </c>
      <c r="C3108" s="32">
        <v>9.1489999999999991</v>
      </c>
      <c r="D3108" s="28">
        <v>1.0416666666666666E-2</v>
      </c>
    </row>
    <row r="3109" spans="1:4" x14ac:dyDescent="0.25">
      <c r="A3109" s="24" t="s">
        <v>96</v>
      </c>
      <c r="B3109" s="24" t="s">
        <v>99</v>
      </c>
      <c r="C3109" s="32">
        <v>11.135</v>
      </c>
      <c r="D3109" s="28">
        <v>1.0416666666666666E-2</v>
      </c>
    </row>
    <row r="3110" spans="1:4" x14ac:dyDescent="0.25">
      <c r="A3110" s="24" t="s">
        <v>96</v>
      </c>
      <c r="B3110" s="24" t="s">
        <v>100</v>
      </c>
      <c r="C3110" s="32">
        <v>20.451000000000001</v>
      </c>
      <c r="D3110" s="28">
        <v>1.6666666666666666E-2</v>
      </c>
    </row>
    <row r="3111" spans="1:4" x14ac:dyDescent="0.25">
      <c r="A3111" s="24" t="s">
        <v>96</v>
      </c>
      <c r="B3111" s="24" t="s">
        <v>101</v>
      </c>
      <c r="C3111" s="32">
        <v>6.7919999999999998</v>
      </c>
      <c r="D3111" s="28">
        <v>8.3333333333333332E-3</v>
      </c>
    </row>
    <row r="3112" spans="1:4" x14ac:dyDescent="0.25">
      <c r="A3112" s="24" t="s">
        <v>96</v>
      </c>
      <c r="B3112" s="24" t="s">
        <v>102</v>
      </c>
      <c r="C3112" s="32">
        <v>6.2190000000000003</v>
      </c>
      <c r="D3112" s="28">
        <v>7.6388888888888886E-3</v>
      </c>
    </row>
    <row r="3113" spans="1:4" x14ac:dyDescent="0.25">
      <c r="A3113" s="24" t="s">
        <v>96</v>
      </c>
      <c r="B3113" s="24" t="s">
        <v>103</v>
      </c>
      <c r="C3113" s="32">
        <v>15.545999999999999</v>
      </c>
      <c r="D3113" s="28">
        <v>1.5277777777777777E-2</v>
      </c>
    </row>
    <row r="3114" spans="1:4" x14ac:dyDescent="0.25">
      <c r="A3114" s="24" t="s">
        <v>96</v>
      </c>
      <c r="B3114" s="24" t="s">
        <v>104</v>
      </c>
      <c r="C3114" s="32">
        <v>16.614000000000001</v>
      </c>
      <c r="D3114" s="28">
        <v>1.5277777777777777E-2</v>
      </c>
    </row>
    <row r="3115" spans="1:4" x14ac:dyDescent="0.25">
      <c r="A3115" s="24" t="s">
        <v>96</v>
      </c>
      <c r="B3115" s="24" t="s">
        <v>105</v>
      </c>
      <c r="C3115" s="32">
        <v>18.536000000000001</v>
      </c>
      <c r="D3115" s="28">
        <v>2.013888888888889E-2</v>
      </c>
    </row>
    <row r="3116" spans="1:4" x14ac:dyDescent="0.25">
      <c r="A3116" s="24" t="s">
        <v>96</v>
      </c>
      <c r="B3116" s="24" t="s">
        <v>106</v>
      </c>
      <c r="C3116" s="32">
        <v>13.308</v>
      </c>
      <c r="D3116" s="28">
        <v>1.3888888888888888E-2</v>
      </c>
    </row>
    <row r="3117" spans="1:4" x14ac:dyDescent="0.25">
      <c r="A3117" s="24" t="s">
        <v>96</v>
      </c>
      <c r="B3117" s="24" t="s">
        <v>107</v>
      </c>
      <c r="C3117" s="32">
        <v>27.146000000000001</v>
      </c>
      <c r="D3117" s="28">
        <v>2.361111111111111E-2</v>
      </c>
    </row>
    <row r="3118" spans="1:4" x14ac:dyDescent="0.25">
      <c r="A3118" s="24" t="s">
        <v>96</v>
      </c>
      <c r="B3118" s="24" t="s">
        <v>108</v>
      </c>
      <c r="C3118" s="32">
        <v>27.742999999999999</v>
      </c>
      <c r="D3118" s="28">
        <v>2.2222222222222223E-2</v>
      </c>
    </row>
    <row r="3119" spans="1:4" x14ac:dyDescent="0.25">
      <c r="A3119" s="24" t="s">
        <v>96</v>
      </c>
      <c r="B3119" s="24" t="s">
        <v>109</v>
      </c>
      <c r="C3119" s="32">
        <v>27.713000000000001</v>
      </c>
      <c r="D3119" s="28">
        <v>2.2222222222222223E-2</v>
      </c>
    </row>
    <row r="3120" spans="1:4" x14ac:dyDescent="0.25">
      <c r="A3120" s="24" t="s">
        <v>96</v>
      </c>
      <c r="B3120" s="24" t="s">
        <v>110</v>
      </c>
      <c r="C3120" s="32">
        <v>18.446000000000002</v>
      </c>
      <c r="D3120" s="28">
        <v>1.8749999999999999E-2</v>
      </c>
    </row>
    <row r="3121" spans="1:4" x14ac:dyDescent="0.25">
      <c r="A3121" s="24" t="s">
        <v>96</v>
      </c>
      <c r="B3121" s="24" t="s">
        <v>111</v>
      </c>
      <c r="C3121" s="32">
        <v>16.940000000000001</v>
      </c>
      <c r="D3121" s="28">
        <v>1.6666666666666666E-2</v>
      </c>
    </row>
    <row r="3122" spans="1:4" x14ac:dyDescent="0.25">
      <c r="A3122" s="24" t="s">
        <v>96</v>
      </c>
      <c r="B3122" s="24" t="s">
        <v>112</v>
      </c>
      <c r="C3122" s="32">
        <v>26.82</v>
      </c>
      <c r="D3122" s="28">
        <v>2.2222222222222223E-2</v>
      </c>
    </row>
    <row r="3123" spans="1:4" x14ac:dyDescent="0.25">
      <c r="A3123" s="24" t="s">
        <v>96</v>
      </c>
      <c r="B3123" s="24" t="s">
        <v>113</v>
      </c>
      <c r="C3123" s="32">
        <v>30.443999999999999</v>
      </c>
      <c r="D3123" s="28">
        <v>2.4305555555555556E-2</v>
      </c>
    </row>
    <row r="3124" spans="1:4" x14ac:dyDescent="0.25">
      <c r="A3124" s="24" t="s">
        <v>96</v>
      </c>
      <c r="B3124" s="24" t="s">
        <v>114</v>
      </c>
      <c r="C3124" s="32">
        <v>19.286000000000001</v>
      </c>
      <c r="D3124" s="28">
        <v>1.5972222222222224E-2</v>
      </c>
    </row>
    <row r="3125" spans="1:4" x14ac:dyDescent="0.25">
      <c r="A3125" s="24" t="s">
        <v>96</v>
      </c>
      <c r="B3125" s="24" t="s">
        <v>115</v>
      </c>
      <c r="C3125" s="32">
        <v>18.738</v>
      </c>
      <c r="D3125" s="28">
        <v>1.5972222222222224E-2</v>
      </c>
    </row>
    <row r="3126" spans="1:4" x14ac:dyDescent="0.25">
      <c r="A3126" s="24" t="s">
        <v>96</v>
      </c>
      <c r="B3126" s="24" t="s">
        <v>116</v>
      </c>
      <c r="C3126" s="32">
        <v>20.51</v>
      </c>
      <c r="D3126" s="28">
        <v>1.9444444444444445E-2</v>
      </c>
    </row>
    <row r="3127" spans="1:4" x14ac:dyDescent="0.25">
      <c r="A3127" s="24" t="s">
        <v>96</v>
      </c>
      <c r="B3127" s="24" t="s">
        <v>117</v>
      </c>
      <c r="C3127" s="32">
        <v>23.821000000000002</v>
      </c>
      <c r="D3127" s="28">
        <v>2.1527777777777781E-2</v>
      </c>
    </row>
    <row r="3128" spans="1:4" x14ac:dyDescent="0.25">
      <c r="A3128" s="24" t="s">
        <v>96</v>
      </c>
      <c r="B3128" s="24" t="s">
        <v>118</v>
      </c>
      <c r="C3128" s="32">
        <v>25.585999999999999</v>
      </c>
      <c r="D3128" s="28">
        <v>2.0833333333333332E-2</v>
      </c>
    </row>
    <row r="3129" spans="1:4" x14ac:dyDescent="0.25">
      <c r="A3129" s="24" t="s">
        <v>96</v>
      </c>
      <c r="B3129" s="24" t="s">
        <v>119</v>
      </c>
      <c r="C3129" s="32">
        <v>39.670999999999999</v>
      </c>
      <c r="D3129" s="28">
        <v>2.7777777777777776E-2</v>
      </c>
    </row>
    <row r="3130" spans="1:4" x14ac:dyDescent="0.25">
      <c r="A3130" s="24" t="s">
        <v>96</v>
      </c>
      <c r="B3130" s="24" t="s">
        <v>120</v>
      </c>
      <c r="C3130" s="32">
        <v>42.460999999999999</v>
      </c>
      <c r="D3130" s="28">
        <v>3.125E-2</v>
      </c>
    </row>
    <row r="3131" spans="1:4" x14ac:dyDescent="0.25">
      <c r="A3131" s="24" t="s">
        <v>96</v>
      </c>
      <c r="B3131" s="24" t="s">
        <v>121</v>
      </c>
      <c r="C3131" s="32">
        <v>56.811999999999998</v>
      </c>
      <c r="D3131" s="28">
        <v>3.8194444444444441E-2</v>
      </c>
    </row>
    <row r="3132" spans="1:4" x14ac:dyDescent="0.25">
      <c r="A3132" s="24" t="s">
        <v>96</v>
      </c>
      <c r="B3132" s="24" t="s">
        <v>122</v>
      </c>
      <c r="C3132" s="32">
        <v>39.158999999999999</v>
      </c>
      <c r="D3132" s="28">
        <v>2.9861111111111113E-2</v>
      </c>
    </row>
    <row r="3133" spans="1:4" x14ac:dyDescent="0.25">
      <c r="A3133" s="24" t="s">
        <v>96</v>
      </c>
      <c r="B3133" s="24" t="s">
        <v>123</v>
      </c>
      <c r="C3133" s="32">
        <v>50.396999999999998</v>
      </c>
      <c r="D3133" s="28">
        <v>3.4722222222222224E-2</v>
      </c>
    </row>
    <row r="3134" spans="1:4" x14ac:dyDescent="0.25">
      <c r="A3134" s="24" t="s">
        <v>96</v>
      </c>
      <c r="B3134" s="24" t="s">
        <v>124</v>
      </c>
      <c r="C3134" s="32">
        <v>50.396999999999998</v>
      </c>
      <c r="D3134" s="28">
        <v>3.4722222222222224E-2</v>
      </c>
    </row>
    <row r="3135" spans="1:4" x14ac:dyDescent="0.25">
      <c r="A3135" s="24" t="s">
        <v>96</v>
      </c>
      <c r="B3135" s="24" t="s">
        <v>125</v>
      </c>
      <c r="C3135" s="32">
        <v>15.464</v>
      </c>
      <c r="D3135" s="28">
        <v>1.5277777777777777E-2</v>
      </c>
    </row>
    <row r="3136" spans="1:4" x14ac:dyDescent="0.25">
      <c r="A3136" s="24" t="s">
        <v>96</v>
      </c>
      <c r="B3136" s="24" t="s">
        <v>126</v>
      </c>
      <c r="C3136" s="32">
        <v>15.202</v>
      </c>
      <c r="D3136" s="28">
        <v>1.4583333333333332E-2</v>
      </c>
    </row>
    <row r="3137" spans="1:4" x14ac:dyDescent="0.25">
      <c r="A3137" s="24" t="s">
        <v>96</v>
      </c>
      <c r="B3137" s="24" t="s">
        <v>127</v>
      </c>
      <c r="C3137" s="32">
        <v>14.196</v>
      </c>
      <c r="D3137" s="28">
        <v>1.3194444444444444E-2</v>
      </c>
    </row>
    <row r="3138" spans="1:4" x14ac:dyDescent="0.25">
      <c r="A3138" s="24" t="s">
        <v>96</v>
      </c>
      <c r="B3138" s="24" t="s">
        <v>128</v>
      </c>
      <c r="C3138" s="32">
        <v>15.664</v>
      </c>
      <c r="D3138" s="28">
        <v>1.5972222222222224E-2</v>
      </c>
    </row>
    <row r="3139" spans="1:4" x14ac:dyDescent="0.25">
      <c r="A3139" s="24" t="s">
        <v>96</v>
      </c>
      <c r="B3139" s="24" t="s">
        <v>129</v>
      </c>
      <c r="C3139" s="32">
        <v>15.664</v>
      </c>
      <c r="D3139" s="28">
        <v>1.5972222222222224E-2</v>
      </c>
    </row>
    <row r="3140" spans="1:4" x14ac:dyDescent="0.25">
      <c r="A3140" s="24" t="s">
        <v>96</v>
      </c>
      <c r="B3140" s="24" t="s">
        <v>130</v>
      </c>
      <c r="C3140" s="32">
        <v>15.865</v>
      </c>
      <c r="D3140" s="28">
        <v>1.5972222222222224E-2</v>
      </c>
    </row>
    <row r="3141" spans="1:4" x14ac:dyDescent="0.25">
      <c r="A3141" s="24" t="s">
        <v>96</v>
      </c>
      <c r="B3141" s="24" t="s">
        <v>131</v>
      </c>
      <c r="C3141" s="32">
        <v>12.632</v>
      </c>
      <c r="D3141" s="28">
        <v>1.3888888888888888E-2</v>
      </c>
    </row>
    <row r="3142" spans="1:4" x14ac:dyDescent="0.25">
      <c r="A3142" s="24" t="s">
        <v>96</v>
      </c>
      <c r="B3142" s="24" t="s">
        <v>132</v>
      </c>
      <c r="C3142" s="32">
        <v>11.430999999999999</v>
      </c>
      <c r="D3142" s="28">
        <v>1.2499999999999999E-2</v>
      </c>
    </row>
    <row r="3143" spans="1:4" x14ac:dyDescent="0.25">
      <c r="A3143" s="24" t="s">
        <v>96</v>
      </c>
      <c r="B3143" s="24" t="s">
        <v>133</v>
      </c>
      <c r="C3143" s="32">
        <v>23.504999999999999</v>
      </c>
      <c r="D3143" s="28">
        <v>2.4305555555555556E-2</v>
      </c>
    </row>
    <row r="3144" spans="1:4" x14ac:dyDescent="0.25">
      <c r="A3144" s="24" t="s">
        <v>96</v>
      </c>
      <c r="B3144" s="24" t="s">
        <v>134</v>
      </c>
      <c r="C3144" s="32">
        <v>23.039000000000001</v>
      </c>
      <c r="D3144" s="28">
        <v>2.361111111111111E-2</v>
      </c>
    </row>
    <row r="3145" spans="1:4" x14ac:dyDescent="0.25">
      <c r="A3145" s="24" t="s">
        <v>96</v>
      </c>
      <c r="B3145" s="24" t="s">
        <v>135</v>
      </c>
      <c r="C3145" s="32">
        <v>23.582999999999998</v>
      </c>
      <c r="D3145" s="28">
        <v>2.4999999999999998E-2</v>
      </c>
    </row>
    <row r="3146" spans="1:4" x14ac:dyDescent="0.25">
      <c r="A3146" s="24" t="s">
        <v>96</v>
      </c>
      <c r="B3146" s="24" t="s">
        <v>136</v>
      </c>
      <c r="C3146" s="32">
        <v>23.582999999999998</v>
      </c>
      <c r="D3146" s="28">
        <v>2.4999999999999998E-2</v>
      </c>
    </row>
    <row r="3147" spans="1:4" x14ac:dyDescent="0.25">
      <c r="A3147" s="24" t="s">
        <v>96</v>
      </c>
      <c r="B3147" s="24" t="s">
        <v>137</v>
      </c>
      <c r="C3147" s="32">
        <v>23.192</v>
      </c>
      <c r="D3147" s="28">
        <v>2.4305555555555556E-2</v>
      </c>
    </row>
    <row r="3148" spans="1:4" x14ac:dyDescent="0.25">
      <c r="A3148" s="24" t="s">
        <v>96</v>
      </c>
      <c r="B3148" s="24" t="s">
        <v>138</v>
      </c>
      <c r="C3148" s="32">
        <v>28.282</v>
      </c>
      <c r="D3148" s="28">
        <v>2.6388888888888889E-2</v>
      </c>
    </row>
    <row r="3149" spans="1:4" x14ac:dyDescent="0.25">
      <c r="A3149" s="24" t="s">
        <v>96</v>
      </c>
      <c r="B3149" s="24" t="s">
        <v>139</v>
      </c>
      <c r="C3149" s="32">
        <v>38.402999999999999</v>
      </c>
      <c r="D3149" s="28">
        <v>3.1944444444444449E-2</v>
      </c>
    </row>
    <row r="3150" spans="1:4" x14ac:dyDescent="0.25">
      <c r="A3150" s="24" t="s">
        <v>96</v>
      </c>
      <c r="B3150" s="24" t="s">
        <v>140</v>
      </c>
      <c r="C3150" s="32">
        <v>34.008000000000003</v>
      </c>
      <c r="D3150" s="28">
        <v>3.125E-2</v>
      </c>
    </row>
    <row r="3151" spans="1:4" x14ac:dyDescent="0.25">
      <c r="A3151" s="24" t="s">
        <v>96</v>
      </c>
      <c r="B3151" s="24" t="s">
        <v>141</v>
      </c>
      <c r="C3151" s="32">
        <v>63.113999999999997</v>
      </c>
      <c r="D3151" s="28">
        <v>5.1388888888888894E-2</v>
      </c>
    </row>
    <row r="3152" spans="1:4" x14ac:dyDescent="0.25">
      <c r="A3152" s="24" t="s">
        <v>96</v>
      </c>
      <c r="B3152" s="24" t="s">
        <v>142</v>
      </c>
      <c r="C3152" s="32">
        <v>53</v>
      </c>
      <c r="D3152" s="28">
        <v>4.3055555555555562E-2</v>
      </c>
    </row>
    <row r="3153" spans="1:4" x14ac:dyDescent="0.25">
      <c r="A3153" s="24" t="s">
        <v>96</v>
      </c>
      <c r="B3153" s="24" t="s">
        <v>143</v>
      </c>
      <c r="C3153" s="32">
        <v>71.378</v>
      </c>
      <c r="D3153" s="28">
        <v>5.0694444444444452E-2</v>
      </c>
    </row>
    <row r="3154" spans="1:4" x14ac:dyDescent="0.25">
      <c r="A3154" s="24" t="s">
        <v>96</v>
      </c>
      <c r="B3154" s="24" t="s">
        <v>144</v>
      </c>
      <c r="C3154" s="32">
        <v>90.494</v>
      </c>
      <c r="D3154" s="28">
        <v>6.1805555555555558E-2</v>
      </c>
    </row>
    <row r="3155" spans="1:4" x14ac:dyDescent="0.25">
      <c r="A3155" s="24" t="s">
        <v>96</v>
      </c>
      <c r="B3155" s="24" t="s">
        <v>145</v>
      </c>
      <c r="C3155" s="32">
        <v>43.088999999999999</v>
      </c>
      <c r="D3155" s="28">
        <v>3.5416666666666666E-2</v>
      </c>
    </row>
    <row r="3156" spans="1:4" x14ac:dyDescent="0.25">
      <c r="A3156" s="24" t="s">
        <v>96</v>
      </c>
      <c r="B3156" s="24" t="s">
        <v>146</v>
      </c>
      <c r="C3156" s="32">
        <v>58.548000000000002</v>
      </c>
      <c r="D3156" s="28">
        <v>4.3055555555555562E-2</v>
      </c>
    </row>
    <row r="3157" spans="1:4" x14ac:dyDescent="0.25">
      <c r="A3157" s="24" t="s">
        <v>96</v>
      </c>
      <c r="B3157" s="24" t="s">
        <v>147</v>
      </c>
      <c r="C3157" s="32">
        <v>13.284000000000001</v>
      </c>
      <c r="D3157" s="28">
        <v>1.2499999999999999E-2</v>
      </c>
    </row>
    <row r="3158" spans="1:4" x14ac:dyDescent="0.25">
      <c r="A3158" s="24" t="s">
        <v>96</v>
      </c>
      <c r="B3158" s="24" t="s">
        <v>148</v>
      </c>
      <c r="C3158" s="32">
        <v>14.904</v>
      </c>
      <c r="D3158" s="28">
        <v>1.5277777777777777E-2</v>
      </c>
    </row>
    <row r="3159" spans="1:4" x14ac:dyDescent="0.25">
      <c r="A3159" s="24" t="s">
        <v>96</v>
      </c>
      <c r="B3159" s="24" t="s">
        <v>149</v>
      </c>
      <c r="C3159" s="32">
        <v>11.537000000000001</v>
      </c>
      <c r="D3159" s="28">
        <v>1.2499999999999999E-2</v>
      </c>
    </row>
    <row r="3160" spans="1:4" x14ac:dyDescent="0.25">
      <c r="A3160" s="24" t="s">
        <v>96</v>
      </c>
      <c r="B3160" s="24" t="s">
        <v>150</v>
      </c>
      <c r="C3160" s="32">
        <v>18.265999999999998</v>
      </c>
      <c r="D3160" s="28">
        <v>1.9444444444444445E-2</v>
      </c>
    </row>
    <row r="3161" spans="1:4" x14ac:dyDescent="0.25">
      <c r="A3161" s="24" t="s">
        <v>96</v>
      </c>
      <c r="B3161" s="24" t="s">
        <v>151</v>
      </c>
      <c r="C3161" s="32">
        <v>20.05</v>
      </c>
      <c r="D3161" s="28">
        <v>2.013888888888889E-2</v>
      </c>
    </row>
    <row r="3162" spans="1:4" x14ac:dyDescent="0.25">
      <c r="A3162" s="24" t="s">
        <v>96</v>
      </c>
      <c r="B3162" s="24" t="s">
        <v>152</v>
      </c>
      <c r="C3162" s="32">
        <v>15.782999999999999</v>
      </c>
      <c r="D3162" s="28">
        <v>1.6666666666666666E-2</v>
      </c>
    </row>
    <row r="3163" spans="1:4" x14ac:dyDescent="0.25">
      <c r="A3163" s="24" t="s">
        <v>96</v>
      </c>
      <c r="B3163" s="24" t="s">
        <v>153</v>
      </c>
      <c r="C3163" s="32">
        <v>20.309999999999999</v>
      </c>
      <c r="D3163" s="28">
        <v>2.361111111111111E-2</v>
      </c>
    </row>
    <row r="3164" spans="1:4" x14ac:dyDescent="0.25">
      <c r="A3164" s="24" t="s">
        <v>96</v>
      </c>
      <c r="B3164" s="24" t="s">
        <v>154</v>
      </c>
      <c r="C3164" s="32">
        <v>15.119</v>
      </c>
      <c r="D3164" s="28">
        <v>1.7361111111111112E-2</v>
      </c>
    </row>
    <row r="3165" spans="1:4" x14ac:dyDescent="0.25">
      <c r="A3165" s="24" t="s">
        <v>96</v>
      </c>
      <c r="B3165" s="24" t="s">
        <v>155</v>
      </c>
      <c r="C3165" s="32">
        <v>20.654</v>
      </c>
      <c r="D3165" s="28">
        <v>2.013888888888889E-2</v>
      </c>
    </row>
    <row r="3166" spans="1:4" x14ac:dyDescent="0.25">
      <c r="A3166" s="24" t="s">
        <v>96</v>
      </c>
      <c r="B3166" s="24" t="s">
        <v>156</v>
      </c>
      <c r="C3166" s="32">
        <v>20.638000000000002</v>
      </c>
      <c r="D3166" s="28">
        <v>2.013888888888889E-2</v>
      </c>
    </row>
    <row r="3167" spans="1:4" x14ac:dyDescent="0.25">
      <c r="A3167" s="24" t="s">
        <v>96</v>
      </c>
      <c r="B3167" s="24" t="s">
        <v>157</v>
      </c>
      <c r="C3167" s="32">
        <v>14.379</v>
      </c>
      <c r="D3167" s="28">
        <v>1.5277777777777777E-2</v>
      </c>
    </row>
    <row r="3168" spans="1:4" x14ac:dyDescent="0.25">
      <c r="A3168" s="24" t="s">
        <v>96</v>
      </c>
      <c r="B3168" s="24" t="s">
        <v>158</v>
      </c>
      <c r="C3168" s="32">
        <v>25.132999999999999</v>
      </c>
      <c r="D3168" s="28">
        <v>2.2916666666666669E-2</v>
      </c>
    </row>
    <row r="3169" spans="1:4" x14ac:dyDescent="0.25">
      <c r="A3169" s="24" t="s">
        <v>96</v>
      </c>
      <c r="B3169" s="24" t="s">
        <v>159</v>
      </c>
      <c r="C3169" s="32">
        <v>30.503</v>
      </c>
      <c r="D3169" s="28">
        <v>2.7777777777777776E-2</v>
      </c>
    </row>
    <row r="3170" spans="1:4" x14ac:dyDescent="0.25">
      <c r="A3170" s="24" t="s">
        <v>97</v>
      </c>
      <c r="B3170" s="24" t="s">
        <v>65</v>
      </c>
      <c r="C3170" s="32">
        <v>25.725000000000001</v>
      </c>
      <c r="D3170" s="28">
        <v>2.0833333333333332E-2</v>
      </c>
    </row>
    <row r="3171" spans="1:4" x14ac:dyDescent="0.25">
      <c r="A3171" s="24" t="s">
        <v>97</v>
      </c>
      <c r="B3171" s="24" t="s">
        <v>64</v>
      </c>
      <c r="C3171" s="32">
        <v>25.242999999999999</v>
      </c>
      <c r="D3171" s="28">
        <v>2.2916666666666669E-2</v>
      </c>
    </row>
    <row r="3172" spans="1:4" x14ac:dyDescent="0.25">
      <c r="A3172" s="24" t="s">
        <v>97</v>
      </c>
      <c r="B3172" s="24" t="s">
        <v>66</v>
      </c>
      <c r="C3172" s="32">
        <v>30.053000000000001</v>
      </c>
      <c r="D3172" s="28">
        <v>2.7777777777777776E-2</v>
      </c>
    </row>
    <row r="3173" spans="1:4" x14ac:dyDescent="0.25">
      <c r="A3173" s="24" t="s">
        <v>97</v>
      </c>
      <c r="B3173" s="24" t="s">
        <v>67</v>
      </c>
      <c r="C3173" s="32">
        <v>29.103000000000002</v>
      </c>
      <c r="D3173" s="28">
        <v>2.9166666666666664E-2</v>
      </c>
    </row>
    <row r="3174" spans="1:4" x14ac:dyDescent="0.25">
      <c r="A3174" s="24" t="s">
        <v>97</v>
      </c>
      <c r="B3174" s="24" t="s">
        <v>68</v>
      </c>
      <c r="C3174" s="32">
        <v>28.587</v>
      </c>
      <c r="D3174" s="28">
        <v>2.9166666666666664E-2</v>
      </c>
    </row>
    <row r="3175" spans="1:4" x14ac:dyDescent="0.25">
      <c r="A3175" s="24" t="s">
        <v>97</v>
      </c>
      <c r="B3175" s="24" t="s">
        <v>69</v>
      </c>
      <c r="C3175" s="32">
        <v>27.594999999999999</v>
      </c>
      <c r="D3175" s="28">
        <v>2.7777777777777776E-2</v>
      </c>
    </row>
    <row r="3176" spans="1:4" x14ac:dyDescent="0.25">
      <c r="A3176" s="24" t="s">
        <v>97</v>
      </c>
      <c r="B3176" s="24" t="s">
        <v>70</v>
      </c>
      <c r="C3176" s="32">
        <v>28.664999999999999</v>
      </c>
      <c r="D3176" s="28">
        <v>2.8472222222222222E-2</v>
      </c>
    </row>
    <row r="3177" spans="1:4" x14ac:dyDescent="0.25">
      <c r="A3177" s="24" t="s">
        <v>97</v>
      </c>
      <c r="B3177" s="24" t="s">
        <v>71</v>
      </c>
      <c r="C3177" s="32">
        <v>28.172000000000001</v>
      </c>
      <c r="D3177" s="28">
        <v>2.8472222222222222E-2</v>
      </c>
    </row>
    <row r="3178" spans="1:4" x14ac:dyDescent="0.25">
      <c r="A3178" s="24" t="s">
        <v>97</v>
      </c>
      <c r="B3178" s="24" t="s">
        <v>72</v>
      </c>
      <c r="C3178" s="32">
        <v>30.335999999999999</v>
      </c>
      <c r="D3178" s="28">
        <v>3.125E-2</v>
      </c>
    </row>
    <row r="3179" spans="1:4" x14ac:dyDescent="0.25">
      <c r="A3179" s="24" t="s">
        <v>97</v>
      </c>
      <c r="B3179" s="24" t="s">
        <v>73</v>
      </c>
      <c r="C3179" s="32">
        <v>28.864000000000001</v>
      </c>
      <c r="D3179" s="28">
        <v>2.9166666666666664E-2</v>
      </c>
    </row>
    <row r="3180" spans="1:4" x14ac:dyDescent="0.25">
      <c r="A3180" s="24" t="s">
        <v>97</v>
      </c>
      <c r="B3180" s="24" t="s">
        <v>74</v>
      </c>
      <c r="C3180" s="32">
        <v>32.463999999999999</v>
      </c>
      <c r="D3180" s="28">
        <v>3.2638888888888891E-2</v>
      </c>
    </row>
    <row r="3181" spans="1:4" x14ac:dyDescent="0.25">
      <c r="A3181" s="24" t="s">
        <v>97</v>
      </c>
      <c r="B3181" s="24" t="s">
        <v>75</v>
      </c>
      <c r="C3181" s="32">
        <v>31.5</v>
      </c>
      <c r="D3181" s="28">
        <v>3.125E-2</v>
      </c>
    </row>
    <row r="3182" spans="1:4" x14ac:dyDescent="0.25">
      <c r="A3182" s="24" t="s">
        <v>97</v>
      </c>
      <c r="B3182" s="24" t="s">
        <v>76</v>
      </c>
      <c r="C3182" s="32">
        <v>35.606999999999999</v>
      </c>
      <c r="D3182" s="28">
        <v>3.6805555555555557E-2</v>
      </c>
    </row>
    <row r="3183" spans="1:4" x14ac:dyDescent="0.25">
      <c r="A3183" s="24" t="s">
        <v>97</v>
      </c>
      <c r="B3183" s="24" t="s">
        <v>77</v>
      </c>
      <c r="C3183" s="32">
        <v>34.204000000000001</v>
      </c>
      <c r="D3183" s="28">
        <v>3.1944444444444449E-2</v>
      </c>
    </row>
    <row r="3184" spans="1:4" x14ac:dyDescent="0.25">
      <c r="A3184" s="24" t="s">
        <v>97</v>
      </c>
      <c r="B3184" s="24" t="s">
        <v>78</v>
      </c>
      <c r="C3184" s="32">
        <v>28.928999999999998</v>
      </c>
      <c r="D3184" s="28">
        <v>2.8472222222222222E-2</v>
      </c>
    </row>
    <row r="3185" spans="1:4" x14ac:dyDescent="0.25">
      <c r="A3185" s="24" t="s">
        <v>97</v>
      </c>
      <c r="B3185" s="24" t="s">
        <v>79</v>
      </c>
      <c r="C3185" s="32">
        <v>49.036000000000001</v>
      </c>
      <c r="D3185" s="28">
        <v>4.9999999999999996E-2</v>
      </c>
    </row>
    <row r="3186" spans="1:4" x14ac:dyDescent="0.25">
      <c r="A3186" s="24" t="s">
        <v>97</v>
      </c>
      <c r="B3186" s="24" t="s">
        <v>80</v>
      </c>
      <c r="C3186" s="32">
        <v>23.742999999999999</v>
      </c>
      <c r="D3186" s="28">
        <v>1.9444444444444445E-2</v>
      </c>
    </row>
    <row r="3187" spans="1:4" x14ac:dyDescent="0.25">
      <c r="A3187" s="24" t="s">
        <v>97</v>
      </c>
      <c r="B3187" s="24" t="s">
        <v>81</v>
      </c>
      <c r="C3187" s="32">
        <v>28.265000000000001</v>
      </c>
      <c r="D3187" s="28">
        <v>2.2222222222222223E-2</v>
      </c>
    </row>
    <row r="3188" spans="1:4" x14ac:dyDescent="0.25">
      <c r="A3188" s="24" t="s">
        <v>97</v>
      </c>
      <c r="B3188" s="24" t="s">
        <v>82</v>
      </c>
      <c r="C3188" s="32">
        <v>28.317</v>
      </c>
      <c r="D3188" s="28">
        <v>2.2222222222222223E-2</v>
      </c>
    </row>
    <row r="3189" spans="1:4" x14ac:dyDescent="0.25">
      <c r="A3189" s="24" t="s">
        <v>97</v>
      </c>
      <c r="B3189" s="24" t="s">
        <v>83</v>
      </c>
      <c r="C3189" s="32">
        <v>27.748999999999999</v>
      </c>
      <c r="D3189" s="28">
        <v>2.5694444444444447E-2</v>
      </c>
    </row>
    <row r="3190" spans="1:4" x14ac:dyDescent="0.25">
      <c r="A3190" s="24" t="s">
        <v>97</v>
      </c>
      <c r="B3190" s="24" t="s">
        <v>84</v>
      </c>
      <c r="C3190" s="32">
        <v>29.669</v>
      </c>
      <c r="D3190" s="28">
        <v>2.8472222222222222E-2</v>
      </c>
    </row>
    <row r="3191" spans="1:4" x14ac:dyDescent="0.25">
      <c r="A3191" s="24" t="s">
        <v>97</v>
      </c>
      <c r="B3191" s="24" t="s">
        <v>85</v>
      </c>
      <c r="C3191" s="32">
        <v>30.52</v>
      </c>
      <c r="D3191" s="28">
        <v>2.8472222222222222E-2</v>
      </c>
    </row>
    <row r="3192" spans="1:4" x14ac:dyDescent="0.25">
      <c r="A3192" s="24" t="s">
        <v>97</v>
      </c>
      <c r="B3192" s="24" t="s">
        <v>86</v>
      </c>
      <c r="C3192" s="32">
        <v>28.146000000000001</v>
      </c>
      <c r="D3192" s="28">
        <v>2.5694444444444447E-2</v>
      </c>
    </row>
    <row r="3193" spans="1:4" x14ac:dyDescent="0.25">
      <c r="A3193" s="24" t="s">
        <v>97</v>
      </c>
      <c r="B3193" s="24" t="s">
        <v>87</v>
      </c>
      <c r="C3193" s="32">
        <v>28.260999999999999</v>
      </c>
      <c r="D3193" s="28">
        <v>2.5694444444444447E-2</v>
      </c>
    </row>
    <row r="3194" spans="1:4" x14ac:dyDescent="0.25">
      <c r="A3194" s="24" t="s">
        <v>97</v>
      </c>
      <c r="B3194" s="24" t="s">
        <v>88</v>
      </c>
      <c r="C3194" s="32">
        <v>29.64</v>
      </c>
      <c r="D3194" s="28">
        <v>2.7777777777777776E-2</v>
      </c>
    </row>
    <row r="3195" spans="1:4" x14ac:dyDescent="0.25">
      <c r="A3195" s="24" t="s">
        <v>97</v>
      </c>
      <c r="B3195" s="24" t="s">
        <v>89</v>
      </c>
      <c r="C3195" s="32">
        <v>29.216999999999999</v>
      </c>
      <c r="D3195" s="28">
        <v>2.7777777777777776E-2</v>
      </c>
    </row>
    <row r="3196" spans="1:4" x14ac:dyDescent="0.25">
      <c r="A3196" s="24" t="s">
        <v>97</v>
      </c>
      <c r="B3196" s="24" t="s">
        <v>90</v>
      </c>
      <c r="C3196" s="32">
        <v>21.059000000000001</v>
      </c>
      <c r="D3196" s="28">
        <v>1.8055555555555557E-2</v>
      </c>
    </row>
    <row r="3197" spans="1:4" x14ac:dyDescent="0.25">
      <c r="A3197" s="24" t="s">
        <v>97</v>
      </c>
      <c r="B3197" s="24" t="s">
        <v>91</v>
      </c>
      <c r="C3197" s="32">
        <v>29.419</v>
      </c>
      <c r="D3197" s="28">
        <v>2.8472222222222222E-2</v>
      </c>
    </row>
    <row r="3198" spans="1:4" x14ac:dyDescent="0.25">
      <c r="A3198" s="24" t="s">
        <v>97</v>
      </c>
      <c r="B3198" s="24" t="s">
        <v>92</v>
      </c>
      <c r="C3198" s="32">
        <v>28.373999999999999</v>
      </c>
      <c r="D3198" s="28">
        <v>2.4305555555555556E-2</v>
      </c>
    </row>
    <row r="3199" spans="1:4" x14ac:dyDescent="0.25">
      <c r="A3199" s="24" t="s">
        <v>97</v>
      </c>
      <c r="B3199" s="24" t="s">
        <v>93</v>
      </c>
      <c r="C3199" s="32">
        <v>44.572000000000003</v>
      </c>
      <c r="D3199" s="28">
        <v>3.3333333333333333E-2</v>
      </c>
    </row>
    <row r="3200" spans="1:4" x14ac:dyDescent="0.25">
      <c r="A3200" s="24" t="s">
        <v>97</v>
      </c>
      <c r="B3200" s="24" t="s">
        <v>94</v>
      </c>
      <c r="C3200" s="32">
        <v>45.201000000000001</v>
      </c>
      <c r="D3200" s="28">
        <v>3.4027777777777775E-2</v>
      </c>
    </row>
    <row r="3201" spans="1:4" x14ac:dyDescent="0.25">
      <c r="A3201" s="24" t="s">
        <v>97</v>
      </c>
      <c r="B3201" s="24" t="s">
        <v>95</v>
      </c>
      <c r="C3201" s="32">
        <v>28.600999999999999</v>
      </c>
      <c r="D3201" s="28">
        <v>2.361111111111111E-2</v>
      </c>
    </row>
    <row r="3202" spans="1:4" x14ac:dyDescent="0.25">
      <c r="A3202" s="24" t="s">
        <v>97</v>
      </c>
      <c r="B3202" s="24" t="s">
        <v>96</v>
      </c>
      <c r="C3202" s="32">
        <v>12.803000000000001</v>
      </c>
      <c r="D3202" s="28">
        <v>1.3194444444444444E-2</v>
      </c>
    </row>
    <row r="3203" spans="1:4" x14ac:dyDescent="0.25">
      <c r="A3203" s="24" t="s">
        <v>97</v>
      </c>
      <c r="B3203" s="24" t="s">
        <v>97</v>
      </c>
      <c r="C3203" s="32">
        <v>0</v>
      </c>
      <c r="D3203" s="28">
        <v>0</v>
      </c>
    </row>
    <row r="3204" spans="1:4" x14ac:dyDescent="0.25">
      <c r="A3204" s="24" t="s">
        <v>97</v>
      </c>
      <c r="B3204" s="24" t="s">
        <v>98</v>
      </c>
      <c r="C3204" s="32">
        <v>14.680999999999999</v>
      </c>
      <c r="D3204" s="28">
        <v>1.3888888888888888E-2</v>
      </c>
    </row>
    <row r="3205" spans="1:4" x14ac:dyDescent="0.25">
      <c r="A3205" s="24" t="s">
        <v>97</v>
      </c>
      <c r="B3205" s="24" t="s">
        <v>99</v>
      </c>
      <c r="C3205" s="32">
        <v>7.4050000000000002</v>
      </c>
      <c r="D3205" s="28">
        <v>7.6388888888888886E-3</v>
      </c>
    </row>
    <row r="3206" spans="1:4" x14ac:dyDescent="0.25">
      <c r="A3206" s="24" t="s">
        <v>97</v>
      </c>
      <c r="B3206" s="24" t="s">
        <v>100</v>
      </c>
      <c r="C3206" s="32">
        <v>24.734999999999999</v>
      </c>
      <c r="D3206" s="28">
        <v>2.013888888888889E-2</v>
      </c>
    </row>
    <row r="3207" spans="1:4" x14ac:dyDescent="0.25">
      <c r="A3207" s="24" t="s">
        <v>97</v>
      </c>
      <c r="B3207" s="24" t="s">
        <v>101</v>
      </c>
      <c r="C3207" s="32">
        <v>12.847</v>
      </c>
      <c r="D3207" s="28">
        <v>1.1805555555555555E-2</v>
      </c>
    </row>
    <row r="3208" spans="1:4" x14ac:dyDescent="0.25">
      <c r="A3208" s="24" t="s">
        <v>97</v>
      </c>
      <c r="B3208" s="24" t="s">
        <v>102</v>
      </c>
      <c r="C3208" s="32">
        <v>12.717000000000001</v>
      </c>
      <c r="D3208" s="28">
        <v>1.3194444444444444E-2</v>
      </c>
    </row>
    <row r="3209" spans="1:4" x14ac:dyDescent="0.25">
      <c r="A3209" s="24" t="s">
        <v>97</v>
      </c>
      <c r="B3209" s="24" t="s">
        <v>103</v>
      </c>
      <c r="C3209" s="32">
        <v>29.465</v>
      </c>
      <c r="D3209" s="28">
        <v>2.361111111111111E-2</v>
      </c>
    </row>
    <row r="3210" spans="1:4" x14ac:dyDescent="0.25">
      <c r="A3210" s="24" t="s">
        <v>97</v>
      </c>
      <c r="B3210" s="24" t="s">
        <v>104</v>
      </c>
      <c r="C3210" s="32">
        <v>25.861999999999998</v>
      </c>
      <c r="D3210" s="28">
        <v>2.1527777777777781E-2</v>
      </c>
    </row>
    <row r="3211" spans="1:4" x14ac:dyDescent="0.25">
      <c r="A3211" s="24" t="s">
        <v>97</v>
      </c>
      <c r="B3211" s="24" t="s">
        <v>105</v>
      </c>
      <c r="C3211" s="32">
        <v>28.861999999999998</v>
      </c>
      <c r="D3211" s="28">
        <v>2.8472222222222222E-2</v>
      </c>
    </row>
    <row r="3212" spans="1:4" x14ac:dyDescent="0.25">
      <c r="A3212" s="24" t="s">
        <v>97</v>
      </c>
      <c r="B3212" s="24" t="s">
        <v>106</v>
      </c>
      <c r="C3212" s="32">
        <v>23.634</v>
      </c>
      <c r="D3212" s="28">
        <v>2.2222222222222223E-2</v>
      </c>
    </row>
    <row r="3213" spans="1:4" x14ac:dyDescent="0.25">
      <c r="A3213" s="24" t="s">
        <v>97</v>
      </c>
      <c r="B3213" s="24" t="s">
        <v>107</v>
      </c>
      <c r="C3213" s="32">
        <v>35.046999999999997</v>
      </c>
      <c r="D3213" s="28">
        <v>3.125E-2</v>
      </c>
    </row>
    <row r="3214" spans="1:4" x14ac:dyDescent="0.25">
      <c r="A3214" s="24" t="s">
        <v>97</v>
      </c>
      <c r="B3214" s="24" t="s">
        <v>108</v>
      </c>
      <c r="C3214" s="32">
        <v>35.643999999999998</v>
      </c>
      <c r="D3214" s="28">
        <v>3.0555555555555555E-2</v>
      </c>
    </row>
    <row r="3215" spans="1:4" x14ac:dyDescent="0.25">
      <c r="A3215" s="24" t="s">
        <v>97</v>
      </c>
      <c r="B3215" s="24" t="s">
        <v>109</v>
      </c>
      <c r="C3215" s="32">
        <v>35.613999999999997</v>
      </c>
      <c r="D3215" s="28">
        <v>3.0555555555555555E-2</v>
      </c>
    </row>
    <row r="3216" spans="1:4" x14ac:dyDescent="0.25">
      <c r="A3216" s="24" t="s">
        <v>97</v>
      </c>
      <c r="B3216" s="24" t="s">
        <v>110</v>
      </c>
      <c r="C3216" s="32">
        <v>28.771999999999998</v>
      </c>
      <c r="D3216" s="28">
        <v>2.7083333333333334E-2</v>
      </c>
    </row>
    <row r="3217" spans="1:4" x14ac:dyDescent="0.25">
      <c r="A3217" s="24" t="s">
        <v>97</v>
      </c>
      <c r="B3217" s="24" t="s">
        <v>111</v>
      </c>
      <c r="C3217" s="32">
        <v>31.222999999999999</v>
      </c>
      <c r="D3217" s="28">
        <v>2.4305555555555556E-2</v>
      </c>
    </row>
    <row r="3218" spans="1:4" x14ac:dyDescent="0.25">
      <c r="A3218" s="24" t="s">
        <v>97</v>
      </c>
      <c r="B3218" s="24" t="s">
        <v>112</v>
      </c>
      <c r="C3218" s="32">
        <v>34.720999999999997</v>
      </c>
      <c r="D3218" s="28">
        <v>2.9861111111111113E-2</v>
      </c>
    </row>
    <row r="3219" spans="1:4" x14ac:dyDescent="0.25">
      <c r="A3219" s="24" t="s">
        <v>97</v>
      </c>
      <c r="B3219" s="24" t="s">
        <v>113</v>
      </c>
      <c r="C3219" s="32">
        <v>38.344999999999999</v>
      </c>
      <c r="D3219" s="28">
        <v>3.1944444444444449E-2</v>
      </c>
    </row>
    <row r="3220" spans="1:4" x14ac:dyDescent="0.25">
      <c r="A3220" s="24" t="s">
        <v>97</v>
      </c>
      <c r="B3220" s="24" t="s">
        <v>114</v>
      </c>
      <c r="C3220" s="32">
        <v>23.57</v>
      </c>
      <c r="D3220" s="28">
        <v>1.9444444444444445E-2</v>
      </c>
    </row>
    <row r="3221" spans="1:4" x14ac:dyDescent="0.25">
      <c r="A3221" s="24" t="s">
        <v>97</v>
      </c>
      <c r="B3221" s="24" t="s">
        <v>115</v>
      </c>
      <c r="C3221" s="32">
        <v>23.021999999999998</v>
      </c>
      <c r="D3221" s="28">
        <v>1.9444444444444445E-2</v>
      </c>
    </row>
    <row r="3222" spans="1:4" x14ac:dyDescent="0.25">
      <c r="A3222" s="24" t="s">
        <v>97</v>
      </c>
      <c r="B3222" s="24" t="s">
        <v>116</v>
      </c>
      <c r="C3222" s="32">
        <v>26.838000000000001</v>
      </c>
      <c r="D3222" s="28">
        <v>2.2916666666666669E-2</v>
      </c>
    </row>
    <row r="3223" spans="1:4" x14ac:dyDescent="0.25">
      <c r="A3223" s="24" t="s">
        <v>97</v>
      </c>
      <c r="B3223" s="24" t="s">
        <v>117</v>
      </c>
      <c r="C3223" s="32">
        <v>28.105</v>
      </c>
      <c r="D3223" s="28">
        <v>2.4305555555555556E-2</v>
      </c>
    </row>
    <row r="3224" spans="1:4" x14ac:dyDescent="0.25">
      <c r="A3224" s="24" t="s">
        <v>97</v>
      </c>
      <c r="B3224" s="24" t="s">
        <v>118</v>
      </c>
      <c r="C3224" s="32">
        <v>33.487000000000002</v>
      </c>
      <c r="D3224" s="28">
        <v>2.8472222222222222E-2</v>
      </c>
    </row>
    <row r="3225" spans="1:4" x14ac:dyDescent="0.25">
      <c r="A3225" s="24" t="s">
        <v>97</v>
      </c>
      <c r="B3225" s="24" t="s">
        <v>119</v>
      </c>
      <c r="C3225" s="32">
        <v>42.679000000000002</v>
      </c>
      <c r="D3225" s="28">
        <v>3.125E-2</v>
      </c>
    </row>
    <row r="3226" spans="1:4" x14ac:dyDescent="0.25">
      <c r="A3226" s="24" t="s">
        <v>97</v>
      </c>
      <c r="B3226" s="24" t="s">
        <v>120</v>
      </c>
      <c r="C3226" s="32">
        <v>47.64</v>
      </c>
      <c r="D3226" s="28">
        <v>3.6805555555555557E-2</v>
      </c>
    </row>
    <row r="3227" spans="1:4" x14ac:dyDescent="0.25">
      <c r="A3227" s="24" t="s">
        <v>97</v>
      </c>
      <c r="B3227" s="24" t="s">
        <v>121</v>
      </c>
      <c r="C3227" s="32">
        <v>60.905999999999999</v>
      </c>
      <c r="D3227" s="28">
        <v>4.4444444444444446E-2</v>
      </c>
    </row>
    <row r="3228" spans="1:4" x14ac:dyDescent="0.25">
      <c r="A3228" s="24" t="s">
        <v>97</v>
      </c>
      <c r="B3228" s="24" t="s">
        <v>122</v>
      </c>
      <c r="C3228" s="32">
        <v>43.442999999999998</v>
      </c>
      <c r="D3228" s="28">
        <v>3.2638888888888891E-2</v>
      </c>
    </row>
    <row r="3229" spans="1:4" x14ac:dyDescent="0.25">
      <c r="A3229" s="24" t="s">
        <v>97</v>
      </c>
      <c r="B3229" s="24" t="s">
        <v>123</v>
      </c>
      <c r="C3229" s="32">
        <v>54.491</v>
      </c>
      <c r="D3229" s="28">
        <v>4.027777777777778E-2</v>
      </c>
    </row>
    <row r="3230" spans="1:4" x14ac:dyDescent="0.25">
      <c r="A3230" s="24" t="s">
        <v>97</v>
      </c>
      <c r="B3230" s="24" t="s">
        <v>124</v>
      </c>
      <c r="C3230" s="32">
        <v>54.491</v>
      </c>
      <c r="D3230" s="28">
        <v>4.027777777777778E-2</v>
      </c>
    </row>
    <row r="3231" spans="1:4" x14ac:dyDescent="0.25">
      <c r="A3231" s="24" t="s">
        <v>97</v>
      </c>
      <c r="B3231" s="24" t="s">
        <v>125</v>
      </c>
      <c r="C3231" s="32">
        <v>22.356000000000002</v>
      </c>
      <c r="D3231" s="28">
        <v>2.2222222222222223E-2</v>
      </c>
    </row>
    <row r="3232" spans="1:4" x14ac:dyDescent="0.25">
      <c r="A3232" s="24" t="s">
        <v>97</v>
      </c>
      <c r="B3232" s="24" t="s">
        <v>126</v>
      </c>
      <c r="C3232" s="32">
        <v>22.094000000000001</v>
      </c>
      <c r="D3232" s="28">
        <v>2.1527777777777781E-2</v>
      </c>
    </row>
    <row r="3233" spans="1:4" x14ac:dyDescent="0.25">
      <c r="A3233" s="24" t="s">
        <v>97</v>
      </c>
      <c r="B3233" s="24" t="s">
        <v>127</v>
      </c>
      <c r="C3233" s="32">
        <v>23.076000000000001</v>
      </c>
      <c r="D3233" s="28">
        <v>2.0833333333333332E-2</v>
      </c>
    </row>
    <row r="3234" spans="1:4" x14ac:dyDescent="0.25">
      <c r="A3234" s="24" t="s">
        <v>97</v>
      </c>
      <c r="B3234" s="24" t="s">
        <v>128</v>
      </c>
      <c r="C3234" s="32">
        <v>25.314</v>
      </c>
      <c r="D3234" s="28">
        <v>2.2916666666666669E-2</v>
      </c>
    </row>
    <row r="3235" spans="1:4" x14ac:dyDescent="0.25">
      <c r="A3235" s="24" t="s">
        <v>97</v>
      </c>
      <c r="B3235" s="24" t="s">
        <v>129</v>
      </c>
      <c r="C3235" s="32">
        <v>25.314</v>
      </c>
      <c r="D3235" s="28">
        <v>2.2916666666666669E-2</v>
      </c>
    </row>
    <row r="3236" spans="1:4" x14ac:dyDescent="0.25">
      <c r="A3236" s="24" t="s">
        <v>97</v>
      </c>
      <c r="B3236" s="24" t="s">
        <v>130</v>
      </c>
      <c r="C3236" s="32">
        <v>22.757000000000001</v>
      </c>
      <c r="D3236" s="28">
        <v>2.361111111111111E-2</v>
      </c>
    </row>
    <row r="3237" spans="1:4" x14ac:dyDescent="0.25">
      <c r="A3237" s="24" t="s">
        <v>97</v>
      </c>
      <c r="B3237" s="24" t="s">
        <v>131</v>
      </c>
      <c r="C3237" s="32">
        <v>22.957999999999998</v>
      </c>
      <c r="D3237" s="28">
        <v>2.2222222222222223E-2</v>
      </c>
    </row>
    <row r="3238" spans="1:4" x14ac:dyDescent="0.25">
      <c r="A3238" s="24" t="s">
        <v>97</v>
      </c>
      <c r="B3238" s="24" t="s">
        <v>132</v>
      </c>
      <c r="C3238" s="32">
        <v>21.081</v>
      </c>
      <c r="D3238" s="28">
        <v>1.9444444444444445E-2</v>
      </c>
    </row>
    <row r="3239" spans="1:4" x14ac:dyDescent="0.25">
      <c r="A3239" s="24" t="s">
        <v>97</v>
      </c>
      <c r="B3239" s="24" t="s">
        <v>133</v>
      </c>
      <c r="C3239" s="32">
        <v>33.155000000000001</v>
      </c>
      <c r="D3239" s="28">
        <v>3.125E-2</v>
      </c>
    </row>
    <row r="3240" spans="1:4" x14ac:dyDescent="0.25">
      <c r="A3240" s="24" t="s">
        <v>97</v>
      </c>
      <c r="B3240" s="24" t="s">
        <v>134</v>
      </c>
      <c r="C3240" s="32">
        <v>32.689</v>
      </c>
      <c r="D3240" s="28">
        <v>3.0555555555555555E-2</v>
      </c>
    </row>
    <row r="3241" spans="1:4" x14ac:dyDescent="0.25">
      <c r="A3241" s="24" t="s">
        <v>97</v>
      </c>
      <c r="B3241" s="24" t="s">
        <v>135</v>
      </c>
      <c r="C3241" s="32">
        <v>33.232999999999997</v>
      </c>
      <c r="D3241" s="28">
        <v>3.1944444444444449E-2</v>
      </c>
    </row>
    <row r="3242" spans="1:4" x14ac:dyDescent="0.25">
      <c r="A3242" s="24" t="s">
        <v>97</v>
      </c>
      <c r="B3242" s="24" t="s">
        <v>136</v>
      </c>
      <c r="C3242" s="32">
        <v>33.232999999999997</v>
      </c>
      <c r="D3242" s="28">
        <v>3.1944444444444449E-2</v>
      </c>
    </row>
    <row r="3243" spans="1:4" x14ac:dyDescent="0.25">
      <c r="A3243" s="24" t="s">
        <v>97</v>
      </c>
      <c r="B3243" s="24" t="s">
        <v>137</v>
      </c>
      <c r="C3243" s="32">
        <v>32.841999999999999</v>
      </c>
      <c r="D3243" s="28">
        <v>3.125E-2</v>
      </c>
    </row>
    <row r="3244" spans="1:4" x14ac:dyDescent="0.25">
      <c r="A3244" s="24" t="s">
        <v>97</v>
      </c>
      <c r="B3244" s="24" t="s">
        <v>138</v>
      </c>
      <c r="C3244" s="32">
        <v>37.932000000000002</v>
      </c>
      <c r="D3244" s="28">
        <v>3.2638888888888891E-2</v>
      </c>
    </row>
    <row r="3245" spans="1:4" x14ac:dyDescent="0.25">
      <c r="A3245" s="24" t="s">
        <v>97</v>
      </c>
      <c r="B3245" s="24" t="s">
        <v>139</v>
      </c>
      <c r="C3245" s="32">
        <v>48.052999999999997</v>
      </c>
      <c r="D3245" s="28">
        <v>3.888888888888889E-2</v>
      </c>
    </row>
    <row r="3246" spans="1:4" x14ac:dyDescent="0.25">
      <c r="A3246" s="24" t="s">
        <v>97</v>
      </c>
      <c r="B3246" s="24" t="s">
        <v>140</v>
      </c>
      <c r="C3246" s="32">
        <v>43.658000000000001</v>
      </c>
      <c r="D3246" s="28">
        <v>3.7499999999999999E-2</v>
      </c>
    </row>
    <row r="3247" spans="1:4" x14ac:dyDescent="0.25">
      <c r="A3247" s="24" t="s">
        <v>97</v>
      </c>
      <c r="B3247" s="24" t="s">
        <v>141</v>
      </c>
      <c r="C3247" s="32">
        <v>72.763999999999996</v>
      </c>
      <c r="D3247" s="28">
        <v>5.7638888888888885E-2</v>
      </c>
    </row>
    <row r="3248" spans="1:4" x14ac:dyDescent="0.25">
      <c r="A3248" s="24" t="s">
        <v>97</v>
      </c>
      <c r="B3248" s="24" t="s">
        <v>142</v>
      </c>
      <c r="C3248" s="32">
        <v>62.65</v>
      </c>
      <c r="D3248" s="28">
        <v>4.9999999999999996E-2</v>
      </c>
    </row>
    <row r="3249" spans="1:4" x14ac:dyDescent="0.25">
      <c r="A3249" s="24" t="s">
        <v>97</v>
      </c>
      <c r="B3249" s="24" t="s">
        <v>143</v>
      </c>
      <c r="C3249" s="32">
        <v>81.028000000000006</v>
      </c>
      <c r="D3249" s="28">
        <v>5.7638888888888885E-2</v>
      </c>
    </row>
    <row r="3250" spans="1:4" x14ac:dyDescent="0.25">
      <c r="A3250" s="24" t="s">
        <v>97</v>
      </c>
      <c r="B3250" s="24" t="s">
        <v>144</v>
      </c>
      <c r="C3250" s="32">
        <v>100.14400000000001</v>
      </c>
      <c r="D3250" s="28">
        <v>6.805555555555555E-2</v>
      </c>
    </row>
    <row r="3251" spans="1:4" x14ac:dyDescent="0.25">
      <c r="A3251" s="24" t="s">
        <v>97</v>
      </c>
      <c r="B3251" s="24" t="s">
        <v>145</v>
      </c>
      <c r="C3251" s="32">
        <v>52.738999999999997</v>
      </c>
      <c r="D3251" s="28">
        <v>4.1666666666666664E-2</v>
      </c>
    </row>
    <row r="3252" spans="1:4" x14ac:dyDescent="0.25">
      <c r="A3252" s="24" t="s">
        <v>97</v>
      </c>
      <c r="B3252" s="24" t="s">
        <v>146</v>
      </c>
      <c r="C3252" s="32">
        <v>68.197999999999993</v>
      </c>
      <c r="D3252" s="28">
        <v>4.9999999999999996E-2</v>
      </c>
    </row>
    <row r="3253" spans="1:4" x14ac:dyDescent="0.25">
      <c r="A3253" s="24" t="s">
        <v>97</v>
      </c>
      <c r="B3253" s="24" t="s">
        <v>147</v>
      </c>
      <c r="C3253" s="32">
        <v>23.61</v>
      </c>
      <c r="D3253" s="28">
        <v>2.1527777777777781E-2</v>
      </c>
    </row>
    <row r="3254" spans="1:4" x14ac:dyDescent="0.25">
      <c r="A3254" s="24" t="s">
        <v>97</v>
      </c>
      <c r="B3254" s="24" t="s">
        <v>148</v>
      </c>
      <c r="C3254" s="32">
        <v>25.23</v>
      </c>
      <c r="D3254" s="28">
        <v>2.361111111111111E-2</v>
      </c>
    </row>
    <row r="3255" spans="1:4" x14ac:dyDescent="0.25">
      <c r="A3255" s="24" t="s">
        <v>97</v>
      </c>
      <c r="B3255" s="24" t="s">
        <v>149</v>
      </c>
      <c r="C3255" s="32">
        <v>21.187000000000001</v>
      </c>
      <c r="D3255" s="28">
        <v>1.9444444444444445E-2</v>
      </c>
    </row>
    <row r="3256" spans="1:4" x14ac:dyDescent="0.25">
      <c r="A3256" s="24" t="s">
        <v>97</v>
      </c>
      <c r="B3256" s="24" t="s">
        <v>150</v>
      </c>
      <c r="C3256" s="32">
        <v>28.007999999999999</v>
      </c>
      <c r="D3256" s="28">
        <v>2.7083333333333334E-2</v>
      </c>
    </row>
    <row r="3257" spans="1:4" x14ac:dyDescent="0.25">
      <c r="A3257" s="24" t="s">
        <v>97</v>
      </c>
      <c r="B3257" s="24" t="s">
        <v>151</v>
      </c>
      <c r="C3257" s="32">
        <v>29.792000000000002</v>
      </c>
      <c r="D3257" s="28">
        <v>2.7083333333333334E-2</v>
      </c>
    </row>
    <row r="3258" spans="1:4" x14ac:dyDescent="0.25">
      <c r="A3258" s="24" t="s">
        <v>97</v>
      </c>
      <c r="B3258" s="24" t="s">
        <v>152</v>
      </c>
      <c r="C3258" s="32">
        <v>25.524999999999999</v>
      </c>
      <c r="D3258" s="28">
        <v>2.4305555555555556E-2</v>
      </c>
    </row>
    <row r="3259" spans="1:4" x14ac:dyDescent="0.25">
      <c r="A3259" s="24" t="s">
        <v>97</v>
      </c>
      <c r="B3259" s="24" t="s">
        <v>153</v>
      </c>
      <c r="C3259" s="32">
        <v>30.052</v>
      </c>
      <c r="D3259" s="28">
        <v>3.0555555555555555E-2</v>
      </c>
    </row>
    <row r="3260" spans="1:4" x14ac:dyDescent="0.25">
      <c r="A3260" s="24" t="s">
        <v>97</v>
      </c>
      <c r="B3260" s="24" t="s">
        <v>154</v>
      </c>
      <c r="C3260" s="32">
        <v>24.861000000000001</v>
      </c>
      <c r="D3260" s="28">
        <v>2.4305555555555556E-2</v>
      </c>
    </row>
    <row r="3261" spans="1:4" x14ac:dyDescent="0.25">
      <c r="A3261" s="24" t="s">
        <v>97</v>
      </c>
      <c r="B3261" s="24" t="s">
        <v>155</v>
      </c>
      <c r="C3261" s="32">
        <v>30.396000000000001</v>
      </c>
      <c r="D3261" s="28">
        <v>2.7777777777777776E-2</v>
      </c>
    </row>
    <row r="3262" spans="1:4" x14ac:dyDescent="0.25">
      <c r="A3262" s="24" t="s">
        <v>97</v>
      </c>
      <c r="B3262" s="24" t="s">
        <v>156</v>
      </c>
      <c r="C3262" s="32">
        <v>30.38</v>
      </c>
      <c r="D3262" s="28">
        <v>2.7777777777777776E-2</v>
      </c>
    </row>
    <row r="3263" spans="1:4" x14ac:dyDescent="0.25">
      <c r="A3263" s="24" t="s">
        <v>97</v>
      </c>
      <c r="B3263" s="24" t="s">
        <v>157</v>
      </c>
      <c r="C3263" s="32">
        <v>14.801</v>
      </c>
      <c r="D3263" s="28">
        <v>1.2499999999999999E-2</v>
      </c>
    </row>
    <row r="3264" spans="1:4" x14ac:dyDescent="0.25">
      <c r="A3264" s="24" t="s">
        <v>97</v>
      </c>
      <c r="B3264" s="24" t="s">
        <v>158</v>
      </c>
      <c r="C3264" s="32">
        <v>20.625</v>
      </c>
      <c r="D3264" s="28">
        <v>1.8055555555555557E-2</v>
      </c>
    </row>
    <row r="3265" spans="1:4" x14ac:dyDescent="0.25">
      <c r="A3265" s="24" t="s">
        <v>97</v>
      </c>
      <c r="B3265" s="24" t="s">
        <v>159</v>
      </c>
      <c r="C3265" s="32">
        <v>16.497</v>
      </c>
      <c r="D3265" s="28">
        <v>1.8055555555555557E-2</v>
      </c>
    </row>
    <row r="3266" spans="1:4" x14ac:dyDescent="0.25">
      <c r="A3266" s="24" t="s">
        <v>98</v>
      </c>
      <c r="B3266" s="24" t="s">
        <v>65</v>
      </c>
      <c r="C3266" s="32">
        <v>13.552</v>
      </c>
      <c r="D3266" s="28">
        <v>1.1111111111111112E-2</v>
      </c>
    </row>
    <row r="3267" spans="1:4" x14ac:dyDescent="0.25">
      <c r="A3267" s="24" t="s">
        <v>98</v>
      </c>
      <c r="B3267" s="24" t="s">
        <v>64</v>
      </c>
      <c r="C3267" s="32">
        <v>19.419</v>
      </c>
      <c r="D3267" s="28">
        <v>1.6666666666666666E-2</v>
      </c>
    </row>
    <row r="3268" spans="1:4" x14ac:dyDescent="0.25">
      <c r="A3268" s="24" t="s">
        <v>98</v>
      </c>
      <c r="B3268" s="24" t="s">
        <v>66</v>
      </c>
      <c r="C3268" s="32">
        <v>24.254999999999999</v>
      </c>
      <c r="D3268" s="28">
        <v>2.2222222222222223E-2</v>
      </c>
    </row>
    <row r="3269" spans="1:4" x14ac:dyDescent="0.25">
      <c r="A3269" s="24" t="s">
        <v>98</v>
      </c>
      <c r="B3269" s="24" t="s">
        <v>67</v>
      </c>
      <c r="C3269" s="32">
        <v>23.279</v>
      </c>
      <c r="D3269" s="28">
        <v>2.2916666666666669E-2</v>
      </c>
    </row>
    <row r="3270" spans="1:4" x14ac:dyDescent="0.25">
      <c r="A3270" s="24" t="s">
        <v>98</v>
      </c>
      <c r="B3270" s="24" t="s">
        <v>68</v>
      </c>
      <c r="C3270" s="32">
        <v>23.105</v>
      </c>
      <c r="D3270" s="28">
        <v>2.2916666666666669E-2</v>
      </c>
    </row>
    <row r="3271" spans="1:4" x14ac:dyDescent="0.25">
      <c r="A3271" s="24" t="s">
        <v>98</v>
      </c>
      <c r="B3271" s="24" t="s">
        <v>69</v>
      </c>
      <c r="C3271" s="32">
        <v>22.113</v>
      </c>
      <c r="D3271" s="28">
        <v>2.1527777777777781E-2</v>
      </c>
    </row>
    <row r="3272" spans="1:4" x14ac:dyDescent="0.25">
      <c r="A3272" s="24" t="s">
        <v>98</v>
      </c>
      <c r="B3272" s="24" t="s">
        <v>70</v>
      </c>
      <c r="C3272" s="32">
        <v>23.183</v>
      </c>
      <c r="D3272" s="28">
        <v>2.2222222222222223E-2</v>
      </c>
    </row>
    <row r="3273" spans="1:4" x14ac:dyDescent="0.25">
      <c r="A3273" s="24" t="s">
        <v>98</v>
      </c>
      <c r="B3273" s="24" t="s">
        <v>71</v>
      </c>
      <c r="C3273" s="32">
        <v>22.69</v>
      </c>
      <c r="D3273" s="28">
        <v>2.2222222222222223E-2</v>
      </c>
    </row>
    <row r="3274" spans="1:4" x14ac:dyDescent="0.25">
      <c r="A3274" s="24" t="s">
        <v>98</v>
      </c>
      <c r="B3274" s="24" t="s">
        <v>72</v>
      </c>
      <c r="C3274" s="32">
        <v>24.512</v>
      </c>
      <c r="D3274" s="28">
        <v>2.4999999999999998E-2</v>
      </c>
    </row>
    <row r="3275" spans="1:4" x14ac:dyDescent="0.25">
      <c r="A3275" s="24" t="s">
        <v>98</v>
      </c>
      <c r="B3275" s="24" t="s">
        <v>73</v>
      </c>
      <c r="C3275" s="32">
        <v>23.04</v>
      </c>
      <c r="D3275" s="28">
        <v>2.2222222222222223E-2</v>
      </c>
    </row>
    <row r="3276" spans="1:4" x14ac:dyDescent="0.25">
      <c r="A3276" s="24" t="s">
        <v>98</v>
      </c>
      <c r="B3276" s="24" t="s">
        <v>74</v>
      </c>
      <c r="C3276" s="32">
        <v>26.64</v>
      </c>
      <c r="D3276" s="28">
        <v>2.6388888888888889E-2</v>
      </c>
    </row>
    <row r="3277" spans="1:4" x14ac:dyDescent="0.25">
      <c r="A3277" s="24" t="s">
        <v>98</v>
      </c>
      <c r="B3277" s="24" t="s">
        <v>75</v>
      </c>
      <c r="C3277" s="32">
        <v>25.675999999999998</v>
      </c>
      <c r="D3277" s="28">
        <v>2.4305555555555556E-2</v>
      </c>
    </row>
    <row r="3278" spans="1:4" x14ac:dyDescent="0.25">
      <c r="A3278" s="24" t="s">
        <v>98</v>
      </c>
      <c r="B3278" s="24" t="s">
        <v>76</v>
      </c>
      <c r="C3278" s="32">
        <v>29.783000000000001</v>
      </c>
      <c r="D3278" s="28">
        <v>3.0555555555555555E-2</v>
      </c>
    </row>
    <row r="3279" spans="1:4" x14ac:dyDescent="0.25">
      <c r="A3279" s="24" t="s">
        <v>98</v>
      </c>
      <c r="B3279" s="24" t="s">
        <v>77</v>
      </c>
      <c r="C3279" s="32">
        <v>28.405999999999999</v>
      </c>
      <c r="D3279" s="28">
        <v>2.5694444444444447E-2</v>
      </c>
    </row>
    <row r="3280" spans="1:4" x14ac:dyDescent="0.25">
      <c r="A3280" s="24" t="s">
        <v>98</v>
      </c>
      <c r="B3280" s="24" t="s">
        <v>78</v>
      </c>
      <c r="C3280" s="32">
        <v>23.446999999999999</v>
      </c>
      <c r="D3280" s="28">
        <v>2.2222222222222223E-2</v>
      </c>
    </row>
    <row r="3281" spans="1:4" x14ac:dyDescent="0.25">
      <c r="A3281" s="24" t="s">
        <v>98</v>
      </c>
      <c r="B3281" s="24" t="s">
        <v>79</v>
      </c>
      <c r="C3281" s="32">
        <v>41.813000000000002</v>
      </c>
      <c r="D3281" s="28">
        <v>3.888888888888889E-2</v>
      </c>
    </row>
    <row r="3282" spans="1:4" x14ac:dyDescent="0.25">
      <c r="A3282" s="24" t="s">
        <v>98</v>
      </c>
      <c r="B3282" s="24" t="s">
        <v>80</v>
      </c>
      <c r="C3282" s="32">
        <v>11.57</v>
      </c>
      <c r="D3282" s="28">
        <v>9.7222222222222224E-3</v>
      </c>
    </row>
    <row r="3283" spans="1:4" x14ac:dyDescent="0.25">
      <c r="A3283" s="24" t="s">
        <v>98</v>
      </c>
      <c r="B3283" s="24" t="s">
        <v>81</v>
      </c>
      <c r="C3283" s="32">
        <v>16.091999999999999</v>
      </c>
      <c r="D3283" s="28">
        <v>1.2499999999999999E-2</v>
      </c>
    </row>
    <row r="3284" spans="1:4" x14ac:dyDescent="0.25">
      <c r="A3284" s="24" t="s">
        <v>98</v>
      </c>
      <c r="B3284" s="24" t="s">
        <v>82</v>
      </c>
      <c r="C3284" s="32">
        <v>16.143999999999998</v>
      </c>
      <c r="D3284" s="28">
        <v>1.2499999999999999E-2</v>
      </c>
    </row>
    <row r="3285" spans="1:4" x14ac:dyDescent="0.25">
      <c r="A3285" s="24" t="s">
        <v>98</v>
      </c>
      <c r="B3285" s="24" t="s">
        <v>83</v>
      </c>
      <c r="C3285" s="32">
        <v>23.925999999999998</v>
      </c>
      <c r="D3285" s="28">
        <v>1.8749999999999999E-2</v>
      </c>
    </row>
    <row r="3286" spans="1:4" x14ac:dyDescent="0.25">
      <c r="A3286" s="24" t="s">
        <v>98</v>
      </c>
      <c r="B3286" s="24" t="s">
        <v>84</v>
      </c>
      <c r="C3286" s="32">
        <v>23.844999999999999</v>
      </c>
      <c r="D3286" s="28">
        <v>2.2222222222222223E-2</v>
      </c>
    </row>
    <row r="3287" spans="1:4" x14ac:dyDescent="0.25">
      <c r="A3287" s="24" t="s">
        <v>98</v>
      </c>
      <c r="B3287" s="24" t="s">
        <v>85</v>
      </c>
      <c r="C3287" s="32">
        <v>24.696000000000002</v>
      </c>
      <c r="D3287" s="28">
        <v>2.2222222222222223E-2</v>
      </c>
    </row>
    <row r="3288" spans="1:4" x14ac:dyDescent="0.25">
      <c r="A3288" s="24" t="s">
        <v>98</v>
      </c>
      <c r="B3288" s="24" t="s">
        <v>86</v>
      </c>
      <c r="C3288" s="32">
        <v>22.321999999999999</v>
      </c>
      <c r="D3288" s="28">
        <v>1.9444444444444445E-2</v>
      </c>
    </row>
    <row r="3289" spans="1:4" x14ac:dyDescent="0.25">
      <c r="A3289" s="24" t="s">
        <v>98</v>
      </c>
      <c r="B3289" s="24" t="s">
        <v>87</v>
      </c>
      <c r="C3289" s="32">
        <v>22.437000000000001</v>
      </c>
      <c r="D3289" s="28">
        <v>1.9444444444444445E-2</v>
      </c>
    </row>
    <row r="3290" spans="1:4" x14ac:dyDescent="0.25">
      <c r="A3290" s="24" t="s">
        <v>98</v>
      </c>
      <c r="B3290" s="24" t="s">
        <v>88</v>
      </c>
      <c r="C3290" s="32">
        <v>23.815999999999999</v>
      </c>
      <c r="D3290" s="28">
        <v>2.0833333333333332E-2</v>
      </c>
    </row>
    <row r="3291" spans="1:4" x14ac:dyDescent="0.25">
      <c r="A3291" s="24" t="s">
        <v>98</v>
      </c>
      <c r="B3291" s="24" t="s">
        <v>89</v>
      </c>
      <c r="C3291" s="32">
        <v>20.945</v>
      </c>
      <c r="D3291" s="28">
        <v>1.7361111111111112E-2</v>
      </c>
    </row>
    <row r="3292" spans="1:4" x14ac:dyDescent="0.25">
      <c r="A3292" s="24" t="s">
        <v>98</v>
      </c>
      <c r="B3292" s="24" t="s">
        <v>90</v>
      </c>
      <c r="C3292" s="32">
        <v>8.8859999999999992</v>
      </c>
      <c r="D3292" s="28">
        <v>8.3333333333333332E-3</v>
      </c>
    </row>
    <row r="3293" spans="1:4" x14ac:dyDescent="0.25">
      <c r="A3293" s="24" t="s">
        <v>98</v>
      </c>
      <c r="B3293" s="24" t="s">
        <v>91</v>
      </c>
      <c r="C3293" s="32">
        <v>23.388999999999999</v>
      </c>
      <c r="D3293" s="28">
        <v>2.013888888888889E-2</v>
      </c>
    </row>
    <row r="3294" spans="1:4" x14ac:dyDescent="0.25">
      <c r="A3294" s="24" t="s">
        <v>98</v>
      </c>
      <c r="B3294" s="24" t="s">
        <v>92</v>
      </c>
      <c r="C3294" s="32">
        <v>16.201000000000001</v>
      </c>
      <c r="D3294" s="28">
        <v>1.3888888888888888E-2</v>
      </c>
    </row>
    <row r="3295" spans="1:4" x14ac:dyDescent="0.25">
      <c r="A3295" s="24" t="s">
        <v>98</v>
      </c>
      <c r="B3295" s="24" t="s">
        <v>93</v>
      </c>
      <c r="C3295" s="32">
        <v>32.399000000000001</v>
      </c>
      <c r="D3295" s="28">
        <v>2.361111111111111E-2</v>
      </c>
    </row>
    <row r="3296" spans="1:4" x14ac:dyDescent="0.25">
      <c r="A3296" s="24" t="s">
        <v>98</v>
      </c>
      <c r="B3296" s="24" t="s">
        <v>94</v>
      </c>
      <c r="C3296" s="32">
        <v>33.027999999999999</v>
      </c>
      <c r="D3296" s="28">
        <v>2.4305555555555556E-2</v>
      </c>
    </row>
    <row r="3297" spans="1:4" x14ac:dyDescent="0.25">
      <c r="A3297" s="24" t="s">
        <v>98</v>
      </c>
      <c r="B3297" s="24" t="s">
        <v>95</v>
      </c>
      <c r="C3297" s="32">
        <v>16.428000000000001</v>
      </c>
      <c r="D3297" s="28">
        <v>1.3194444444444444E-2</v>
      </c>
    </row>
    <row r="3298" spans="1:4" x14ac:dyDescent="0.25">
      <c r="A3298" s="24" t="s">
        <v>98</v>
      </c>
      <c r="B3298" s="24" t="s">
        <v>96</v>
      </c>
      <c r="C3298" s="32">
        <v>13.606</v>
      </c>
      <c r="D3298" s="28">
        <v>1.1111111111111112E-2</v>
      </c>
    </row>
    <row r="3299" spans="1:4" x14ac:dyDescent="0.25">
      <c r="A3299" s="24" t="s">
        <v>98</v>
      </c>
      <c r="B3299" s="24" t="s">
        <v>97</v>
      </c>
      <c r="C3299" s="32">
        <v>13.125999999999999</v>
      </c>
      <c r="D3299" s="28">
        <v>1.2499999999999999E-2</v>
      </c>
    </row>
    <row r="3300" spans="1:4" x14ac:dyDescent="0.25">
      <c r="A3300" s="24" t="s">
        <v>98</v>
      </c>
      <c r="B3300" s="24" t="s">
        <v>98</v>
      </c>
      <c r="C3300" s="32">
        <v>0</v>
      </c>
      <c r="D3300" s="28">
        <v>0</v>
      </c>
    </row>
    <row r="3301" spans="1:4" x14ac:dyDescent="0.25">
      <c r="A3301" s="24" t="s">
        <v>98</v>
      </c>
      <c r="B3301" s="24" t="s">
        <v>99</v>
      </c>
      <c r="C3301" s="32">
        <v>9.4860000000000007</v>
      </c>
      <c r="D3301" s="28">
        <v>9.0277777777777787E-3</v>
      </c>
    </row>
    <row r="3302" spans="1:4" x14ac:dyDescent="0.25">
      <c r="A3302" s="24" t="s">
        <v>98</v>
      </c>
      <c r="B3302" s="24" t="s">
        <v>100</v>
      </c>
      <c r="C3302" s="32">
        <v>12.561999999999999</v>
      </c>
      <c r="D3302" s="28">
        <v>9.7222222222222224E-3</v>
      </c>
    </row>
    <row r="3303" spans="1:4" x14ac:dyDescent="0.25">
      <c r="A3303" s="24" t="s">
        <v>98</v>
      </c>
      <c r="B3303" s="24" t="s">
        <v>101</v>
      </c>
      <c r="C3303" s="32">
        <v>4.6840000000000002</v>
      </c>
      <c r="D3303" s="28">
        <v>6.2499999999999995E-3</v>
      </c>
    </row>
    <row r="3304" spans="1:4" x14ac:dyDescent="0.25">
      <c r="A3304" s="24" t="s">
        <v>98</v>
      </c>
      <c r="B3304" s="24" t="s">
        <v>102</v>
      </c>
      <c r="C3304" s="32">
        <v>5.149</v>
      </c>
      <c r="D3304" s="28">
        <v>6.9444444444444441E-3</v>
      </c>
    </row>
    <row r="3305" spans="1:4" x14ac:dyDescent="0.25">
      <c r="A3305" s="24" t="s">
        <v>98</v>
      </c>
      <c r="B3305" s="24" t="s">
        <v>103</v>
      </c>
      <c r="C3305" s="32">
        <v>14.867000000000001</v>
      </c>
      <c r="D3305" s="28">
        <v>1.4583333333333332E-2</v>
      </c>
    </row>
    <row r="3306" spans="1:4" x14ac:dyDescent="0.25">
      <c r="A3306" s="24" t="s">
        <v>98</v>
      </c>
      <c r="B3306" s="24" t="s">
        <v>104</v>
      </c>
      <c r="C3306" s="32">
        <v>13.689</v>
      </c>
      <c r="D3306" s="28">
        <v>1.1805555555555555E-2</v>
      </c>
    </row>
    <row r="3307" spans="1:4" x14ac:dyDescent="0.25">
      <c r="A3307" s="24" t="s">
        <v>98</v>
      </c>
      <c r="B3307" s="24" t="s">
        <v>105</v>
      </c>
      <c r="C3307" s="32">
        <v>17.303999999999998</v>
      </c>
      <c r="D3307" s="28">
        <v>2.013888888888889E-2</v>
      </c>
    </row>
    <row r="3308" spans="1:4" x14ac:dyDescent="0.25">
      <c r="A3308" s="24" t="s">
        <v>98</v>
      </c>
      <c r="B3308" s="24" t="s">
        <v>106</v>
      </c>
      <c r="C3308" s="32">
        <v>18.318000000000001</v>
      </c>
      <c r="D3308" s="28">
        <v>1.4583333333333332E-2</v>
      </c>
    </row>
    <row r="3309" spans="1:4" x14ac:dyDescent="0.25">
      <c r="A3309" s="24" t="s">
        <v>98</v>
      </c>
      <c r="B3309" s="24" t="s">
        <v>107</v>
      </c>
      <c r="C3309" s="32">
        <v>24.029</v>
      </c>
      <c r="D3309" s="28">
        <v>2.2222222222222223E-2</v>
      </c>
    </row>
    <row r="3310" spans="1:4" x14ac:dyDescent="0.25">
      <c r="A3310" s="24" t="s">
        <v>98</v>
      </c>
      <c r="B3310" s="24" t="s">
        <v>108</v>
      </c>
      <c r="C3310" s="32">
        <v>24.626000000000001</v>
      </c>
      <c r="D3310" s="28">
        <v>2.0833333333333332E-2</v>
      </c>
    </row>
    <row r="3311" spans="1:4" x14ac:dyDescent="0.25">
      <c r="A3311" s="24" t="s">
        <v>98</v>
      </c>
      <c r="B3311" s="24" t="s">
        <v>109</v>
      </c>
      <c r="C3311" s="32">
        <v>24.596</v>
      </c>
      <c r="D3311" s="28">
        <v>2.0833333333333332E-2</v>
      </c>
    </row>
    <row r="3312" spans="1:4" x14ac:dyDescent="0.25">
      <c r="A3312" s="24" t="s">
        <v>98</v>
      </c>
      <c r="B3312" s="24" t="s">
        <v>110</v>
      </c>
      <c r="C3312" s="32">
        <v>21.530999999999999</v>
      </c>
      <c r="D3312" s="28">
        <v>1.7361111111111112E-2</v>
      </c>
    </row>
    <row r="3313" spans="1:4" x14ac:dyDescent="0.25">
      <c r="A3313" s="24" t="s">
        <v>98</v>
      </c>
      <c r="B3313" s="24" t="s">
        <v>111</v>
      </c>
      <c r="C3313" s="32">
        <v>19.05</v>
      </c>
      <c r="D3313" s="28">
        <v>1.3888888888888888E-2</v>
      </c>
    </row>
    <row r="3314" spans="1:4" x14ac:dyDescent="0.25">
      <c r="A3314" s="24" t="s">
        <v>98</v>
      </c>
      <c r="B3314" s="24" t="s">
        <v>112</v>
      </c>
      <c r="C3314" s="32">
        <v>23.702999999999999</v>
      </c>
      <c r="D3314" s="28">
        <v>2.0833333333333332E-2</v>
      </c>
    </row>
    <row r="3315" spans="1:4" x14ac:dyDescent="0.25">
      <c r="A3315" s="24" t="s">
        <v>98</v>
      </c>
      <c r="B3315" s="24" t="s">
        <v>113</v>
      </c>
      <c r="C3315" s="32">
        <v>27.327000000000002</v>
      </c>
      <c r="D3315" s="28">
        <v>2.2916666666666669E-2</v>
      </c>
    </row>
    <row r="3316" spans="1:4" x14ac:dyDescent="0.25">
      <c r="A3316" s="24" t="s">
        <v>98</v>
      </c>
      <c r="B3316" s="24" t="s">
        <v>114</v>
      </c>
      <c r="C3316" s="32">
        <v>11.397</v>
      </c>
      <c r="D3316" s="28">
        <v>9.0277777777777787E-3</v>
      </c>
    </row>
    <row r="3317" spans="1:4" x14ac:dyDescent="0.25">
      <c r="A3317" s="24" t="s">
        <v>98</v>
      </c>
      <c r="B3317" s="24" t="s">
        <v>115</v>
      </c>
      <c r="C3317" s="32">
        <v>10.849</v>
      </c>
      <c r="D3317" s="28">
        <v>9.0277777777777787E-3</v>
      </c>
    </row>
    <row r="3318" spans="1:4" x14ac:dyDescent="0.25">
      <c r="A3318" s="24" t="s">
        <v>98</v>
      </c>
      <c r="B3318" s="24" t="s">
        <v>116</v>
      </c>
      <c r="C3318" s="32">
        <v>14.664999999999999</v>
      </c>
      <c r="D3318" s="28">
        <v>1.3194444444444444E-2</v>
      </c>
    </row>
    <row r="3319" spans="1:4" x14ac:dyDescent="0.25">
      <c r="A3319" s="24" t="s">
        <v>98</v>
      </c>
      <c r="B3319" s="24" t="s">
        <v>117</v>
      </c>
      <c r="C3319" s="32">
        <v>15.932</v>
      </c>
      <c r="D3319" s="28">
        <v>1.3888888888888888E-2</v>
      </c>
    </row>
    <row r="3320" spans="1:4" x14ac:dyDescent="0.25">
      <c r="A3320" s="24" t="s">
        <v>98</v>
      </c>
      <c r="B3320" s="24" t="s">
        <v>118</v>
      </c>
      <c r="C3320" s="32">
        <v>22.469000000000001</v>
      </c>
      <c r="D3320" s="28">
        <v>1.9444444444444445E-2</v>
      </c>
    </row>
    <row r="3321" spans="1:4" x14ac:dyDescent="0.25">
      <c r="A3321" s="24" t="s">
        <v>98</v>
      </c>
      <c r="B3321" s="24" t="s">
        <v>119</v>
      </c>
      <c r="C3321" s="32">
        <v>30.506</v>
      </c>
      <c r="D3321" s="28">
        <v>2.1527777777777781E-2</v>
      </c>
    </row>
    <row r="3322" spans="1:4" x14ac:dyDescent="0.25">
      <c r="A3322" s="24" t="s">
        <v>98</v>
      </c>
      <c r="B3322" s="24" t="s">
        <v>120</v>
      </c>
      <c r="C3322" s="32">
        <v>35.466999999999999</v>
      </c>
      <c r="D3322" s="28">
        <v>2.6388888888888889E-2</v>
      </c>
    </row>
    <row r="3323" spans="1:4" x14ac:dyDescent="0.25">
      <c r="A3323" s="24" t="s">
        <v>98</v>
      </c>
      <c r="B3323" s="24" t="s">
        <v>121</v>
      </c>
      <c r="C3323" s="32">
        <v>48.732999999999997</v>
      </c>
      <c r="D3323" s="28">
        <v>3.4027777777777775E-2</v>
      </c>
    </row>
    <row r="3324" spans="1:4" x14ac:dyDescent="0.25">
      <c r="A3324" s="24" t="s">
        <v>98</v>
      </c>
      <c r="B3324" s="24" t="s">
        <v>122</v>
      </c>
      <c r="C3324" s="32">
        <v>31.27</v>
      </c>
      <c r="D3324" s="28">
        <v>2.2916666666666669E-2</v>
      </c>
    </row>
    <row r="3325" spans="1:4" x14ac:dyDescent="0.25">
      <c r="A3325" s="24" t="s">
        <v>98</v>
      </c>
      <c r="B3325" s="24" t="s">
        <v>123</v>
      </c>
      <c r="C3325" s="32">
        <v>42.317999999999998</v>
      </c>
      <c r="D3325" s="28">
        <v>3.0555555555555555E-2</v>
      </c>
    </row>
    <row r="3326" spans="1:4" x14ac:dyDescent="0.25">
      <c r="A3326" s="24" t="s">
        <v>98</v>
      </c>
      <c r="B3326" s="24" t="s">
        <v>124</v>
      </c>
      <c r="C3326" s="32">
        <v>42.317999999999998</v>
      </c>
      <c r="D3326" s="28">
        <v>3.0555555555555555E-2</v>
      </c>
    </row>
    <row r="3327" spans="1:4" x14ac:dyDescent="0.25">
      <c r="A3327" s="24" t="s">
        <v>98</v>
      </c>
      <c r="B3327" s="24" t="s">
        <v>125</v>
      </c>
      <c r="C3327" s="32">
        <v>16.863</v>
      </c>
      <c r="D3327" s="28">
        <v>1.5277777777777777E-2</v>
      </c>
    </row>
    <row r="3328" spans="1:4" x14ac:dyDescent="0.25">
      <c r="A3328" s="24" t="s">
        <v>98</v>
      </c>
      <c r="B3328" s="24" t="s">
        <v>126</v>
      </c>
      <c r="C3328" s="32">
        <v>16.600999999999999</v>
      </c>
      <c r="D3328" s="28">
        <v>1.4583333333333332E-2</v>
      </c>
    </row>
    <row r="3329" spans="1:4" x14ac:dyDescent="0.25">
      <c r="A3329" s="24" t="s">
        <v>98</v>
      </c>
      <c r="B3329" s="24" t="s">
        <v>127</v>
      </c>
      <c r="C3329" s="32">
        <v>15.595000000000001</v>
      </c>
      <c r="D3329" s="28">
        <v>1.3194444444444444E-2</v>
      </c>
    </row>
    <row r="3330" spans="1:4" x14ac:dyDescent="0.25">
      <c r="A3330" s="24" t="s">
        <v>98</v>
      </c>
      <c r="B3330" s="24" t="s">
        <v>128</v>
      </c>
      <c r="C3330" s="32">
        <v>19.489999999999998</v>
      </c>
      <c r="D3330" s="28">
        <v>1.6666666666666666E-2</v>
      </c>
    </row>
    <row r="3331" spans="1:4" x14ac:dyDescent="0.25">
      <c r="A3331" s="24" t="s">
        <v>98</v>
      </c>
      <c r="B3331" s="24" t="s">
        <v>129</v>
      </c>
      <c r="C3331" s="32">
        <v>19.489999999999998</v>
      </c>
      <c r="D3331" s="28">
        <v>1.6666666666666666E-2</v>
      </c>
    </row>
    <row r="3332" spans="1:4" x14ac:dyDescent="0.25">
      <c r="A3332" s="24" t="s">
        <v>98</v>
      </c>
      <c r="B3332" s="24" t="s">
        <v>130</v>
      </c>
      <c r="C3332" s="32">
        <v>17.263999999999999</v>
      </c>
      <c r="D3332" s="28">
        <v>1.5972222222222224E-2</v>
      </c>
    </row>
    <row r="3333" spans="1:4" x14ac:dyDescent="0.25">
      <c r="A3333" s="24" t="s">
        <v>98</v>
      </c>
      <c r="B3333" s="24" t="s">
        <v>131</v>
      </c>
      <c r="C3333" s="32">
        <v>14.031000000000001</v>
      </c>
      <c r="D3333" s="28">
        <v>1.3888888888888888E-2</v>
      </c>
    </row>
    <row r="3334" spans="1:4" x14ac:dyDescent="0.25">
      <c r="A3334" s="24" t="s">
        <v>98</v>
      </c>
      <c r="B3334" s="24" t="s">
        <v>132</v>
      </c>
      <c r="C3334" s="32">
        <v>15.282999999999999</v>
      </c>
      <c r="D3334" s="28">
        <v>1.3194444444444444E-2</v>
      </c>
    </row>
    <row r="3335" spans="1:4" x14ac:dyDescent="0.25">
      <c r="A3335" s="24" t="s">
        <v>98</v>
      </c>
      <c r="B3335" s="24" t="s">
        <v>133</v>
      </c>
      <c r="C3335" s="32">
        <v>27.331</v>
      </c>
      <c r="D3335" s="28">
        <v>2.4999999999999998E-2</v>
      </c>
    </row>
    <row r="3336" spans="1:4" x14ac:dyDescent="0.25">
      <c r="A3336" s="24" t="s">
        <v>98</v>
      </c>
      <c r="B3336" s="24" t="s">
        <v>134</v>
      </c>
      <c r="C3336" s="32">
        <v>26.864999999999998</v>
      </c>
      <c r="D3336" s="28">
        <v>2.4305555555555556E-2</v>
      </c>
    </row>
    <row r="3337" spans="1:4" x14ac:dyDescent="0.25">
      <c r="A3337" s="24" t="s">
        <v>98</v>
      </c>
      <c r="B3337" s="24" t="s">
        <v>135</v>
      </c>
      <c r="C3337" s="32">
        <v>27.408999999999999</v>
      </c>
      <c r="D3337" s="28">
        <v>2.4999999999999998E-2</v>
      </c>
    </row>
    <row r="3338" spans="1:4" x14ac:dyDescent="0.25">
      <c r="A3338" s="24" t="s">
        <v>98</v>
      </c>
      <c r="B3338" s="24" t="s">
        <v>136</v>
      </c>
      <c r="C3338" s="32">
        <v>27.408999999999999</v>
      </c>
      <c r="D3338" s="28">
        <v>2.4999999999999998E-2</v>
      </c>
    </row>
    <row r="3339" spans="1:4" x14ac:dyDescent="0.25">
      <c r="A3339" s="24" t="s">
        <v>98</v>
      </c>
      <c r="B3339" s="24" t="s">
        <v>137</v>
      </c>
      <c r="C3339" s="32">
        <v>27.018000000000001</v>
      </c>
      <c r="D3339" s="28">
        <v>2.4999999999999998E-2</v>
      </c>
    </row>
    <row r="3340" spans="1:4" x14ac:dyDescent="0.25">
      <c r="A3340" s="24" t="s">
        <v>98</v>
      </c>
      <c r="B3340" s="24" t="s">
        <v>138</v>
      </c>
      <c r="C3340" s="32">
        <v>32.107999999999997</v>
      </c>
      <c r="D3340" s="28">
        <v>2.6388888888888889E-2</v>
      </c>
    </row>
    <row r="3341" spans="1:4" x14ac:dyDescent="0.25">
      <c r="A3341" s="24" t="s">
        <v>98</v>
      </c>
      <c r="B3341" s="24" t="s">
        <v>139</v>
      </c>
      <c r="C3341" s="32">
        <v>43.542000000000002</v>
      </c>
      <c r="D3341" s="28">
        <v>2.9861111111111113E-2</v>
      </c>
    </row>
    <row r="3342" spans="1:4" x14ac:dyDescent="0.25">
      <c r="A3342" s="24" t="s">
        <v>98</v>
      </c>
      <c r="B3342" s="24" t="s">
        <v>140</v>
      </c>
      <c r="C3342" s="32">
        <v>35.615000000000002</v>
      </c>
      <c r="D3342" s="28">
        <v>3.1944444444444449E-2</v>
      </c>
    </row>
    <row r="3343" spans="1:4" x14ac:dyDescent="0.25">
      <c r="A3343" s="24" t="s">
        <v>98</v>
      </c>
      <c r="B3343" s="24" t="s">
        <v>141</v>
      </c>
      <c r="C3343" s="32">
        <v>68.253</v>
      </c>
      <c r="D3343" s="28">
        <v>4.9305555555555554E-2</v>
      </c>
    </row>
    <row r="3344" spans="1:4" x14ac:dyDescent="0.25">
      <c r="A3344" s="24" t="s">
        <v>98</v>
      </c>
      <c r="B3344" s="24" t="s">
        <v>142</v>
      </c>
      <c r="C3344" s="32">
        <v>66.340999999999994</v>
      </c>
      <c r="D3344" s="28">
        <v>4.1666666666666664E-2</v>
      </c>
    </row>
    <row r="3345" spans="1:4" x14ac:dyDescent="0.25">
      <c r="A3345" s="24" t="s">
        <v>98</v>
      </c>
      <c r="B3345" s="24" t="s">
        <v>143</v>
      </c>
      <c r="C3345" s="32">
        <v>84.718999999999994</v>
      </c>
      <c r="D3345" s="28">
        <v>4.9305555555555554E-2</v>
      </c>
    </row>
    <row r="3346" spans="1:4" x14ac:dyDescent="0.25">
      <c r="A3346" s="24" t="s">
        <v>98</v>
      </c>
      <c r="B3346" s="24" t="s">
        <v>144</v>
      </c>
      <c r="C3346" s="32">
        <v>103.83499999999999</v>
      </c>
      <c r="D3346" s="28">
        <v>5.9722222222222225E-2</v>
      </c>
    </row>
    <row r="3347" spans="1:4" x14ac:dyDescent="0.25">
      <c r="A3347" s="24" t="s">
        <v>98</v>
      </c>
      <c r="B3347" s="24" t="s">
        <v>145</v>
      </c>
      <c r="C3347" s="32">
        <v>48.348999999999997</v>
      </c>
      <c r="D3347" s="28">
        <v>3.4722222222222224E-2</v>
      </c>
    </row>
    <row r="3348" spans="1:4" x14ac:dyDescent="0.25">
      <c r="A3348" s="24" t="s">
        <v>98</v>
      </c>
      <c r="B3348" s="24" t="s">
        <v>146</v>
      </c>
      <c r="C3348" s="32">
        <v>63.808</v>
      </c>
      <c r="D3348" s="28">
        <v>4.2361111111111106E-2</v>
      </c>
    </row>
    <row r="3349" spans="1:4" x14ac:dyDescent="0.25">
      <c r="A3349" s="24" t="s">
        <v>98</v>
      </c>
      <c r="B3349" s="24" t="s">
        <v>147</v>
      </c>
      <c r="C3349" s="32">
        <v>14.454000000000001</v>
      </c>
      <c r="D3349" s="28">
        <v>1.4583333333333332E-2</v>
      </c>
    </row>
    <row r="3350" spans="1:4" x14ac:dyDescent="0.25">
      <c r="A3350" s="24" t="s">
        <v>98</v>
      </c>
      <c r="B3350" s="24" t="s">
        <v>148</v>
      </c>
      <c r="C3350" s="32">
        <v>18.292999999999999</v>
      </c>
      <c r="D3350" s="28">
        <v>1.6666666666666666E-2</v>
      </c>
    </row>
    <row r="3351" spans="1:4" x14ac:dyDescent="0.25">
      <c r="A3351" s="24" t="s">
        <v>98</v>
      </c>
      <c r="B3351" s="24" t="s">
        <v>149</v>
      </c>
      <c r="C3351" s="32">
        <v>15.388999999999999</v>
      </c>
      <c r="D3351" s="28">
        <v>1.3888888888888888E-2</v>
      </c>
    </row>
    <row r="3352" spans="1:4" x14ac:dyDescent="0.25">
      <c r="A3352" s="24" t="s">
        <v>98</v>
      </c>
      <c r="B3352" s="24" t="s">
        <v>150</v>
      </c>
      <c r="C3352" s="32">
        <v>24.876000000000001</v>
      </c>
      <c r="D3352" s="28">
        <v>2.2222222222222223E-2</v>
      </c>
    </row>
    <row r="3353" spans="1:4" x14ac:dyDescent="0.25">
      <c r="A3353" s="24" t="s">
        <v>98</v>
      </c>
      <c r="B3353" s="24" t="s">
        <v>151</v>
      </c>
      <c r="C3353" s="32">
        <v>24.134</v>
      </c>
      <c r="D3353" s="28">
        <v>2.2222222222222223E-2</v>
      </c>
    </row>
    <row r="3354" spans="1:4" x14ac:dyDescent="0.25">
      <c r="A3354" s="24" t="s">
        <v>98</v>
      </c>
      <c r="B3354" s="24" t="s">
        <v>152</v>
      </c>
      <c r="C3354" s="32">
        <v>26.492999999999999</v>
      </c>
      <c r="D3354" s="28">
        <v>2.4305555555555556E-2</v>
      </c>
    </row>
    <row r="3355" spans="1:4" x14ac:dyDescent="0.25">
      <c r="A3355" s="24" t="s">
        <v>98</v>
      </c>
      <c r="B3355" s="24" t="s">
        <v>153</v>
      </c>
      <c r="C3355" s="32">
        <v>31.02</v>
      </c>
      <c r="D3355" s="28">
        <v>3.125E-2</v>
      </c>
    </row>
    <row r="3356" spans="1:4" x14ac:dyDescent="0.25">
      <c r="A3356" s="24" t="s">
        <v>98</v>
      </c>
      <c r="B3356" s="24" t="s">
        <v>154</v>
      </c>
      <c r="C3356" s="32">
        <v>25.829000000000001</v>
      </c>
      <c r="D3356" s="28">
        <v>2.4999999999999998E-2</v>
      </c>
    </row>
    <row r="3357" spans="1:4" x14ac:dyDescent="0.25">
      <c r="A3357" s="24" t="s">
        <v>98</v>
      </c>
      <c r="B3357" s="24" t="s">
        <v>155</v>
      </c>
      <c r="C3357" s="32">
        <v>24.738</v>
      </c>
      <c r="D3357" s="28">
        <v>2.2916666666666669E-2</v>
      </c>
    </row>
    <row r="3358" spans="1:4" x14ac:dyDescent="0.25">
      <c r="A3358" s="24" t="s">
        <v>98</v>
      </c>
      <c r="B3358" s="24" t="s">
        <v>156</v>
      </c>
      <c r="C3358" s="32">
        <v>24.722000000000001</v>
      </c>
      <c r="D3358" s="28">
        <v>2.2916666666666669E-2</v>
      </c>
    </row>
    <row r="3359" spans="1:4" x14ac:dyDescent="0.25">
      <c r="A3359" s="24" t="s">
        <v>98</v>
      </c>
      <c r="B3359" s="24" t="s">
        <v>157</v>
      </c>
      <c r="C3359" s="32">
        <v>19.265000000000001</v>
      </c>
      <c r="D3359" s="28">
        <v>1.8055555555555557E-2</v>
      </c>
    </row>
    <row r="3360" spans="1:4" x14ac:dyDescent="0.25">
      <c r="A3360" s="24" t="s">
        <v>98</v>
      </c>
      <c r="B3360" s="24" t="s">
        <v>158</v>
      </c>
      <c r="C3360" s="32">
        <v>30.018999999999998</v>
      </c>
      <c r="D3360" s="28">
        <v>2.6388888888888889E-2</v>
      </c>
    </row>
    <row r="3361" spans="1:4" x14ac:dyDescent="0.25">
      <c r="A3361" s="24" t="s">
        <v>98</v>
      </c>
      <c r="B3361" s="24" t="s">
        <v>159</v>
      </c>
      <c r="C3361" s="32">
        <v>30.51</v>
      </c>
      <c r="D3361" s="28">
        <v>2.7777777777777776E-2</v>
      </c>
    </row>
    <row r="3362" spans="1:4" x14ac:dyDescent="0.25">
      <c r="A3362" s="24" t="s">
        <v>99</v>
      </c>
      <c r="B3362" s="24" t="s">
        <v>65</v>
      </c>
      <c r="C3362" s="32">
        <v>18.696000000000002</v>
      </c>
      <c r="D3362" s="28">
        <v>1.3888888888888888E-2</v>
      </c>
    </row>
    <row r="3363" spans="1:4" x14ac:dyDescent="0.25">
      <c r="A3363" s="24" t="s">
        <v>99</v>
      </c>
      <c r="B3363" s="24" t="s">
        <v>64</v>
      </c>
      <c r="C3363" s="32">
        <v>24.126999999999999</v>
      </c>
      <c r="D3363" s="28">
        <v>2.0833333333333332E-2</v>
      </c>
    </row>
    <row r="3364" spans="1:4" x14ac:dyDescent="0.25">
      <c r="A3364" s="24" t="s">
        <v>99</v>
      </c>
      <c r="B3364" s="24" t="s">
        <v>66</v>
      </c>
      <c r="C3364" s="32">
        <v>28.963000000000001</v>
      </c>
      <c r="D3364" s="28">
        <v>2.5694444444444447E-2</v>
      </c>
    </row>
    <row r="3365" spans="1:4" x14ac:dyDescent="0.25">
      <c r="A3365" s="24" t="s">
        <v>99</v>
      </c>
      <c r="B3365" s="24" t="s">
        <v>67</v>
      </c>
      <c r="C3365" s="32">
        <v>27.986999999999998</v>
      </c>
      <c r="D3365" s="28">
        <v>2.6388888888888889E-2</v>
      </c>
    </row>
    <row r="3366" spans="1:4" x14ac:dyDescent="0.25">
      <c r="A3366" s="24" t="s">
        <v>99</v>
      </c>
      <c r="B3366" s="24" t="s">
        <v>68</v>
      </c>
      <c r="C3366" s="32">
        <v>27.812999999999999</v>
      </c>
      <c r="D3366" s="28">
        <v>2.7083333333333334E-2</v>
      </c>
    </row>
    <row r="3367" spans="1:4" x14ac:dyDescent="0.25">
      <c r="A3367" s="24" t="s">
        <v>99</v>
      </c>
      <c r="B3367" s="24" t="s">
        <v>69</v>
      </c>
      <c r="C3367" s="32">
        <v>26.821000000000002</v>
      </c>
      <c r="D3367" s="28">
        <v>2.5694444444444447E-2</v>
      </c>
    </row>
    <row r="3368" spans="1:4" x14ac:dyDescent="0.25">
      <c r="A3368" s="24" t="s">
        <v>99</v>
      </c>
      <c r="B3368" s="24" t="s">
        <v>70</v>
      </c>
      <c r="C3368" s="32">
        <v>27.890999999999998</v>
      </c>
      <c r="D3368" s="28">
        <v>2.6388888888888889E-2</v>
      </c>
    </row>
    <row r="3369" spans="1:4" x14ac:dyDescent="0.25">
      <c r="A3369" s="24" t="s">
        <v>99</v>
      </c>
      <c r="B3369" s="24" t="s">
        <v>71</v>
      </c>
      <c r="C3369" s="32">
        <v>27.398</v>
      </c>
      <c r="D3369" s="28">
        <v>2.6388888888888889E-2</v>
      </c>
    </row>
    <row r="3370" spans="1:4" x14ac:dyDescent="0.25">
      <c r="A3370" s="24" t="s">
        <v>99</v>
      </c>
      <c r="B3370" s="24" t="s">
        <v>72</v>
      </c>
      <c r="C3370" s="32">
        <v>29.22</v>
      </c>
      <c r="D3370" s="28">
        <v>2.9166666666666664E-2</v>
      </c>
    </row>
    <row r="3371" spans="1:4" x14ac:dyDescent="0.25">
      <c r="A3371" s="24" t="s">
        <v>99</v>
      </c>
      <c r="B3371" s="24" t="s">
        <v>73</v>
      </c>
      <c r="C3371" s="32">
        <v>27.748000000000001</v>
      </c>
      <c r="D3371" s="28">
        <v>2.6388888888888889E-2</v>
      </c>
    </row>
    <row r="3372" spans="1:4" x14ac:dyDescent="0.25">
      <c r="A3372" s="24" t="s">
        <v>99</v>
      </c>
      <c r="B3372" s="24" t="s">
        <v>74</v>
      </c>
      <c r="C3372" s="32">
        <v>31.347999999999999</v>
      </c>
      <c r="D3372" s="28">
        <v>2.9861111111111113E-2</v>
      </c>
    </row>
    <row r="3373" spans="1:4" x14ac:dyDescent="0.25">
      <c r="A3373" s="24" t="s">
        <v>99</v>
      </c>
      <c r="B3373" s="24" t="s">
        <v>75</v>
      </c>
      <c r="C3373" s="32">
        <v>30.384</v>
      </c>
      <c r="D3373" s="28">
        <v>2.8472222222222222E-2</v>
      </c>
    </row>
    <row r="3374" spans="1:4" x14ac:dyDescent="0.25">
      <c r="A3374" s="24" t="s">
        <v>99</v>
      </c>
      <c r="B3374" s="24" t="s">
        <v>76</v>
      </c>
      <c r="C3374" s="32">
        <v>34.491</v>
      </c>
      <c r="D3374" s="28">
        <v>3.4722222222222224E-2</v>
      </c>
    </row>
    <row r="3375" spans="1:4" x14ac:dyDescent="0.25">
      <c r="A3375" s="24" t="s">
        <v>99</v>
      </c>
      <c r="B3375" s="24" t="s">
        <v>77</v>
      </c>
      <c r="C3375" s="32">
        <v>33.113999999999997</v>
      </c>
      <c r="D3375" s="28">
        <v>2.9166666666666664E-2</v>
      </c>
    </row>
    <row r="3376" spans="1:4" x14ac:dyDescent="0.25">
      <c r="A3376" s="24" t="s">
        <v>99</v>
      </c>
      <c r="B3376" s="24" t="s">
        <v>78</v>
      </c>
      <c r="C3376" s="32">
        <v>28.155000000000001</v>
      </c>
      <c r="D3376" s="28">
        <v>2.6388888888888889E-2</v>
      </c>
    </row>
    <row r="3377" spans="1:4" x14ac:dyDescent="0.25">
      <c r="A3377" s="24" t="s">
        <v>99</v>
      </c>
      <c r="B3377" s="24" t="s">
        <v>79</v>
      </c>
      <c r="C3377" s="32">
        <v>46.521000000000001</v>
      </c>
      <c r="D3377" s="28">
        <v>4.3055555555555562E-2</v>
      </c>
    </row>
    <row r="3378" spans="1:4" x14ac:dyDescent="0.25">
      <c r="A3378" s="24" t="s">
        <v>99</v>
      </c>
      <c r="B3378" s="24" t="s">
        <v>80</v>
      </c>
      <c r="C3378" s="32">
        <v>16.713999999999999</v>
      </c>
      <c r="D3378" s="28">
        <v>1.2499999999999999E-2</v>
      </c>
    </row>
    <row r="3379" spans="1:4" x14ac:dyDescent="0.25">
      <c r="A3379" s="24" t="s">
        <v>99</v>
      </c>
      <c r="B3379" s="24" t="s">
        <v>81</v>
      </c>
      <c r="C3379" s="32">
        <v>21.236000000000001</v>
      </c>
      <c r="D3379" s="28">
        <v>1.5277777777777777E-2</v>
      </c>
    </row>
    <row r="3380" spans="1:4" x14ac:dyDescent="0.25">
      <c r="A3380" s="24" t="s">
        <v>99</v>
      </c>
      <c r="B3380" s="24" t="s">
        <v>82</v>
      </c>
      <c r="C3380" s="32">
        <v>21.288</v>
      </c>
      <c r="D3380" s="28">
        <v>1.5277777777777777E-2</v>
      </c>
    </row>
    <row r="3381" spans="1:4" x14ac:dyDescent="0.25">
      <c r="A3381" s="24" t="s">
        <v>99</v>
      </c>
      <c r="B3381" s="24" t="s">
        <v>83</v>
      </c>
      <c r="C3381" s="32">
        <v>23.236000000000001</v>
      </c>
      <c r="D3381" s="28">
        <v>2.2222222222222223E-2</v>
      </c>
    </row>
    <row r="3382" spans="1:4" x14ac:dyDescent="0.25">
      <c r="A3382" s="24" t="s">
        <v>99</v>
      </c>
      <c r="B3382" s="24" t="s">
        <v>84</v>
      </c>
      <c r="C3382" s="32">
        <v>28.553000000000001</v>
      </c>
      <c r="D3382" s="28">
        <v>2.6388888888888889E-2</v>
      </c>
    </row>
    <row r="3383" spans="1:4" x14ac:dyDescent="0.25">
      <c r="A3383" s="24" t="s">
        <v>99</v>
      </c>
      <c r="B3383" s="24" t="s">
        <v>85</v>
      </c>
      <c r="C3383" s="32">
        <v>29.404</v>
      </c>
      <c r="D3383" s="28">
        <v>2.5694444444444447E-2</v>
      </c>
    </row>
    <row r="3384" spans="1:4" x14ac:dyDescent="0.25">
      <c r="A3384" s="24" t="s">
        <v>99</v>
      </c>
      <c r="B3384" s="24" t="s">
        <v>86</v>
      </c>
      <c r="C3384" s="32">
        <v>27.03</v>
      </c>
      <c r="D3384" s="28">
        <v>2.2916666666666669E-2</v>
      </c>
    </row>
    <row r="3385" spans="1:4" x14ac:dyDescent="0.25">
      <c r="A3385" s="24" t="s">
        <v>99</v>
      </c>
      <c r="B3385" s="24" t="s">
        <v>87</v>
      </c>
      <c r="C3385" s="32">
        <v>27.145</v>
      </c>
      <c r="D3385" s="28">
        <v>2.361111111111111E-2</v>
      </c>
    </row>
    <row r="3386" spans="1:4" x14ac:dyDescent="0.25">
      <c r="A3386" s="24" t="s">
        <v>99</v>
      </c>
      <c r="B3386" s="24" t="s">
        <v>88</v>
      </c>
      <c r="C3386" s="32">
        <v>24.978000000000002</v>
      </c>
      <c r="D3386" s="28">
        <v>2.4305555555555556E-2</v>
      </c>
    </row>
    <row r="3387" spans="1:4" x14ac:dyDescent="0.25">
      <c r="A3387" s="24" t="s">
        <v>99</v>
      </c>
      <c r="B3387" s="24" t="s">
        <v>89</v>
      </c>
      <c r="C3387" s="32">
        <v>26.088999999999999</v>
      </c>
      <c r="D3387" s="28">
        <v>2.0833333333333332E-2</v>
      </c>
    </row>
    <row r="3388" spans="1:4" x14ac:dyDescent="0.25">
      <c r="A3388" s="24" t="s">
        <v>99</v>
      </c>
      <c r="B3388" s="24" t="s">
        <v>90</v>
      </c>
      <c r="C3388" s="32">
        <v>14.03</v>
      </c>
      <c r="D3388" s="28">
        <v>1.1111111111111112E-2</v>
      </c>
    </row>
    <row r="3389" spans="1:4" x14ac:dyDescent="0.25">
      <c r="A3389" s="24" t="s">
        <v>99</v>
      </c>
      <c r="B3389" s="24" t="s">
        <v>91</v>
      </c>
      <c r="C3389" s="32">
        <v>24.091999999999999</v>
      </c>
      <c r="D3389" s="28">
        <v>2.361111111111111E-2</v>
      </c>
    </row>
    <row r="3390" spans="1:4" x14ac:dyDescent="0.25">
      <c r="A3390" s="24" t="s">
        <v>99</v>
      </c>
      <c r="B3390" s="24" t="s">
        <v>92</v>
      </c>
      <c r="C3390" s="32">
        <v>21.344999999999999</v>
      </c>
      <c r="D3390" s="28">
        <v>1.7361111111111112E-2</v>
      </c>
    </row>
    <row r="3391" spans="1:4" x14ac:dyDescent="0.25">
      <c r="A3391" s="24" t="s">
        <v>99</v>
      </c>
      <c r="B3391" s="24" t="s">
        <v>93</v>
      </c>
      <c r="C3391" s="32">
        <v>37.542999999999999</v>
      </c>
      <c r="D3391" s="28">
        <v>2.6388888888888889E-2</v>
      </c>
    </row>
    <row r="3392" spans="1:4" x14ac:dyDescent="0.25">
      <c r="A3392" s="24" t="s">
        <v>99</v>
      </c>
      <c r="B3392" s="24" t="s">
        <v>94</v>
      </c>
      <c r="C3392" s="32">
        <v>38.171999999999997</v>
      </c>
      <c r="D3392" s="28">
        <v>2.7083333333333334E-2</v>
      </c>
    </row>
    <row r="3393" spans="1:4" x14ac:dyDescent="0.25">
      <c r="A3393" s="24" t="s">
        <v>99</v>
      </c>
      <c r="B3393" s="24" t="s">
        <v>95</v>
      </c>
      <c r="C3393" s="32">
        <v>21.571999999999999</v>
      </c>
      <c r="D3393" s="28">
        <v>1.6666666666666666E-2</v>
      </c>
    </row>
    <row r="3394" spans="1:4" x14ac:dyDescent="0.25">
      <c r="A3394" s="24" t="s">
        <v>99</v>
      </c>
      <c r="B3394" s="24" t="s">
        <v>96</v>
      </c>
      <c r="C3394" s="32">
        <v>12.272</v>
      </c>
      <c r="D3394" s="28">
        <v>9.7222222222222224E-3</v>
      </c>
    </row>
    <row r="3395" spans="1:4" x14ac:dyDescent="0.25">
      <c r="A3395" s="24" t="s">
        <v>99</v>
      </c>
      <c r="B3395" s="24" t="s">
        <v>97</v>
      </c>
      <c r="C3395" s="32">
        <v>7.97</v>
      </c>
      <c r="D3395" s="28">
        <v>7.6388888888888886E-3</v>
      </c>
    </row>
    <row r="3396" spans="1:4" x14ac:dyDescent="0.25">
      <c r="A3396" s="24" t="s">
        <v>99</v>
      </c>
      <c r="B3396" s="24" t="s">
        <v>98</v>
      </c>
      <c r="C3396" s="32">
        <v>7.6520000000000001</v>
      </c>
      <c r="D3396" s="28">
        <v>6.9444444444444441E-3</v>
      </c>
    </row>
    <row r="3397" spans="1:4" x14ac:dyDescent="0.25">
      <c r="A3397" s="24" t="s">
        <v>99</v>
      </c>
      <c r="B3397" s="24" t="s">
        <v>99</v>
      </c>
      <c r="C3397" s="32">
        <v>0</v>
      </c>
      <c r="D3397" s="28">
        <v>0</v>
      </c>
    </row>
    <row r="3398" spans="1:4" x14ac:dyDescent="0.25">
      <c r="A3398" s="24" t="s">
        <v>99</v>
      </c>
      <c r="B3398" s="24" t="s">
        <v>100</v>
      </c>
      <c r="C3398" s="32">
        <v>17.706</v>
      </c>
      <c r="D3398" s="28">
        <v>1.3194444444444444E-2</v>
      </c>
    </row>
    <row r="3399" spans="1:4" x14ac:dyDescent="0.25">
      <c r="A3399" s="24" t="s">
        <v>99</v>
      </c>
      <c r="B3399" s="24" t="s">
        <v>101</v>
      </c>
      <c r="C3399" s="32">
        <v>5.8179999999999996</v>
      </c>
      <c r="D3399" s="28">
        <v>4.8611111111111112E-3</v>
      </c>
    </row>
    <row r="3400" spans="1:4" x14ac:dyDescent="0.25">
      <c r="A3400" s="24" t="s">
        <v>99</v>
      </c>
      <c r="B3400" s="24" t="s">
        <v>102</v>
      </c>
      <c r="C3400" s="32">
        <v>5.6879999999999997</v>
      </c>
      <c r="D3400" s="28">
        <v>6.2499999999999995E-3</v>
      </c>
    </row>
    <row r="3401" spans="1:4" x14ac:dyDescent="0.25">
      <c r="A3401" s="24" t="s">
        <v>99</v>
      </c>
      <c r="B3401" s="24" t="s">
        <v>103</v>
      </c>
      <c r="C3401" s="32">
        <v>18.856000000000002</v>
      </c>
      <c r="D3401" s="28">
        <v>1.6666666666666666E-2</v>
      </c>
    </row>
    <row r="3402" spans="1:4" x14ac:dyDescent="0.25">
      <c r="A3402" s="24" t="s">
        <v>99</v>
      </c>
      <c r="B3402" s="24" t="s">
        <v>104</v>
      </c>
      <c r="C3402" s="32">
        <v>18.832999999999998</v>
      </c>
      <c r="D3402" s="28">
        <v>1.4583333333333332E-2</v>
      </c>
    </row>
    <row r="3403" spans="1:4" x14ac:dyDescent="0.25">
      <c r="A3403" s="24" t="s">
        <v>99</v>
      </c>
      <c r="B3403" s="24" t="s">
        <v>105</v>
      </c>
      <c r="C3403" s="32">
        <v>25.734000000000002</v>
      </c>
      <c r="D3403" s="28">
        <v>2.2222222222222223E-2</v>
      </c>
    </row>
    <row r="3404" spans="1:4" x14ac:dyDescent="0.25">
      <c r="A3404" s="24" t="s">
        <v>99</v>
      </c>
      <c r="B3404" s="24" t="s">
        <v>106</v>
      </c>
      <c r="C3404" s="32">
        <v>18.466999999999999</v>
      </c>
      <c r="D3404" s="28">
        <v>1.8055555555555557E-2</v>
      </c>
    </row>
    <row r="3405" spans="1:4" x14ac:dyDescent="0.25">
      <c r="A3405" s="24" t="s">
        <v>99</v>
      </c>
      <c r="B3405" s="24" t="s">
        <v>107</v>
      </c>
      <c r="C3405" s="32">
        <v>28.018000000000001</v>
      </c>
      <c r="D3405" s="28">
        <v>2.4305555555555556E-2</v>
      </c>
    </row>
    <row r="3406" spans="1:4" x14ac:dyDescent="0.25">
      <c r="A3406" s="24" t="s">
        <v>99</v>
      </c>
      <c r="B3406" s="24" t="s">
        <v>108</v>
      </c>
      <c r="C3406" s="32">
        <v>28.614999999999998</v>
      </c>
      <c r="D3406" s="28">
        <v>2.361111111111111E-2</v>
      </c>
    </row>
    <row r="3407" spans="1:4" x14ac:dyDescent="0.25">
      <c r="A3407" s="24" t="s">
        <v>99</v>
      </c>
      <c r="B3407" s="24" t="s">
        <v>109</v>
      </c>
      <c r="C3407" s="32">
        <v>28.585000000000001</v>
      </c>
      <c r="D3407" s="28">
        <v>2.361111111111111E-2</v>
      </c>
    </row>
    <row r="3408" spans="1:4" x14ac:dyDescent="0.25">
      <c r="A3408" s="24" t="s">
        <v>99</v>
      </c>
      <c r="B3408" s="24" t="s">
        <v>110</v>
      </c>
      <c r="C3408" s="32">
        <v>26.675000000000001</v>
      </c>
      <c r="D3408" s="28">
        <v>2.013888888888889E-2</v>
      </c>
    </row>
    <row r="3409" spans="1:4" x14ac:dyDescent="0.25">
      <c r="A3409" s="24" t="s">
        <v>99</v>
      </c>
      <c r="B3409" s="24" t="s">
        <v>111</v>
      </c>
      <c r="C3409" s="32">
        <v>20.608000000000001</v>
      </c>
      <c r="D3409" s="28">
        <v>1.8055555555555557E-2</v>
      </c>
    </row>
    <row r="3410" spans="1:4" x14ac:dyDescent="0.25">
      <c r="A3410" s="24" t="s">
        <v>99</v>
      </c>
      <c r="B3410" s="24" t="s">
        <v>112</v>
      </c>
      <c r="C3410" s="32">
        <v>27.692</v>
      </c>
      <c r="D3410" s="28">
        <v>2.2916666666666669E-2</v>
      </c>
    </row>
    <row r="3411" spans="1:4" x14ac:dyDescent="0.25">
      <c r="A3411" s="24" t="s">
        <v>99</v>
      </c>
      <c r="B3411" s="24" t="s">
        <v>113</v>
      </c>
      <c r="C3411" s="32">
        <v>31.315999999999999</v>
      </c>
      <c r="D3411" s="28">
        <v>2.4999999999999998E-2</v>
      </c>
    </row>
    <row r="3412" spans="1:4" x14ac:dyDescent="0.25">
      <c r="A3412" s="24" t="s">
        <v>99</v>
      </c>
      <c r="B3412" s="24" t="s">
        <v>114</v>
      </c>
      <c r="C3412" s="32">
        <v>16.541</v>
      </c>
      <c r="D3412" s="28">
        <v>1.2499999999999999E-2</v>
      </c>
    </row>
    <row r="3413" spans="1:4" x14ac:dyDescent="0.25">
      <c r="A3413" s="24" t="s">
        <v>99</v>
      </c>
      <c r="B3413" s="24" t="s">
        <v>115</v>
      </c>
      <c r="C3413" s="32">
        <v>15.993</v>
      </c>
      <c r="D3413" s="28">
        <v>1.2499999999999999E-2</v>
      </c>
    </row>
    <row r="3414" spans="1:4" x14ac:dyDescent="0.25">
      <c r="A3414" s="24" t="s">
        <v>99</v>
      </c>
      <c r="B3414" s="24" t="s">
        <v>116</v>
      </c>
      <c r="C3414" s="32">
        <v>19.809000000000001</v>
      </c>
      <c r="D3414" s="28">
        <v>1.5972222222222224E-2</v>
      </c>
    </row>
    <row r="3415" spans="1:4" x14ac:dyDescent="0.25">
      <c r="A3415" s="24" t="s">
        <v>99</v>
      </c>
      <c r="B3415" s="24" t="s">
        <v>117</v>
      </c>
      <c r="C3415" s="32">
        <v>21.076000000000001</v>
      </c>
      <c r="D3415" s="28">
        <v>1.7361111111111112E-2</v>
      </c>
    </row>
    <row r="3416" spans="1:4" x14ac:dyDescent="0.25">
      <c r="A3416" s="24" t="s">
        <v>99</v>
      </c>
      <c r="B3416" s="24" t="s">
        <v>118</v>
      </c>
      <c r="C3416" s="32">
        <v>26.457999999999998</v>
      </c>
      <c r="D3416" s="28">
        <v>2.1527777777777781E-2</v>
      </c>
    </row>
    <row r="3417" spans="1:4" x14ac:dyDescent="0.25">
      <c r="A3417" s="24" t="s">
        <v>99</v>
      </c>
      <c r="B3417" s="24" t="s">
        <v>119</v>
      </c>
      <c r="C3417" s="32">
        <v>35.65</v>
      </c>
      <c r="D3417" s="28">
        <v>2.4305555555555556E-2</v>
      </c>
    </row>
    <row r="3418" spans="1:4" x14ac:dyDescent="0.25">
      <c r="A3418" s="24" t="s">
        <v>99</v>
      </c>
      <c r="B3418" s="24" t="s">
        <v>120</v>
      </c>
      <c r="C3418" s="32">
        <v>40.610999999999997</v>
      </c>
      <c r="D3418" s="28">
        <v>2.9861111111111113E-2</v>
      </c>
    </row>
    <row r="3419" spans="1:4" x14ac:dyDescent="0.25">
      <c r="A3419" s="24" t="s">
        <v>99</v>
      </c>
      <c r="B3419" s="24" t="s">
        <v>121</v>
      </c>
      <c r="C3419" s="32">
        <v>53.877000000000002</v>
      </c>
      <c r="D3419" s="28">
        <v>3.7499999999999999E-2</v>
      </c>
    </row>
    <row r="3420" spans="1:4" x14ac:dyDescent="0.25">
      <c r="A3420" s="24" t="s">
        <v>99</v>
      </c>
      <c r="B3420" s="24" t="s">
        <v>122</v>
      </c>
      <c r="C3420" s="32">
        <v>36.414000000000001</v>
      </c>
      <c r="D3420" s="28">
        <v>2.5694444444444447E-2</v>
      </c>
    </row>
    <row r="3421" spans="1:4" x14ac:dyDescent="0.25">
      <c r="A3421" s="24" t="s">
        <v>99</v>
      </c>
      <c r="B3421" s="24" t="s">
        <v>123</v>
      </c>
      <c r="C3421" s="32">
        <v>47.462000000000003</v>
      </c>
      <c r="D3421" s="28">
        <v>3.3333333333333333E-2</v>
      </c>
    </row>
    <row r="3422" spans="1:4" x14ac:dyDescent="0.25">
      <c r="A3422" s="24" t="s">
        <v>99</v>
      </c>
      <c r="B3422" s="24" t="s">
        <v>124</v>
      </c>
      <c r="C3422" s="32">
        <v>47.462000000000003</v>
      </c>
      <c r="D3422" s="28">
        <v>3.3333333333333333E-2</v>
      </c>
    </row>
    <row r="3423" spans="1:4" x14ac:dyDescent="0.25">
      <c r="A3423" s="24" t="s">
        <v>99</v>
      </c>
      <c r="B3423" s="24" t="s">
        <v>125</v>
      </c>
      <c r="C3423" s="32">
        <v>21.571000000000002</v>
      </c>
      <c r="D3423" s="28">
        <v>1.9444444444444445E-2</v>
      </c>
    </row>
    <row r="3424" spans="1:4" x14ac:dyDescent="0.25">
      <c r="A3424" s="24" t="s">
        <v>99</v>
      </c>
      <c r="B3424" s="24" t="s">
        <v>126</v>
      </c>
      <c r="C3424" s="32">
        <v>21.309000000000001</v>
      </c>
      <c r="D3424" s="28">
        <v>1.8055555555555557E-2</v>
      </c>
    </row>
    <row r="3425" spans="1:4" x14ac:dyDescent="0.25">
      <c r="A3425" s="24" t="s">
        <v>99</v>
      </c>
      <c r="B3425" s="24" t="s">
        <v>127</v>
      </c>
      <c r="C3425" s="32">
        <v>20.303000000000001</v>
      </c>
      <c r="D3425" s="28">
        <v>1.7361111111111112E-2</v>
      </c>
    </row>
    <row r="3426" spans="1:4" x14ac:dyDescent="0.25">
      <c r="A3426" s="24" t="s">
        <v>99</v>
      </c>
      <c r="B3426" s="24" t="s">
        <v>128</v>
      </c>
      <c r="C3426" s="32">
        <v>24.198</v>
      </c>
      <c r="D3426" s="28">
        <v>2.0833333333333332E-2</v>
      </c>
    </row>
    <row r="3427" spans="1:4" x14ac:dyDescent="0.25">
      <c r="A3427" s="24" t="s">
        <v>99</v>
      </c>
      <c r="B3427" s="24" t="s">
        <v>129</v>
      </c>
      <c r="C3427" s="32">
        <v>24.198</v>
      </c>
      <c r="D3427" s="28">
        <v>2.0833333333333332E-2</v>
      </c>
    </row>
    <row r="3428" spans="1:4" x14ac:dyDescent="0.25">
      <c r="A3428" s="24" t="s">
        <v>99</v>
      </c>
      <c r="B3428" s="24" t="s">
        <v>130</v>
      </c>
      <c r="C3428" s="32">
        <v>21.972000000000001</v>
      </c>
      <c r="D3428" s="28">
        <v>2.013888888888889E-2</v>
      </c>
    </row>
    <row r="3429" spans="1:4" x14ac:dyDescent="0.25">
      <c r="A3429" s="24" t="s">
        <v>99</v>
      </c>
      <c r="B3429" s="24" t="s">
        <v>131</v>
      </c>
      <c r="C3429" s="32">
        <v>18.739000000000001</v>
      </c>
      <c r="D3429" s="28">
        <v>1.7361111111111112E-2</v>
      </c>
    </row>
    <row r="3430" spans="1:4" x14ac:dyDescent="0.25">
      <c r="A3430" s="24" t="s">
        <v>99</v>
      </c>
      <c r="B3430" s="24" t="s">
        <v>132</v>
      </c>
      <c r="C3430" s="32">
        <v>19.991</v>
      </c>
      <c r="D3430" s="28">
        <v>1.7361111111111112E-2</v>
      </c>
    </row>
    <row r="3431" spans="1:4" x14ac:dyDescent="0.25">
      <c r="A3431" s="24" t="s">
        <v>99</v>
      </c>
      <c r="B3431" s="24" t="s">
        <v>133</v>
      </c>
      <c r="C3431" s="32">
        <v>32.039000000000001</v>
      </c>
      <c r="D3431" s="28">
        <v>2.9166666666666664E-2</v>
      </c>
    </row>
    <row r="3432" spans="1:4" x14ac:dyDescent="0.25">
      <c r="A3432" s="24" t="s">
        <v>99</v>
      </c>
      <c r="B3432" s="24" t="s">
        <v>134</v>
      </c>
      <c r="C3432" s="32">
        <v>31.573</v>
      </c>
      <c r="D3432" s="28">
        <v>2.7777777777777776E-2</v>
      </c>
    </row>
    <row r="3433" spans="1:4" x14ac:dyDescent="0.25">
      <c r="A3433" s="24" t="s">
        <v>99</v>
      </c>
      <c r="B3433" s="24" t="s">
        <v>135</v>
      </c>
      <c r="C3433" s="32">
        <v>32.116999999999997</v>
      </c>
      <c r="D3433" s="28">
        <v>2.9166666666666664E-2</v>
      </c>
    </row>
    <row r="3434" spans="1:4" x14ac:dyDescent="0.25">
      <c r="A3434" s="24" t="s">
        <v>99</v>
      </c>
      <c r="B3434" s="24" t="s">
        <v>136</v>
      </c>
      <c r="C3434" s="32">
        <v>32.116999999999997</v>
      </c>
      <c r="D3434" s="28">
        <v>2.9166666666666664E-2</v>
      </c>
    </row>
    <row r="3435" spans="1:4" x14ac:dyDescent="0.25">
      <c r="A3435" s="24" t="s">
        <v>99</v>
      </c>
      <c r="B3435" s="24" t="s">
        <v>137</v>
      </c>
      <c r="C3435" s="32">
        <v>31.725999999999999</v>
      </c>
      <c r="D3435" s="28">
        <v>2.8472222222222222E-2</v>
      </c>
    </row>
    <row r="3436" spans="1:4" x14ac:dyDescent="0.25">
      <c r="A3436" s="24" t="s">
        <v>99</v>
      </c>
      <c r="B3436" s="24" t="s">
        <v>138</v>
      </c>
      <c r="C3436" s="32">
        <v>36.816000000000003</v>
      </c>
      <c r="D3436" s="28">
        <v>3.0555555555555555E-2</v>
      </c>
    </row>
    <row r="3437" spans="1:4" x14ac:dyDescent="0.25">
      <c r="A3437" s="24" t="s">
        <v>99</v>
      </c>
      <c r="B3437" s="24" t="s">
        <v>139</v>
      </c>
      <c r="C3437" s="32">
        <v>47.530999999999999</v>
      </c>
      <c r="D3437" s="28">
        <v>3.2638888888888891E-2</v>
      </c>
    </row>
    <row r="3438" spans="1:4" x14ac:dyDescent="0.25">
      <c r="A3438" s="24" t="s">
        <v>99</v>
      </c>
      <c r="B3438" s="24" t="s">
        <v>140</v>
      </c>
      <c r="C3438" s="32">
        <v>42.884</v>
      </c>
      <c r="D3438" s="28">
        <v>3.5416666666666666E-2</v>
      </c>
    </row>
    <row r="3439" spans="1:4" x14ac:dyDescent="0.25">
      <c r="A3439" s="24" t="s">
        <v>99</v>
      </c>
      <c r="B3439" s="24" t="s">
        <v>141</v>
      </c>
      <c r="C3439" s="32">
        <v>72.242000000000004</v>
      </c>
      <c r="D3439" s="28">
        <v>5.1388888888888894E-2</v>
      </c>
    </row>
    <row r="3440" spans="1:4" x14ac:dyDescent="0.25">
      <c r="A3440" s="24" t="s">
        <v>99</v>
      </c>
      <c r="B3440" s="24" t="s">
        <v>142</v>
      </c>
      <c r="C3440" s="32">
        <v>70.33</v>
      </c>
      <c r="D3440" s="28">
        <v>4.4444444444444446E-2</v>
      </c>
    </row>
    <row r="3441" spans="1:4" x14ac:dyDescent="0.25">
      <c r="A3441" s="24" t="s">
        <v>99</v>
      </c>
      <c r="B3441" s="24" t="s">
        <v>143</v>
      </c>
      <c r="C3441" s="32">
        <v>88.707999999999998</v>
      </c>
      <c r="D3441" s="28">
        <v>5.1388888888888894E-2</v>
      </c>
    </row>
    <row r="3442" spans="1:4" x14ac:dyDescent="0.25">
      <c r="A3442" s="24" t="s">
        <v>99</v>
      </c>
      <c r="B3442" s="24" t="s">
        <v>144</v>
      </c>
      <c r="C3442" s="32">
        <v>107.824</v>
      </c>
      <c r="D3442" s="28">
        <v>6.25E-2</v>
      </c>
    </row>
    <row r="3443" spans="1:4" x14ac:dyDescent="0.25">
      <c r="A3443" s="24" t="s">
        <v>99</v>
      </c>
      <c r="B3443" s="24" t="s">
        <v>145</v>
      </c>
      <c r="C3443" s="32">
        <v>52.338000000000001</v>
      </c>
      <c r="D3443" s="28">
        <v>3.6805555555555557E-2</v>
      </c>
    </row>
    <row r="3444" spans="1:4" x14ac:dyDescent="0.25">
      <c r="A3444" s="24" t="s">
        <v>99</v>
      </c>
      <c r="B3444" s="24" t="s">
        <v>146</v>
      </c>
      <c r="C3444" s="32">
        <v>67.796999999999997</v>
      </c>
      <c r="D3444" s="28">
        <v>4.5138888888888888E-2</v>
      </c>
    </row>
    <row r="3445" spans="1:4" x14ac:dyDescent="0.25">
      <c r="A3445" s="24" t="s">
        <v>99</v>
      </c>
      <c r="B3445" s="24" t="s">
        <v>147</v>
      </c>
      <c r="C3445" s="32">
        <v>18.443000000000001</v>
      </c>
      <c r="D3445" s="28">
        <v>1.6666666666666666E-2</v>
      </c>
    </row>
    <row r="3446" spans="1:4" x14ac:dyDescent="0.25">
      <c r="A3446" s="24" t="s">
        <v>99</v>
      </c>
      <c r="B3446" s="24" t="s">
        <v>148</v>
      </c>
      <c r="C3446" s="32">
        <v>27.341999999999999</v>
      </c>
      <c r="D3446" s="28">
        <v>1.8749999999999999E-2</v>
      </c>
    </row>
    <row r="3447" spans="1:4" x14ac:dyDescent="0.25">
      <c r="A3447" s="24" t="s">
        <v>99</v>
      </c>
      <c r="B3447" s="24" t="s">
        <v>149</v>
      </c>
      <c r="C3447" s="32">
        <v>20.097000000000001</v>
      </c>
      <c r="D3447" s="28">
        <v>1.7361111111111112E-2</v>
      </c>
    </row>
    <row r="3448" spans="1:4" x14ac:dyDescent="0.25">
      <c r="A3448" s="24" t="s">
        <v>99</v>
      </c>
      <c r="B3448" s="24" t="s">
        <v>150</v>
      </c>
      <c r="C3448" s="32">
        <v>26.169</v>
      </c>
      <c r="D3448" s="28">
        <v>2.6388888888888889E-2</v>
      </c>
    </row>
    <row r="3449" spans="1:4" x14ac:dyDescent="0.25">
      <c r="A3449" s="24" t="s">
        <v>99</v>
      </c>
      <c r="B3449" s="24" t="s">
        <v>151</v>
      </c>
      <c r="C3449" s="32">
        <v>27.952999999999999</v>
      </c>
      <c r="D3449" s="28">
        <v>2.6388888888888889E-2</v>
      </c>
    </row>
    <row r="3450" spans="1:4" x14ac:dyDescent="0.25">
      <c r="A3450" s="24" t="s">
        <v>99</v>
      </c>
      <c r="B3450" s="24" t="s">
        <v>152</v>
      </c>
      <c r="C3450" s="32">
        <v>23.686</v>
      </c>
      <c r="D3450" s="28">
        <v>2.361111111111111E-2</v>
      </c>
    </row>
    <row r="3451" spans="1:4" x14ac:dyDescent="0.25">
      <c r="A3451" s="24" t="s">
        <v>99</v>
      </c>
      <c r="B3451" s="24" t="s">
        <v>153</v>
      </c>
      <c r="C3451" s="32">
        <v>28.213000000000001</v>
      </c>
      <c r="D3451" s="28">
        <v>2.9861111111111113E-2</v>
      </c>
    </row>
    <row r="3452" spans="1:4" x14ac:dyDescent="0.25">
      <c r="A3452" s="24" t="s">
        <v>99</v>
      </c>
      <c r="B3452" s="24" t="s">
        <v>154</v>
      </c>
      <c r="C3452" s="32">
        <v>23.021999999999998</v>
      </c>
      <c r="D3452" s="28">
        <v>2.361111111111111E-2</v>
      </c>
    </row>
    <row r="3453" spans="1:4" x14ac:dyDescent="0.25">
      <c r="A3453" s="24" t="s">
        <v>99</v>
      </c>
      <c r="B3453" s="24" t="s">
        <v>155</v>
      </c>
      <c r="C3453" s="32">
        <v>28.556999999999999</v>
      </c>
      <c r="D3453" s="28">
        <v>2.7083333333333334E-2</v>
      </c>
    </row>
    <row r="3454" spans="1:4" x14ac:dyDescent="0.25">
      <c r="A3454" s="24" t="s">
        <v>99</v>
      </c>
      <c r="B3454" s="24" t="s">
        <v>156</v>
      </c>
      <c r="C3454" s="32">
        <v>28.541</v>
      </c>
      <c r="D3454" s="28">
        <v>2.7083333333333334E-2</v>
      </c>
    </row>
    <row r="3455" spans="1:4" x14ac:dyDescent="0.25">
      <c r="A3455" s="24" t="s">
        <v>99</v>
      </c>
      <c r="B3455" s="24" t="s">
        <v>157</v>
      </c>
      <c r="C3455" s="32">
        <v>13.565</v>
      </c>
      <c r="D3455" s="28">
        <v>1.3194444444444444E-2</v>
      </c>
    </row>
    <row r="3456" spans="1:4" x14ac:dyDescent="0.25">
      <c r="A3456" s="24" t="s">
        <v>99</v>
      </c>
      <c r="B3456" s="24" t="s">
        <v>158</v>
      </c>
      <c r="C3456" s="32">
        <v>24.318999999999999</v>
      </c>
      <c r="D3456" s="28">
        <v>2.0833333333333332E-2</v>
      </c>
    </row>
    <row r="3457" spans="1:4" x14ac:dyDescent="0.25">
      <c r="A3457" s="24" t="s">
        <v>99</v>
      </c>
      <c r="B3457" s="24" t="s">
        <v>159</v>
      </c>
      <c r="C3457" s="32">
        <v>23.701000000000001</v>
      </c>
      <c r="D3457" s="28">
        <v>2.2222222222222223E-2</v>
      </c>
    </row>
    <row r="3458" spans="1:4" x14ac:dyDescent="0.25">
      <c r="A3458" s="24" t="s">
        <v>100</v>
      </c>
      <c r="B3458" s="24" t="s">
        <v>65</v>
      </c>
      <c r="C3458" s="32">
        <v>11.528</v>
      </c>
      <c r="D3458" s="28">
        <v>9.0277777777777787E-3</v>
      </c>
    </row>
    <row r="3459" spans="1:4" x14ac:dyDescent="0.25">
      <c r="A3459" s="24" t="s">
        <v>100</v>
      </c>
      <c r="B3459" s="24" t="s">
        <v>64</v>
      </c>
      <c r="C3459" s="32">
        <v>24.123999999999999</v>
      </c>
      <c r="D3459" s="28">
        <v>1.8055555555555557E-2</v>
      </c>
    </row>
    <row r="3460" spans="1:4" x14ac:dyDescent="0.25">
      <c r="A3460" s="24" t="s">
        <v>100</v>
      </c>
      <c r="B3460" s="24" t="s">
        <v>66</v>
      </c>
      <c r="C3460" s="32">
        <v>30.471</v>
      </c>
      <c r="D3460" s="28">
        <v>2.5694444444444447E-2</v>
      </c>
    </row>
    <row r="3461" spans="1:4" x14ac:dyDescent="0.25">
      <c r="A3461" s="24" t="s">
        <v>100</v>
      </c>
      <c r="B3461" s="24" t="s">
        <v>67</v>
      </c>
      <c r="C3461" s="32">
        <v>27.715</v>
      </c>
      <c r="D3461" s="28">
        <v>2.4999999999999998E-2</v>
      </c>
    </row>
    <row r="3462" spans="1:4" x14ac:dyDescent="0.25">
      <c r="A3462" s="24" t="s">
        <v>100</v>
      </c>
      <c r="B3462" s="24" t="s">
        <v>68</v>
      </c>
      <c r="C3462" s="32">
        <v>30.02</v>
      </c>
      <c r="D3462" s="28">
        <v>2.5694444444444447E-2</v>
      </c>
    </row>
    <row r="3463" spans="1:4" x14ac:dyDescent="0.25">
      <c r="A3463" s="24" t="s">
        <v>100</v>
      </c>
      <c r="B3463" s="24" t="s">
        <v>69</v>
      </c>
      <c r="C3463" s="32">
        <v>29.027999999999999</v>
      </c>
      <c r="D3463" s="28">
        <v>2.4305555555555556E-2</v>
      </c>
    </row>
    <row r="3464" spans="1:4" x14ac:dyDescent="0.25">
      <c r="A3464" s="24" t="s">
        <v>100</v>
      </c>
      <c r="B3464" s="24" t="s">
        <v>70</v>
      </c>
      <c r="C3464" s="32">
        <v>29.411999999999999</v>
      </c>
      <c r="D3464" s="28">
        <v>2.4999999999999998E-2</v>
      </c>
    </row>
    <row r="3465" spans="1:4" x14ac:dyDescent="0.25">
      <c r="A3465" s="24" t="s">
        <v>100</v>
      </c>
      <c r="B3465" s="24" t="s">
        <v>71</v>
      </c>
      <c r="C3465" s="32">
        <v>29.605</v>
      </c>
      <c r="D3465" s="28">
        <v>2.4999999999999998E-2</v>
      </c>
    </row>
    <row r="3466" spans="1:4" x14ac:dyDescent="0.25">
      <c r="A3466" s="24" t="s">
        <v>100</v>
      </c>
      <c r="B3466" s="24" t="s">
        <v>72</v>
      </c>
      <c r="C3466" s="32">
        <v>28.948</v>
      </c>
      <c r="D3466" s="28">
        <v>2.7777777777777776E-2</v>
      </c>
    </row>
    <row r="3467" spans="1:4" x14ac:dyDescent="0.25">
      <c r="A3467" s="24" t="s">
        <v>100</v>
      </c>
      <c r="B3467" s="24" t="s">
        <v>73</v>
      </c>
      <c r="C3467" s="32">
        <v>27.475999999999999</v>
      </c>
      <c r="D3467" s="28">
        <v>2.4999999999999998E-2</v>
      </c>
    </row>
    <row r="3468" spans="1:4" x14ac:dyDescent="0.25">
      <c r="A3468" s="24" t="s">
        <v>100</v>
      </c>
      <c r="B3468" s="24" t="s">
        <v>74</v>
      </c>
      <c r="C3468" s="32">
        <v>31.279</v>
      </c>
      <c r="D3468" s="28">
        <v>2.7777777777777776E-2</v>
      </c>
    </row>
    <row r="3469" spans="1:4" x14ac:dyDescent="0.25">
      <c r="A3469" s="24" t="s">
        <v>100</v>
      </c>
      <c r="B3469" s="24" t="s">
        <v>75</v>
      </c>
      <c r="C3469" s="32">
        <v>30.315000000000001</v>
      </c>
      <c r="D3469" s="28">
        <v>2.5694444444444447E-2</v>
      </c>
    </row>
    <row r="3470" spans="1:4" x14ac:dyDescent="0.25">
      <c r="A3470" s="24" t="s">
        <v>100</v>
      </c>
      <c r="B3470" s="24" t="s">
        <v>76</v>
      </c>
      <c r="C3470" s="32">
        <v>33.384</v>
      </c>
      <c r="D3470" s="28">
        <v>3.1944444444444449E-2</v>
      </c>
    </row>
    <row r="3471" spans="1:4" x14ac:dyDescent="0.25">
      <c r="A3471" s="24" t="s">
        <v>100</v>
      </c>
      <c r="B3471" s="24" t="s">
        <v>77</v>
      </c>
      <c r="C3471" s="32">
        <v>34.073999999999998</v>
      </c>
      <c r="D3471" s="28">
        <v>3.1944444444444449E-2</v>
      </c>
    </row>
    <row r="3472" spans="1:4" x14ac:dyDescent="0.25">
      <c r="A3472" s="24" t="s">
        <v>100</v>
      </c>
      <c r="B3472" s="24" t="s">
        <v>78</v>
      </c>
      <c r="C3472" s="32">
        <v>29.114999999999998</v>
      </c>
      <c r="D3472" s="28">
        <v>2.8472222222222222E-2</v>
      </c>
    </row>
    <row r="3473" spans="1:4" x14ac:dyDescent="0.25">
      <c r="A3473" s="24" t="s">
        <v>100</v>
      </c>
      <c r="B3473" s="24" t="s">
        <v>79</v>
      </c>
      <c r="C3473" s="32">
        <v>51.966999999999999</v>
      </c>
      <c r="D3473" s="28">
        <v>4.4444444444444446E-2</v>
      </c>
    </row>
    <row r="3474" spans="1:4" x14ac:dyDescent="0.25">
      <c r="A3474" s="24" t="s">
        <v>100</v>
      </c>
      <c r="B3474" s="24" t="s">
        <v>80</v>
      </c>
      <c r="C3474" s="32">
        <v>9.5459999999999994</v>
      </c>
      <c r="D3474" s="28">
        <v>7.6388888888888886E-3</v>
      </c>
    </row>
    <row r="3475" spans="1:4" x14ac:dyDescent="0.25">
      <c r="A3475" s="24" t="s">
        <v>100</v>
      </c>
      <c r="B3475" s="24" t="s">
        <v>81</v>
      </c>
      <c r="C3475" s="32">
        <v>14.068</v>
      </c>
      <c r="D3475" s="28">
        <v>1.0416666666666666E-2</v>
      </c>
    </row>
    <row r="3476" spans="1:4" x14ac:dyDescent="0.25">
      <c r="A3476" s="24" t="s">
        <v>100</v>
      </c>
      <c r="B3476" s="24" t="s">
        <v>82</v>
      </c>
      <c r="C3476" s="32">
        <v>14.12</v>
      </c>
      <c r="D3476" s="28">
        <v>1.0416666666666666E-2</v>
      </c>
    </row>
    <row r="3477" spans="1:4" x14ac:dyDescent="0.25">
      <c r="A3477" s="24" t="s">
        <v>100</v>
      </c>
      <c r="B3477" s="24" t="s">
        <v>83</v>
      </c>
      <c r="C3477" s="32">
        <v>21.902000000000001</v>
      </c>
      <c r="D3477" s="28">
        <v>1.6666666666666666E-2</v>
      </c>
    </row>
    <row r="3478" spans="1:4" x14ac:dyDescent="0.25">
      <c r="A3478" s="24" t="s">
        <v>100</v>
      </c>
      <c r="B3478" s="24" t="s">
        <v>84</v>
      </c>
      <c r="C3478" s="32">
        <v>28.484000000000002</v>
      </c>
      <c r="D3478" s="28">
        <v>2.361111111111111E-2</v>
      </c>
    </row>
    <row r="3479" spans="1:4" x14ac:dyDescent="0.25">
      <c r="A3479" s="24" t="s">
        <v>100</v>
      </c>
      <c r="B3479" s="24" t="s">
        <v>85</v>
      </c>
      <c r="C3479" s="32">
        <v>28.501000000000001</v>
      </c>
      <c r="D3479" s="28">
        <v>2.2916666666666669E-2</v>
      </c>
    </row>
    <row r="3480" spans="1:4" x14ac:dyDescent="0.25">
      <c r="A3480" s="24" t="s">
        <v>100</v>
      </c>
      <c r="B3480" s="24" t="s">
        <v>86</v>
      </c>
      <c r="C3480" s="32">
        <v>26.126999999999999</v>
      </c>
      <c r="D3480" s="28">
        <v>2.013888888888889E-2</v>
      </c>
    </row>
    <row r="3481" spans="1:4" x14ac:dyDescent="0.25">
      <c r="A3481" s="24" t="s">
        <v>100</v>
      </c>
      <c r="B3481" s="24" t="s">
        <v>87</v>
      </c>
      <c r="C3481" s="32">
        <v>24.491</v>
      </c>
      <c r="D3481" s="28">
        <v>1.9444444444444445E-2</v>
      </c>
    </row>
    <row r="3482" spans="1:4" x14ac:dyDescent="0.25">
      <c r="A3482" s="24" t="s">
        <v>100</v>
      </c>
      <c r="B3482" s="24" t="s">
        <v>88</v>
      </c>
      <c r="C3482" s="32">
        <v>23.643999999999998</v>
      </c>
      <c r="D3482" s="28">
        <v>1.9444444444444445E-2</v>
      </c>
    </row>
    <row r="3483" spans="1:4" x14ac:dyDescent="0.25">
      <c r="A3483" s="24" t="s">
        <v>100</v>
      </c>
      <c r="B3483" s="24" t="s">
        <v>89</v>
      </c>
      <c r="C3483" s="32">
        <v>18.920999999999999</v>
      </c>
      <c r="D3483" s="28">
        <v>1.5972222222222224E-2</v>
      </c>
    </row>
    <row r="3484" spans="1:4" x14ac:dyDescent="0.25">
      <c r="A3484" s="24" t="s">
        <v>100</v>
      </c>
      <c r="B3484" s="24" t="s">
        <v>90</v>
      </c>
      <c r="C3484" s="32">
        <v>6.8979999999999997</v>
      </c>
      <c r="D3484" s="28">
        <v>6.2499999999999995E-3</v>
      </c>
    </row>
    <row r="3485" spans="1:4" x14ac:dyDescent="0.25">
      <c r="A3485" s="24" t="s">
        <v>100</v>
      </c>
      <c r="B3485" s="24" t="s">
        <v>91</v>
      </c>
      <c r="C3485" s="32">
        <v>21.364999999999998</v>
      </c>
      <c r="D3485" s="28">
        <v>1.8055555555555557E-2</v>
      </c>
    </row>
    <row r="3486" spans="1:4" x14ac:dyDescent="0.25">
      <c r="A3486" s="24" t="s">
        <v>100</v>
      </c>
      <c r="B3486" s="24" t="s">
        <v>92</v>
      </c>
      <c r="C3486" s="32">
        <v>14.177</v>
      </c>
      <c r="D3486" s="28">
        <v>1.2499999999999999E-2</v>
      </c>
    </row>
    <row r="3487" spans="1:4" x14ac:dyDescent="0.25">
      <c r="A3487" s="24" t="s">
        <v>100</v>
      </c>
      <c r="B3487" s="24" t="s">
        <v>93</v>
      </c>
      <c r="C3487" s="32">
        <v>19.835999999999999</v>
      </c>
      <c r="D3487" s="28">
        <v>1.3888888888888888E-2</v>
      </c>
    </row>
    <row r="3488" spans="1:4" x14ac:dyDescent="0.25">
      <c r="A3488" s="24" t="s">
        <v>100</v>
      </c>
      <c r="B3488" s="24" t="s">
        <v>94</v>
      </c>
      <c r="C3488" s="32">
        <v>20.465</v>
      </c>
      <c r="D3488" s="28">
        <v>1.3888888888888888E-2</v>
      </c>
    </row>
    <row r="3489" spans="1:4" x14ac:dyDescent="0.25">
      <c r="A3489" s="24" t="s">
        <v>100</v>
      </c>
      <c r="B3489" s="24" t="s">
        <v>95</v>
      </c>
      <c r="C3489" s="32">
        <v>14.404</v>
      </c>
      <c r="D3489" s="28">
        <v>1.1111111111111112E-2</v>
      </c>
    </row>
    <row r="3490" spans="1:4" x14ac:dyDescent="0.25">
      <c r="A3490" s="24" t="s">
        <v>100</v>
      </c>
      <c r="B3490" s="24" t="s">
        <v>96</v>
      </c>
      <c r="C3490" s="32">
        <v>25.312999999999999</v>
      </c>
      <c r="D3490" s="28">
        <v>1.8749999999999999E-2</v>
      </c>
    </row>
    <row r="3491" spans="1:4" x14ac:dyDescent="0.25">
      <c r="A3491" s="24" t="s">
        <v>100</v>
      </c>
      <c r="B3491" s="24" t="s">
        <v>97</v>
      </c>
      <c r="C3491" s="32">
        <v>24.231000000000002</v>
      </c>
      <c r="D3491" s="28">
        <v>1.9444444444444445E-2</v>
      </c>
    </row>
    <row r="3492" spans="1:4" x14ac:dyDescent="0.25">
      <c r="A3492" s="24" t="s">
        <v>100</v>
      </c>
      <c r="B3492" s="24" t="s">
        <v>98</v>
      </c>
      <c r="C3492" s="32">
        <v>14.093</v>
      </c>
      <c r="D3492" s="28">
        <v>1.1111111111111112E-2</v>
      </c>
    </row>
    <row r="3493" spans="1:4" x14ac:dyDescent="0.25">
      <c r="A3493" s="24" t="s">
        <v>100</v>
      </c>
      <c r="B3493" s="24" t="s">
        <v>99</v>
      </c>
      <c r="C3493" s="32">
        <v>20.591000000000001</v>
      </c>
      <c r="D3493" s="28">
        <v>1.5972222222222224E-2</v>
      </c>
    </row>
    <row r="3494" spans="1:4" x14ac:dyDescent="0.25">
      <c r="A3494" s="24" t="s">
        <v>100</v>
      </c>
      <c r="B3494" s="24" t="s">
        <v>100</v>
      </c>
      <c r="C3494" s="32">
        <v>0</v>
      </c>
      <c r="D3494" s="28">
        <v>0</v>
      </c>
    </row>
    <row r="3495" spans="1:4" x14ac:dyDescent="0.25">
      <c r="A3495" s="24" t="s">
        <v>100</v>
      </c>
      <c r="B3495" s="24" t="s">
        <v>101</v>
      </c>
      <c r="C3495" s="32">
        <v>15.789</v>
      </c>
      <c r="D3495" s="28">
        <v>1.2499999999999999E-2</v>
      </c>
    </row>
    <row r="3496" spans="1:4" x14ac:dyDescent="0.25">
      <c r="A3496" s="24" t="s">
        <v>100</v>
      </c>
      <c r="B3496" s="24" t="s">
        <v>102</v>
      </c>
      <c r="C3496" s="32">
        <v>16.294</v>
      </c>
      <c r="D3496" s="28">
        <v>1.4583333333333332E-2</v>
      </c>
    </row>
    <row r="3497" spans="1:4" x14ac:dyDescent="0.25">
      <c r="A3497" s="24" t="s">
        <v>100</v>
      </c>
      <c r="B3497" s="24" t="s">
        <v>103</v>
      </c>
      <c r="C3497" s="32">
        <v>15.268000000000001</v>
      </c>
      <c r="D3497" s="28">
        <v>1.1111111111111112E-2</v>
      </c>
    </row>
    <row r="3498" spans="1:4" x14ac:dyDescent="0.25">
      <c r="A3498" s="24" t="s">
        <v>100</v>
      </c>
      <c r="B3498" s="24" t="s">
        <v>104</v>
      </c>
      <c r="C3498" s="32">
        <v>11.701000000000001</v>
      </c>
      <c r="D3498" s="28">
        <v>9.7222222222222224E-3</v>
      </c>
    </row>
    <row r="3499" spans="1:4" x14ac:dyDescent="0.25">
      <c r="A3499" s="24" t="s">
        <v>100</v>
      </c>
      <c r="B3499" s="24" t="s">
        <v>105</v>
      </c>
      <c r="C3499" s="32">
        <v>18.565999999999999</v>
      </c>
      <c r="D3499" s="28">
        <v>1.6666666666666666E-2</v>
      </c>
    </row>
    <row r="3500" spans="1:4" x14ac:dyDescent="0.25">
      <c r="A3500" s="24" t="s">
        <v>100</v>
      </c>
      <c r="B3500" s="24" t="s">
        <v>106</v>
      </c>
      <c r="C3500" s="32">
        <v>16.946999999999999</v>
      </c>
      <c r="D3500" s="28">
        <v>1.2499999999999999E-2</v>
      </c>
    </row>
    <row r="3501" spans="1:4" x14ac:dyDescent="0.25">
      <c r="A3501" s="24" t="s">
        <v>100</v>
      </c>
      <c r="B3501" s="24" t="s">
        <v>107</v>
      </c>
      <c r="C3501" s="32">
        <v>27.771000000000001</v>
      </c>
      <c r="D3501" s="28">
        <v>2.2222222222222223E-2</v>
      </c>
    </row>
    <row r="3502" spans="1:4" x14ac:dyDescent="0.25">
      <c r="A3502" s="24" t="s">
        <v>100</v>
      </c>
      <c r="B3502" s="24" t="s">
        <v>108</v>
      </c>
      <c r="C3502" s="32">
        <v>28.367999999999999</v>
      </c>
      <c r="D3502" s="28">
        <v>2.0833333333333332E-2</v>
      </c>
    </row>
    <row r="3503" spans="1:4" x14ac:dyDescent="0.25">
      <c r="A3503" s="24" t="s">
        <v>100</v>
      </c>
      <c r="B3503" s="24" t="s">
        <v>109</v>
      </c>
      <c r="C3503" s="32">
        <v>28.338000000000001</v>
      </c>
      <c r="D3503" s="28">
        <v>2.0833333333333332E-2</v>
      </c>
    </row>
    <row r="3504" spans="1:4" x14ac:dyDescent="0.25">
      <c r="A3504" s="24" t="s">
        <v>100</v>
      </c>
      <c r="B3504" s="24" t="s">
        <v>110</v>
      </c>
      <c r="C3504" s="32">
        <v>19.507000000000001</v>
      </c>
      <c r="D3504" s="28">
        <v>1.5277777777777777E-2</v>
      </c>
    </row>
    <row r="3505" spans="1:4" x14ac:dyDescent="0.25">
      <c r="A3505" s="24" t="s">
        <v>100</v>
      </c>
      <c r="B3505" s="24" t="s">
        <v>111</v>
      </c>
      <c r="C3505" s="32">
        <v>17.026</v>
      </c>
      <c r="D3505" s="28">
        <v>1.2499999999999999E-2</v>
      </c>
    </row>
    <row r="3506" spans="1:4" x14ac:dyDescent="0.25">
      <c r="A3506" s="24" t="s">
        <v>100</v>
      </c>
      <c r="B3506" s="24" t="s">
        <v>112</v>
      </c>
      <c r="C3506" s="32">
        <v>27.445</v>
      </c>
      <c r="D3506" s="28">
        <v>2.013888888888889E-2</v>
      </c>
    </row>
    <row r="3507" spans="1:4" x14ac:dyDescent="0.25">
      <c r="A3507" s="24" t="s">
        <v>100</v>
      </c>
      <c r="B3507" s="24" t="s">
        <v>113</v>
      </c>
      <c r="C3507" s="32">
        <v>31.068999999999999</v>
      </c>
      <c r="D3507" s="28">
        <v>2.2916666666666669E-2</v>
      </c>
    </row>
    <row r="3508" spans="1:4" x14ac:dyDescent="0.25">
      <c r="A3508" s="24" t="s">
        <v>100</v>
      </c>
      <c r="B3508" s="24" t="s">
        <v>114</v>
      </c>
      <c r="C3508" s="32">
        <v>9.3729999999999993</v>
      </c>
      <c r="D3508" s="28">
        <v>6.9444444444444441E-3</v>
      </c>
    </row>
    <row r="3509" spans="1:4" x14ac:dyDescent="0.25">
      <c r="A3509" s="24" t="s">
        <v>100</v>
      </c>
      <c r="B3509" s="24" t="s">
        <v>115</v>
      </c>
      <c r="C3509" s="32">
        <v>8.8249999999999993</v>
      </c>
      <c r="D3509" s="28">
        <v>6.9444444444444441E-3</v>
      </c>
    </row>
    <row r="3510" spans="1:4" x14ac:dyDescent="0.25">
      <c r="A3510" s="24" t="s">
        <v>100</v>
      </c>
      <c r="B3510" s="24" t="s">
        <v>116</v>
      </c>
      <c r="C3510" s="32">
        <v>12.641</v>
      </c>
      <c r="D3510" s="28">
        <v>1.1111111111111112E-2</v>
      </c>
    </row>
    <row r="3511" spans="1:4" x14ac:dyDescent="0.25">
      <c r="A3511" s="24" t="s">
        <v>100</v>
      </c>
      <c r="B3511" s="24" t="s">
        <v>117</v>
      </c>
      <c r="C3511" s="32">
        <v>13.907999999999999</v>
      </c>
      <c r="D3511" s="28">
        <v>1.2499999999999999E-2</v>
      </c>
    </row>
    <row r="3512" spans="1:4" x14ac:dyDescent="0.25">
      <c r="A3512" s="24" t="s">
        <v>100</v>
      </c>
      <c r="B3512" s="24" t="s">
        <v>118</v>
      </c>
      <c r="C3512" s="32">
        <v>23.879000000000001</v>
      </c>
      <c r="D3512" s="28">
        <v>1.9444444444444445E-2</v>
      </c>
    </row>
    <row r="3513" spans="1:4" x14ac:dyDescent="0.25">
      <c r="A3513" s="24" t="s">
        <v>100</v>
      </c>
      <c r="B3513" s="24" t="s">
        <v>119</v>
      </c>
      <c r="C3513" s="32">
        <v>28.481999999999999</v>
      </c>
      <c r="D3513" s="28">
        <v>1.9444444444444445E-2</v>
      </c>
    </row>
    <row r="3514" spans="1:4" x14ac:dyDescent="0.25">
      <c r="A3514" s="24" t="s">
        <v>100</v>
      </c>
      <c r="B3514" s="24" t="s">
        <v>120</v>
      </c>
      <c r="C3514" s="32">
        <v>33.442999999999998</v>
      </c>
      <c r="D3514" s="28">
        <v>2.4999999999999998E-2</v>
      </c>
    </row>
    <row r="3515" spans="1:4" x14ac:dyDescent="0.25">
      <c r="A3515" s="24" t="s">
        <v>100</v>
      </c>
      <c r="B3515" s="24" t="s">
        <v>121</v>
      </c>
      <c r="C3515" s="32">
        <v>38.351999999999997</v>
      </c>
      <c r="D3515" s="28">
        <v>2.4999999999999998E-2</v>
      </c>
    </row>
    <row r="3516" spans="1:4" x14ac:dyDescent="0.25">
      <c r="A3516" s="24" t="s">
        <v>100</v>
      </c>
      <c r="B3516" s="24" t="s">
        <v>122</v>
      </c>
      <c r="C3516" s="32">
        <v>18.707000000000001</v>
      </c>
      <c r="D3516" s="28">
        <v>1.2499999999999999E-2</v>
      </c>
    </row>
    <row r="3517" spans="1:4" x14ac:dyDescent="0.25">
      <c r="A3517" s="24" t="s">
        <v>100</v>
      </c>
      <c r="B3517" s="24" t="s">
        <v>123</v>
      </c>
      <c r="C3517" s="32">
        <v>35.103000000000002</v>
      </c>
      <c r="D3517" s="28">
        <v>2.4999999999999998E-2</v>
      </c>
    </row>
    <row r="3518" spans="1:4" x14ac:dyDescent="0.25">
      <c r="A3518" s="24" t="s">
        <v>100</v>
      </c>
      <c r="B3518" s="24" t="s">
        <v>124</v>
      </c>
      <c r="C3518" s="32">
        <v>35.103000000000002</v>
      </c>
      <c r="D3518" s="28">
        <v>2.4999999999999998E-2</v>
      </c>
    </row>
    <row r="3519" spans="1:4" x14ac:dyDescent="0.25">
      <c r="A3519" s="24" t="s">
        <v>100</v>
      </c>
      <c r="B3519" s="24" t="s">
        <v>125</v>
      </c>
      <c r="C3519" s="32">
        <v>21.335999999999999</v>
      </c>
      <c r="D3519" s="28">
        <v>1.8055555555555557E-2</v>
      </c>
    </row>
    <row r="3520" spans="1:4" x14ac:dyDescent="0.25">
      <c r="A3520" s="24" t="s">
        <v>100</v>
      </c>
      <c r="B3520" s="24" t="s">
        <v>126</v>
      </c>
      <c r="C3520" s="32">
        <v>21.074000000000002</v>
      </c>
      <c r="D3520" s="28">
        <v>1.7361111111111112E-2</v>
      </c>
    </row>
    <row r="3521" spans="1:4" x14ac:dyDescent="0.25">
      <c r="A3521" s="24" t="s">
        <v>100</v>
      </c>
      <c r="B3521" s="24" t="s">
        <v>127</v>
      </c>
      <c r="C3521" s="32">
        <v>20.068000000000001</v>
      </c>
      <c r="D3521" s="28">
        <v>1.5972222222222224E-2</v>
      </c>
    </row>
    <row r="3522" spans="1:4" x14ac:dyDescent="0.25">
      <c r="A3522" s="24" t="s">
        <v>100</v>
      </c>
      <c r="B3522" s="24" t="s">
        <v>128</v>
      </c>
      <c r="C3522" s="32">
        <v>24.266999999999999</v>
      </c>
      <c r="D3522" s="28">
        <v>1.6666666666666666E-2</v>
      </c>
    </row>
    <row r="3523" spans="1:4" x14ac:dyDescent="0.25">
      <c r="A3523" s="24" t="s">
        <v>100</v>
      </c>
      <c r="B3523" s="24" t="s">
        <v>129</v>
      </c>
      <c r="C3523" s="32">
        <v>24.266999999999999</v>
      </c>
      <c r="D3523" s="28">
        <v>1.6666666666666666E-2</v>
      </c>
    </row>
    <row r="3524" spans="1:4" x14ac:dyDescent="0.25">
      <c r="A3524" s="24" t="s">
        <v>100</v>
      </c>
      <c r="B3524" s="24" t="s">
        <v>130</v>
      </c>
      <c r="C3524" s="32">
        <v>23.646000000000001</v>
      </c>
      <c r="D3524" s="28">
        <v>1.8749999999999999E-2</v>
      </c>
    </row>
    <row r="3525" spans="1:4" x14ac:dyDescent="0.25">
      <c r="A3525" s="24" t="s">
        <v>100</v>
      </c>
      <c r="B3525" s="24" t="s">
        <v>131</v>
      </c>
      <c r="C3525" s="32">
        <v>19.059999999999999</v>
      </c>
      <c r="D3525" s="28">
        <v>1.7361111111111112E-2</v>
      </c>
    </row>
    <row r="3526" spans="1:4" x14ac:dyDescent="0.25">
      <c r="A3526" s="24" t="s">
        <v>100</v>
      </c>
      <c r="B3526" s="24" t="s">
        <v>132</v>
      </c>
      <c r="C3526" s="32">
        <v>26.99</v>
      </c>
      <c r="D3526" s="28">
        <v>2.0833333333333332E-2</v>
      </c>
    </row>
    <row r="3527" spans="1:4" x14ac:dyDescent="0.25">
      <c r="A3527" s="24" t="s">
        <v>100</v>
      </c>
      <c r="B3527" s="24" t="s">
        <v>133</v>
      </c>
      <c r="C3527" s="32">
        <v>27.69</v>
      </c>
      <c r="D3527" s="28">
        <v>2.5694444444444447E-2</v>
      </c>
    </row>
    <row r="3528" spans="1:4" x14ac:dyDescent="0.25">
      <c r="A3528" s="24" t="s">
        <v>100</v>
      </c>
      <c r="B3528" s="24" t="s">
        <v>134</v>
      </c>
      <c r="C3528" s="32">
        <v>27.224</v>
      </c>
      <c r="D3528" s="28">
        <v>2.4305555555555556E-2</v>
      </c>
    </row>
    <row r="3529" spans="1:4" x14ac:dyDescent="0.25">
      <c r="A3529" s="24" t="s">
        <v>100</v>
      </c>
      <c r="B3529" s="24" t="s">
        <v>135</v>
      </c>
      <c r="C3529" s="32">
        <v>28.555</v>
      </c>
      <c r="D3529" s="28">
        <v>2.5694444444444447E-2</v>
      </c>
    </row>
    <row r="3530" spans="1:4" x14ac:dyDescent="0.25">
      <c r="A3530" s="24" t="s">
        <v>100</v>
      </c>
      <c r="B3530" s="24" t="s">
        <v>136</v>
      </c>
      <c r="C3530" s="32">
        <v>28.555</v>
      </c>
      <c r="D3530" s="28">
        <v>2.5694444444444447E-2</v>
      </c>
    </row>
    <row r="3531" spans="1:4" x14ac:dyDescent="0.25">
      <c r="A3531" s="24" t="s">
        <v>100</v>
      </c>
      <c r="B3531" s="24" t="s">
        <v>137</v>
      </c>
      <c r="C3531" s="32">
        <v>31.657</v>
      </c>
      <c r="D3531" s="28">
        <v>2.6388888888888889E-2</v>
      </c>
    </row>
    <row r="3532" spans="1:4" x14ac:dyDescent="0.25">
      <c r="A3532" s="24" t="s">
        <v>100</v>
      </c>
      <c r="B3532" s="24" t="s">
        <v>138</v>
      </c>
      <c r="C3532" s="32">
        <v>34.655000000000001</v>
      </c>
      <c r="D3532" s="28">
        <v>2.7083333333333334E-2</v>
      </c>
    </row>
    <row r="3533" spans="1:4" x14ac:dyDescent="0.25">
      <c r="A3533" s="24" t="s">
        <v>100</v>
      </c>
      <c r="B3533" s="24" t="s">
        <v>139</v>
      </c>
      <c r="C3533" s="32">
        <v>44.4</v>
      </c>
      <c r="D3533" s="28">
        <v>2.9861111111111113E-2</v>
      </c>
    </row>
    <row r="3534" spans="1:4" x14ac:dyDescent="0.25">
      <c r="A3534" s="24" t="s">
        <v>100</v>
      </c>
      <c r="B3534" s="24" t="s">
        <v>140</v>
      </c>
      <c r="C3534" s="32">
        <v>44.712000000000003</v>
      </c>
      <c r="D3534" s="28">
        <v>3.1944444444444449E-2</v>
      </c>
    </row>
    <row r="3535" spans="1:4" x14ac:dyDescent="0.25">
      <c r="A3535" s="24" t="s">
        <v>100</v>
      </c>
      <c r="B3535" s="24" t="s">
        <v>141</v>
      </c>
      <c r="C3535" s="32">
        <v>69.111000000000004</v>
      </c>
      <c r="D3535" s="28">
        <v>4.8611111111111112E-2</v>
      </c>
    </row>
    <row r="3536" spans="1:4" x14ac:dyDescent="0.25">
      <c r="A3536" s="24" t="s">
        <v>100</v>
      </c>
      <c r="B3536" s="24" t="s">
        <v>142</v>
      </c>
      <c r="C3536" s="32">
        <v>70.082999999999998</v>
      </c>
      <c r="D3536" s="28">
        <v>4.1666666666666664E-2</v>
      </c>
    </row>
    <row r="3537" spans="1:4" x14ac:dyDescent="0.25">
      <c r="A3537" s="24" t="s">
        <v>100</v>
      </c>
      <c r="B3537" s="24" t="s">
        <v>143</v>
      </c>
      <c r="C3537" s="32">
        <v>88.460999999999999</v>
      </c>
      <c r="D3537" s="28">
        <v>4.8611111111111112E-2</v>
      </c>
    </row>
    <row r="3538" spans="1:4" x14ac:dyDescent="0.25">
      <c r="A3538" s="24" t="s">
        <v>100</v>
      </c>
      <c r="B3538" s="24" t="s">
        <v>144</v>
      </c>
      <c r="C3538" s="32">
        <v>107.577</v>
      </c>
      <c r="D3538" s="28">
        <v>5.9722222222222225E-2</v>
      </c>
    </row>
    <row r="3539" spans="1:4" x14ac:dyDescent="0.25">
      <c r="A3539" s="24" t="s">
        <v>100</v>
      </c>
      <c r="B3539" s="24" t="s">
        <v>145</v>
      </c>
      <c r="C3539" s="32">
        <v>49.759</v>
      </c>
      <c r="D3539" s="28">
        <v>3.4722222222222224E-2</v>
      </c>
    </row>
    <row r="3540" spans="1:4" x14ac:dyDescent="0.25">
      <c r="A3540" s="24" t="s">
        <v>100</v>
      </c>
      <c r="B3540" s="24" t="s">
        <v>146</v>
      </c>
      <c r="C3540" s="32">
        <v>67.55</v>
      </c>
      <c r="D3540" s="28">
        <v>4.2361111111111106E-2</v>
      </c>
    </row>
    <row r="3541" spans="1:4" x14ac:dyDescent="0.25">
      <c r="A3541" s="24" t="s">
        <v>100</v>
      </c>
      <c r="B3541" s="24" t="s">
        <v>147</v>
      </c>
      <c r="C3541" s="32">
        <v>17.100000000000001</v>
      </c>
      <c r="D3541" s="28">
        <v>1.1805555555555555E-2</v>
      </c>
    </row>
    <row r="3542" spans="1:4" x14ac:dyDescent="0.25">
      <c r="A3542" s="24" t="s">
        <v>100</v>
      </c>
      <c r="B3542" s="24" t="s">
        <v>148</v>
      </c>
      <c r="C3542" s="32">
        <v>20.173999999999999</v>
      </c>
      <c r="D3542" s="28">
        <v>1.3194444444444444E-2</v>
      </c>
    </row>
    <row r="3543" spans="1:4" x14ac:dyDescent="0.25">
      <c r="A3543" s="24" t="s">
        <v>100</v>
      </c>
      <c r="B3543" s="24" t="s">
        <v>149</v>
      </c>
      <c r="C3543" s="32">
        <v>27.096</v>
      </c>
      <c r="D3543" s="28">
        <v>2.0833333333333332E-2</v>
      </c>
    </row>
    <row r="3544" spans="1:4" x14ac:dyDescent="0.25">
      <c r="A3544" s="24" t="s">
        <v>100</v>
      </c>
      <c r="B3544" s="24" t="s">
        <v>150</v>
      </c>
      <c r="C3544" s="32">
        <v>36.582999999999998</v>
      </c>
      <c r="D3544" s="28">
        <v>2.9861111111111113E-2</v>
      </c>
    </row>
    <row r="3545" spans="1:4" x14ac:dyDescent="0.25">
      <c r="A3545" s="24" t="s">
        <v>100</v>
      </c>
      <c r="B3545" s="24" t="s">
        <v>151</v>
      </c>
      <c r="C3545" s="32">
        <v>35.841000000000001</v>
      </c>
      <c r="D3545" s="28">
        <v>2.9861111111111113E-2</v>
      </c>
    </row>
    <row r="3546" spans="1:4" x14ac:dyDescent="0.25">
      <c r="A3546" s="24" t="s">
        <v>100</v>
      </c>
      <c r="B3546" s="24" t="s">
        <v>152</v>
      </c>
      <c r="C3546" s="32">
        <v>38.200000000000003</v>
      </c>
      <c r="D3546" s="28">
        <v>3.1944444444444449E-2</v>
      </c>
    </row>
    <row r="3547" spans="1:4" x14ac:dyDescent="0.25">
      <c r="A3547" s="24" t="s">
        <v>100</v>
      </c>
      <c r="B3547" s="24" t="s">
        <v>153</v>
      </c>
      <c r="C3547" s="32">
        <v>42.726999999999997</v>
      </c>
      <c r="D3547" s="28">
        <v>3.888888888888889E-2</v>
      </c>
    </row>
    <row r="3548" spans="1:4" x14ac:dyDescent="0.25">
      <c r="A3548" s="24" t="s">
        <v>100</v>
      </c>
      <c r="B3548" s="24" t="s">
        <v>154</v>
      </c>
      <c r="C3548" s="32">
        <v>37.536000000000001</v>
      </c>
      <c r="D3548" s="28">
        <v>3.1944444444444449E-2</v>
      </c>
    </row>
    <row r="3549" spans="1:4" x14ac:dyDescent="0.25">
      <c r="A3549" s="24" t="s">
        <v>100</v>
      </c>
      <c r="B3549" s="24" t="s">
        <v>155</v>
      </c>
      <c r="C3549" s="32">
        <v>36.445</v>
      </c>
      <c r="D3549" s="28">
        <v>2.9861111111111113E-2</v>
      </c>
    </row>
    <row r="3550" spans="1:4" x14ac:dyDescent="0.25">
      <c r="A3550" s="24" t="s">
        <v>100</v>
      </c>
      <c r="B3550" s="24" t="s">
        <v>156</v>
      </c>
      <c r="C3550" s="32">
        <v>36.429000000000002</v>
      </c>
      <c r="D3550" s="28">
        <v>2.9861111111111113E-2</v>
      </c>
    </row>
    <row r="3551" spans="1:4" x14ac:dyDescent="0.25">
      <c r="A3551" s="24" t="s">
        <v>100</v>
      </c>
      <c r="B3551" s="24" t="s">
        <v>157</v>
      </c>
      <c r="C3551" s="32">
        <v>30.37</v>
      </c>
      <c r="D3551" s="28">
        <v>2.4999999999999998E-2</v>
      </c>
    </row>
    <row r="3552" spans="1:4" x14ac:dyDescent="0.25">
      <c r="A3552" s="24" t="s">
        <v>100</v>
      </c>
      <c r="B3552" s="24" t="s">
        <v>158</v>
      </c>
      <c r="C3552" s="32">
        <v>41.124000000000002</v>
      </c>
      <c r="D3552" s="28">
        <v>3.2638888888888891E-2</v>
      </c>
    </row>
    <row r="3553" spans="1:4" x14ac:dyDescent="0.25">
      <c r="A3553" s="24" t="s">
        <v>100</v>
      </c>
      <c r="B3553" s="24" t="s">
        <v>159</v>
      </c>
      <c r="C3553" s="32">
        <v>41.615000000000002</v>
      </c>
      <c r="D3553" s="28">
        <v>3.4027777777777775E-2</v>
      </c>
    </row>
    <row r="3554" spans="1:4" x14ac:dyDescent="0.25">
      <c r="A3554" s="24" t="s">
        <v>101</v>
      </c>
      <c r="B3554" s="24" t="s">
        <v>65</v>
      </c>
      <c r="C3554" s="32">
        <v>15.987</v>
      </c>
      <c r="D3554" s="28">
        <v>1.3194444444444444E-2</v>
      </c>
    </row>
    <row r="3555" spans="1:4" x14ac:dyDescent="0.25">
      <c r="A3555" s="24" t="s">
        <v>101</v>
      </c>
      <c r="B3555" s="24" t="s">
        <v>64</v>
      </c>
      <c r="C3555" s="32">
        <v>19.847999999999999</v>
      </c>
      <c r="D3555" s="28">
        <v>1.8055555555555557E-2</v>
      </c>
    </row>
    <row r="3556" spans="1:4" x14ac:dyDescent="0.25">
      <c r="A3556" s="24" t="s">
        <v>101</v>
      </c>
      <c r="B3556" s="24" t="s">
        <v>66</v>
      </c>
      <c r="C3556" s="32">
        <v>24.684000000000001</v>
      </c>
      <c r="D3556" s="28">
        <v>2.361111111111111E-2</v>
      </c>
    </row>
    <row r="3557" spans="1:4" x14ac:dyDescent="0.25">
      <c r="A3557" s="24" t="s">
        <v>101</v>
      </c>
      <c r="B3557" s="24" t="s">
        <v>67</v>
      </c>
      <c r="C3557" s="32">
        <v>23.707999999999998</v>
      </c>
      <c r="D3557" s="28">
        <v>2.4305555555555556E-2</v>
      </c>
    </row>
    <row r="3558" spans="1:4" x14ac:dyDescent="0.25">
      <c r="A3558" s="24" t="s">
        <v>101</v>
      </c>
      <c r="B3558" s="24" t="s">
        <v>68</v>
      </c>
      <c r="C3558" s="32">
        <v>23.533999999999999</v>
      </c>
      <c r="D3558" s="28">
        <v>2.4305555555555556E-2</v>
      </c>
    </row>
    <row r="3559" spans="1:4" x14ac:dyDescent="0.25">
      <c r="A3559" s="24" t="s">
        <v>101</v>
      </c>
      <c r="B3559" s="24" t="s">
        <v>69</v>
      </c>
      <c r="C3559" s="32">
        <v>22.542000000000002</v>
      </c>
      <c r="D3559" s="28">
        <v>2.2916666666666669E-2</v>
      </c>
    </row>
    <row r="3560" spans="1:4" x14ac:dyDescent="0.25">
      <c r="A3560" s="24" t="s">
        <v>101</v>
      </c>
      <c r="B3560" s="24" t="s">
        <v>70</v>
      </c>
      <c r="C3560" s="32">
        <v>23.611999999999998</v>
      </c>
      <c r="D3560" s="28">
        <v>2.361111111111111E-2</v>
      </c>
    </row>
    <row r="3561" spans="1:4" x14ac:dyDescent="0.25">
      <c r="A3561" s="24" t="s">
        <v>101</v>
      </c>
      <c r="B3561" s="24" t="s">
        <v>71</v>
      </c>
      <c r="C3561" s="32">
        <v>23.119</v>
      </c>
      <c r="D3561" s="28">
        <v>2.361111111111111E-2</v>
      </c>
    </row>
    <row r="3562" spans="1:4" x14ac:dyDescent="0.25">
      <c r="A3562" s="24" t="s">
        <v>101</v>
      </c>
      <c r="B3562" s="24" t="s">
        <v>72</v>
      </c>
      <c r="C3562" s="32">
        <v>24.940999999999999</v>
      </c>
      <c r="D3562" s="28">
        <v>2.6388888888888889E-2</v>
      </c>
    </row>
    <row r="3563" spans="1:4" x14ac:dyDescent="0.25">
      <c r="A3563" s="24" t="s">
        <v>101</v>
      </c>
      <c r="B3563" s="24" t="s">
        <v>73</v>
      </c>
      <c r="C3563" s="32">
        <v>23.469000000000001</v>
      </c>
      <c r="D3563" s="28">
        <v>2.361111111111111E-2</v>
      </c>
    </row>
    <row r="3564" spans="1:4" x14ac:dyDescent="0.25">
      <c r="A3564" s="24" t="s">
        <v>101</v>
      </c>
      <c r="B3564" s="24" t="s">
        <v>74</v>
      </c>
      <c r="C3564" s="32">
        <v>27.068999999999999</v>
      </c>
      <c r="D3564" s="28">
        <v>2.7777777777777776E-2</v>
      </c>
    </row>
    <row r="3565" spans="1:4" x14ac:dyDescent="0.25">
      <c r="A3565" s="24" t="s">
        <v>101</v>
      </c>
      <c r="B3565" s="24" t="s">
        <v>75</v>
      </c>
      <c r="C3565" s="32">
        <v>26.105</v>
      </c>
      <c r="D3565" s="28">
        <v>2.5694444444444447E-2</v>
      </c>
    </row>
    <row r="3566" spans="1:4" x14ac:dyDescent="0.25">
      <c r="A3566" s="24" t="s">
        <v>101</v>
      </c>
      <c r="B3566" s="24" t="s">
        <v>76</v>
      </c>
      <c r="C3566" s="32">
        <v>30.212</v>
      </c>
      <c r="D3566" s="28">
        <v>3.1944444444444449E-2</v>
      </c>
    </row>
    <row r="3567" spans="1:4" x14ac:dyDescent="0.25">
      <c r="A3567" s="24" t="s">
        <v>101</v>
      </c>
      <c r="B3567" s="24" t="s">
        <v>77</v>
      </c>
      <c r="C3567" s="32">
        <v>28.835000000000001</v>
      </c>
      <c r="D3567" s="28">
        <v>2.7083333333333334E-2</v>
      </c>
    </row>
    <row r="3568" spans="1:4" x14ac:dyDescent="0.25">
      <c r="A3568" s="24" t="s">
        <v>101</v>
      </c>
      <c r="B3568" s="24" t="s">
        <v>78</v>
      </c>
      <c r="C3568" s="32">
        <v>23.876000000000001</v>
      </c>
      <c r="D3568" s="28">
        <v>2.361111111111111E-2</v>
      </c>
    </row>
    <row r="3569" spans="1:4" x14ac:dyDescent="0.25">
      <c r="A3569" s="24" t="s">
        <v>101</v>
      </c>
      <c r="B3569" s="24" t="s">
        <v>79</v>
      </c>
      <c r="C3569" s="32">
        <v>42.241999999999997</v>
      </c>
      <c r="D3569" s="28">
        <v>4.027777777777778E-2</v>
      </c>
    </row>
    <row r="3570" spans="1:4" x14ac:dyDescent="0.25">
      <c r="A3570" s="24" t="s">
        <v>101</v>
      </c>
      <c r="B3570" s="24" t="s">
        <v>80</v>
      </c>
      <c r="C3570" s="32">
        <v>14.005000000000001</v>
      </c>
      <c r="D3570" s="28">
        <v>1.1805555555555555E-2</v>
      </c>
    </row>
    <row r="3571" spans="1:4" x14ac:dyDescent="0.25">
      <c r="A3571" s="24" t="s">
        <v>101</v>
      </c>
      <c r="B3571" s="24" t="s">
        <v>81</v>
      </c>
      <c r="C3571" s="32">
        <v>18.527000000000001</v>
      </c>
      <c r="D3571" s="28">
        <v>1.4583333333333332E-2</v>
      </c>
    </row>
    <row r="3572" spans="1:4" x14ac:dyDescent="0.25">
      <c r="A3572" s="24" t="s">
        <v>101</v>
      </c>
      <c r="B3572" s="24" t="s">
        <v>82</v>
      </c>
      <c r="C3572" s="32">
        <v>18.579000000000001</v>
      </c>
      <c r="D3572" s="28">
        <v>1.4583333333333332E-2</v>
      </c>
    </row>
    <row r="3573" spans="1:4" x14ac:dyDescent="0.25">
      <c r="A3573" s="24" t="s">
        <v>101</v>
      </c>
      <c r="B3573" s="24" t="s">
        <v>83</v>
      </c>
      <c r="C3573" s="32">
        <v>18.957000000000001</v>
      </c>
      <c r="D3573" s="28">
        <v>1.9444444444444445E-2</v>
      </c>
    </row>
    <row r="3574" spans="1:4" x14ac:dyDescent="0.25">
      <c r="A3574" s="24" t="s">
        <v>101</v>
      </c>
      <c r="B3574" s="24" t="s">
        <v>84</v>
      </c>
      <c r="C3574" s="32">
        <v>24.274000000000001</v>
      </c>
      <c r="D3574" s="28">
        <v>2.361111111111111E-2</v>
      </c>
    </row>
    <row r="3575" spans="1:4" x14ac:dyDescent="0.25">
      <c r="A3575" s="24" t="s">
        <v>101</v>
      </c>
      <c r="B3575" s="24" t="s">
        <v>85</v>
      </c>
      <c r="C3575" s="32">
        <v>25.125</v>
      </c>
      <c r="D3575" s="28">
        <v>2.361111111111111E-2</v>
      </c>
    </row>
    <row r="3576" spans="1:4" x14ac:dyDescent="0.25">
      <c r="A3576" s="24" t="s">
        <v>101</v>
      </c>
      <c r="B3576" s="24" t="s">
        <v>86</v>
      </c>
      <c r="C3576" s="32">
        <v>22.751000000000001</v>
      </c>
      <c r="D3576" s="28">
        <v>2.0833333333333332E-2</v>
      </c>
    </row>
    <row r="3577" spans="1:4" x14ac:dyDescent="0.25">
      <c r="A3577" s="24" t="s">
        <v>101</v>
      </c>
      <c r="B3577" s="24" t="s">
        <v>87</v>
      </c>
      <c r="C3577" s="32">
        <v>22.866</v>
      </c>
      <c r="D3577" s="28">
        <v>2.0833333333333332E-2</v>
      </c>
    </row>
    <row r="3578" spans="1:4" x14ac:dyDescent="0.25">
      <c r="A3578" s="24" t="s">
        <v>101</v>
      </c>
      <c r="B3578" s="24" t="s">
        <v>88</v>
      </c>
      <c r="C3578" s="32">
        <v>20.699000000000002</v>
      </c>
      <c r="D3578" s="28">
        <v>2.1527777777777781E-2</v>
      </c>
    </row>
    <row r="3579" spans="1:4" x14ac:dyDescent="0.25">
      <c r="A3579" s="24" t="s">
        <v>101</v>
      </c>
      <c r="B3579" s="24" t="s">
        <v>89</v>
      </c>
      <c r="C3579" s="32">
        <v>17.369</v>
      </c>
      <c r="D3579" s="28">
        <v>1.8749999999999999E-2</v>
      </c>
    </row>
    <row r="3580" spans="1:4" x14ac:dyDescent="0.25">
      <c r="A3580" s="24" t="s">
        <v>101</v>
      </c>
      <c r="B3580" s="24" t="s">
        <v>90</v>
      </c>
      <c r="C3580" s="32">
        <v>11.321</v>
      </c>
      <c r="D3580" s="28">
        <v>1.0416666666666666E-2</v>
      </c>
    </row>
    <row r="3581" spans="1:4" x14ac:dyDescent="0.25">
      <c r="A3581" s="24" t="s">
        <v>101</v>
      </c>
      <c r="B3581" s="24" t="s">
        <v>91</v>
      </c>
      <c r="C3581" s="32">
        <v>19.812999999999999</v>
      </c>
      <c r="D3581" s="28">
        <v>2.0833333333333332E-2</v>
      </c>
    </row>
    <row r="3582" spans="1:4" x14ac:dyDescent="0.25">
      <c r="A3582" s="24" t="s">
        <v>101</v>
      </c>
      <c r="B3582" s="24" t="s">
        <v>92</v>
      </c>
      <c r="C3582" s="32">
        <v>18.635999999999999</v>
      </c>
      <c r="D3582" s="28">
        <v>1.6666666666666666E-2</v>
      </c>
    </row>
    <row r="3583" spans="1:4" x14ac:dyDescent="0.25">
      <c r="A3583" s="24" t="s">
        <v>101</v>
      </c>
      <c r="B3583" s="24" t="s">
        <v>93</v>
      </c>
      <c r="C3583" s="32">
        <v>34.834000000000003</v>
      </c>
      <c r="D3583" s="28">
        <v>2.5694444444444447E-2</v>
      </c>
    </row>
    <row r="3584" spans="1:4" x14ac:dyDescent="0.25">
      <c r="A3584" s="24" t="s">
        <v>101</v>
      </c>
      <c r="B3584" s="24" t="s">
        <v>94</v>
      </c>
      <c r="C3584" s="32">
        <v>35.463000000000001</v>
      </c>
      <c r="D3584" s="28">
        <v>2.6388888888888889E-2</v>
      </c>
    </row>
    <row r="3585" spans="1:4" x14ac:dyDescent="0.25">
      <c r="A3585" s="24" t="s">
        <v>101</v>
      </c>
      <c r="B3585" s="24" t="s">
        <v>95</v>
      </c>
      <c r="C3585" s="32">
        <v>18.863</v>
      </c>
      <c r="D3585" s="28">
        <v>1.5277777777777777E-2</v>
      </c>
    </row>
    <row r="3586" spans="1:4" x14ac:dyDescent="0.25">
      <c r="A3586" s="24" t="s">
        <v>101</v>
      </c>
      <c r="B3586" s="24" t="s">
        <v>96</v>
      </c>
      <c r="C3586" s="32">
        <v>7.9950000000000001</v>
      </c>
      <c r="D3586" s="28">
        <v>6.9444444444444441E-3</v>
      </c>
    </row>
    <row r="3587" spans="1:4" x14ac:dyDescent="0.25">
      <c r="A3587" s="24" t="s">
        <v>101</v>
      </c>
      <c r="B3587" s="24" t="s">
        <v>97</v>
      </c>
      <c r="C3587" s="32">
        <v>10.909000000000001</v>
      </c>
      <c r="D3587" s="28">
        <v>9.7222222222222224E-3</v>
      </c>
    </row>
    <row r="3588" spans="1:4" x14ac:dyDescent="0.25">
      <c r="A3588" s="24" t="s">
        <v>101</v>
      </c>
      <c r="B3588" s="24" t="s">
        <v>98</v>
      </c>
      <c r="C3588" s="32">
        <v>4.9429999999999996</v>
      </c>
      <c r="D3588" s="28">
        <v>5.5555555555555558E-3</v>
      </c>
    </row>
    <row r="3589" spans="1:4" x14ac:dyDescent="0.25">
      <c r="A3589" s="24" t="s">
        <v>101</v>
      </c>
      <c r="B3589" s="24" t="s">
        <v>99</v>
      </c>
      <c r="C3589" s="32">
        <v>7.2690000000000001</v>
      </c>
      <c r="D3589" s="28">
        <v>6.2499999999999995E-3</v>
      </c>
    </row>
    <row r="3590" spans="1:4" x14ac:dyDescent="0.25">
      <c r="A3590" s="24" t="s">
        <v>101</v>
      </c>
      <c r="B3590" s="24" t="s">
        <v>100</v>
      </c>
      <c r="C3590" s="32">
        <v>14.997</v>
      </c>
      <c r="D3590" s="28">
        <v>1.2499999999999999E-2</v>
      </c>
    </row>
    <row r="3591" spans="1:4" x14ac:dyDescent="0.25">
      <c r="A3591" s="24" t="s">
        <v>101</v>
      </c>
      <c r="B3591" s="24" t="s">
        <v>101</v>
      </c>
      <c r="C3591" s="32">
        <v>0</v>
      </c>
      <c r="D3591" s="28">
        <v>0</v>
      </c>
    </row>
    <row r="3592" spans="1:4" x14ac:dyDescent="0.25">
      <c r="A3592" s="24" t="s">
        <v>101</v>
      </c>
      <c r="B3592" s="24" t="s">
        <v>102</v>
      </c>
      <c r="C3592" s="32">
        <v>0.56699999999999995</v>
      </c>
      <c r="D3592" s="28">
        <v>2.0833333333333333E-3</v>
      </c>
    </row>
    <row r="3593" spans="1:4" x14ac:dyDescent="0.25">
      <c r="A3593" s="24" t="s">
        <v>101</v>
      </c>
      <c r="B3593" s="24" t="s">
        <v>103</v>
      </c>
      <c r="C3593" s="32">
        <v>14.577</v>
      </c>
      <c r="D3593" s="28">
        <v>1.4583333333333332E-2</v>
      </c>
    </row>
    <row r="3594" spans="1:4" x14ac:dyDescent="0.25">
      <c r="A3594" s="24" t="s">
        <v>101</v>
      </c>
      <c r="B3594" s="24" t="s">
        <v>104</v>
      </c>
      <c r="C3594" s="32">
        <v>16.123999999999999</v>
      </c>
      <c r="D3594" s="28">
        <v>1.3888888888888888E-2</v>
      </c>
    </row>
    <row r="3595" spans="1:4" x14ac:dyDescent="0.25">
      <c r="A3595" s="24" t="s">
        <v>101</v>
      </c>
      <c r="B3595" s="24" t="s">
        <v>105</v>
      </c>
      <c r="C3595" s="32">
        <v>17.013999999999999</v>
      </c>
      <c r="D3595" s="28">
        <v>2.013888888888889E-2</v>
      </c>
    </row>
    <row r="3596" spans="1:4" x14ac:dyDescent="0.25">
      <c r="A3596" s="24" t="s">
        <v>101</v>
      </c>
      <c r="B3596" s="24" t="s">
        <v>106</v>
      </c>
      <c r="C3596" s="32">
        <v>14.188000000000001</v>
      </c>
      <c r="D3596" s="28">
        <v>1.5277777777777777E-2</v>
      </c>
    </row>
    <row r="3597" spans="1:4" x14ac:dyDescent="0.25">
      <c r="A3597" s="24" t="s">
        <v>101</v>
      </c>
      <c r="B3597" s="24" t="s">
        <v>107</v>
      </c>
      <c r="C3597" s="32">
        <v>23.739000000000001</v>
      </c>
      <c r="D3597" s="28">
        <v>2.2222222222222223E-2</v>
      </c>
    </row>
    <row r="3598" spans="1:4" x14ac:dyDescent="0.25">
      <c r="A3598" s="24" t="s">
        <v>101</v>
      </c>
      <c r="B3598" s="24" t="s">
        <v>108</v>
      </c>
      <c r="C3598" s="32">
        <v>24.335999999999999</v>
      </c>
      <c r="D3598" s="28">
        <v>2.0833333333333332E-2</v>
      </c>
    </row>
    <row r="3599" spans="1:4" x14ac:dyDescent="0.25">
      <c r="A3599" s="24" t="s">
        <v>101</v>
      </c>
      <c r="B3599" s="24" t="s">
        <v>109</v>
      </c>
      <c r="C3599" s="32">
        <v>24.306000000000001</v>
      </c>
      <c r="D3599" s="28">
        <v>2.0833333333333332E-2</v>
      </c>
    </row>
    <row r="3600" spans="1:4" x14ac:dyDescent="0.25">
      <c r="A3600" s="24" t="s">
        <v>101</v>
      </c>
      <c r="B3600" s="24" t="s">
        <v>110</v>
      </c>
      <c r="C3600" s="32">
        <v>18.815999999999999</v>
      </c>
      <c r="D3600" s="28">
        <v>1.8055555555555557E-2</v>
      </c>
    </row>
    <row r="3601" spans="1:4" x14ac:dyDescent="0.25">
      <c r="A3601" s="24" t="s">
        <v>101</v>
      </c>
      <c r="B3601" s="24" t="s">
        <v>111</v>
      </c>
      <c r="C3601" s="32">
        <v>16.329000000000001</v>
      </c>
      <c r="D3601" s="28">
        <v>1.5277777777777777E-2</v>
      </c>
    </row>
    <row r="3602" spans="1:4" x14ac:dyDescent="0.25">
      <c r="A3602" s="24" t="s">
        <v>101</v>
      </c>
      <c r="B3602" s="24" t="s">
        <v>112</v>
      </c>
      <c r="C3602" s="32">
        <v>23.413</v>
      </c>
      <c r="D3602" s="28">
        <v>2.0833333333333332E-2</v>
      </c>
    </row>
    <row r="3603" spans="1:4" x14ac:dyDescent="0.25">
      <c r="A3603" s="24" t="s">
        <v>101</v>
      </c>
      <c r="B3603" s="24" t="s">
        <v>113</v>
      </c>
      <c r="C3603" s="32">
        <v>27.036999999999999</v>
      </c>
      <c r="D3603" s="28">
        <v>2.2916666666666669E-2</v>
      </c>
    </row>
    <row r="3604" spans="1:4" x14ac:dyDescent="0.25">
      <c r="A3604" s="24" t="s">
        <v>101</v>
      </c>
      <c r="B3604" s="24" t="s">
        <v>114</v>
      </c>
      <c r="C3604" s="32">
        <v>13.832000000000001</v>
      </c>
      <c r="D3604" s="28">
        <v>1.1111111111111112E-2</v>
      </c>
    </row>
    <row r="3605" spans="1:4" x14ac:dyDescent="0.25">
      <c r="A3605" s="24" t="s">
        <v>101</v>
      </c>
      <c r="B3605" s="24" t="s">
        <v>115</v>
      </c>
      <c r="C3605" s="32">
        <v>13.284000000000001</v>
      </c>
      <c r="D3605" s="28">
        <v>1.1111111111111112E-2</v>
      </c>
    </row>
    <row r="3606" spans="1:4" x14ac:dyDescent="0.25">
      <c r="A3606" s="24" t="s">
        <v>101</v>
      </c>
      <c r="B3606" s="24" t="s">
        <v>116</v>
      </c>
      <c r="C3606" s="32">
        <v>17.100000000000001</v>
      </c>
      <c r="D3606" s="28">
        <v>1.5277777777777777E-2</v>
      </c>
    </row>
    <row r="3607" spans="1:4" x14ac:dyDescent="0.25">
      <c r="A3607" s="24" t="s">
        <v>101</v>
      </c>
      <c r="B3607" s="24" t="s">
        <v>117</v>
      </c>
      <c r="C3607" s="32">
        <v>18.367000000000001</v>
      </c>
      <c r="D3607" s="28">
        <v>1.6666666666666666E-2</v>
      </c>
    </row>
    <row r="3608" spans="1:4" x14ac:dyDescent="0.25">
      <c r="A3608" s="24" t="s">
        <v>101</v>
      </c>
      <c r="B3608" s="24" t="s">
        <v>118</v>
      </c>
      <c r="C3608" s="32">
        <v>22.178999999999998</v>
      </c>
      <c r="D3608" s="28">
        <v>1.9444444444444445E-2</v>
      </c>
    </row>
    <row r="3609" spans="1:4" x14ac:dyDescent="0.25">
      <c r="A3609" s="24" t="s">
        <v>101</v>
      </c>
      <c r="B3609" s="24" t="s">
        <v>119</v>
      </c>
      <c r="C3609" s="32">
        <v>32.941000000000003</v>
      </c>
      <c r="D3609" s="28">
        <v>2.361111111111111E-2</v>
      </c>
    </row>
    <row r="3610" spans="1:4" x14ac:dyDescent="0.25">
      <c r="A3610" s="24" t="s">
        <v>101</v>
      </c>
      <c r="B3610" s="24" t="s">
        <v>120</v>
      </c>
      <c r="C3610" s="32">
        <v>37.902000000000001</v>
      </c>
      <c r="D3610" s="28">
        <v>2.9166666666666664E-2</v>
      </c>
    </row>
    <row r="3611" spans="1:4" x14ac:dyDescent="0.25">
      <c r="A3611" s="24" t="s">
        <v>101</v>
      </c>
      <c r="B3611" s="24" t="s">
        <v>121</v>
      </c>
      <c r="C3611" s="32">
        <v>51.167999999999999</v>
      </c>
      <c r="D3611" s="28">
        <v>3.6805555555555557E-2</v>
      </c>
    </row>
    <row r="3612" spans="1:4" x14ac:dyDescent="0.25">
      <c r="A3612" s="24" t="s">
        <v>101</v>
      </c>
      <c r="B3612" s="24" t="s">
        <v>122</v>
      </c>
      <c r="C3612" s="32">
        <v>33.704999999999998</v>
      </c>
      <c r="D3612" s="28">
        <v>2.4999999999999998E-2</v>
      </c>
    </row>
    <row r="3613" spans="1:4" x14ac:dyDescent="0.25">
      <c r="A3613" s="24" t="s">
        <v>101</v>
      </c>
      <c r="B3613" s="24" t="s">
        <v>123</v>
      </c>
      <c r="C3613" s="32">
        <v>44.753</v>
      </c>
      <c r="D3613" s="28">
        <v>3.2638888888888891E-2</v>
      </c>
    </row>
    <row r="3614" spans="1:4" x14ac:dyDescent="0.25">
      <c r="A3614" s="24" t="s">
        <v>101</v>
      </c>
      <c r="B3614" s="24" t="s">
        <v>124</v>
      </c>
      <c r="C3614" s="32">
        <v>44.753</v>
      </c>
      <c r="D3614" s="28">
        <v>3.2638888888888891E-2</v>
      </c>
    </row>
    <row r="3615" spans="1:4" x14ac:dyDescent="0.25">
      <c r="A3615" s="24" t="s">
        <v>101</v>
      </c>
      <c r="B3615" s="24" t="s">
        <v>125</v>
      </c>
      <c r="C3615" s="32">
        <v>17.292000000000002</v>
      </c>
      <c r="D3615" s="28">
        <v>1.6666666666666666E-2</v>
      </c>
    </row>
    <row r="3616" spans="1:4" x14ac:dyDescent="0.25">
      <c r="A3616" s="24" t="s">
        <v>101</v>
      </c>
      <c r="B3616" s="24" t="s">
        <v>126</v>
      </c>
      <c r="C3616" s="32">
        <v>17.03</v>
      </c>
      <c r="D3616" s="28">
        <v>1.5972222222222224E-2</v>
      </c>
    </row>
    <row r="3617" spans="1:4" x14ac:dyDescent="0.25">
      <c r="A3617" s="24" t="s">
        <v>101</v>
      </c>
      <c r="B3617" s="24" t="s">
        <v>127</v>
      </c>
      <c r="C3617" s="32">
        <v>16.024000000000001</v>
      </c>
      <c r="D3617" s="28">
        <v>1.4583333333333332E-2</v>
      </c>
    </row>
    <row r="3618" spans="1:4" x14ac:dyDescent="0.25">
      <c r="A3618" s="24" t="s">
        <v>101</v>
      </c>
      <c r="B3618" s="24" t="s">
        <v>128</v>
      </c>
      <c r="C3618" s="32">
        <v>19.919</v>
      </c>
      <c r="D3618" s="28">
        <v>1.8055555555555557E-2</v>
      </c>
    </row>
    <row r="3619" spans="1:4" x14ac:dyDescent="0.25">
      <c r="A3619" s="24" t="s">
        <v>101</v>
      </c>
      <c r="B3619" s="24" t="s">
        <v>129</v>
      </c>
      <c r="C3619" s="32">
        <v>19.919</v>
      </c>
      <c r="D3619" s="28">
        <v>1.8055555555555557E-2</v>
      </c>
    </row>
    <row r="3620" spans="1:4" x14ac:dyDescent="0.25">
      <c r="A3620" s="24" t="s">
        <v>101</v>
      </c>
      <c r="B3620" s="24" t="s">
        <v>130</v>
      </c>
      <c r="C3620" s="32">
        <v>17.693000000000001</v>
      </c>
      <c r="D3620" s="28">
        <v>1.7361111111111112E-2</v>
      </c>
    </row>
    <row r="3621" spans="1:4" x14ac:dyDescent="0.25">
      <c r="A3621" s="24" t="s">
        <v>101</v>
      </c>
      <c r="B3621" s="24" t="s">
        <v>131</v>
      </c>
      <c r="C3621" s="32">
        <v>14.46</v>
      </c>
      <c r="D3621" s="28">
        <v>1.5277777777777777E-2</v>
      </c>
    </row>
    <row r="3622" spans="1:4" x14ac:dyDescent="0.25">
      <c r="A3622" s="24" t="s">
        <v>101</v>
      </c>
      <c r="B3622" s="24" t="s">
        <v>132</v>
      </c>
      <c r="C3622" s="32">
        <v>15.712</v>
      </c>
      <c r="D3622" s="28">
        <v>1.4583333333333332E-2</v>
      </c>
    </row>
    <row r="3623" spans="1:4" x14ac:dyDescent="0.25">
      <c r="A3623" s="24" t="s">
        <v>101</v>
      </c>
      <c r="B3623" s="24" t="s">
        <v>133</v>
      </c>
      <c r="C3623" s="32">
        <v>27.76</v>
      </c>
      <c r="D3623" s="28">
        <v>2.6388888888888889E-2</v>
      </c>
    </row>
    <row r="3624" spans="1:4" x14ac:dyDescent="0.25">
      <c r="A3624" s="24" t="s">
        <v>101</v>
      </c>
      <c r="B3624" s="24" t="s">
        <v>134</v>
      </c>
      <c r="C3624" s="32">
        <v>27.294</v>
      </c>
      <c r="D3624" s="28">
        <v>2.5694444444444447E-2</v>
      </c>
    </row>
    <row r="3625" spans="1:4" x14ac:dyDescent="0.25">
      <c r="A3625" s="24" t="s">
        <v>101</v>
      </c>
      <c r="B3625" s="24" t="s">
        <v>135</v>
      </c>
      <c r="C3625" s="32">
        <v>27.838000000000001</v>
      </c>
      <c r="D3625" s="28">
        <v>2.6388888888888889E-2</v>
      </c>
    </row>
    <row r="3626" spans="1:4" x14ac:dyDescent="0.25">
      <c r="A3626" s="24" t="s">
        <v>101</v>
      </c>
      <c r="B3626" s="24" t="s">
        <v>136</v>
      </c>
      <c r="C3626" s="32">
        <v>27.838000000000001</v>
      </c>
      <c r="D3626" s="28">
        <v>2.6388888888888889E-2</v>
      </c>
    </row>
    <row r="3627" spans="1:4" x14ac:dyDescent="0.25">
      <c r="A3627" s="24" t="s">
        <v>101</v>
      </c>
      <c r="B3627" s="24" t="s">
        <v>137</v>
      </c>
      <c r="C3627" s="32">
        <v>27.446999999999999</v>
      </c>
      <c r="D3627" s="28">
        <v>2.6388888888888889E-2</v>
      </c>
    </row>
    <row r="3628" spans="1:4" x14ac:dyDescent="0.25">
      <c r="A3628" s="24" t="s">
        <v>101</v>
      </c>
      <c r="B3628" s="24" t="s">
        <v>138</v>
      </c>
      <c r="C3628" s="32">
        <v>32.536999999999999</v>
      </c>
      <c r="D3628" s="28">
        <v>2.7777777777777776E-2</v>
      </c>
    </row>
    <row r="3629" spans="1:4" x14ac:dyDescent="0.25">
      <c r="A3629" s="24" t="s">
        <v>101</v>
      </c>
      <c r="B3629" s="24" t="s">
        <v>139</v>
      </c>
      <c r="C3629" s="32">
        <v>43.252000000000002</v>
      </c>
      <c r="D3629" s="28">
        <v>2.9861111111111113E-2</v>
      </c>
    </row>
    <row r="3630" spans="1:4" x14ac:dyDescent="0.25">
      <c r="A3630" s="24" t="s">
        <v>101</v>
      </c>
      <c r="B3630" s="24" t="s">
        <v>140</v>
      </c>
      <c r="C3630" s="32">
        <v>35.51</v>
      </c>
      <c r="D3630" s="28">
        <v>3.3333333333333333E-2</v>
      </c>
    </row>
    <row r="3631" spans="1:4" x14ac:dyDescent="0.25">
      <c r="A3631" s="24" t="s">
        <v>101</v>
      </c>
      <c r="B3631" s="24" t="s">
        <v>141</v>
      </c>
      <c r="C3631" s="32">
        <v>67.962999999999994</v>
      </c>
      <c r="D3631" s="28">
        <v>4.9305555555555554E-2</v>
      </c>
    </row>
    <row r="3632" spans="1:4" x14ac:dyDescent="0.25">
      <c r="A3632" s="24" t="s">
        <v>101</v>
      </c>
      <c r="B3632" s="24" t="s">
        <v>142</v>
      </c>
      <c r="C3632" s="32">
        <v>66.051000000000002</v>
      </c>
      <c r="D3632" s="28">
        <v>4.1666666666666664E-2</v>
      </c>
    </row>
    <row r="3633" spans="1:4" x14ac:dyDescent="0.25">
      <c r="A3633" s="24" t="s">
        <v>101</v>
      </c>
      <c r="B3633" s="24" t="s">
        <v>143</v>
      </c>
      <c r="C3633" s="32">
        <v>84.429000000000002</v>
      </c>
      <c r="D3633" s="28">
        <v>4.9305555555555554E-2</v>
      </c>
    </row>
    <row r="3634" spans="1:4" x14ac:dyDescent="0.25">
      <c r="A3634" s="24" t="s">
        <v>101</v>
      </c>
      <c r="B3634" s="24" t="s">
        <v>144</v>
      </c>
      <c r="C3634" s="32">
        <v>103.545</v>
      </c>
      <c r="D3634" s="28">
        <v>5.9722222222222225E-2</v>
      </c>
    </row>
    <row r="3635" spans="1:4" x14ac:dyDescent="0.25">
      <c r="A3635" s="24" t="s">
        <v>101</v>
      </c>
      <c r="B3635" s="24" t="s">
        <v>145</v>
      </c>
      <c r="C3635" s="32">
        <v>48.058999999999997</v>
      </c>
      <c r="D3635" s="28">
        <v>3.4722222222222224E-2</v>
      </c>
    </row>
    <row r="3636" spans="1:4" x14ac:dyDescent="0.25">
      <c r="A3636" s="24" t="s">
        <v>101</v>
      </c>
      <c r="B3636" s="24" t="s">
        <v>146</v>
      </c>
      <c r="C3636" s="32">
        <v>63.518000000000001</v>
      </c>
      <c r="D3636" s="28">
        <v>4.2361111111111106E-2</v>
      </c>
    </row>
    <row r="3637" spans="1:4" x14ac:dyDescent="0.25">
      <c r="A3637" s="24" t="s">
        <v>101</v>
      </c>
      <c r="B3637" s="24" t="s">
        <v>147</v>
      </c>
      <c r="C3637" s="32">
        <v>14.164</v>
      </c>
      <c r="D3637" s="28">
        <v>1.4583333333333332E-2</v>
      </c>
    </row>
    <row r="3638" spans="1:4" x14ac:dyDescent="0.25">
      <c r="A3638" s="24" t="s">
        <v>101</v>
      </c>
      <c r="B3638" s="24" t="s">
        <v>148</v>
      </c>
      <c r="C3638" s="32">
        <v>17.244</v>
      </c>
      <c r="D3638" s="28">
        <v>1.6666666666666666E-2</v>
      </c>
    </row>
    <row r="3639" spans="1:4" x14ac:dyDescent="0.25">
      <c r="A3639" s="24" t="s">
        <v>101</v>
      </c>
      <c r="B3639" s="24" t="s">
        <v>149</v>
      </c>
      <c r="C3639" s="32">
        <v>15.818</v>
      </c>
      <c r="D3639" s="28">
        <v>1.5277777777777777E-2</v>
      </c>
    </row>
    <row r="3640" spans="1:4" x14ac:dyDescent="0.25">
      <c r="A3640" s="24" t="s">
        <v>101</v>
      </c>
      <c r="B3640" s="24" t="s">
        <v>150</v>
      </c>
      <c r="C3640" s="32">
        <v>24.065999999999999</v>
      </c>
      <c r="D3640" s="28">
        <v>2.361111111111111E-2</v>
      </c>
    </row>
    <row r="3641" spans="1:4" x14ac:dyDescent="0.25">
      <c r="A3641" s="24" t="s">
        <v>101</v>
      </c>
      <c r="B3641" s="24" t="s">
        <v>151</v>
      </c>
      <c r="C3641" s="32">
        <v>24.562999999999999</v>
      </c>
      <c r="D3641" s="28">
        <v>2.361111111111111E-2</v>
      </c>
    </row>
    <row r="3642" spans="1:4" x14ac:dyDescent="0.25">
      <c r="A3642" s="24" t="s">
        <v>101</v>
      </c>
      <c r="B3642" s="24" t="s">
        <v>152</v>
      </c>
      <c r="C3642" s="32">
        <v>21.582999999999998</v>
      </c>
      <c r="D3642" s="28">
        <v>2.1527777777777781E-2</v>
      </c>
    </row>
    <row r="3643" spans="1:4" x14ac:dyDescent="0.25">
      <c r="A3643" s="24" t="s">
        <v>101</v>
      </c>
      <c r="B3643" s="24" t="s">
        <v>153</v>
      </c>
      <c r="C3643" s="32">
        <v>26.11</v>
      </c>
      <c r="D3643" s="28">
        <v>2.7777777777777776E-2</v>
      </c>
    </row>
    <row r="3644" spans="1:4" x14ac:dyDescent="0.25">
      <c r="A3644" s="24" t="s">
        <v>101</v>
      </c>
      <c r="B3644" s="24" t="s">
        <v>154</v>
      </c>
      <c r="C3644" s="32">
        <v>20.919</v>
      </c>
      <c r="D3644" s="28">
        <v>2.1527777777777781E-2</v>
      </c>
    </row>
    <row r="3645" spans="1:4" x14ac:dyDescent="0.25">
      <c r="A3645" s="24" t="s">
        <v>101</v>
      </c>
      <c r="B3645" s="24" t="s">
        <v>155</v>
      </c>
      <c r="C3645" s="32">
        <v>25.167000000000002</v>
      </c>
      <c r="D3645" s="28">
        <v>2.4305555555555556E-2</v>
      </c>
    </row>
    <row r="3646" spans="1:4" x14ac:dyDescent="0.25">
      <c r="A3646" s="24" t="s">
        <v>101</v>
      </c>
      <c r="B3646" s="24" t="s">
        <v>156</v>
      </c>
      <c r="C3646" s="32">
        <v>25.151</v>
      </c>
      <c r="D3646" s="28">
        <v>2.4305555555555556E-2</v>
      </c>
    </row>
    <row r="3647" spans="1:4" x14ac:dyDescent="0.25">
      <c r="A3647" s="24" t="s">
        <v>101</v>
      </c>
      <c r="B3647" s="24" t="s">
        <v>157</v>
      </c>
      <c r="C3647" s="32">
        <v>17.484000000000002</v>
      </c>
      <c r="D3647" s="28">
        <v>1.5277777777777777E-2</v>
      </c>
    </row>
    <row r="3648" spans="1:4" x14ac:dyDescent="0.25">
      <c r="A3648" s="24" t="s">
        <v>101</v>
      </c>
      <c r="B3648" s="24" t="s">
        <v>158</v>
      </c>
      <c r="C3648" s="32">
        <v>28.238</v>
      </c>
      <c r="D3648" s="28">
        <v>2.2916666666666669E-2</v>
      </c>
    </row>
    <row r="3649" spans="1:4" x14ac:dyDescent="0.25">
      <c r="A3649" s="24" t="s">
        <v>101</v>
      </c>
      <c r="B3649" s="24" t="s">
        <v>159</v>
      </c>
      <c r="C3649" s="32">
        <v>28.292999999999999</v>
      </c>
      <c r="D3649" s="28">
        <v>2.4999999999999998E-2</v>
      </c>
    </row>
    <row r="3650" spans="1:4" x14ac:dyDescent="0.25">
      <c r="A3650" s="24" t="s">
        <v>102</v>
      </c>
      <c r="B3650" s="24" t="s">
        <v>65</v>
      </c>
      <c r="C3650" s="32">
        <v>15.757999999999999</v>
      </c>
      <c r="D3650" s="28">
        <v>1.3194444444444444E-2</v>
      </c>
    </row>
    <row r="3651" spans="1:4" x14ac:dyDescent="0.25">
      <c r="A3651" s="24" t="s">
        <v>102</v>
      </c>
      <c r="B3651" s="24" t="s">
        <v>64</v>
      </c>
      <c r="C3651" s="32">
        <v>23.9</v>
      </c>
      <c r="D3651" s="28">
        <v>2.013888888888889E-2</v>
      </c>
    </row>
    <row r="3652" spans="1:4" x14ac:dyDescent="0.25">
      <c r="A3652" s="24" t="s">
        <v>102</v>
      </c>
      <c r="B3652" s="24" t="s">
        <v>66</v>
      </c>
      <c r="C3652" s="32">
        <v>28.736000000000001</v>
      </c>
      <c r="D3652" s="28">
        <v>2.4999999999999998E-2</v>
      </c>
    </row>
    <row r="3653" spans="1:4" x14ac:dyDescent="0.25">
      <c r="A3653" s="24" t="s">
        <v>102</v>
      </c>
      <c r="B3653" s="24" t="s">
        <v>67</v>
      </c>
      <c r="C3653" s="32">
        <v>27.76</v>
      </c>
      <c r="D3653" s="28">
        <v>2.5694444444444447E-2</v>
      </c>
    </row>
    <row r="3654" spans="1:4" x14ac:dyDescent="0.25">
      <c r="A3654" s="24" t="s">
        <v>102</v>
      </c>
      <c r="B3654" s="24" t="s">
        <v>68</v>
      </c>
      <c r="C3654" s="32">
        <v>27.585999999999999</v>
      </c>
      <c r="D3654" s="28">
        <v>2.6388888888888889E-2</v>
      </c>
    </row>
    <row r="3655" spans="1:4" x14ac:dyDescent="0.25">
      <c r="A3655" s="24" t="s">
        <v>102</v>
      </c>
      <c r="B3655" s="24" t="s">
        <v>69</v>
      </c>
      <c r="C3655" s="32">
        <v>26.594000000000001</v>
      </c>
      <c r="D3655" s="28">
        <v>2.4999999999999998E-2</v>
      </c>
    </row>
    <row r="3656" spans="1:4" x14ac:dyDescent="0.25">
      <c r="A3656" s="24" t="s">
        <v>102</v>
      </c>
      <c r="B3656" s="24" t="s">
        <v>70</v>
      </c>
      <c r="C3656" s="32">
        <v>27.664000000000001</v>
      </c>
      <c r="D3656" s="28">
        <v>2.5694444444444447E-2</v>
      </c>
    </row>
    <row r="3657" spans="1:4" x14ac:dyDescent="0.25">
      <c r="A3657" s="24" t="s">
        <v>102</v>
      </c>
      <c r="B3657" s="24" t="s">
        <v>71</v>
      </c>
      <c r="C3657" s="32">
        <v>27.170999999999999</v>
      </c>
      <c r="D3657" s="28">
        <v>2.5694444444444447E-2</v>
      </c>
    </row>
    <row r="3658" spans="1:4" x14ac:dyDescent="0.25">
      <c r="A3658" s="24" t="s">
        <v>102</v>
      </c>
      <c r="B3658" s="24" t="s">
        <v>72</v>
      </c>
      <c r="C3658" s="32">
        <v>28.992999999999999</v>
      </c>
      <c r="D3658" s="28">
        <v>2.8472222222222222E-2</v>
      </c>
    </row>
    <row r="3659" spans="1:4" x14ac:dyDescent="0.25">
      <c r="A3659" s="24" t="s">
        <v>102</v>
      </c>
      <c r="B3659" s="24" t="s">
        <v>73</v>
      </c>
      <c r="C3659" s="32">
        <v>27.521000000000001</v>
      </c>
      <c r="D3659" s="28">
        <v>2.5694444444444447E-2</v>
      </c>
    </row>
    <row r="3660" spans="1:4" x14ac:dyDescent="0.25">
      <c r="A3660" s="24" t="s">
        <v>102</v>
      </c>
      <c r="B3660" s="24" t="s">
        <v>74</v>
      </c>
      <c r="C3660" s="32">
        <v>31.120999999999999</v>
      </c>
      <c r="D3660" s="28">
        <v>2.9166666666666664E-2</v>
      </c>
    </row>
    <row r="3661" spans="1:4" x14ac:dyDescent="0.25">
      <c r="A3661" s="24" t="s">
        <v>102</v>
      </c>
      <c r="B3661" s="24" t="s">
        <v>75</v>
      </c>
      <c r="C3661" s="32">
        <v>30.157</v>
      </c>
      <c r="D3661" s="28">
        <v>2.7777777777777776E-2</v>
      </c>
    </row>
    <row r="3662" spans="1:4" x14ac:dyDescent="0.25">
      <c r="A3662" s="24" t="s">
        <v>102</v>
      </c>
      <c r="B3662" s="24" t="s">
        <v>76</v>
      </c>
      <c r="C3662" s="32">
        <v>34.264000000000003</v>
      </c>
      <c r="D3662" s="28">
        <v>3.4027777777777775E-2</v>
      </c>
    </row>
    <row r="3663" spans="1:4" x14ac:dyDescent="0.25">
      <c r="A3663" s="24" t="s">
        <v>102</v>
      </c>
      <c r="B3663" s="24" t="s">
        <v>77</v>
      </c>
      <c r="C3663" s="32">
        <v>32.887</v>
      </c>
      <c r="D3663" s="28">
        <v>2.8472222222222222E-2</v>
      </c>
    </row>
    <row r="3664" spans="1:4" x14ac:dyDescent="0.25">
      <c r="A3664" s="24" t="s">
        <v>102</v>
      </c>
      <c r="B3664" s="24" t="s">
        <v>78</v>
      </c>
      <c r="C3664" s="32">
        <v>27.928000000000001</v>
      </c>
      <c r="D3664" s="28">
        <v>2.5694444444444447E-2</v>
      </c>
    </row>
    <row r="3665" spans="1:4" x14ac:dyDescent="0.25">
      <c r="A3665" s="24" t="s">
        <v>102</v>
      </c>
      <c r="B3665" s="24" t="s">
        <v>79</v>
      </c>
      <c r="C3665" s="32">
        <v>46.293999999999997</v>
      </c>
      <c r="D3665" s="28">
        <v>4.2361111111111106E-2</v>
      </c>
    </row>
    <row r="3666" spans="1:4" x14ac:dyDescent="0.25">
      <c r="A3666" s="24" t="s">
        <v>102</v>
      </c>
      <c r="B3666" s="24" t="s">
        <v>80</v>
      </c>
      <c r="C3666" s="32">
        <v>13.776</v>
      </c>
      <c r="D3666" s="28">
        <v>1.1805555555555555E-2</v>
      </c>
    </row>
    <row r="3667" spans="1:4" x14ac:dyDescent="0.25">
      <c r="A3667" s="24" t="s">
        <v>102</v>
      </c>
      <c r="B3667" s="24" t="s">
        <v>81</v>
      </c>
      <c r="C3667" s="32">
        <v>18.297999999999998</v>
      </c>
      <c r="D3667" s="28">
        <v>1.4583333333333332E-2</v>
      </c>
    </row>
    <row r="3668" spans="1:4" x14ac:dyDescent="0.25">
      <c r="A3668" s="24" t="s">
        <v>102</v>
      </c>
      <c r="B3668" s="24" t="s">
        <v>82</v>
      </c>
      <c r="C3668" s="32">
        <v>18.350000000000001</v>
      </c>
      <c r="D3668" s="28">
        <v>1.4583333333333332E-2</v>
      </c>
    </row>
    <row r="3669" spans="1:4" x14ac:dyDescent="0.25">
      <c r="A3669" s="24" t="s">
        <v>102</v>
      </c>
      <c r="B3669" s="24" t="s">
        <v>83</v>
      </c>
      <c r="C3669" s="32">
        <v>19.806000000000001</v>
      </c>
      <c r="D3669" s="28">
        <v>2.1527777777777781E-2</v>
      </c>
    </row>
    <row r="3670" spans="1:4" x14ac:dyDescent="0.25">
      <c r="A3670" s="24" t="s">
        <v>102</v>
      </c>
      <c r="B3670" s="24" t="s">
        <v>84</v>
      </c>
      <c r="C3670" s="32">
        <v>28.326000000000001</v>
      </c>
      <c r="D3670" s="28">
        <v>2.5694444444444447E-2</v>
      </c>
    </row>
    <row r="3671" spans="1:4" x14ac:dyDescent="0.25">
      <c r="A3671" s="24" t="s">
        <v>102</v>
      </c>
      <c r="B3671" s="24" t="s">
        <v>85</v>
      </c>
      <c r="C3671" s="32">
        <v>29.177</v>
      </c>
      <c r="D3671" s="28">
        <v>2.5694444444444447E-2</v>
      </c>
    </row>
    <row r="3672" spans="1:4" x14ac:dyDescent="0.25">
      <c r="A3672" s="24" t="s">
        <v>102</v>
      </c>
      <c r="B3672" s="24" t="s">
        <v>86</v>
      </c>
      <c r="C3672" s="32">
        <v>26.803000000000001</v>
      </c>
      <c r="D3672" s="28">
        <v>2.2222222222222223E-2</v>
      </c>
    </row>
    <row r="3673" spans="1:4" x14ac:dyDescent="0.25">
      <c r="A3673" s="24" t="s">
        <v>102</v>
      </c>
      <c r="B3673" s="24" t="s">
        <v>87</v>
      </c>
      <c r="C3673" s="32">
        <v>26.917999999999999</v>
      </c>
      <c r="D3673" s="28">
        <v>2.2916666666666669E-2</v>
      </c>
    </row>
    <row r="3674" spans="1:4" x14ac:dyDescent="0.25">
      <c r="A3674" s="24" t="s">
        <v>102</v>
      </c>
      <c r="B3674" s="24" t="s">
        <v>88</v>
      </c>
      <c r="C3674" s="32">
        <v>27.873999999999999</v>
      </c>
      <c r="D3674" s="28">
        <v>2.2916666666666669E-2</v>
      </c>
    </row>
    <row r="3675" spans="1:4" x14ac:dyDescent="0.25">
      <c r="A3675" s="24" t="s">
        <v>102</v>
      </c>
      <c r="B3675" s="24" t="s">
        <v>89</v>
      </c>
      <c r="C3675" s="32">
        <v>23.151</v>
      </c>
      <c r="D3675" s="28">
        <v>1.9444444444444445E-2</v>
      </c>
    </row>
    <row r="3676" spans="1:4" x14ac:dyDescent="0.25">
      <c r="A3676" s="24" t="s">
        <v>102</v>
      </c>
      <c r="B3676" s="24" t="s">
        <v>90</v>
      </c>
      <c r="C3676" s="32">
        <v>11.092000000000001</v>
      </c>
      <c r="D3676" s="28">
        <v>1.0416666666666666E-2</v>
      </c>
    </row>
    <row r="3677" spans="1:4" x14ac:dyDescent="0.25">
      <c r="A3677" s="24" t="s">
        <v>102</v>
      </c>
      <c r="B3677" s="24" t="s">
        <v>91</v>
      </c>
      <c r="C3677" s="32">
        <v>25.594999999999999</v>
      </c>
      <c r="D3677" s="28">
        <v>2.2222222222222223E-2</v>
      </c>
    </row>
    <row r="3678" spans="1:4" x14ac:dyDescent="0.25">
      <c r="A3678" s="24" t="s">
        <v>102</v>
      </c>
      <c r="B3678" s="24" t="s">
        <v>92</v>
      </c>
      <c r="C3678" s="32">
        <v>18.407</v>
      </c>
      <c r="D3678" s="28">
        <v>1.5972222222222224E-2</v>
      </c>
    </row>
    <row r="3679" spans="1:4" x14ac:dyDescent="0.25">
      <c r="A3679" s="24" t="s">
        <v>102</v>
      </c>
      <c r="B3679" s="24" t="s">
        <v>93</v>
      </c>
      <c r="C3679" s="32">
        <v>34.604999999999997</v>
      </c>
      <c r="D3679" s="28">
        <v>2.5694444444444447E-2</v>
      </c>
    </row>
    <row r="3680" spans="1:4" x14ac:dyDescent="0.25">
      <c r="A3680" s="24" t="s">
        <v>102</v>
      </c>
      <c r="B3680" s="24" t="s">
        <v>94</v>
      </c>
      <c r="C3680" s="32">
        <v>35.234000000000002</v>
      </c>
      <c r="D3680" s="28">
        <v>2.6388888888888889E-2</v>
      </c>
    </row>
    <row r="3681" spans="1:4" x14ac:dyDescent="0.25">
      <c r="A3681" s="24" t="s">
        <v>102</v>
      </c>
      <c r="B3681" s="24" t="s">
        <v>95</v>
      </c>
      <c r="C3681" s="32">
        <v>18.634</v>
      </c>
      <c r="D3681" s="28">
        <v>1.5277777777777777E-2</v>
      </c>
    </row>
    <row r="3682" spans="1:4" x14ac:dyDescent="0.25">
      <c r="A3682" s="24" t="s">
        <v>102</v>
      </c>
      <c r="B3682" s="24" t="s">
        <v>96</v>
      </c>
      <c r="C3682" s="32">
        <v>8.8439999999999994</v>
      </c>
      <c r="D3682" s="28">
        <v>9.0277777777777787E-3</v>
      </c>
    </row>
    <row r="3683" spans="1:4" x14ac:dyDescent="0.25">
      <c r="A3683" s="24" t="s">
        <v>102</v>
      </c>
      <c r="B3683" s="24" t="s">
        <v>97</v>
      </c>
      <c r="C3683" s="32">
        <v>11.757999999999999</v>
      </c>
      <c r="D3683" s="28">
        <v>1.1805555555555555E-2</v>
      </c>
    </row>
    <row r="3684" spans="1:4" x14ac:dyDescent="0.25">
      <c r="A3684" s="24" t="s">
        <v>102</v>
      </c>
      <c r="B3684" s="24" t="s">
        <v>98</v>
      </c>
      <c r="C3684" s="32">
        <v>4.7140000000000004</v>
      </c>
      <c r="D3684" s="28">
        <v>5.5555555555555558E-3</v>
      </c>
    </row>
    <row r="3685" spans="1:4" x14ac:dyDescent="0.25">
      <c r="A3685" s="24" t="s">
        <v>102</v>
      </c>
      <c r="B3685" s="24" t="s">
        <v>99</v>
      </c>
      <c r="C3685" s="32">
        <v>8.1180000000000003</v>
      </c>
      <c r="D3685" s="28">
        <v>8.3333333333333332E-3</v>
      </c>
    </row>
    <row r="3686" spans="1:4" x14ac:dyDescent="0.25">
      <c r="A3686" s="24" t="s">
        <v>102</v>
      </c>
      <c r="B3686" s="24" t="s">
        <v>100</v>
      </c>
      <c r="C3686" s="32">
        <v>14.768000000000001</v>
      </c>
      <c r="D3686" s="28">
        <v>1.1805555555555555E-2</v>
      </c>
    </row>
    <row r="3687" spans="1:4" x14ac:dyDescent="0.25">
      <c r="A3687" s="24" t="s">
        <v>102</v>
      </c>
      <c r="B3687" s="24" t="s">
        <v>101</v>
      </c>
      <c r="C3687" s="32">
        <v>0.91100000000000003</v>
      </c>
      <c r="D3687" s="28">
        <v>2.0833333333333333E-3</v>
      </c>
    </row>
    <row r="3688" spans="1:4" x14ac:dyDescent="0.25">
      <c r="A3688" s="24" t="s">
        <v>102</v>
      </c>
      <c r="B3688" s="24" t="s">
        <v>102</v>
      </c>
      <c r="C3688" s="32">
        <v>0</v>
      </c>
      <c r="D3688" s="28">
        <v>0</v>
      </c>
    </row>
    <row r="3689" spans="1:4" x14ac:dyDescent="0.25">
      <c r="A3689" s="24" t="s">
        <v>102</v>
      </c>
      <c r="B3689" s="24" t="s">
        <v>103</v>
      </c>
      <c r="C3689" s="32">
        <v>19.443999999999999</v>
      </c>
      <c r="D3689" s="28">
        <v>1.5277777777777777E-2</v>
      </c>
    </row>
    <row r="3690" spans="1:4" x14ac:dyDescent="0.25">
      <c r="A3690" s="24" t="s">
        <v>102</v>
      </c>
      <c r="B3690" s="24" t="s">
        <v>104</v>
      </c>
      <c r="C3690" s="32">
        <v>15.895</v>
      </c>
      <c r="D3690" s="28">
        <v>1.3888888888888888E-2</v>
      </c>
    </row>
    <row r="3691" spans="1:4" x14ac:dyDescent="0.25">
      <c r="A3691" s="24" t="s">
        <v>102</v>
      </c>
      <c r="B3691" s="24" t="s">
        <v>105</v>
      </c>
      <c r="C3691" s="32">
        <v>22.742000000000001</v>
      </c>
      <c r="D3691" s="28">
        <v>2.0833333333333332E-2</v>
      </c>
    </row>
    <row r="3692" spans="1:4" x14ac:dyDescent="0.25">
      <c r="A3692" s="24" t="s">
        <v>102</v>
      </c>
      <c r="B3692" s="24" t="s">
        <v>106</v>
      </c>
      <c r="C3692" s="32">
        <v>20.524000000000001</v>
      </c>
      <c r="D3692" s="28">
        <v>1.6666666666666666E-2</v>
      </c>
    </row>
    <row r="3693" spans="1:4" x14ac:dyDescent="0.25">
      <c r="A3693" s="24" t="s">
        <v>102</v>
      </c>
      <c r="B3693" s="24" t="s">
        <v>107</v>
      </c>
      <c r="C3693" s="32">
        <v>24.588000000000001</v>
      </c>
      <c r="D3693" s="28">
        <v>2.4305555555555556E-2</v>
      </c>
    </row>
    <row r="3694" spans="1:4" x14ac:dyDescent="0.25">
      <c r="A3694" s="24" t="s">
        <v>102</v>
      </c>
      <c r="B3694" s="24" t="s">
        <v>108</v>
      </c>
      <c r="C3694" s="32">
        <v>25.184999999999999</v>
      </c>
      <c r="D3694" s="28">
        <v>2.2916666666666669E-2</v>
      </c>
    </row>
    <row r="3695" spans="1:4" x14ac:dyDescent="0.25">
      <c r="A3695" s="24" t="s">
        <v>102</v>
      </c>
      <c r="B3695" s="24" t="s">
        <v>109</v>
      </c>
      <c r="C3695" s="32">
        <v>25.155000000000001</v>
      </c>
      <c r="D3695" s="28">
        <v>2.2916666666666669E-2</v>
      </c>
    </row>
    <row r="3696" spans="1:4" x14ac:dyDescent="0.25">
      <c r="A3696" s="24" t="s">
        <v>102</v>
      </c>
      <c r="B3696" s="24" t="s">
        <v>110</v>
      </c>
      <c r="C3696" s="32">
        <v>23.683</v>
      </c>
      <c r="D3696" s="28">
        <v>1.9444444444444445E-2</v>
      </c>
    </row>
    <row r="3697" spans="1:4" x14ac:dyDescent="0.25">
      <c r="A3697" s="24" t="s">
        <v>102</v>
      </c>
      <c r="B3697" s="24" t="s">
        <v>111</v>
      </c>
      <c r="C3697" s="32">
        <v>20.588000000000001</v>
      </c>
      <c r="D3697" s="28">
        <v>1.6666666666666666E-2</v>
      </c>
    </row>
    <row r="3698" spans="1:4" x14ac:dyDescent="0.25">
      <c r="A3698" s="24" t="s">
        <v>102</v>
      </c>
      <c r="B3698" s="24" t="s">
        <v>112</v>
      </c>
      <c r="C3698" s="32">
        <v>24.262</v>
      </c>
      <c r="D3698" s="28">
        <v>2.2222222222222223E-2</v>
      </c>
    </row>
    <row r="3699" spans="1:4" x14ac:dyDescent="0.25">
      <c r="A3699" s="24" t="s">
        <v>102</v>
      </c>
      <c r="B3699" s="24" t="s">
        <v>113</v>
      </c>
      <c r="C3699" s="32">
        <v>27.885999999999999</v>
      </c>
      <c r="D3699" s="28">
        <v>2.4999999999999998E-2</v>
      </c>
    </row>
    <row r="3700" spans="1:4" x14ac:dyDescent="0.25">
      <c r="A3700" s="24" t="s">
        <v>102</v>
      </c>
      <c r="B3700" s="24" t="s">
        <v>114</v>
      </c>
      <c r="C3700" s="32">
        <v>13.603</v>
      </c>
      <c r="D3700" s="28">
        <v>1.1111111111111112E-2</v>
      </c>
    </row>
    <row r="3701" spans="1:4" x14ac:dyDescent="0.25">
      <c r="A3701" s="24" t="s">
        <v>102</v>
      </c>
      <c r="B3701" s="24" t="s">
        <v>115</v>
      </c>
      <c r="C3701" s="32">
        <v>13.055</v>
      </c>
      <c r="D3701" s="28">
        <v>1.1111111111111112E-2</v>
      </c>
    </row>
    <row r="3702" spans="1:4" x14ac:dyDescent="0.25">
      <c r="A3702" s="24" t="s">
        <v>102</v>
      </c>
      <c r="B3702" s="24" t="s">
        <v>116</v>
      </c>
      <c r="C3702" s="32">
        <v>16.870999999999999</v>
      </c>
      <c r="D3702" s="28">
        <v>1.5277777777777777E-2</v>
      </c>
    </row>
    <row r="3703" spans="1:4" x14ac:dyDescent="0.25">
      <c r="A3703" s="24" t="s">
        <v>102</v>
      </c>
      <c r="B3703" s="24" t="s">
        <v>117</v>
      </c>
      <c r="C3703" s="32">
        <v>18.138000000000002</v>
      </c>
      <c r="D3703" s="28">
        <v>1.5972222222222224E-2</v>
      </c>
    </row>
    <row r="3704" spans="1:4" x14ac:dyDescent="0.25">
      <c r="A3704" s="24" t="s">
        <v>102</v>
      </c>
      <c r="B3704" s="24" t="s">
        <v>118</v>
      </c>
      <c r="C3704" s="32">
        <v>23.027999999999999</v>
      </c>
      <c r="D3704" s="28">
        <v>2.1527777777777781E-2</v>
      </c>
    </row>
    <row r="3705" spans="1:4" x14ac:dyDescent="0.25">
      <c r="A3705" s="24" t="s">
        <v>102</v>
      </c>
      <c r="B3705" s="24" t="s">
        <v>119</v>
      </c>
      <c r="C3705" s="32">
        <v>32.712000000000003</v>
      </c>
      <c r="D3705" s="28">
        <v>2.361111111111111E-2</v>
      </c>
    </row>
    <row r="3706" spans="1:4" x14ac:dyDescent="0.25">
      <c r="A3706" s="24" t="s">
        <v>102</v>
      </c>
      <c r="B3706" s="24" t="s">
        <v>120</v>
      </c>
      <c r="C3706" s="32">
        <v>37.673000000000002</v>
      </c>
      <c r="D3706" s="28">
        <v>2.8472222222222222E-2</v>
      </c>
    </row>
    <row r="3707" spans="1:4" x14ac:dyDescent="0.25">
      <c r="A3707" s="24" t="s">
        <v>102</v>
      </c>
      <c r="B3707" s="24" t="s">
        <v>121</v>
      </c>
      <c r="C3707" s="32">
        <v>50.939</v>
      </c>
      <c r="D3707" s="28">
        <v>3.6111111111111115E-2</v>
      </c>
    </row>
    <row r="3708" spans="1:4" x14ac:dyDescent="0.25">
      <c r="A3708" s="24" t="s">
        <v>102</v>
      </c>
      <c r="B3708" s="24" t="s">
        <v>122</v>
      </c>
      <c r="C3708" s="32">
        <v>33.475999999999999</v>
      </c>
      <c r="D3708" s="28">
        <v>2.4999999999999998E-2</v>
      </c>
    </row>
    <row r="3709" spans="1:4" x14ac:dyDescent="0.25">
      <c r="A3709" s="24" t="s">
        <v>102</v>
      </c>
      <c r="B3709" s="24" t="s">
        <v>123</v>
      </c>
      <c r="C3709" s="32">
        <v>44.524000000000001</v>
      </c>
      <c r="D3709" s="28">
        <v>3.2638888888888891E-2</v>
      </c>
    </row>
    <row r="3710" spans="1:4" x14ac:dyDescent="0.25">
      <c r="A3710" s="24" t="s">
        <v>102</v>
      </c>
      <c r="B3710" s="24" t="s">
        <v>124</v>
      </c>
      <c r="C3710" s="32">
        <v>44.524000000000001</v>
      </c>
      <c r="D3710" s="28">
        <v>3.2638888888888891E-2</v>
      </c>
    </row>
    <row r="3711" spans="1:4" x14ac:dyDescent="0.25">
      <c r="A3711" s="24" t="s">
        <v>102</v>
      </c>
      <c r="B3711" s="24" t="s">
        <v>125</v>
      </c>
      <c r="C3711" s="32">
        <v>21.344000000000001</v>
      </c>
      <c r="D3711" s="28">
        <v>1.8749999999999999E-2</v>
      </c>
    </row>
    <row r="3712" spans="1:4" x14ac:dyDescent="0.25">
      <c r="A3712" s="24" t="s">
        <v>102</v>
      </c>
      <c r="B3712" s="24" t="s">
        <v>126</v>
      </c>
      <c r="C3712" s="32">
        <v>21.082000000000001</v>
      </c>
      <c r="D3712" s="28">
        <v>1.8055555555555557E-2</v>
      </c>
    </row>
    <row r="3713" spans="1:4" x14ac:dyDescent="0.25">
      <c r="A3713" s="24" t="s">
        <v>102</v>
      </c>
      <c r="B3713" s="24" t="s">
        <v>127</v>
      </c>
      <c r="C3713" s="32">
        <v>20.076000000000001</v>
      </c>
      <c r="D3713" s="28">
        <v>1.6666666666666666E-2</v>
      </c>
    </row>
    <row r="3714" spans="1:4" x14ac:dyDescent="0.25">
      <c r="A3714" s="24" t="s">
        <v>102</v>
      </c>
      <c r="B3714" s="24" t="s">
        <v>128</v>
      </c>
      <c r="C3714" s="32">
        <v>23.971</v>
      </c>
      <c r="D3714" s="28">
        <v>2.013888888888889E-2</v>
      </c>
    </row>
    <row r="3715" spans="1:4" x14ac:dyDescent="0.25">
      <c r="A3715" s="24" t="s">
        <v>102</v>
      </c>
      <c r="B3715" s="24" t="s">
        <v>129</v>
      </c>
      <c r="C3715" s="32">
        <v>23.971</v>
      </c>
      <c r="D3715" s="28">
        <v>2.013888888888889E-2</v>
      </c>
    </row>
    <row r="3716" spans="1:4" x14ac:dyDescent="0.25">
      <c r="A3716" s="24" t="s">
        <v>102</v>
      </c>
      <c r="B3716" s="24" t="s">
        <v>130</v>
      </c>
      <c r="C3716" s="32">
        <v>21.745000000000001</v>
      </c>
      <c r="D3716" s="28">
        <v>1.9444444444444445E-2</v>
      </c>
    </row>
    <row r="3717" spans="1:4" x14ac:dyDescent="0.25">
      <c r="A3717" s="24" t="s">
        <v>102</v>
      </c>
      <c r="B3717" s="24" t="s">
        <v>131</v>
      </c>
      <c r="C3717" s="32">
        <v>18.512</v>
      </c>
      <c r="D3717" s="28">
        <v>1.6666666666666666E-2</v>
      </c>
    </row>
    <row r="3718" spans="1:4" x14ac:dyDescent="0.25">
      <c r="A3718" s="24" t="s">
        <v>102</v>
      </c>
      <c r="B3718" s="24" t="s">
        <v>132</v>
      </c>
      <c r="C3718" s="32">
        <v>19.763999999999999</v>
      </c>
      <c r="D3718" s="28">
        <v>1.6666666666666666E-2</v>
      </c>
    </row>
    <row r="3719" spans="1:4" x14ac:dyDescent="0.25">
      <c r="A3719" s="24" t="s">
        <v>102</v>
      </c>
      <c r="B3719" s="24" t="s">
        <v>133</v>
      </c>
      <c r="C3719" s="32">
        <v>31.812000000000001</v>
      </c>
      <c r="D3719" s="28">
        <v>2.8472222222222222E-2</v>
      </c>
    </row>
    <row r="3720" spans="1:4" x14ac:dyDescent="0.25">
      <c r="A3720" s="24" t="s">
        <v>102</v>
      </c>
      <c r="B3720" s="24" t="s">
        <v>134</v>
      </c>
      <c r="C3720" s="32">
        <v>31.346</v>
      </c>
      <c r="D3720" s="28">
        <v>2.7777777777777776E-2</v>
      </c>
    </row>
    <row r="3721" spans="1:4" x14ac:dyDescent="0.25">
      <c r="A3721" s="24" t="s">
        <v>102</v>
      </c>
      <c r="B3721" s="24" t="s">
        <v>135</v>
      </c>
      <c r="C3721" s="32">
        <v>31.89</v>
      </c>
      <c r="D3721" s="28">
        <v>2.8472222222222222E-2</v>
      </c>
    </row>
    <row r="3722" spans="1:4" x14ac:dyDescent="0.25">
      <c r="A3722" s="24" t="s">
        <v>102</v>
      </c>
      <c r="B3722" s="24" t="s">
        <v>136</v>
      </c>
      <c r="C3722" s="32">
        <v>31.89</v>
      </c>
      <c r="D3722" s="28">
        <v>2.8472222222222222E-2</v>
      </c>
    </row>
    <row r="3723" spans="1:4" x14ac:dyDescent="0.25">
      <c r="A3723" s="24" t="s">
        <v>102</v>
      </c>
      <c r="B3723" s="24" t="s">
        <v>137</v>
      </c>
      <c r="C3723" s="32">
        <v>31.498999999999999</v>
      </c>
      <c r="D3723" s="28">
        <v>2.7777777777777776E-2</v>
      </c>
    </row>
    <row r="3724" spans="1:4" x14ac:dyDescent="0.25">
      <c r="A3724" s="24" t="s">
        <v>102</v>
      </c>
      <c r="B3724" s="24" t="s">
        <v>138</v>
      </c>
      <c r="C3724" s="32">
        <v>36.588999999999999</v>
      </c>
      <c r="D3724" s="28">
        <v>2.9861111111111113E-2</v>
      </c>
    </row>
    <row r="3725" spans="1:4" x14ac:dyDescent="0.25">
      <c r="A3725" s="24" t="s">
        <v>102</v>
      </c>
      <c r="B3725" s="24" t="s">
        <v>139</v>
      </c>
      <c r="C3725" s="32">
        <v>44.100999999999999</v>
      </c>
      <c r="D3725" s="28">
        <v>3.1944444444444449E-2</v>
      </c>
    </row>
    <row r="3726" spans="1:4" x14ac:dyDescent="0.25">
      <c r="A3726" s="24" t="s">
        <v>102</v>
      </c>
      <c r="B3726" s="24" t="s">
        <v>140</v>
      </c>
      <c r="C3726" s="32">
        <v>39.561999999999998</v>
      </c>
      <c r="D3726" s="28">
        <v>3.5416666666666666E-2</v>
      </c>
    </row>
    <row r="3727" spans="1:4" x14ac:dyDescent="0.25">
      <c r="A3727" s="24" t="s">
        <v>102</v>
      </c>
      <c r="B3727" s="24" t="s">
        <v>141</v>
      </c>
      <c r="C3727" s="32">
        <v>68.811999999999998</v>
      </c>
      <c r="D3727" s="28">
        <v>5.1388888888888894E-2</v>
      </c>
    </row>
    <row r="3728" spans="1:4" x14ac:dyDescent="0.25">
      <c r="A3728" s="24" t="s">
        <v>102</v>
      </c>
      <c r="B3728" s="24" t="s">
        <v>142</v>
      </c>
      <c r="C3728" s="32">
        <v>66.900000000000006</v>
      </c>
      <c r="D3728" s="28">
        <v>4.3750000000000004E-2</v>
      </c>
    </row>
    <row r="3729" spans="1:4" x14ac:dyDescent="0.25">
      <c r="A3729" s="24" t="s">
        <v>102</v>
      </c>
      <c r="B3729" s="24" t="s">
        <v>143</v>
      </c>
      <c r="C3729" s="32">
        <v>85.278000000000006</v>
      </c>
      <c r="D3729" s="28">
        <v>5.1388888888888894E-2</v>
      </c>
    </row>
    <row r="3730" spans="1:4" x14ac:dyDescent="0.25">
      <c r="A3730" s="24" t="s">
        <v>102</v>
      </c>
      <c r="B3730" s="24" t="s">
        <v>144</v>
      </c>
      <c r="C3730" s="32">
        <v>104.39400000000001</v>
      </c>
      <c r="D3730" s="28">
        <v>6.1805555555555558E-2</v>
      </c>
    </row>
    <row r="3731" spans="1:4" x14ac:dyDescent="0.25">
      <c r="A3731" s="24" t="s">
        <v>102</v>
      </c>
      <c r="B3731" s="24" t="s">
        <v>145</v>
      </c>
      <c r="C3731" s="32">
        <v>48.908000000000001</v>
      </c>
      <c r="D3731" s="28">
        <v>3.6805555555555557E-2</v>
      </c>
    </row>
    <row r="3732" spans="1:4" x14ac:dyDescent="0.25">
      <c r="A3732" s="24" t="s">
        <v>102</v>
      </c>
      <c r="B3732" s="24" t="s">
        <v>146</v>
      </c>
      <c r="C3732" s="32">
        <v>64.367000000000004</v>
      </c>
      <c r="D3732" s="28">
        <v>4.4444444444444446E-2</v>
      </c>
    </row>
    <row r="3733" spans="1:4" x14ac:dyDescent="0.25">
      <c r="A3733" s="24" t="s">
        <v>102</v>
      </c>
      <c r="B3733" s="24" t="s">
        <v>147</v>
      </c>
      <c r="C3733" s="32">
        <v>15.013</v>
      </c>
      <c r="D3733" s="28">
        <v>1.6666666666666666E-2</v>
      </c>
    </row>
    <row r="3734" spans="1:4" x14ac:dyDescent="0.25">
      <c r="A3734" s="24" t="s">
        <v>102</v>
      </c>
      <c r="B3734" s="24" t="s">
        <v>148</v>
      </c>
      <c r="C3734" s="32">
        <v>24.404</v>
      </c>
      <c r="D3734" s="28">
        <v>1.7361111111111112E-2</v>
      </c>
    </row>
    <row r="3735" spans="1:4" x14ac:dyDescent="0.25">
      <c r="A3735" s="24" t="s">
        <v>102</v>
      </c>
      <c r="B3735" s="24" t="s">
        <v>149</v>
      </c>
      <c r="C3735" s="32">
        <v>19.87</v>
      </c>
      <c r="D3735" s="28">
        <v>1.6666666666666666E-2</v>
      </c>
    </row>
    <row r="3736" spans="1:4" x14ac:dyDescent="0.25">
      <c r="A3736" s="24" t="s">
        <v>102</v>
      </c>
      <c r="B3736" s="24" t="s">
        <v>150</v>
      </c>
      <c r="C3736" s="32">
        <v>24.914999999999999</v>
      </c>
      <c r="D3736" s="28">
        <v>2.5694444444444447E-2</v>
      </c>
    </row>
    <row r="3737" spans="1:4" x14ac:dyDescent="0.25">
      <c r="A3737" s="24" t="s">
        <v>102</v>
      </c>
      <c r="B3737" s="24" t="s">
        <v>151</v>
      </c>
      <c r="C3737" s="32">
        <v>28.614999999999998</v>
      </c>
      <c r="D3737" s="28">
        <v>2.5694444444444447E-2</v>
      </c>
    </row>
    <row r="3738" spans="1:4" x14ac:dyDescent="0.25">
      <c r="A3738" s="24" t="s">
        <v>102</v>
      </c>
      <c r="B3738" s="24" t="s">
        <v>152</v>
      </c>
      <c r="C3738" s="32">
        <v>22.431999999999999</v>
      </c>
      <c r="D3738" s="28">
        <v>2.361111111111111E-2</v>
      </c>
    </row>
    <row r="3739" spans="1:4" x14ac:dyDescent="0.25">
      <c r="A3739" s="24" t="s">
        <v>102</v>
      </c>
      <c r="B3739" s="24" t="s">
        <v>153</v>
      </c>
      <c r="C3739" s="32">
        <v>26.959</v>
      </c>
      <c r="D3739" s="28">
        <v>2.9861111111111113E-2</v>
      </c>
    </row>
    <row r="3740" spans="1:4" x14ac:dyDescent="0.25">
      <c r="A3740" s="24" t="s">
        <v>102</v>
      </c>
      <c r="B3740" s="24" t="s">
        <v>154</v>
      </c>
      <c r="C3740" s="32">
        <v>21.768000000000001</v>
      </c>
      <c r="D3740" s="28">
        <v>2.361111111111111E-2</v>
      </c>
    </row>
    <row r="3741" spans="1:4" x14ac:dyDescent="0.25">
      <c r="A3741" s="24" t="s">
        <v>102</v>
      </c>
      <c r="B3741" s="24" t="s">
        <v>155</v>
      </c>
      <c r="C3741" s="32">
        <v>27.303000000000001</v>
      </c>
      <c r="D3741" s="28">
        <v>2.7083333333333334E-2</v>
      </c>
    </row>
    <row r="3742" spans="1:4" x14ac:dyDescent="0.25">
      <c r="A3742" s="24" t="s">
        <v>102</v>
      </c>
      <c r="B3742" s="24" t="s">
        <v>156</v>
      </c>
      <c r="C3742" s="32">
        <v>27.286999999999999</v>
      </c>
      <c r="D3742" s="28">
        <v>2.6388888888888889E-2</v>
      </c>
    </row>
    <row r="3743" spans="1:4" x14ac:dyDescent="0.25">
      <c r="A3743" s="24" t="s">
        <v>102</v>
      </c>
      <c r="B3743" s="24" t="s">
        <v>157</v>
      </c>
      <c r="C3743" s="32">
        <v>18.332999999999998</v>
      </c>
      <c r="D3743" s="28">
        <v>1.7361111111111112E-2</v>
      </c>
    </row>
    <row r="3744" spans="1:4" x14ac:dyDescent="0.25">
      <c r="A3744" s="24" t="s">
        <v>102</v>
      </c>
      <c r="B3744" s="24" t="s">
        <v>158</v>
      </c>
      <c r="C3744" s="32">
        <v>29.087</v>
      </c>
      <c r="D3744" s="28">
        <v>2.4999999999999998E-2</v>
      </c>
    </row>
    <row r="3745" spans="1:4" x14ac:dyDescent="0.25">
      <c r="A3745" s="24" t="s">
        <v>102</v>
      </c>
      <c r="B3745" s="24" t="s">
        <v>159</v>
      </c>
      <c r="C3745" s="32">
        <v>29.141999999999999</v>
      </c>
      <c r="D3745" s="28">
        <v>2.6388888888888889E-2</v>
      </c>
    </row>
    <row r="3746" spans="1:4" x14ac:dyDescent="0.25">
      <c r="A3746" s="24" t="s">
        <v>103</v>
      </c>
      <c r="B3746" s="24" t="s">
        <v>65</v>
      </c>
      <c r="C3746" s="32">
        <v>6.8719999999999999</v>
      </c>
      <c r="D3746" s="28">
        <v>5.5555555555555558E-3</v>
      </c>
    </row>
    <row r="3747" spans="1:4" x14ac:dyDescent="0.25">
      <c r="A3747" s="24" t="s">
        <v>103</v>
      </c>
      <c r="B3747" s="24" t="s">
        <v>64</v>
      </c>
      <c r="C3747" s="32">
        <v>9.5670000000000002</v>
      </c>
      <c r="D3747" s="28">
        <v>1.0416666666666666E-2</v>
      </c>
    </row>
    <row r="3748" spans="1:4" x14ac:dyDescent="0.25">
      <c r="A3748" s="24" t="s">
        <v>103</v>
      </c>
      <c r="B3748" s="24" t="s">
        <v>66</v>
      </c>
      <c r="C3748" s="32">
        <v>16.259</v>
      </c>
      <c r="D3748" s="28">
        <v>1.7361111111111112E-2</v>
      </c>
    </row>
    <row r="3749" spans="1:4" x14ac:dyDescent="0.25">
      <c r="A3749" s="24" t="s">
        <v>103</v>
      </c>
      <c r="B3749" s="24" t="s">
        <v>67</v>
      </c>
      <c r="C3749" s="32">
        <v>13.503</v>
      </c>
      <c r="D3749" s="28">
        <v>1.6666666666666666E-2</v>
      </c>
    </row>
    <row r="3750" spans="1:4" x14ac:dyDescent="0.25">
      <c r="A3750" s="24" t="s">
        <v>103</v>
      </c>
      <c r="B3750" s="24" t="s">
        <v>68</v>
      </c>
      <c r="C3750" s="32">
        <v>13.617000000000001</v>
      </c>
      <c r="D3750" s="28">
        <v>1.8055555555555557E-2</v>
      </c>
    </row>
    <row r="3751" spans="1:4" x14ac:dyDescent="0.25">
      <c r="A3751" s="24" t="s">
        <v>103</v>
      </c>
      <c r="B3751" s="24" t="s">
        <v>69</v>
      </c>
      <c r="C3751" s="32">
        <v>13.473000000000001</v>
      </c>
      <c r="D3751" s="28">
        <v>1.6666666666666666E-2</v>
      </c>
    </row>
    <row r="3752" spans="1:4" x14ac:dyDescent="0.25">
      <c r="A3752" s="24" t="s">
        <v>103</v>
      </c>
      <c r="B3752" s="24" t="s">
        <v>70</v>
      </c>
      <c r="C3752" s="32">
        <v>13.856999999999999</v>
      </c>
      <c r="D3752" s="28">
        <v>1.7361111111111112E-2</v>
      </c>
    </row>
    <row r="3753" spans="1:4" x14ac:dyDescent="0.25">
      <c r="A3753" s="24" t="s">
        <v>103</v>
      </c>
      <c r="B3753" s="24" t="s">
        <v>71</v>
      </c>
      <c r="C3753" s="32">
        <v>13.202</v>
      </c>
      <c r="D3753" s="28">
        <v>1.7361111111111112E-2</v>
      </c>
    </row>
    <row r="3754" spans="1:4" x14ac:dyDescent="0.25">
      <c r="A3754" s="24" t="s">
        <v>103</v>
      </c>
      <c r="B3754" s="24" t="s">
        <v>72</v>
      </c>
      <c r="C3754" s="32">
        <v>14.736000000000001</v>
      </c>
      <c r="D3754" s="28">
        <v>1.9444444444444445E-2</v>
      </c>
    </row>
    <row r="3755" spans="1:4" x14ac:dyDescent="0.25">
      <c r="A3755" s="24" t="s">
        <v>103</v>
      </c>
      <c r="B3755" s="24" t="s">
        <v>73</v>
      </c>
      <c r="C3755" s="32">
        <v>13.263999999999999</v>
      </c>
      <c r="D3755" s="28">
        <v>1.6666666666666666E-2</v>
      </c>
    </row>
    <row r="3756" spans="1:4" x14ac:dyDescent="0.25">
      <c r="A3756" s="24" t="s">
        <v>103</v>
      </c>
      <c r="B3756" s="24" t="s">
        <v>74</v>
      </c>
      <c r="C3756" s="32">
        <v>17.067</v>
      </c>
      <c r="D3756" s="28">
        <v>1.8749999999999999E-2</v>
      </c>
    </row>
    <row r="3757" spans="1:4" x14ac:dyDescent="0.25">
      <c r="A3757" s="24" t="s">
        <v>103</v>
      </c>
      <c r="B3757" s="24" t="s">
        <v>75</v>
      </c>
      <c r="C3757" s="32">
        <v>16.103000000000002</v>
      </c>
      <c r="D3757" s="28">
        <v>1.7361111111111112E-2</v>
      </c>
    </row>
    <row r="3758" spans="1:4" x14ac:dyDescent="0.25">
      <c r="A3758" s="24" t="s">
        <v>103</v>
      </c>
      <c r="B3758" s="24" t="s">
        <v>76</v>
      </c>
      <c r="C3758" s="32">
        <v>20.097999999999999</v>
      </c>
      <c r="D3758" s="28">
        <v>2.2222222222222223E-2</v>
      </c>
    </row>
    <row r="3759" spans="1:4" x14ac:dyDescent="0.25">
      <c r="A3759" s="24" t="s">
        <v>103</v>
      </c>
      <c r="B3759" s="24" t="s">
        <v>77</v>
      </c>
      <c r="C3759" s="32">
        <v>22.463000000000001</v>
      </c>
      <c r="D3759" s="28">
        <v>2.2222222222222223E-2</v>
      </c>
    </row>
    <row r="3760" spans="1:4" x14ac:dyDescent="0.25">
      <c r="A3760" s="24" t="s">
        <v>103</v>
      </c>
      <c r="B3760" s="24" t="s">
        <v>78</v>
      </c>
      <c r="C3760" s="32">
        <v>17.504000000000001</v>
      </c>
      <c r="D3760" s="28">
        <v>1.9444444444444445E-2</v>
      </c>
    </row>
    <row r="3761" spans="1:4" x14ac:dyDescent="0.25">
      <c r="A3761" s="24" t="s">
        <v>103</v>
      </c>
      <c r="B3761" s="24" t="s">
        <v>79</v>
      </c>
      <c r="C3761" s="32">
        <v>35.869999999999997</v>
      </c>
      <c r="D3761" s="28">
        <v>3.6111111111111115E-2</v>
      </c>
    </row>
    <row r="3762" spans="1:4" x14ac:dyDescent="0.25">
      <c r="A3762" s="24" t="s">
        <v>103</v>
      </c>
      <c r="B3762" s="24" t="s">
        <v>80</v>
      </c>
      <c r="C3762" s="32">
        <v>10.096</v>
      </c>
      <c r="D3762" s="28">
        <v>7.6388888888888886E-3</v>
      </c>
    </row>
    <row r="3763" spans="1:4" x14ac:dyDescent="0.25">
      <c r="A3763" s="24" t="s">
        <v>103</v>
      </c>
      <c r="B3763" s="24" t="s">
        <v>81</v>
      </c>
      <c r="C3763" s="32">
        <v>14.618</v>
      </c>
      <c r="D3763" s="28">
        <v>1.0416666666666666E-2</v>
      </c>
    </row>
    <row r="3764" spans="1:4" x14ac:dyDescent="0.25">
      <c r="A3764" s="24" t="s">
        <v>103</v>
      </c>
      <c r="B3764" s="24" t="s">
        <v>82</v>
      </c>
      <c r="C3764" s="32">
        <v>14.67</v>
      </c>
      <c r="D3764" s="28">
        <v>1.0416666666666666E-2</v>
      </c>
    </row>
    <row r="3765" spans="1:4" x14ac:dyDescent="0.25">
      <c r="A3765" s="24" t="s">
        <v>103</v>
      </c>
      <c r="B3765" s="24" t="s">
        <v>83</v>
      </c>
      <c r="C3765" s="32">
        <v>7.69</v>
      </c>
      <c r="D3765" s="28">
        <v>8.3333333333333332E-3</v>
      </c>
    </row>
    <row r="3766" spans="1:4" x14ac:dyDescent="0.25">
      <c r="A3766" s="24" t="s">
        <v>103</v>
      </c>
      <c r="B3766" s="24" t="s">
        <v>84</v>
      </c>
      <c r="C3766" s="32">
        <v>14.272</v>
      </c>
      <c r="D3766" s="28">
        <v>1.5277777777777777E-2</v>
      </c>
    </row>
    <row r="3767" spans="1:4" x14ac:dyDescent="0.25">
      <c r="A3767" s="24" t="s">
        <v>103</v>
      </c>
      <c r="B3767" s="24" t="s">
        <v>85</v>
      </c>
      <c r="C3767" s="32">
        <v>14.289</v>
      </c>
      <c r="D3767" s="28">
        <v>1.4583333333333332E-2</v>
      </c>
    </row>
    <row r="3768" spans="1:4" x14ac:dyDescent="0.25">
      <c r="A3768" s="24" t="s">
        <v>103</v>
      </c>
      <c r="B3768" s="24" t="s">
        <v>86</v>
      </c>
      <c r="C3768" s="32">
        <v>11.914999999999999</v>
      </c>
      <c r="D3768" s="28">
        <v>1.1805555555555555E-2</v>
      </c>
    </row>
    <row r="3769" spans="1:4" x14ac:dyDescent="0.25">
      <c r="A3769" s="24" t="s">
        <v>103</v>
      </c>
      <c r="B3769" s="24" t="s">
        <v>87</v>
      </c>
      <c r="C3769" s="32">
        <v>10.279</v>
      </c>
      <c r="D3769" s="28">
        <v>1.1111111111111112E-2</v>
      </c>
    </row>
    <row r="3770" spans="1:4" x14ac:dyDescent="0.25">
      <c r="A3770" s="24" t="s">
        <v>103</v>
      </c>
      <c r="B3770" s="24" t="s">
        <v>88</v>
      </c>
      <c r="C3770" s="32">
        <v>9.4320000000000004</v>
      </c>
      <c r="D3770" s="28">
        <v>1.1111111111111112E-2</v>
      </c>
    </row>
    <row r="3771" spans="1:4" x14ac:dyDescent="0.25">
      <c r="A3771" s="24" t="s">
        <v>103</v>
      </c>
      <c r="B3771" s="24" t="s">
        <v>89</v>
      </c>
      <c r="C3771" s="32">
        <v>5.6349999999999998</v>
      </c>
      <c r="D3771" s="28">
        <v>6.2499999999999995E-3</v>
      </c>
    </row>
    <row r="3772" spans="1:4" x14ac:dyDescent="0.25">
      <c r="A3772" s="24" t="s">
        <v>103</v>
      </c>
      <c r="B3772" s="24" t="s">
        <v>90</v>
      </c>
      <c r="C3772" s="32">
        <v>6.1020000000000003</v>
      </c>
      <c r="D3772" s="28">
        <v>6.2499999999999995E-3</v>
      </c>
    </row>
    <row r="3773" spans="1:4" x14ac:dyDescent="0.25">
      <c r="A3773" s="24" t="s">
        <v>103</v>
      </c>
      <c r="B3773" s="24" t="s">
        <v>91</v>
      </c>
      <c r="C3773" s="32">
        <v>8.0790000000000006</v>
      </c>
      <c r="D3773" s="28">
        <v>8.3333333333333332E-3</v>
      </c>
    </row>
    <row r="3774" spans="1:4" x14ac:dyDescent="0.25">
      <c r="A3774" s="24" t="s">
        <v>103</v>
      </c>
      <c r="B3774" s="24" t="s">
        <v>92</v>
      </c>
      <c r="C3774" s="32">
        <v>8.1720000000000006</v>
      </c>
      <c r="D3774" s="28">
        <v>6.9444444444444441E-3</v>
      </c>
    </row>
    <row r="3775" spans="1:4" x14ac:dyDescent="0.25">
      <c r="A3775" s="24" t="s">
        <v>103</v>
      </c>
      <c r="B3775" s="24" t="s">
        <v>93</v>
      </c>
      <c r="C3775" s="32">
        <v>31.893999999999998</v>
      </c>
      <c r="D3775" s="28">
        <v>2.013888888888889E-2</v>
      </c>
    </row>
    <row r="3776" spans="1:4" x14ac:dyDescent="0.25">
      <c r="A3776" s="24" t="s">
        <v>103</v>
      </c>
      <c r="B3776" s="24" t="s">
        <v>94</v>
      </c>
      <c r="C3776" s="32">
        <v>32.523000000000003</v>
      </c>
      <c r="D3776" s="28">
        <v>2.0833333333333332E-2</v>
      </c>
    </row>
    <row r="3777" spans="1:4" x14ac:dyDescent="0.25">
      <c r="A3777" s="24" t="s">
        <v>103</v>
      </c>
      <c r="B3777" s="24" t="s">
        <v>95</v>
      </c>
      <c r="C3777" s="32">
        <v>14.954000000000001</v>
      </c>
      <c r="D3777" s="28">
        <v>1.1111111111111112E-2</v>
      </c>
    </row>
    <row r="3778" spans="1:4" x14ac:dyDescent="0.25">
      <c r="A3778" s="24" t="s">
        <v>103</v>
      </c>
      <c r="B3778" s="24" t="s">
        <v>96</v>
      </c>
      <c r="C3778" s="32">
        <v>13.237</v>
      </c>
      <c r="D3778" s="28">
        <v>1.1111111111111112E-2</v>
      </c>
    </row>
    <row r="3779" spans="1:4" x14ac:dyDescent="0.25">
      <c r="A3779" s="24" t="s">
        <v>103</v>
      </c>
      <c r="B3779" s="24" t="s">
        <v>97</v>
      </c>
      <c r="C3779" s="32">
        <v>22.605</v>
      </c>
      <c r="D3779" s="28">
        <v>1.8749999999999999E-2</v>
      </c>
    </row>
    <row r="3780" spans="1:4" x14ac:dyDescent="0.25">
      <c r="A3780" s="24" t="s">
        <v>103</v>
      </c>
      <c r="B3780" s="24" t="s">
        <v>98</v>
      </c>
      <c r="C3780" s="32">
        <v>14.522</v>
      </c>
      <c r="D3780" s="28">
        <v>1.3888888888888888E-2</v>
      </c>
    </row>
    <row r="3781" spans="1:4" x14ac:dyDescent="0.25">
      <c r="A3781" s="24" t="s">
        <v>103</v>
      </c>
      <c r="B3781" s="24" t="s">
        <v>99</v>
      </c>
      <c r="C3781" s="32">
        <v>18.942</v>
      </c>
      <c r="D3781" s="28">
        <v>1.6666666666666666E-2</v>
      </c>
    </row>
    <row r="3782" spans="1:4" x14ac:dyDescent="0.25">
      <c r="A3782" s="24" t="s">
        <v>103</v>
      </c>
      <c r="B3782" s="24" t="s">
        <v>100</v>
      </c>
      <c r="C3782" s="32">
        <v>11.093999999999999</v>
      </c>
      <c r="D3782" s="28">
        <v>9.7222222222222224E-3</v>
      </c>
    </row>
    <row r="3783" spans="1:4" x14ac:dyDescent="0.25">
      <c r="A3783" s="24" t="s">
        <v>103</v>
      </c>
      <c r="B3783" s="24" t="s">
        <v>101</v>
      </c>
      <c r="C3783" s="32">
        <v>13.573</v>
      </c>
      <c r="D3783" s="28">
        <v>1.3888888888888888E-2</v>
      </c>
    </row>
    <row r="3784" spans="1:4" x14ac:dyDescent="0.25">
      <c r="A3784" s="24" t="s">
        <v>103</v>
      </c>
      <c r="B3784" s="24" t="s">
        <v>102</v>
      </c>
      <c r="C3784" s="32">
        <v>13</v>
      </c>
      <c r="D3784" s="28">
        <v>1.3194444444444444E-2</v>
      </c>
    </row>
    <row r="3785" spans="1:4" x14ac:dyDescent="0.25">
      <c r="A3785" s="24" t="s">
        <v>103</v>
      </c>
      <c r="B3785" s="24" t="s">
        <v>103</v>
      </c>
      <c r="C3785" s="32">
        <v>0</v>
      </c>
      <c r="D3785" s="28">
        <v>0</v>
      </c>
    </row>
    <row r="3786" spans="1:4" x14ac:dyDescent="0.25">
      <c r="A3786" s="24" t="s">
        <v>103</v>
      </c>
      <c r="B3786" s="24" t="s">
        <v>104</v>
      </c>
      <c r="C3786" s="32">
        <v>7.0659999999999998</v>
      </c>
      <c r="D3786" s="28">
        <v>6.2499999999999995E-3</v>
      </c>
    </row>
    <row r="3787" spans="1:4" x14ac:dyDescent="0.25">
      <c r="A3787" s="24" t="s">
        <v>103</v>
      </c>
      <c r="B3787" s="24" t="s">
        <v>105</v>
      </c>
      <c r="C3787" s="32">
        <v>5.28</v>
      </c>
      <c r="D3787" s="28">
        <v>7.6388888888888886E-3</v>
      </c>
    </row>
    <row r="3788" spans="1:4" x14ac:dyDescent="0.25">
      <c r="A3788" s="24" t="s">
        <v>103</v>
      </c>
      <c r="B3788" s="24" t="s">
        <v>106</v>
      </c>
      <c r="C3788" s="32">
        <v>3.8370000000000002</v>
      </c>
      <c r="D3788" s="28">
        <v>4.1666666666666666E-3</v>
      </c>
    </row>
    <row r="3789" spans="1:4" x14ac:dyDescent="0.25">
      <c r="A3789" s="24" t="s">
        <v>103</v>
      </c>
      <c r="B3789" s="24" t="s">
        <v>107</v>
      </c>
      <c r="C3789" s="32">
        <v>12.387</v>
      </c>
      <c r="D3789" s="28">
        <v>1.3888888888888888E-2</v>
      </c>
    </row>
    <row r="3790" spans="1:4" x14ac:dyDescent="0.25">
      <c r="A3790" s="24" t="s">
        <v>103</v>
      </c>
      <c r="B3790" s="24" t="s">
        <v>108</v>
      </c>
      <c r="C3790" s="32">
        <v>12.984</v>
      </c>
      <c r="D3790" s="28">
        <v>1.2499999999999999E-2</v>
      </c>
    </row>
    <row r="3791" spans="1:4" x14ac:dyDescent="0.25">
      <c r="A3791" s="24" t="s">
        <v>103</v>
      </c>
      <c r="B3791" s="24" t="s">
        <v>109</v>
      </c>
      <c r="C3791" s="32">
        <v>12.954000000000001</v>
      </c>
      <c r="D3791" s="28">
        <v>1.2499999999999999E-2</v>
      </c>
    </row>
    <row r="3792" spans="1:4" x14ac:dyDescent="0.25">
      <c r="A3792" s="24" t="s">
        <v>103</v>
      </c>
      <c r="B3792" s="24" t="s">
        <v>110</v>
      </c>
      <c r="C3792" s="32">
        <v>6.6150000000000002</v>
      </c>
      <c r="D3792" s="28">
        <v>6.9444444444444441E-3</v>
      </c>
    </row>
    <row r="3793" spans="1:4" x14ac:dyDescent="0.25">
      <c r="A3793" s="24" t="s">
        <v>103</v>
      </c>
      <c r="B3793" s="24" t="s">
        <v>111</v>
      </c>
      <c r="C3793" s="32">
        <v>3.6840000000000002</v>
      </c>
      <c r="D3793" s="28">
        <v>3.472222222222222E-3</v>
      </c>
    </row>
    <row r="3794" spans="1:4" x14ac:dyDescent="0.25">
      <c r="A3794" s="24" t="s">
        <v>103</v>
      </c>
      <c r="B3794" s="24" t="s">
        <v>112</v>
      </c>
      <c r="C3794" s="32">
        <v>12.061</v>
      </c>
      <c r="D3794" s="28">
        <v>1.2499999999999999E-2</v>
      </c>
    </row>
    <row r="3795" spans="1:4" x14ac:dyDescent="0.25">
      <c r="A3795" s="24" t="s">
        <v>103</v>
      </c>
      <c r="B3795" s="24" t="s">
        <v>113</v>
      </c>
      <c r="C3795" s="32">
        <v>15.685</v>
      </c>
      <c r="D3795" s="28">
        <v>1.4583333333333332E-2</v>
      </c>
    </row>
    <row r="3796" spans="1:4" x14ac:dyDescent="0.25">
      <c r="A3796" s="24" t="s">
        <v>103</v>
      </c>
      <c r="B3796" s="24" t="s">
        <v>114</v>
      </c>
      <c r="C3796" s="32">
        <v>9.9429999999999996</v>
      </c>
      <c r="D3796" s="28">
        <v>9.0277777777777787E-3</v>
      </c>
    </row>
    <row r="3797" spans="1:4" x14ac:dyDescent="0.25">
      <c r="A3797" s="24" t="s">
        <v>103</v>
      </c>
      <c r="B3797" s="24" t="s">
        <v>115</v>
      </c>
      <c r="C3797" s="32">
        <v>9.3949999999999996</v>
      </c>
      <c r="D3797" s="28">
        <v>9.0277777777777787E-3</v>
      </c>
    </row>
    <row r="3798" spans="1:4" x14ac:dyDescent="0.25">
      <c r="A3798" s="24" t="s">
        <v>103</v>
      </c>
      <c r="B3798" s="24" t="s">
        <v>116</v>
      </c>
      <c r="C3798" s="32">
        <v>7.2539999999999996</v>
      </c>
      <c r="D3798" s="28">
        <v>6.9444444444444441E-3</v>
      </c>
    </row>
    <row r="3799" spans="1:4" x14ac:dyDescent="0.25">
      <c r="A3799" s="24" t="s">
        <v>103</v>
      </c>
      <c r="B3799" s="24" t="s">
        <v>117</v>
      </c>
      <c r="C3799" s="32">
        <v>14.458</v>
      </c>
      <c r="D3799" s="28">
        <v>1.2499999999999999E-2</v>
      </c>
    </row>
    <row r="3800" spans="1:4" x14ac:dyDescent="0.25">
      <c r="A3800" s="24" t="s">
        <v>103</v>
      </c>
      <c r="B3800" s="24" t="s">
        <v>118</v>
      </c>
      <c r="C3800" s="32">
        <v>14.090999999999999</v>
      </c>
      <c r="D3800" s="28">
        <v>1.1111111111111112E-2</v>
      </c>
    </row>
    <row r="3801" spans="1:4" x14ac:dyDescent="0.25">
      <c r="A3801" s="24" t="s">
        <v>103</v>
      </c>
      <c r="B3801" s="24" t="s">
        <v>119</v>
      </c>
      <c r="C3801" s="32">
        <v>28.175999999999998</v>
      </c>
      <c r="D3801" s="28">
        <v>1.8749999999999999E-2</v>
      </c>
    </row>
    <row r="3802" spans="1:4" x14ac:dyDescent="0.25">
      <c r="A3802" s="24" t="s">
        <v>103</v>
      </c>
      <c r="B3802" s="24" t="s">
        <v>120</v>
      </c>
      <c r="C3802" s="32">
        <v>30.966000000000001</v>
      </c>
      <c r="D3802" s="28">
        <v>2.1527777777777781E-2</v>
      </c>
    </row>
    <row r="3803" spans="1:4" x14ac:dyDescent="0.25">
      <c r="A3803" s="24" t="s">
        <v>103</v>
      </c>
      <c r="B3803" s="24" t="s">
        <v>121</v>
      </c>
      <c r="C3803" s="32">
        <v>45.317</v>
      </c>
      <c r="D3803" s="28">
        <v>2.8472222222222222E-2</v>
      </c>
    </row>
    <row r="3804" spans="1:4" x14ac:dyDescent="0.25">
      <c r="A3804" s="24" t="s">
        <v>103</v>
      </c>
      <c r="B3804" s="24" t="s">
        <v>122</v>
      </c>
      <c r="C3804" s="32">
        <v>30.765000000000001</v>
      </c>
      <c r="D3804" s="28">
        <v>1.9444444444444445E-2</v>
      </c>
    </row>
    <row r="3805" spans="1:4" x14ac:dyDescent="0.25">
      <c r="A3805" s="24" t="s">
        <v>103</v>
      </c>
      <c r="B3805" s="24" t="s">
        <v>123</v>
      </c>
      <c r="C3805" s="32">
        <v>38.902000000000001</v>
      </c>
      <c r="D3805" s="28">
        <v>2.4999999999999998E-2</v>
      </c>
    </row>
    <row r="3806" spans="1:4" x14ac:dyDescent="0.25">
      <c r="A3806" s="24" t="s">
        <v>103</v>
      </c>
      <c r="B3806" s="24" t="s">
        <v>124</v>
      </c>
      <c r="C3806" s="32">
        <v>38.902000000000001</v>
      </c>
      <c r="D3806" s="28">
        <v>2.4999999999999998E-2</v>
      </c>
    </row>
    <row r="3807" spans="1:4" x14ac:dyDescent="0.25">
      <c r="A3807" s="24" t="s">
        <v>103</v>
      </c>
      <c r="B3807" s="24" t="s">
        <v>125</v>
      </c>
      <c r="C3807" s="32">
        <v>9.7249999999999996</v>
      </c>
      <c r="D3807" s="28">
        <v>9.0277777777777787E-3</v>
      </c>
    </row>
    <row r="3808" spans="1:4" x14ac:dyDescent="0.25">
      <c r="A3808" s="24" t="s">
        <v>103</v>
      </c>
      <c r="B3808" s="24" t="s">
        <v>126</v>
      </c>
      <c r="C3808" s="32">
        <v>9.4629999999999992</v>
      </c>
      <c r="D3808" s="28">
        <v>8.3333333333333332E-3</v>
      </c>
    </row>
    <row r="3809" spans="1:4" x14ac:dyDescent="0.25">
      <c r="A3809" s="24" t="s">
        <v>103</v>
      </c>
      <c r="B3809" s="24" t="s">
        <v>127</v>
      </c>
      <c r="C3809" s="32">
        <v>8.4570000000000007</v>
      </c>
      <c r="D3809" s="28">
        <v>6.9444444444444441E-3</v>
      </c>
    </row>
    <row r="3810" spans="1:4" x14ac:dyDescent="0.25">
      <c r="A3810" s="24" t="s">
        <v>103</v>
      </c>
      <c r="B3810" s="24" t="s">
        <v>128</v>
      </c>
      <c r="C3810" s="32">
        <v>11.167</v>
      </c>
      <c r="D3810" s="28">
        <v>9.0277777777777787E-3</v>
      </c>
    </row>
    <row r="3811" spans="1:4" x14ac:dyDescent="0.25">
      <c r="A3811" s="24" t="s">
        <v>103</v>
      </c>
      <c r="B3811" s="24" t="s">
        <v>129</v>
      </c>
      <c r="C3811" s="32">
        <v>11.167</v>
      </c>
      <c r="D3811" s="28">
        <v>9.0277777777777787E-3</v>
      </c>
    </row>
    <row r="3812" spans="1:4" x14ac:dyDescent="0.25">
      <c r="A3812" s="24" t="s">
        <v>103</v>
      </c>
      <c r="B3812" s="24" t="s">
        <v>130</v>
      </c>
      <c r="C3812" s="32">
        <v>10.125999999999999</v>
      </c>
      <c r="D3812" s="28">
        <v>9.7222222222222224E-3</v>
      </c>
    </row>
    <row r="3813" spans="1:4" x14ac:dyDescent="0.25">
      <c r="A3813" s="24" t="s">
        <v>103</v>
      </c>
      <c r="B3813" s="24" t="s">
        <v>131</v>
      </c>
      <c r="C3813" s="32">
        <v>7.4489999999999998</v>
      </c>
      <c r="D3813" s="28">
        <v>8.3333333333333332E-3</v>
      </c>
    </row>
    <row r="3814" spans="1:4" x14ac:dyDescent="0.25">
      <c r="A3814" s="24" t="s">
        <v>103</v>
      </c>
      <c r="B3814" s="24" t="s">
        <v>132</v>
      </c>
      <c r="C3814" s="32">
        <v>15.12</v>
      </c>
      <c r="D3814" s="28">
        <v>1.3888888888888888E-2</v>
      </c>
    </row>
    <row r="3815" spans="1:4" x14ac:dyDescent="0.25">
      <c r="A3815" s="24" t="s">
        <v>103</v>
      </c>
      <c r="B3815" s="24" t="s">
        <v>133</v>
      </c>
      <c r="C3815" s="32">
        <v>14.404</v>
      </c>
      <c r="D3815" s="28">
        <v>1.5972222222222224E-2</v>
      </c>
    </row>
    <row r="3816" spans="1:4" x14ac:dyDescent="0.25">
      <c r="A3816" s="24" t="s">
        <v>103</v>
      </c>
      <c r="B3816" s="24" t="s">
        <v>134</v>
      </c>
      <c r="C3816" s="32">
        <v>13.938000000000001</v>
      </c>
      <c r="D3816" s="28">
        <v>1.5277777777777777E-2</v>
      </c>
    </row>
    <row r="3817" spans="1:4" x14ac:dyDescent="0.25">
      <c r="A3817" s="24" t="s">
        <v>103</v>
      </c>
      <c r="B3817" s="24" t="s">
        <v>135</v>
      </c>
      <c r="C3817" s="32">
        <v>15.269</v>
      </c>
      <c r="D3817" s="28">
        <v>1.6666666666666666E-2</v>
      </c>
    </row>
    <row r="3818" spans="1:4" x14ac:dyDescent="0.25">
      <c r="A3818" s="24" t="s">
        <v>103</v>
      </c>
      <c r="B3818" s="24" t="s">
        <v>136</v>
      </c>
      <c r="C3818" s="32">
        <v>15.269</v>
      </c>
      <c r="D3818" s="28">
        <v>1.6666666666666666E-2</v>
      </c>
    </row>
    <row r="3819" spans="1:4" x14ac:dyDescent="0.25">
      <c r="A3819" s="24" t="s">
        <v>103</v>
      </c>
      <c r="B3819" s="24" t="s">
        <v>137</v>
      </c>
      <c r="C3819" s="32">
        <v>15.481999999999999</v>
      </c>
      <c r="D3819" s="28">
        <v>1.6666666666666666E-2</v>
      </c>
    </row>
    <row r="3820" spans="1:4" x14ac:dyDescent="0.25">
      <c r="A3820" s="24" t="s">
        <v>103</v>
      </c>
      <c r="B3820" s="24" t="s">
        <v>138</v>
      </c>
      <c r="C3820" s="32">
        <v>19.422999999999998</v>
      </c>
      <c r="D3820" s="28">
        <v>1.8055555555555557E-2</v>
      </c>
    </row>
    <row r="3821" spans="1:4" x14ac:dyDescent="0.25">
      <c r="A3821" s="24" t="s">
        <v>103</v>
      </c>
      <c r="B3821" s="24" t="s">
        <v>139</v>
      </c>
      <c r="C3821" s="32">
        <v>35.164000000000001</v>
      </c>
      <c r="D3821" s="28">
        <v>2.1527777777777781E-2</v>
      </c>
    </row>
    <row r="3822" spans="1:4" x14ac:dyDescent="0.25">
      <c r="A3822" s="24" t="s">
        <v>103</v>
      </c>
      <c r="B3822" s="24" t="s">
        <v>140</v>
      </c>
      <c r="C3822" s="32">
        <v>26.507000000000001</v>
      </c>
      <c r="D3822" s="28">
        <v>2.361111111111111E-2</v>
      </c>
    </row>
    <row r="3823" spans="1:4" x14ac:dyDescent="0.25">
      <c r="A3823" s="24" t="s">
        <v>103</v>
      </c>
      <c r="B3823" s="24" t="s">
        <v>141</v>
      </c>
      <c r="C3823" s="32">
        <v>59.875</v>
      </c>
      <c r="D3823" s="28">
        <v>4.0972222222222222E-2</v>
      </c>
    </row>
    <row r="3824" spans="1:4" x14ac:dyDescent="0.25">
      <c r="A3824" s="24" t="s">
        <v>103</v>
      </c>
      <c r="B3824" s="24" t="s">
        <v>142</v>
      </c>
      <c r="C3824" s="32">
        <v>57.963000000000001</v>
      </c>
      <c r="D3824" s="28">
        <v>3.3333333333333333E-2</v>
      </c>
    </row>
    <row r="3825" spans="1:4" x14ac:dyDescent="0.25">
      <c r="A3825" s="24" t="s">
        <v>103</v>
      </c>
      <c r="B3825" s="24" t="s">
        <v>143</v>
      </c>
      <c r="C3825" s="32">
        <v>76.340999999999994</v>
      </c>
      <c r="D3825" s="28">
        <v>4.0972222222222222E-2</v>
      </c>
    </row>
    <row r="3826" spans="1:4" x14ac:dyDescent="0.25">
      <c r="A3826" s="24" t="s">
        <v>103</v>
      </c>
      <c r="B3826" s="24" t="s">
        <v>144</v>
      </c>
      <c r="C3826" s="32">
        <v>95.456999999999994</v>
      </c>
      <c r="D3826" s="28">
        <v>5.2083333333333336E-2</v>
      </c>
    </row>
    <row r="3827" spans="1:4" x14ac:dyDescent="0.25">
      <c r="A3827" s="24" t="s">
        <v>103</v>
      </c>
      <c r="B3827" s="24" t="s">
        <v>145</v>
      </c>
      <c r="C3827" s="32">
        <v>39.970999999999997</v>
      </c>
      <c r="D3827" s="28">
        <v>2.6388888888888889E-2</v>
      </c>
    </row>
    <row r="3828" spans="1:4" x14ac:dyDescent="0.25">
      <c r="A3828" s="24" t="s">
        <v>103</v>
      </c>
      <c r="B3828" s="24" t="s">
        <v>146</v>
      </c>
      <c r="C3828" s="32">
        <v>55.43</v>
      </c>
      <c r="D3828" s="28">
        <v>3.4027777777777775E-2</v>
      </c>
    </row>
    <row r="3829" spans="1:4" x14ac:dyDescent="0.25">
      <c r="A3829" s="24" t="s">
        <v>103</v>
      </c>
      <c r="B3829" s="24" t="s">
        <v>147</v>
      </c>
      <c r="C3829" s="32">
        <v>2.8969999999999998</v>
      </c>
      <c r="D3829" s="28">
        <v>3.472222222222222E-3</v>
      </c>
    </row>
    <row r="3830" spans="1:4" x14ac:dyDescent="0.25">
      <c r="A3830" s="24" t="s">
        <v>103</v>
      </c>
      <c r="B3830" s="24" t="s">
        <v>148</v>
      </c>
      <c r="C3830" s="32">
        <v>7.0739999999999998</v>
      </c>
      <c r="D3830" s="28">
        <v>5.5555555555555558E-3</v>
      </c>
    </row>
    <row r="3831" spans="1:4" x14ac:dyDescent="0.25">
      <c r="A3831" s="24" t="s">
        <v>103</v>
      </c>
      <c r="B3831" s="24" t="s">
        <v>149</v>
      </c>
      <c r="C3831" s="32">
        <v>15.226000000000001</v>
      </c>
      <c r="D3831" s="28">
        <v>1.4583333333333332E-2</v>
      </c>
    </row>
    <row r="3832" spans="1:4" x14ac:dyDescent="0.25">
      <c r="A3832" s="24" t="s">
        <v>103</v>
      </c>
      <c r="B3832" s="24" t="s">
        <v>150</v>
      </c>
      <c r="C3832" s="32">
        <v>24.713000000000001</v>
      </c>
      <c r="D3832" s="28">
        <v>2.361111111111111E-2</v>
      </c>
    </row>
    <row r="3833" spans="1:4" x14ac:dyDescent="0.25">
      <c r="A3833" s="24" t="s">
        <v>103</v>
      </c>
      <c r="B3833" s="24" t="s">
        <v>151</v>
      </c>
      <c r="C3833" s="32">
        <v>23.971</v>
      </c>
      <c r="D3833" s="28">
        <v>2.2916666666666669E-2</v>
      </c>
    </row>
    <row r="3834" spans="1:4" x14ac:dyDescent="0.25">
      <c r="A3834" s="24" t="s">
        <v>103</v>
      </c>
      <c r="B3834" s="24" t="s">
        <v>152</v>
      </c>
      <c r="C3834" s="32">
        <v>26.123999999999999</v>
      </c>
      <c r="D3834" s="28">
        <v>2.4305555555555556E-2</v>
      </c>
    </row>
    <row r="3835" spans="1:4" x14ac:dyDescent="0.25">
      <c r="A3835" s="24" t="s">
        <v>103</v>
      </c>
      <c r="B3835" s="24" t="s">
        <v>153</v>
      </c>
      <c r="C3835" s="32">
        <v>30.651</v>
      </c>
      <c r="D3835" s="28">
        <v>3.125E-2</v>
      </c>
    </row>
    <row r="3836" spans="1:4" x14ac:dyDescent="0.25">
      <c r="A3836" s="24" t="s">
        <v>103</v>
      </c>
      <c r="B3836" s="24" t="s">
        <v>154</v>
      </c>
      <c r="C3836" s="32">
        <v>25.46</v>
      </c>
      <c r="D3836" s="28">
        <v>2.4999999999999998E-2</v>
      </c>
    </row>
    <row r="3837" spans="1:4" x14ac:dyDescent="0.25">
      <c r="A3837" s="24" t="s">
        <v>103</v>
      </c>
      <c r="B3837" s="24" t="s">
        <v>155</v>
      </c>
      <c r="C3837" s="32">
        <v>24.574999999999999</v>
      </c>
      <c r="D3837" s="28">
        <v>2.361111111111111E-2</v>
      </c>
    </row>
    <row r="3838" spans="1:4" x14ac:dyDescent="0.25">
      <c r="A3838" s="24" t="s">
        <v>103</v>
      </c>
      <c r="B3838" s="24" t="s">
        <v>156</v>
      </c>
      <c r="C3838" s="32">
        <v>24.559000000000001</v>
      </c>
      <c r="D3838" s="28">
        <v>2.361111111111111E-2</v>
      </c>
    </row>
    <row r="3839" spans="1:4" x14ac:dyDescent="0.25">
      <c r="A3839" s="24" t="s">
        <v>103</v>
      </c>
      <c r="B3839" s="24" t="s">
        <v>157</v>
      </c>
      <c r="C3839" s="32">
        <v>25.85</v>
      </c>
      <c r="D3839" s="28">
        <v>2.361111111111111E-2</v>
      </c>
    </row>
    <row r="3840" spans="1:4" x14ac:dyDescent="0.25">
      <c r="A3840" s="24" t="s">
        <v>103</v>
      </c>
      <c r="B3840" s="24" t="s">
        <v>158</v>
      </c>
      <c r="C3840" s="32">
        <v>36.603999999999999</v>
      </c>
      <c r="D3840" s="28">
        <v>3.125E-2</v>
      </c>
    </row>
    <row r="3841" spans="1:4" x14ac:dyDescent="0.25">
      <c r="A3841" s="24" t="s">
        <v>103</v>
      </c>
      <c r="B3841" s="24" t="s">
        <v>159</v>
      </c>
      <c r="C3841" s="32">
        <v>39.966000000000001</v>
      </c>
      <c r="D3841" s="28">
        <v>3.5416666666666666E-2</v>
      </c>
    </row>
    <row r="3842" spans="1:4" x14ac:dyDescent="0.25">
      <c r="A3842" s="24" t="s">
        <v>104</v>
      </c>
      <c r="B3842" s="24" t="s">
        <v>65</v>
      </c>
      <c r="C3842" s="32">
        <v>9.0359999999999996</v>
      </c>
      <c r="D3842" s="28">
        <v>6.9444444444444441E-3</v>
      </c>
    </row>
    <row r="3843" spans="1:4" x14ac:dyDescent="0.25">
      <c r="A3843" s="24" t="s">
        <v>104</v>
      </c>
      <c r="B3843" s="24" t="s">
        <v>64</v>
      </c>
      <c r="C3843" s="32">
        <v>12.961</v>
      </c>
      <c r="D3843" s="28">
        <v>1.1111111111111112E-2</v>
      </c>
    </row>
    <row r="3844" spans="1:4" x14ac:dyDescent="0.25">
      <c r="A3844" s="24" t="s">
        <v>104</v>
      </c>
      <c r="B3844" s="24" t="s">
        <v>66</v>
      </c>
      <c r="C3844" s="32">
        <v>19.972999999999999</v>
      </c>
      <c r="D3844" s="28">
        <v>1.8749999999999999E-2</v>
      </c>
    </row>
    <row r="3845" spans="1:4" x14ac:dyDescent="0.25">
      <c r="A3845" s="24" t="s">
        <v>104</v>
      </c>
      <c r="B3845" s="24" t="s">
        <v>67</v>
      </c>
      <c r="C3845" s="32">
        <v>16.552</v>
      </c>
      <c r="D3845" s="28">
        <v>1.8055555555555557E-2</v>
      </c>
    </row>
    <row r="3846" spans="1:4" x14ac:dyDescent="0.25">
      <c r="A3846" s="24" t="s">
        <v>104</v>
      </c>
      <c r="B3846" s="24" t="s">
        <v>68</v>
      </c>
      <c r="C3846" s="32">
        <v>16.666</v>
      </c>
      <c r="D3846" s="28">
        <v>1.9444444444444445E-2</v>
      </c>
    </row>
    <row r="3847" spans="1:4" x14ac:dyDescent="0.25">
      <c r="A3847" s="24" t="s">
        <v>104</v>
      </c>
      <c r="B3847" s="24" t="s">
        <v>69</v>
      </c>
      <c r="C3847" s="32">
        <v>17.864999999999998</v>
      </c>
      <c r="D3847" s="28">
        <v>1.7361111111111112E-2</v>
      </c>
    </row>
    <row r="3848" spans="1:4" x14ac:dyDescent="0.25">
      <c r="A3848" s="24" t="s">
        <v>104</v>
      </c>
      <c r="B3848" s="24" t="s">
        <v>70</v>
      </c>
      <c r="C3848" s="32">
        <v>18.248999999999999</v>
      </c>
      <c r="D3848" s="28">
        <v>1.8055555555555557E-2</v>
      </c>
    </row>
    <row r="3849" spans="1:4" x14ac:dyDescent="0.25">
      <c r="A3849" s="24" t="s">
        <v>104</v>
      </c>
      <c r="B3849" s="24" t="s">
        <v>71</v>
      </c>
      <c r="C3849" s="32">
        <v>18.442</v>
      </c>
      <c r="D3849" s="28">
        <v>1.8055555555555557E-2</v>
      </c>
    </row>
    <row r="3850" spans="1:4" x14ac:dyDescent="0.25">
      <c r="A3850" s="24" t="s">
        <v>104</v>
      </c>
      <c r="B3850" s="24" t="s">
        <v>72</v>
      </c>
      <c r="C3850" s="32">
        <v>17.785</v>
      </c>
      <c r="D3850" s="28">
        <v>2.0833333333333332E-2</v>
      </c>
    </row>
    <row r="3851" spans="1:4" x14ac:dyDescent="0.25">
      <c r="A3851" s="24" t="s">
        <v>104</v>
      </c>
      <c r="B3851" s="24" t="s">
        <v>73</v>
      </c>
      <c r="C3851" s="32">
        <v>16.312999999999999</v>
      </c>
      <c r="D3851" s="28">
        <v>1.8055555555555557E-2</v>
      </c>
    </row>
    <row r="3852" spans="1:4" x14ac:dyDescent="0.25">
      <c r="A3852" s="24" t="s">
        <v>104</v>
      </c>
      <c r="B3852" s="24" t="s">
        <v>74</v>
      </c>
      <c r="C3852" s="32">
        <v>20.116</v>
      </c>
      <c r="D3852" s="28">
        <v>2.0833333333333332E-2</v>
      </c>
    </row>
    <row r="3853" spans="1:4" x14ac:dyDescent="0.25">
      <c r="A3853" s="24" t="s">
        <v>104</v>
      </c>
      <c r="B3853" s="24" t="s">
        <v>75</v>
      </c>
      <c r="C3853" s="32">
        <v>19.152000000000001</v>
      </c>
      <c r="D3853" s="28">
        <v>1.8749999999999999E-2</v>
      </c>
    </row>
    <row r="3854" spans="1:4" x14ac:dyDescent="0.25">
      <c r="A3854" s="24" t="s">
        <v>104</v>
      </c>
      <c r="B3854" s="24" t="s">
        <v>76</v>
      </c>
      <c r="C3854" s="32">
        <v>22.212</v>
      </c>
      <c r="D3854" s="28">
        <v>2.4305555555555556E-2</v>
      </c>
    </row>
    <row r="3855" spans="1:4" x14ac:dyDescent="0.25">
      <c r="A3855" s="24" t="s">
        <v>104</v>
      </c>
      <c r="B3855" s="24" t="s">
        <v>77</v>
      </c>
      <c r="C3855" s="32">
        <v>26.728999999999999</v>
      </c>
      <c r="D3855" s="28">
        <v>2.5694444444444447E-2</v>
      </c>
    </row>
    <row r="3856" spans="1:4" x14ac:dyDescent="0.25">
      <c r="A3856" s="24" t="s">
        <v>104</v>
      </c>
      <c r="B3856" s="24" t="s">
        <v>78</v>
      </c>
      <c r="C3856" s="32">
        <v>22.305</v>
      </c>
      <c r="D3856" s="28">
        <v>2.0833333333333332E-2</v>
      </c>
    </row>
    <row r="3857" spans="1:4" x14ac:dyDescent="0.25">
      <c r="A3857" s="24" t="s">
        <v>104</v>
      </c>
      <c r="B3857" s="24" t="s">
        <v>79</v>
      </c>
      <c r="C3857" s="32">
        <v>40.804000000000002</v>
      </c>
      <c r="D3857" s="28">
        <v>3.7499999999999999E-2</v>
      </c>
    </row>
    <row r="3858" spans="1:4" x14ac:dyDescent="0.25">
      <c r="A3858" s="24" t="s">
        <v>104</v>
      </c>
      <c r="B3858" s="24" t="s">
        <v>80</v>
      </c>
      <c r="C3858" s="32">
        <v>9.9169999999999998</v>
      </c>
      <c r="D3858" s="28">
        <v>9.0277777777777787E-3</v>
      </c>
    </row>
    <row r="3859" spans="1:4" x14ac:dyDescent="0.25">
      <c r="A3859" s="24" t="s">
        <v>104</v>
      </c>
      <c r="B3859" s="24" t="s">
        <v>81</v>
      </c>
      <c r="C3859" s="32">
        <v>16.782</v>
      </c>
      <c r="D3859" s="28">
        <v>1.1805555555555555E-2</v>
      </c>
    </row>
    <row r="3860" spans="1:4" x14ac:dyDescent="0.25">
      <c r="A3860" s="24" t="s">
        <v>104</v>
      </c>
      <c r="B3860" s="24" t="s">
        <v>82</v>
      </c>
      <c r="C3860" s="32">
        <v>16.834</v>
      </c>
      <c r="D3860" s="28">
        <v>1.1805555555555555E-2</v>
      </c>
    </row>
    <row r="3861" spans="1:4" x14ac:dyDescent="0.25">
      <c r="A3861" s="24" t="s">
        <v>104</v>
      </c>
      <c r="B3861" s="24" t="s">
        <v>83</v>
      </c>
      <c r="C3861" s="32">
        <v>10.739000000000001</v>
      </c>
      <c r="D3861" s="28">
        <v>1.0416666666666666E-2</v>
      </c>
    </row>
    <row r="3862" spans="1:4" x14ac:dyDescent="0.25">
      <c r="A3862" s="24" t="s">
        <v>104</v>
      </c>
      <c r="B3862" s="24" t="s">
        <v>84</v>
      </c>
      <c r="C3862" s="32">
        <v>17.321000000000002</v>
      </c>
      <c r="D3862" s="28">
        <v>1.6666666666666666E-2</v>
      </c>
    </row>
    <row r="3863" spans="1:4" x14ac:dyDescent="0.25">
      <c r="A3863" s="24" t="s">
        <v>104</v>
      </c>
      <c r="B3863" s="24" t="s">
        <v>85</v>
      </c>
      <c r="C3863" s="32">
        <v>17.338000000000001</v>
      </c>
      <c r="D3863" s="28">
        <v>1.5972222222222224E-2</v>
      </c>
    </row>
    <row r="3864" spans="1:4" x14ac:dyDescent="0.25">
      <c r="A3864" s="24" t="s">
        <v>104</v>
      </c>
      <c r="B3864" s="24" t="s">
        <v>86</v>
      </c>
      <c r="C3864" s="32">
        <v>14.964</v>
      </c>
      <c r="D3864" s="28">
        <v>1.3194444444444444E-2</v>
      </c>
    </row>
    <row r="3865" spans="1:4" x14ac:dyDescent="0.25">
      <c r="A3865" s="24" t="s">
        <v>104</v>
      </c>
      <c r="B3865" s="24" t="s">
        <v>87</v>
      </c>
      <c r="C3865" s="32">
        <v>13.327999999999999</v>
      </c>
      <c r="D3865" s="28">
        <v>1.2499999999999999E-2</v>
      </c>
    </row>
    <row r="3866" spans="1:4" x14ac:dyDescent="0.25">
      <c r="A3866" s="24" t="s">
        <v>104</v>
      </c>
      <c r="B3866" s="24" t="s">
        <v>88</v>
      </c>
      <c r="C3866" s="32">
        <v>12.481</v>
      </c>
      <c r="D3866" s="28">
        <v>1.2499999999999999E-2</v>
      </c>
    </row>
    <row r="3867" spans="1:4" x14ac:dyDescent="0.25">
      <c r="A3867" s="24" t="s">
        <v>104</v>
      </c>
      <c r="B3867" s="24" t="s">
        <v>89</v>
      </c>
      <c r="C3867" s="32">
        <v>7.7489999999999997</v>
      </c>
      <c r="D3867" s="28">
        <v>8.3333333333333332E-3</v>
      </c>
    </row>
    <row r="3868" spans="1:4" x14ac:dyDescent="0.25">
      <c r="A3868" s="24" t="s">
        <v>104</v>
      </c>
      <c r="B3868" s="24" t="s">
        <v>90</v>
      </c>
      <c r="C3868" s="32">
        <v>5.9029999999999996</v>
      </c>
      <c r="D3868" s="28">
        <v>5.5555555555555558E-3</v>
      </c>
    </row>
    <row r="3869" spans="1:4" x14ac:dyDescent="0.25">
      <c r="A3869" s="24" t="s">
        <v>104</v>
      </c>
      <c r="B3869" s="24" t="s">
        <v>91</v>
      </c>
      <c r="C3869" s="32">
        <v>10.193</v>
      </c>
      <c r="D3869" s="28">
        <v>1.1111111111111112E-2</v>
      </c>
    </row>
    <row r="3870" spans="1:4" x14ac:dyDescent="0.25">
      <c r="A3870" s="24" t="s">
        <v>104</v>
      </c>
      <c r="B3870" s="24" t="s">
        <v>92</v>
      </c>
      <c r="C3870" s="32">
        <v>10.336</v>
      </c>
      <c r="D3870" s="28">
        <v>8.3333333333333332E-3</v>
      </c>
    </row>
    <row r="3871" spans="1:4" x14ac:dyDescent="0.25">
      <c r="A3871" s="24" t="s">
        <v>104</v>
      </c>
      <c r="B3871" s="24" t="s">
        <v>93</v>
      </c>
      <c r="C3871" s="32">
        <v>34.058</v>
      </c>
      <c r="D3871" s="28">
        <v>2.1527777777777781E-2</v>
      </c>
    </row>
    <row r="3872" spans="1:4" x14ac:dyDescent="0.25">
      <c r="A3872" s="24" t="s">
        <v>104</v>
      </c>
      <c r="B3872" s="24" t="s">
        <v>94</v>
      </c>
      <c r="C3872" s="32">
        <v>34.686999999999998</v>
      </c>
      <c r="D3872" s="28">
        <v>2.2222222222222223E-2</v>
      </c>
    </row>
    <row r="3873" spans="1:4" x14ac:dyDescent="0.25">
      <c r="A3873" s="24" t="s">
        <v>104</v>
      </c>
      <c r="B3873" s="24" t="s">
        <v>95</v>
      </c>
      <c r="C3873" s="32">
        <v>14.775</v>
      </c>
      <c r="D3873" s="28">
        <v>1.2499999999999999E-2</v>
      </c>
    </row>
    <row r="3874" spans="1:4" x14ac:dyDescent="0.25">
      <c r="A3874" s="24" t="s">
        <v>104</v>
      </c>
      <c r="B3874" s="24" t="s">
        <v>96</v>
      </c>
      <c r="C3874" s="32">
        <v>17.175000000000001</v>
      </c>
      <c r="D3874" s="28">
        <v>1.4583333333333332E-2</v>
      </c>
    </row>
    <row r="3875" spans="1:4" x14ac:dyDescent="0.25">
      <c r="A3875" s="24" t="s">
        <v>104</v>
      </c>
      <c r="B3875" s="24" t="s">
        <v>97</v>
      </c>
      <c r="C3875" s="32">
        <v>21.541</v>
      </c>
      <c r="D3875" s="28">
        <v>1.9444444444444445E-2</v>
      </c>
    </row>
    <row r="3876" spans="1:4" x14ac:dyDescent="0.25">
      <c r="A3876" s="24" t="s">
        <v>104</v>
      </c>
      <c r="B3876" s="24" t="s">
        <v>98</v>
      </c>
      <c r="C3876" s="32">
        <v>13.481</v>
      </c>
      <c r="D3876" s="28">
        <v>1.2499999999999999E-2</v>
      </c>
    </row>
    <row r="3877" spans="1:4" x14ac:dyDescent="0.25">
      <c r="A3877" s="24" t="s">
        <v>104</v>
      </c>
      <c r="B3877" s="24" t="s">
        <v>99</v>
      </c>
      <c r="C3877" s="32">
        <v>17.901</v>
      </c>
      <c r="D3877" s="28">
        <v>1.5277777777777777E-2</v>
      </c>
    </row>
    <row r="3878" spans="1:4" x14ac:dyDescent="0.25">
      <c r="A3878" s="24" t="s">
        <v>104</v>
      </c>
      <c r="B3878" s="24" t="s">
        <v>100</v>
      </c>
      <c r="C3878" s="32">
        <v>10.895</v>
      </c>
      <c r="D3878" s="28">
        <v>9.0277777777777787E-3</v>
      </c>
    </row>
    <row r="3879" spans="1:4" x14ac:dyDescent="0.25">
      <c r="A3879" s="24" t="s">
        <v>104</v>
      </c>
      <c r="B3879" s="24" t="s">
        <v>101</v>
      </c>
      <c r="C3879" s="32">
        <v>12.532</v>
      </c>
      <c r="D3879" s="28">
        <v>1.1805555555555555E-2</v>
      </c>
    </row>
    <row r="3880" spans="1:4" x14ac:dyDescent="0.25">
      <c r="A3880" s="24" t="s">
        <v>104</v>
      </c>
      <c r="B3880" s="24" t="s">
        <v>102</v>
      </c>
      <c r="C3880" s="32">
        <v>11.959</v>
      </c>
      <c r="D3880" s="28">
        <v>1.1805555555555555E-2</v>
      </c>
    </row>
    <row r="3881" spans="1:4" x14ac:dyDescent="0.25">
      <c r="A3881" s="24" t="s">
        <v>104</v>
      </c>
      <c r="B3881" s="24" t="s">
        <v>103</v>
      </c>
      <c r="C3881" s="32">
        <v>4.0960000000000001</v>
      </c>
      <c r="D3881" s="28">
        <v>4.1666666666666666E-3</v>
      </c>
    </row>
    <row r="3882" spans="1:4" x14ac:dyDescent="0.25">
      <c r="A3882" s="24" t="s">
        <v>104</v>
      </c>
      <c r="B3882" s="24" t="s">
        <v>104</v>
      </c>
      <c r="C3882" s="32">
        <v>0</v>
      </c>
      <c r="D3882" s="28">
        <v>0</v>
      </c>
    </row>
    <row r="3883" spans="1:4" x14ac:dyDescent="0.25">
      <c r="A3883" s="24" t="s">
        <v>104</v>
      </c>
      <c r="B3883" s="24" t="s">
        <v>105</v>
      </c>
      <c r="C3883" s="32">
        <v>7.3940000000000001</v>
      </c>
      <c r="D3883" s="28">
        <v>9.7222222222222224E-3</v>
      </c>
    </row>
    <row r="3884" spans="1:4" x14ac:dyDescent="0.25">
      <c r="A3884" s="24" t="s">
        <v>104</v>
      </c>
      <c r="B3884" s="24" t="s">
        <v>106</v>
      </c>
      <c r="C3884" s="32">
        <v>5.7839999999999998</v>
      </c>
      <c r="D3884" s="28">
        <v>5.5555555555555558E-3</v>
      </c>
    </row>
    <row r="3885" spans="1:4" x14ac:dyDescent="0.25">
      <c r="A3885" s="24" t="s">
        <v>104</v>
      </c>
      <c r="B3885" s="24" t="s">
        <v>107</v>
      </c>
      <c r="C3885" s="32">
        <v>15.446999999999999</v>
      </c>
      <c r="D3885" s="28">
        <v>1.4583333333333332E-2</v>
      </c>
    </row>
    <row r="3886" spans="1:4" x14ac:dyDescent="0.25">
      <c r="A3886" s="24" t="s">
        <v>104</v>
      </c>
      <c r="B3886" s="24" t="s">
        <v>108</v>
      </c>
      <c r="C3886" s="32">
        <v>16.044</v>
      </c>
      <c r="D3886" s="28">
        <v>1.3194444444444444E-2</v>
      </c>
    </row>
    <row r="3887" spans="1:4" x14ac:dyDescent="0.25">
      <c r="A3887" s="24" t="s">
        <v>104</v>
      </c>
      <c r="B3887" s="24" t="s">
        <v>109</v>
      </c>
      <c r="C3887" s="32">
        <v>16.013999999999999</v>
      </c>
      <c r="D3887" s="28">
        <v>1.3194444444444444E-2</v>
      </c>
    </row>
    <row r="3888" spans="1:4" x14ac:dyDescent="0.25">
      <c r="A3888" s="24" t="s">
        <v>104</v>
      </c>
      <c r="B3888" s="24" t="s">
        <v>110</v>
      </c>
      <c r="C3888" s="32">
        <v>8.3350000000000009</v>
      </c>
      <c r="D3888" s="28">
        <v>8.3333333333333332E-3</v>
      </c>
    </row>
    <row r="3889" spans="1:4" x14ac:dyDescent="0.25">
      <c r="A3889" s="24" t="s">
        <v>104</v>
      </c>
      <c r="B3889" s="24" t="s">
        <v>111</v>
      </c>
      <c r="C3889" s="32">
        <v>5.8479999999999999</v>
      </c>
      <c r="D3889" s="28">
        <v>4.8611111111111112E-3</v>
      </c>
    </row>
    <row r="3890" spans="1:4" x14ac:dyDescent="0.25">
      <c r="A3890" s="24" t="s">
        <v>104</v>
      </c>
      <c r="B3890" s="24" t="s">
        <v>112</v>
      </c>
      <c r="C3890" s="32">
        <v>15.121</v>
      </c>
      <c r="D3890" s="28">
        <v>1.2499999999999999E-2</v>
      </c>
    </row>
    <row r="3891" spans="1:4" x14ac:dyDescent="0.25">
      <c r="A3891" s="24" t="s">
        <v>104</v>
      </c>
      <c r="B3891" s="24" t="s">
        <v>113</v>
      </c>
      <c r="C3891" s="32">
        <v>18.745000000000001</v>
      </c>
      <c r="D3891" s="28">
        <v>1.5277777777777777E-2</v>
      </c>
    </row>
    <row r="3892" spans="1:4" x14ac:dyDescent="0.25">
      <c r="A3892" s="24" t="s">
        <v>104</v>
      </c>
      <c r="B3892" s="24" t="s">
        <v>114</v>
      </c>
      <c r="C3892" s="32">
        <v>9.7439999999999998</v>
      </c>
      <c r="D3892" s="28">
        <v>8.3333333333333332E-3</v>
      </c>
    </row>
    <row r="3893" spans="1:4" x14ac:dyDescent="0.25">
      <c r="A3893" s="24" t="s">
        <v>104</v>
      </c>
      <c r="B3893" s="24" t="s">
        <v>115</v>
      </c>
      <c r="C3893" s="32">
        <v>9.1959999999999997</v>
      </c>
      <c r="D3893" s="28">
        <v>8.3333333333333332E-3</v>
      </c>
    </row>
    <row r="3894" spans="1:4" x14ac:dyDescent="0.25">
      <c r="A3894" s="24" t="s">
        <v>104</v>
      </c>
      <c r="B3894" s="24" t="s">
        <v>116</v>
      </c>
      <c r="C3894" s="32">
        <v>9.4179999999999993</v>
      </c>
      <c r="D3894" s="28">
        <v>8.3333333333333332E-3</v>
      </c>
    </row>
    <row r="3895" spans="1:4" x14ac:dyDescent="0.25">
      <c r="A3895" s="24" t="s">
        <v>104</v>
      </c>
      <c r="B3895" s="24" t="s">
        <v>117</v>
      </c>
      <c r="C3895" s="32">
        <v>14.279</v>
      </c>
      <c r="D3895" s="28">
        <v>1.3888888888888888E-2</v>
      </c>
    </row>
    <row r="3896" spans="1:4" x14ac:dyDescent="0.25">
      <c r="A3896" s="24" t="s">
        <v>104</v>
      </c>
      <c r="B3896" s="24" t="s">
        <v>118</v>
      </c>
      <c r="C3896" s="32">
        <v>13.887</v>
      </c>
      <c r="D3896" s="28">
        <v>1.1111111111111112E-2</v>
      </c>
    </row>
    <row r="3897" spans="1:4" x14ac:dyDescent="0.25">
      <c r="A3897" s="24" t="s">
        <v>104</v>
      </c>
      <c r="B3897" s="24" t="s">
        <v>119</v>
      </c>
      <c r="C3897" s="32">
        <v>27.972000000000001</v>
      </c>
      <c r="D3897" s="28">
        <v>1.8749999999999999E-2</v>
      </c>
    </row>
    <row r="3898" spans="1:4" x14ac:dyDescent="0.25">
      <c r="A3898" s="24" t="s">
        <v>104</v>
      </c>
      <c r="B3898" s="24" t="s">
        <v>120</v>
      </c>
      <c r="C3898" s="32">
        <v>30.762</v>
      </c>
      <c r="D3898" s="28">
        <v>2.2222222222222223E-2</v>
      </c>
    </row>
    <row r="3899" spans="1:4" x14ac:dyDescent="0.25">
      <c r="A3899" s="24" t="s">
        <v>104</v>
      </c>
      <c r="B3899" s="24" t="s">
        <v>121</v>
      </c>
      <c r="C3899" s="32">
        <v>45.113</v>
      </c>
      <c r="D3899" s="28">
        <v>2.9166666666666664E-2</v>
      </c>
    </row>
    <row r="3900" spans="1:4" x14ac:dyDescent="0.25">
      <c r="A3900" s="24" t="s">
        <v>104</v>
      </c>
      <c r="B3900" s="24" t="s">
        <v>122</v>
      </c>
      <c r="C3900" s="32">
        <v>32.929000000000002</v>
      </c>
      <c r="D3900" s="28">
        <v>2.0833333333333332E-2</v>
      </c>
    </row>
    <row r="3901" spans="1:4" x14ac:dyDescent="0.25">
      <c r="A3901" s="24" t="s">
        <v>104</v>
      </c>
      <c r="B3901" s="24" t="s">
        <v>123</v>
      </c>
      <c r="C3901" s="32">
        <v>38.698</v>
      </c>
      <c r="D3901" s="28">
        <v>2.4999999999999998E-2</v>
      </c>
    </row>
    <row r="3902" spans="1:4" x14ac:dyDescent="0.25">
      <c r="A3902" s="24" t="s">
        <v>104</v>
      </c>
      <c r="B3902" s="24" t="s">
        <v>124</v>
      </c>
      <c r="C3902" s="32">
        <v>38.698</v>
      </c>
      <c r="D3902" s="28">
        <v>2.4999999999999998E-2</v>
      </c>
    </row>
    <row r="3903" spans="1:4" x14ac:dyDescent="0.25">
      <c r="A3903" s="24" t="s">
        <v>104</v>
      </c>
      <c r="B3903" s="24" t="s">
        <v>125</v>
      </c>
      <c r="C3903" s="32">
        <v>14.292999999999999</v>
      </c>
      <c r="D3903" s="28">
        <v>1.1805555555555555E-2</v>
      </c>
    </row>
    <row r="3904" spans="1:4" x14ac:dyDescent="0.25">
      <c r="A3904" s="24" t="s">
        <v>104</v>
      </c>
      <c r="B3904" s="24" t="s">
        <v>126</v>
      </c>
      <c r="C3904" s="32">
        <v>14.031000000000001</v>
      </c>
      <c r="D3904" s="28">
        <v>1.1111111111111112E-2</v>
      </c>
    </row>
    <row r="3905" spans="1:4" x14ac:dyDescent="0.25">
      <c r="A3905" s="24" t="s">
        <v>104</v>
      </c>
      <c r="B3905" s="24" t="s">
        <v>127</v>
      </c>
      <c r="C3905" s="32">
        <v>12.395</v>
      </c>
      <c r="D3905" s="28">
        <v>1.0416666666666666E-2</v>
      </c>
    </row>
    <row r="3906" spans="1:4" x14ac:dyDescent="0.25">
      <c r="A3906" s="24" t="s">
        <v>104</v>
      </c>
      <c r="B3906" s="24" t="s">
        <v>128</v>
      </c>
      <c r="C3906" s="32">
        <v>13.103999999999999</v>
      </c>
      <c r="D3906" s="28">
        <v>9.7222222222222224E-3</v>
      </c>
    </row>
    <row r="3907" spans="1:4" x14ac:dyDescent="0.25">
      <c r="A3907" s="24" t="s">
        <v>104</v>
      </c>
      <c r="B3907" s="24" t="s">
        <v>129</v>
      </c>
      <c r="C3907" s="32">
        <v>13.103999999999999</v>
      </c>
      <c r="D3907" s="28">
        <v>9.7222222222222224E-3</v>
      </c>
    </row>
    <row r="3908" spans="1:4" x14ac:dyDescent="0.25">
      <c r="A3908" s="24" t="s">
        <v>104</v>
      </c>
      <c r="B3908" s="24" t="s">
        <v>130</v>
      </c>
      <c r="C3908" s="32">
        <v>12.483000000000001</v>
      </c>
      <c r="D3908" s="28">
        <v>1.1805555555555555E-2</v>
      </c>
    </row>
    <row r="3909" spans="1:4" x14ac:dyDescent="0.25">
      <c r="A3909" s="24" t="s">
        <v>104</v>
      </c>
      <c r="B3909" s="24" t="s">
        <v>131</v>
      </c>
      <c r="C3909" s="32">
        <v>11.387</v>
      </c>
      <c r="D3909" s="28">
        <v>1.1111111111111112E-2</v>
      </c>
    </row>
    <row r="3910" spans="1:4" x14ac:dyDescent="0.25">
      <c r="A3910" s="24" t="s">
        <v>104</v>
      </c>
      <c r="B3910" s="24" t="s">
        <v>132</v>
      </c>
      <c r="C3910" s="32">
        <v>19.401</v>
      </c>
      <c r="D3910" s="28">
        <v>1.5972222222222224E-2</v>
      </c>
    </row>
    <row r="3911" spans="1:4" x14ac:dyDescent="0.25">
      <c r="A3911" s="24" t="s">
        <v>104</v>
      </c>
      <c r="B3911" s="24" t="s">
        <v>133</v>
      </c>
      <c r="C3911" s="32">
        <v>16.518000000000001</v>
      </c>
      <c r="D3911" s="28">
        <v>1.8055555555555557E-2</v>
      </c>
    </row>
    <row r="3912" spans="1:4" x14ac:dyDescent="0.25">
      <c r="A3912" s="24" t="s">
        <v>104</v>
      </c>
      <c r="B3912" s="24" t="s">
        <v>134</v>
      </c>
      <c r="C3912" s="32">
        <v>16.052</v>
      </c>
      <c r="D3912" s="28">
        <v>1.7361111111111112E-2</v>
      </c>
    </row>
    <row r="3913" spans="1:4" x14ac:dyDescent="0.25">
      <c r="A3913" s="24" t="s">
        <v>104</v>
      </c>
      <c r="B3913" s="24" t="s">
        <v>135</v>
      </c>
      <c r="C3913" s="32">
        <v>17.382999999999999</v>
      </c>
      <c r="D3913" s="28">
        <v>1.8749999999999999E-2</v>
      </c>
    </row>
    <row r="3914" spans="1:4" x14ac:dyDescent="0.25">
      <c r="A3914" s="24" t="s">
        <v>104</v>
      </c>
      <c r="B3914" s="24" t="s">
        <v>136</v>
      </c>
      <c r="C3914" s="32">
        <v>17.382999999999999</v>
      </c>
      <c r="D3914" s="28">
        <v>1.8749999999999999E-2</v>
      </c>
    </row>
    <row r="3915" spans="1:4" x14ac:dyDescent="0.25">
      <c r="A3915" s="24" t="s">
        <v>104</v>
      </c>
      <c r="B3915" s="24" t="s">
        <v>137</v>
      </c>
      <c r="C3915" s="32">
        <v>17.596</v>
      </c>
      <c r="D3915" s="28">
        <v>1.8749999999999999E-2</v>
      </c>
    </row>
    <row r="3916" spans="1:4" x14ac:dyDescent="0.25">
      <c r="A3916" s="24" t="s">
        <v>104</v>
      </c>
      <c r="B3916" s="24" t="s">
        <v>138</v>
      </c>
      <c r="C3916" s="32">
        <v>23.492000000000001</v>
      </c>
      <c r="D3916" s="28">
        <v>2.013888888888889E-2</v>
      </c>
    </row>
    <row r="3917" spans="1:4" x14ac:dyDescent="0.25">
      <c r="A3917" s="24" t="s">
        <v>104</v>
      </c>
      <c r="B3917" s="24" t="s">
        <v>139</v>
      </c>
      <c r="C3917" s="32">
        <v>34.96</v>
      </c>
      <c r="D3917" s="28">
        <v>2.2222222222222223E-2</v>
      </c>
    </row>
    <row r="3918" spans="1:4" x14ac:dyDescent="0.25">
      <c r="A3918" s="24" t="s">
        <v>104</v>
      </c>
      <c r="B3918" s="24" t="s">
        <v>140</v>
      </c>
      <c r="C3918" s="32">
        <v>35.271999999999998</v>
      </c>
      <c r="D3918" s="28">
        <v>2.4305555555555556E-2</v>
      </c>
    </row>
    <row r="3919" spans="1:4" x14ac:dyDescent="0.25">
      <c r="A3919" s="24" t="s">
        <v>104</v>
      </c>
      <c r="B3919" s="24" t="s">
        <v>141</v>
      </c>
      <c r="C3919" s="32">
        <v>59.670999999999999</v>
      </c>
      <c r="D3919" s="28">
        <v>4.1666666666666664E-2</v>
      </c>
    </row>
    <row r="3920" spans="1:4" x14ac:dyDescent="0.25">
      <c r="A3920" s="24" t="s">
        <v>104</v>
      </c>
      <c r="B3920" s="24" t="s">
        <v>142</v>
      </c>
      <c r="C3920" s="32">
        <v>57.759</v>
      </c>
      <c r="D3920" s="28">
        <v>3.4027777777777775E-2</v>
      </c>
    </row>
    <row r="3921" spans="1:4" x14ac:dyDescent="0.25">
      <c r="A3921" s="24" t="s">
        <v>104</v>
      </c>
      <c r="B3921" s="24" t="s">
        <v>143</v>
      </c>
      <c r="C3921" s="32">
        <v>76.137</v>
      </c>
      <c r="D3921" s="28">
        <v>4.0972222222222222E-2</v>
      </c>
    </row>
    <row r="3922" spans="1:4" x14ac:dyDescent="0.25">
      <c r="A3922" s="24" t="s">
        <v>104</v>
      </c>
      <c r="B3922" s="24" t="s">
        <v>144</v>
      </c>
      <c r="C3922" s="32">
        <v>95.253</v>
      </c>
      <c r="D3922" s="28">
        <v>5.2083333333333336E-2</v>
      </c>
    </row>
    <row r="3923" spans="1:4" x14ac:dyDescent="0.25">
      <c r="A3923" s="24" t="s">
        <v>104</v>
      </c>
      <c r="B3923" s="24" t="s">
        <v>145</v>
      </c>
      <c r="C3923" s="32">
        <v>39.767000000000003</v>
      </c>
      <c r="D3923" s="28">
        <v>2.6388888888888889E-2</v>
      </c>
    </row>
    <row r="3924" spans="1:4" x14ac:dyDescent="0.25">
      <c r="A3924" s="24" t="s">
        <v>104</v>
      </c>
      <c r="B3924" s="24" t="s">
        <v>146</v>
      </c>
      <c r="C3924" s="32">
        <v>55.225999999999999</v>
      </c>
      <c r="D3924" s="28">
        <v>3.4722222222222224E-2</v>
      </c>
    </row>
    <row r="3925" spans="1:4" x14ac:dyDescent="0.25">
      <c r="A3925" s="24" t="s">
        <v>104</v>
      </c>
      <c r="B3925" s="24" t="s">
        <v>147</v>
      </c>
      <c r="C3925" s="32">
        <v>5.9370000000000003</v>
      </c>
      <c r="D3925" s="28">
        <v>4.8611111111111112E-3</v>
      </c>
    </row>
    <row r="3926" spans="1:4" x14ac:dyDescent="0.25">
      <c r="A3926" s="24" t="s">
        <v>104</v>
      </c>
      <c r="B3926" s="24" t="s">
        <v>148</v>
      </c>
      <c r="C3926" s="32">
        <v>9.0109999999999992</v>
      </c>
      <c r="D3926" s="28">
        <v>6.9444444444444441E-3</v>
      </c>
    </row>
    <row r="3927" spans="1:4" x14ac:dyDescent="0.25">
      <c r="A3927" s="24" t="s">
        <v>104</v>
      </c>
      <c r="B3927" s="24" t="s">
        <v>149</v>
      </c>
      <c r="C3927" s="32">
        <v>19.507000000000001</v>
      </c>
      <c r="D3927" s="28">
        <v>1.5972222222222224E-2</v>
      </c>
    </row>
    <row r="3928" spans="1:4" x14ac:dyDescent="0.25">
      <c r="A3928" s="24" t="s">
        <v>104</v>
      </c>
      <c r="B3928" s="24" t="s">
        <v>150</v>
      </c>
      <c r="C3928" s="32">
        <v>28.994</v>
      </c>
      <c r="D3928" s="28">
        <v>2.4999999999999998E-2</v>
      </c>
    </row>
    <row r="3929" spans="1:4" x14ac:dyDescent="0.25">
      <c r="A3929" s="24" t="s">
        <v>104</v>
      </c>
      <c r="B3929" s="24" t="s">
        <v>151</v>
      </c>
      <c r="C3929" s="32">
        <v>28.251999999999999</v>
      </c>
      <c r="D3929" s="28">
        <v>2.4999999999999998E-2</v>
      </c>
    </row>
    <row r="3930" spans="1:4" x14ac:dyDescent="0.25">
      <c r="A3930" s="24" t="s">
        <v>104</v>
      </c>
      <c r="B3930" s="24" t="s">
        <v>152</v>
      </c>
      <c r="C3930" s="32">
        <v>30.062000000000001</v>
      </c>
      <c r="D3930" s="28">
        <v>2.7777777777777776E-2</v>
      </c>
    </row>
    <row r="3931" spans="1:4" x14ac:dyDescent="0.25">
      <c r="A3931" s="24" t="s">
        <v>104</v>
      </c>
      <c r="B3931" s="24" t="s">
        <v>153</v>
      </c>
      <c r="C3931" s="32">
        <v>34.588999999999999</v>
      </c>
      <c r="D3931" s="28">
        <v>3.4722222222222224E-2</v>
      </c>
    </row>
    <row r="3932" spans="1:4" x14ac:dyDescent="0.25">
      <c r="A3932" s="24" t="s">
        <v>104</v>
      </c>
      <c r="B3932" s="24" t="s">
        <v>154</v>
      </c>
      <c r="C3932" s="32">
        <v>29.398</v>
      </c>
      <c r="D3932" s="28">
        <v>2.7777777777777776E-2</v>
      </c>
    </row>
    <row r="3933" spans="1:4" x14ac:dyDescent="0.25">
      <c r="A3933" s="24" t="s">
        <v>104</v>
      </c>
      <c r="B3933" s="24" t="s">
        <v>155</v>
      </c>
      <c r="C3933" s="32">
        <v>28.856000000000002</v>
      </c>
      <c r="D3933" s="28">
        <v>2.4999999999999998E-2</v>
      </c>
    </row>
    <row r="3934" spans="1:4" x14ac:dyDescent="0.25">
      <c r="A3934" s="24" t="s">
        <v>104</v>
      </c>
      <c r="B3934" s="24" t="s">
        <v>156</v>
      </c>
      <c r="C3934" s="32">
        <v>28.84</v>
      </c>
      <c r="D3934" s="28">
        <v>2.4999999999999998E-2</v>
      </c>
    </row>
    <row r="3935" spans="1:4" x14ac:dyDescent="0.25">
      <c r="A3935" s="24" t="s">
        <v>104</v>
      </c>
      <c r="B3935" s="24" t="s">
        <v>157</v>
      </c>
      <c r="C3935" s="32">
        <v>28.116</v>
      </c>
      <c r="D3935" s="28">
        <v>2.4305555555555556E-2</v>
      </c>
    </row>
    <row r="3936" spans="1:4" x14ac:dyDescent="0.25">
      <c r="A3936" s="24" t="s">
        <v>104</v>
      </c>
      <c r="B3936" s="24" t="s">
        <v>158</v>
      </c>
      <c r="C3936" s="32">
        <v>38.869999999999997</v>
      </c>
      <c r="D3936" s="28">
        <v>3.1944444444444449E-2</v>
      </c>
    </row>
    <row r="3937" spans="1:4" x14ac:dyDescent="0.25">
      <c r="A3937" s="24" t="s">
        <v>104</v>
      </c>
      <c r="B3937" s="24" t="s">
        <v>159</v>
      </c>
      <c r="C3937" s="32">
        <v>38.924999999999997</v>
      </c>
      <c r="D3937" s="28">
        <v>3.4027777777777775E-2</v>
      </c>
    </row>
    <row r="3938" spans="1:4" x14ac:dyDescent="0.25">
      <c r="A3938" s="24" t="s">
        <v>105</v>
      </c>
      <c r="B3938" s="24" t="s">
        <v>65</v>
      </c>
      <c r="C3938" s="32">
        <v>6.2619999999999996</v>
      </c>
      <c r="D3938" s="28">
        <v>8.3333333333333332E-3</v>
      </c>
    </row>
    <row r="3939" spans="1:4" x14ac:dyDescent="0.25">
      <c r="A3939" s="24" t="s">
        <v>105</v>
      </c>
      <c r="B3939" s="24" t="s">
        <v>64</v>
      </c>
      <c r="C3939" s="32">
        <v>11.061</v>
      </c>
      <c r="D3939" s="28">
        <v>1.5277777777777777E-2</v>
      </c>
    </row>
    <row r="3940" spans="1:4" x14ac:dyDescent="0.25">
      <c r="A3940" s="24" t="s">
        <v>105</v>
      </c>
      <c r="B3940" s="24" t="s">
        <v>66</v>
      </c>
      <c r="C3940" s="32">
        <v>17.753</v>
      </c>
      <c r="D3940" s="28">
        <v>2.2222222222222223E-2</v>
      </c>
    </row>
    <row r="3941" spans="1:4" x14ac:dyDescent="0.25">
      <c r="A3941" s="24" t="s">
        <v>105</v>
      </c>
      <c r="B3941" s="24" t="s">
        <v>67</v>
      </c>
      <c r="C3941" s="32">
        <v>14.997</v>
      </c>
      <c r="D3941" s="28">
        <v>2.2222222222222223E-2</v>
      </c>
    </row>
    <row r="3942" spans="1:4" x14ac:dyDescent="0.25">
      <c r="A3942" s="24" t="s">
        <v>105</v>
      </c>
      <c r="B3942" s="24" t="s">
        <v>68</v>
      </c>
      <c r="C3942" s="32">
        <v>15.111000000000001</v>
      </c>
      <c r="D3942" s="28">
        <v>2.2916666666666669E-2</v>
      </c>
    </row>
    <row r="3943" spans="1:4" x14ac:dyDescent="0.25">
      <c r="A3943" s="24" t="s">
        <v>105</v>
      </c>
      <c r="B3943" s="24" t="s">
        <v>69</v>
      </c>
      <c r="C3943" s="32">
        <v>14.967000000000001</v>
      </c>
      <c r="D3943" s="28">
        <v>2.2222222222222223E-2</v>
      </c>
    </row>
    <row r="3944" spans="1:4" x14ac:dyDescent="0.25">
      <c r="A3944" s="24" t="s">
        <v>105</v>
      </c>
      <c r="B3944" s="24" t="s">
        <v>70</v>
      </c>
      <c r="C3944" s="32">
        <v>15.351000000000001</v>
      </c>
      <c r="D3944" s="28">
        <v>2.2222222222222223E-2</v>
      </c>
    </row>
    <row r="3945" spans="1:4" x14ac:dyDescent="0.25">
      <c r="A3945" s="24" t="s">
        <v>105</v>
      </c>
      <c r="B3945" s="24" t="s">
        <v>71</v>
      </c>
      <c r="C3945" s="32">
        <v>14.696</v>
      </c>
      <c r="D3945" s="28">
        <v>2.2222222222222223E-2</v>
      </c>
    </row>
    <row r="3946" spans="1:4" x14ac:dyDescent="0.25">
      <c r="A3946" s="24" t="s">
        <v>105</v>
      </c>
      <c r="B3946" s="24" t="s">
        <v>72</v>
      </c>
      <c r="C3946" s="32">
        <v>15.064</v>
      </c>
      <c r="D3946" s="28">
        <v>2.4305555555555556E-2</v>
      </c>
    </row>
    <row r="3947" spans="1:4" x14ac:dyDescent="0.25">
      <c r="A3947" s="24" t="s">
        <v>105</v>
      </c>
      <c r="B3947" s="24" t="s">
        <v>73</v>
      </c>
      <c r="C3947" s="32">
        <v>13.819000000000001</v>
      </c>
      <c r="D3947" s="28">
        <v>2.1527777777777781E-2</v>
      </c>
    </row>
    <row r="3948" spans="1:4" x14ac:dyDescent="0.25">
      <c r="A3948" s="24" t="s">
        <v>105</v>
      </c>
      <c r="B3948" s="24" t="s">
        <v>74</v>
      </c>
      <c r="C3948" s="32">
        <v>15.340999999999999</v>
      </c>
      <c r="D3948" s="28">
        <v>2.1527777777777781E-2</v>
      </c>
    </row>
    <row r="3949" spans="1:4" x14ac:dyDescent="0.25">
      <c r="A3949" s="24" t="s">
        <v>105</v>
      </c>
      <c r="B3949" s="24" t="s">
        <v>75</v>
      </c>
      <c r="C3949" s="32">
        <v>14.377000000000001</v>
      </c>
      <c r="D3949" s="28">
        <v>2.013888888888889E-2</v>
      </c>
    </row>
    <row r="3950" spans="1:4" x14ac:dyDescent="0.25">
      <c r="A3950" s="24" t="s">
        <v>105</v>
      </c>
      <c r="B3950" s="24" t="s">
        <v>76</v>
      </c>
      <c r="C3950" s="32">
        <v>18.527999999999999</v>
      </c>
      <c r="D3950" s="28">
        <v>2.4305555555555556E-2</v>
      </c>
    </row>
    <row r="3951" spans="1:4" x14ac:dyDescent="0.25">
      <c r="A3951" s="24" t="s">
        <v>105</v>
      </c>
      <c r="B3951" s="24" t="s">
        <v>77</v>
      </c>
      <c r="C3951" s="32">
        <v>27.13</v>
      </c>
      <c r="D3951" s="28">
        <v>2.6388888888888889E-2</v>
      </c>
    </row>
    <row r="3952" spans="1:4" x14ac:dyDescent="0.25">
      <c r="A3952" s="24" t="s">
        <v>105</v>
      </c>
      <c r="B3952" s="24" t="s">
        <v>78</v>
      </c>
      <c r="C3952" s="32">
        <v>22.661000000000001</v>
      </c>
      <c r="D3952" s="28">
        <v>2.4305555555555556E-2</v>
      </c>
    </row>
    <row r="3953" spans="1:4" x14ac:dyDescent="0.25">
      <c r="A3953" s="24" t="s">
        <v>105</v>
      </c>
      <c r="B3953" s="24" t="s">
        <v>79</v>
      </c>
      <c r="C3953" s="32">
        <v>36.588999999999999</v>
      </c>
      <c r="D3953" s="28">
        <v>3.8194444444444441E-2</v>
      </c>
    </row>
    <row r="3954" spans="1:4" x14ac:dyDescent="0.25">
      <c r="A3954" s="24" t="s">
        <v>105</v>
      </c>
      <c r="B3954" s="24" t="s">
        <v>80</v>
      </c>
      <c r="C3954" s="32">
        <v>9.49</v>
      </c>
      <c r="D3954" s="28">
        <v>1.0416666666666666E-2</v>
      </c>
    </row>
    <row r="3955" spans="1:4" x14ac:dyDescent="0.25">
      <c r="A3955" s="24" t="s">
        <v>105</v>
      </c>
      <c r="B3955" s="24" t="s">
        <v>81</v>
      </c>
      <c r="C3955" s="32">
        <v>14.012</v>
      </c>
      <c r="D3955" s="28">
        <v>1.3194444444444444E-2</v>
      </c>
    </row>
    <row r="3956" spans="1:4" x14ac:dyDescent="0.25">
      <c r="A3956" s="24" t="s">
        <v>105</v>
      </c>
      <c r="B3956" s="24" t="s">
        <v>82</v>
      </c>
      <c r="C3956" s="32">
        <v>14.064</v>
      </c>
      <c r="D3956" s="28">
        <v>1.3194444444444444E-2</v>
      </c>
    </row>
    <row r="3957" spans="1:4" x14ac:dyDescent="0.25">
      <c r="A3957" s="24" t="s">
        <v>105</v>
      </c>
      <c r="B3957" s="24" t="s">
        <v>83</v>
      </c>
      <c r="C3957" s="32">
        <v>6.6059999999999999</v>
      </c>
      <c r="D3957" s="28">
        <v>1.1111111111111112E-2</v>
      </c>
    </row>
    <row r="3958" spans="1:4" x14ac:dyDescent="0.25">
      <c r="A3958" s="24" t="s">
        <v>105</v>
      </c>
      <c r="B3958" s="24" t="s">
        <v>84</v>
      </c>
      <c r="C3958" s="32">
        <v>11.727</v>
      </c>
      <c r="D3958" s="28">
        <v>1.6666666666666666E-2</v>
      </c>
    </row>
    <row r="3959" spans="1:4" x14ac:dyDescent="0.25">
      <c r="A3959" s="24" t="s">
        <v>105</v>
      </c>
      <c r="B3959" s="24" t="s">
        <v>85</v>
      </c>
      <c r="C3959" s="32">
        <v>10.688000000000001</v>
      </c>
      <c r="D3959" s="28">
        <v>1.5277777777777777E-2</v>
      </c>
    </row>
    <row r="3960" spans="1:4" x14ac:dyDescent="0.25">
      <c r="A3960" s="24" t="s">
        <v>105</v>
      </c>
      <c r="B3960" s="24" t="s">
        <v>86</v>
      </c>
      <c r="C3960" s="32">
        <v>8.3140000000000001</v>
      </c>
      <c r="D3960" s="28">
        <v>1.2499999999999999E-2</v>
      </c>
    </row>
    <row r="3961" spans="1:4" x14ac:dyDescent="0.25">
      <c r="A3961" s="24" t="s">
        <v>105</v>
      </c>
      <c r="B3961" s="24" t="s">
        <v>87</v>
      </c>
      <c r="C3961" s="32">
        <v>8.0920000000000005</v>
      </c>
      <c r="D3961" s="28">
        <v>1.2499999999999999E-2</v>
      </c>
    </row>
    <row r="3962" spans="1:4" x14ac:dyDescent="0.25">
      <c r="A3962" s="24" t="s">
        <v>105</v>
      </c>
      <c r="B3962" s="24" t="s">
        <v>88</v>
      </c>
      <c r="C3962" s="32">
        <v>7.0890000000000004</v>
      </c>
      <c r="D3962" s="28">
        <v>1.1805555555555555E-2</v>
      </c>
    </row>
    <row r="3963" spans="1:4" x14ac:dyDescent="0.25">
      <c r="A3963" s="24" t="s">
        <v>105</v>
      </c>
      <c r="B3963" s="24" t="s">
        <v>89</v>
      </c>
      <c r="C3963" s="32">
        <v>2.7130000000000001</v>
      </c>
      <c r="D3963" s="28">
        <v>6.2499999999999995E-3</v>
      </c>
    </row>
    <row r="3964" spans="1:4" x14ac:dyDescent="0.25">
      <c r="A3964" s="24" t="s">
        <v>105</v>
      </c>
      <c r="B3964" s="24" t="s">
        <v>90</v>
      </c>
      <c r="C3964" s="32">
        <v>9.4960000000000004</v>
      </c>
      <c r="D3964" s="28">
        <v>1.1111111111111112E-2</v>
      </c>
    </row>
    <row r="3965" spans="1:4" x14ac:dyDescent="0.25">
      <c r="A3965" s="24" t="s">
        <v>105</v>
      </c>
      <c r="B3965" s="24" t="s">
        <v>91</v>
      </c>
      <c r="C3965" s="32">
        <v>5.157</v>
      </c>
      <c r="D3965" s="28">
        <v>9.0277777777777787E-3</v>
      </c>
    </row>
    <row r="3966" spans="1:4" x14ac:dyDescent="0.25">
      <c r="A3966" s="24" t="s">
        <v>105</v>
      </c>
      <c r="B3966" s="24" t="s">
        <v>92</v>
      </c>
      <c r="C3966" s="32">
        <v>7.5620000000000003</v>
      </c>
      <c r="D3966" s="28">
        <v>9.7222222222222224E-3</v>
      </c>
    </row>
    <row r="3967" spans="1:4" x14ac:dyDescent="0.25">
      <c r="A3967" s="24" t="s">
        <v>105</v>
      </c>
      <c r="B3967" s="24" t="s">
        <v>93</v>
      </c>
      <c r="C3967" s="32">
        <v>31.292999999999999</v>
      </c>
      <c r="D3967" s="28">
        <v>2.2916666666666669E-2</v>
      </c>
    </row>
    <row r="3968" spans="1:4" x14ac:dyDescent="0.25">
      <c r="A3968" s="24" t="s">
        <v>105</v>
      </c>
      <c r="B3968" s="24" t="s">
        <v>94</v>
      </c>
      <c r="C3968" s="32">
        <v>31.922000000000001</v>
      </c>
      <c r="D3968" s="28">
        <v>2.361111111111111E-2</v>
      </c>
    </row>
    <row r="3969" spans="1:4" x14ac:dyDescent="0.25">
      <c r="A3969" s="24" t="s">
        <v>105</v>
      </c>
      <c r="B3969" s="24" t="s">
        <v>95</v>
      </c>
      <c r="C3969" s="32">
        <v>14.348000000000001</v>
      </c>
      <c r="D3969" s="28">
        <v>1.3888888888888888E-2</v>
      </c>
    </row>
    <row r="3970" spans="1:4" x14ac:dyDescent="0.25">
      <c r="A3970" s="24" t="s">
        <v>105</v>
      </c>
      <c r="B3970" s="24" t="s">
        <v>96</v>
      </c>
      <c r="C3970" s="32">
        <v>17.29</v>
      </c>
      <c r="D3970" s="28">
        <v>1.6666666666666666E-2</v>
      </c>
    </row>
    <row r="3971" spans="1:4" x14ac:dyDescent="0.25">
      <c r="A3971" s="24" t="s">
        <v>105</v>
      </c>
      <c r="B3971" s="24" t="s">
        <v>97</v>
      </c>
      <c r="C3971" s="32">
        <v>26.658000000000001</v>
      </c>
      <c r="D3971" s="28">
        <v>2.4305555555555556E-2</v>
      </c>
    </row>
    <row r="3972" spans="1:4" x14ac:dyDescent="0.25">
      <c r="A3972" s="24" t="s">
        <v>105</v>
      </c>
      <c r="B3972" s="24" t="s">
        <v>98</v>
      </c>
      <c r="C3972" s="32">
        <v>18.579000000000001</v>
      </c>
      <c r="D3972" s="28">
        <v>1.7361111111111112E-2</v>
      </c>
    </row>
    <row r="3973" spans="1:4" x14ac:dyDescent="0.25">
      <c r="A3973" s="24" t="s">
        <v>105</v>
      </c>
      <c r="B3973" s="24" t="s">
        <v>99</v>
      </c>
      <c r="C3973" s="32">
        <v>22.995000000000001</v>
      </c>
      <c r="D3973" s="28">
        <v>2.2222222222222223E-2</v>
      </c>
    </row>
    <row r="3974" spans="1:4" x14ac:dyDescent="0.25">
      <c r="A3974" s="24" t="s">
        <v>105</v>
      </c>
      <c r="B3974" s="24" t="s">
        <v>100</v>
      </c>
      <c r="C3974" s="32">
        <v>14.488</v>
      </c>
      <c r="D3974" s="28">
        <v>1.3888888888888888E-2</v>
      </c>
    </row>
    <row r="3975" spans="1:4" x14ac:dyDescent="0.25">
      <c r="A3975" s="24" t="s">
        <v>105</v>
      </c>
      <c r="B3975" s="24" t="s">
        <v>101</v>
      </c>
      <c r="C3975" s="32">
        <v>17.626000000000001</v>
      </c>
      <c r="D3975" s="28">
        <v>1.8749999999999999E-2</v>
      </c>
    </row>
    <row r="3976" spans="1:4" x14ac:dyDescent="0.25">
      <c r="A3976" s="24" t="s">
        <v>105</v>
      </c>
      <c r="B3976" s="24" t="s">
        <v>102</v>
      </c>
      <c r="C3976" s="32">
        <v>17.053000000000001</v>
      </c>
      <c r="D3976" s="28">
        <v>1.8055555555555557E-2</v>
      </c>
    </row>
    <row r="3977" spans="1:4" x14ac:dyDescent="0.25">
      <c r="A3977" s="24" t="s">
        <v>105</v>
      </c>
      <c r="B3977" s="24" t="s">
        <v>103</v>
      </c>
      <c r="C3977" s="32">
        <v>4.2110000000000003</v>
      </c>
      <c r="D3977" s="28">
        <v>5.5555555555555558E-3</v>
      </c>
    </row>
    <row r="3978" spans="1:4" x14ac:dyDescent="0.25">
      <c r="A3978" s="24" t="s">
        <v>105</v>
      </c>
      <c r="B3978" s="24" t="s">
        <v>104</v>
      </c>
      <c r="C3978" s="32">
        <v>6.4420000000000002</v>
      </c>
      <c r="D3978" s="28">
        <v>9.0277777777777787E-3</v>
      </c>
    </row>
    <row r="3979" spans="1:4" x14ac:dyDescent="0.25">
      <c r="A3979" s="24" t="s">
        <v>105</v>
      </c>
      <c r="B3979" s="24" t="s">
        <v>105</v>
      </c>
      <c r="C3979" s="32">
        <v>0</v>
      </c>
      <c r="D3979" s="28">
        <v>0</v>
      </c>
    </row>
    <row r="3980" spans="1:4" x14ac:dyDescent="0.25">
      <c r="A3980" s="24" t="s">
        <v>105</v>
      </c>
      <c r="B3980" s="24" t="s">
        <v>106</v>
      </c>
      <c r="C3980" s="32">
        <v>6.13</v>
      </c>
      <c r="D3980" s="28">
        <v>8.3333333333333332E-3</v>
      </c>
    </row>
    <row r="3981" spans="1:4" x14ac:dyDescent="0.25">
      <c r="A3981" s="24" t="s">
        <v>105</v>
      </c>
      <c r="B3981" s="24" t="s">
        <v>107</v>
      </c>
      <c r="C3981" s="32">
        <v>10.817</v>
      </c>
      <c r="D3981" s="28">
        <v>1.5277777777777777E-2</v>
      </c>
    </row>
    <row r="3982" spans="1:4" x14ac:dyDescent="0.25">
      <c r="A3982" s="24" t="s">
        <v>105</v>
      </c>
      <c r="B3982" s="24" t="s">
        <v>108</v>
      </c>
      <c r="C3982" s="32">
        <v>11.414</v>
      </c>
      <c r="D3982" s="28">
        <v>1.4583333333333332E-2</v>
      </c>
    </row>
    <row r="3983" spans="1:4" x14ac:dyDescent="0.25">
      <c r="A3983" s="24" t="s">
        <v>105</v>
      </c>
      <c r="B3983" s="24" t="s">
        <v>109</v>
      </c>
      <c r="C3983" s="32">
        <v>11.384</v>
      </c>
      <c r="D3983" s="28">
        <v>1.4583333333333332E-2</v>
      </c>
    </row>
    <row r="3984" spans="1:4" x14ac:dyDescent="0.25">
      <c r="A3984" s="24" t="s">
        <v>105</v>
      </c>
      <c r="B3984" s="24" t="s">
        <v>110</v>
      </c>
      <c r="C3984" s="32">
        <v>7.66</v>
      </c>
      <c r="D3984" s="28">
        <v>9.7222222222222224E-3</v>
      </c>
    </row>
    <row r="3985" spans="1:4" x14ac:dyDescent="0.25">
      <c r="A3985" s="24" t="s">
        <v>105</v>
      </c>
      <c r="B3985" s="24" t="s">
        <v>111</v>
      </c>
      <c r="C3985" s="32">
        <v>2.9489999999999998</v>
      </c>
      <c r="D3985" s="28">
        <v>6.2499999999999995E-3</v>
      </c>
    </row>
    <row r="3986" spans="1:4" x14ac:dyDescent="0.25">
      <c r="A3986" s="24" t="s">
        <v>105</v>
      </c>
      <c r="B3986" s="24" t="s">
        <v>112</v>
      </c>
      <c r="C3986" s="32">
        <v>10.491</v>
      </c>
      <c r="D3986" s="28">
        <v>1.3888888888888888E-2</v>
      </c>
    </row>
    <row r="3987" spans="1:4" x14ac:dyDescent="0.25">
      <c r="A3987" s="24" t="s">
        <v>105</v>
      </c>
      <c r="B3987" s="24" t="s">
        <v>113</v>
      </c>
      <c r="C3987" s="32">
        <v>14.115</v>
      </c>
      <c r="D3987" s="28">
        <v>1.5972222222222224E-2</v>
      </c>
    </row>
    <row r="3988" spans="1:4" x14ac:dyDescent="0.25">
      <c r="A3988" s="24" t="s">
        <v>105</v>
      </c>
      <c r="B3988" s="24" t="s">
        <v>114</v>
      </c>
      <c r="C3988" s="32">
        <v>12.557</v>
      </c>
      <c r="D3988" s="28">
        <v>1.1805555555555555E-2</v>
      </c>
    </row>
    <row r="3989" spans="1:4" x14ac:dyDescent="0.25">
      <c r="A3989" s="24" t="s">
        <v>105</v>
      </c>
      <c r="B3989" s="24" t="s">
        <v>115</v>
      </c>
      <c r="C3989" s="32">
        <v>12.407999999999999</v>
      </c>
      <c r="D3989" s="28">
        <v>1.2499999999999999E-2</v>
      </c>
    </row>
    <row r="3990" spans="1:4" x14ac:dyDescent="0.25">
      <c r="A3990" s="24" t="s">
        <v>105</v>
      </c>
      <c r="B3990" s="24" t="s">
        <v>116</v>
      </c>
      <c r="C3990" s="32">
        <v>6.6440000000000001</v>
      </c>
      <c r="D3990" s="28">
        <v>9.7222222222222224E-3</v>
      </c>
    </row>
    <row r="3991" spans="1:4" x14ac:dyDescent="0.25">
      <c r="A3991" s="24" t="s">
        <v>105</v>
      </c>
      <c r="B3991" s="24" t="s">
        <v>117</v>
      </c>
      <c r="C3991" s="32">
        <v>13.852</v>
      </c>
      <c r="D3991" s="28">
        <v>1.5277777777777777E-2</v>
      </c>
    </row>
    <row r="3992" spans="1:4" x14ac:dyDescent="0.25">
      <c r="A3992" s="24" t="s">
        <v>105</v>
      </c>
      <c r="B3992" s="24" t="s">
        <v>118</v>
      </c>
      <c r="C3992" s="32">
        <v>13.413</v>
      </c>
      <c r="D3992" s="28">
        <v>1.3194444444444444E-2</v>
      </c>
    </row>
    <row r="3993" spans="1:4" x14ac:dyDescent="0.25">
      <c r="A3993" s="24" t="s">
        <v>105</v>
      </c>
      <c r="B3993" s="24" t="s">
        <v>119</v>
      </c>
      <c r="C3993" s="32">
        <v>27.498000000000001</v>
      </c>
      <c r="D3993" s="28">
        <v>2.0833333333333332E-2</v>
      </c>
    </row>
    <row r="3994" spans="1:4" x14ac:dyDescent="0.25">
      <c r="A3994" s="24" t="s">
        <v>105</v>
      </c>
      <c r="B3994" s="24" t="s">
        <v>120</v>
      </c>
      <c r="C3994" s="32">
        <v>30.288</v>
      </c>
      <c r="D3994" s="28">
        <v>2.4305555555555556E-2</v>
      </c>
    </row>
    <row r="3995" spans="1:4" x14ac:dyDescent="0.25">
      <c r="A3995" s="24" t="s">
        <v>105</v>
      </c>
      <c r="B3995" s="24" t="s">
        <v>121</v>
      </c>
      <c r="C3995" s="32">
        <v>44.639000000000003</v>
      </c>
      <c r="D3995" s="28">
        <v>3.125E-2</v>
      </c>
    </row>
    <row r="3996" spans="1:4" x14ac:dyDescent="0.25">
      <c r="A3996" s="24" t="s">
        <v>105</v>
      </c>
      <c r="B3996" s="24" t="s">
        <v>122</v>
      </c>
      <c r="C3996" s="32">
        <v>30.164000000000001</v>
      </c>
      <c r="D3996" s="28">
        <v>2.2222222222222223E-2</v>
      </c>
    </row>
    <row r="3997" spans="1:4" x14ac:dyDescent="0.25">
      <c r="A3997" s="24" t="s">
        <v>105</v>
      </c>
      <c r="B3997" s="24" t="s">
        <v>123</v>
      </c>
      <c r="C3997" s="32">
        <v>38.223999999999997</v>
      </c>
      <c r="D3997" s="28">
        <v>2.7083333333333334E-2</v>
      </c>
    </row>
    <row r="3998" spans="1:4" x14ac:dyDescent="0.25">
      <c r="A3998" s="24" t="s">
        <v>105</v>
      </c>
      <c r="B3998" s="24" t="s">
        <v>124</v>
      </c>
      <c r="C3998" s="32">
        <v>38.223999999999997</v>
      </c>
      <c r="D3998" s="28">
        <v>2.7083333333333334E-2</v>
      </c>
    </row>
    <row r="3999" spans="1:4" x14ac:dyDescent="0.25">
      <c r="A3999" s="24" t="s">
        <v>105</v>
      </c>
      <c r="B3999" s="24" t="s">
        <v>125</v>
      </c>
      <c r="C3999" s="32">
        <v>13.778</v>
      </c>
      <c r="D3999" s="28">
        <v>1.4583333333333332E-2</v>
      </c>
    </row>
    <row r="4000" spans="1:4" x14ac:dyDescent="0.25">
      <c r="A4000" s="24" t="s">
        <v>105</v>
      </c>
      <c r="B4000" s="24" t="s">
        <v>126</v>
      </c>
      <c r="C4000" s="32">
        <v>13.516</v>
      </c>
      <c r="D4000" s="28">
        <v>1.3194444444444444E-2</v>
      </c>
    </row>
    <row r="4001" spans="1:4" x14ac:dyDescent="0.25">
      <c r="A4001" s="24" t="s">
        <v>105</v>
      </c>
      <c r="B4001" s="24" t="s">
        <v>127</v>
      </c>
      <c r="C4001" s="32">
        <v>12.51</v>
      </c>
      <c r="D4001" s="28">
        <v>1.2499999999999999E-2</v>
      </c>
    </row>
    <row r="4002" spans="1:4" x14ac:dyDescent="0.25">
      <c r="A4002" s="24" t="s">
        <v>105</v>
      </c>
      <c r="B4002" s="24" t="s">
        <v>128</v>
      </c>
      <c r="C4002" s="32">
        <v>13.46</v>
      </c>
      <c r="D4002" s="28">
        <v>1.3194444444444444E-2</v>
      </c>
    </row>
    <row r="4003" spans="1:4" x14ac:dyDescent="0.25">
      <c r="A4003" s="24" t="s">
        <v>105</v>
      </c>
      <c r="B4003" s="24" t="s">
        <v>129</v>
      </c>
      <c r="C4003" s="32">
        <v>13.46</v>
      </c>
      <c r="D4003" s="28">
        <v>1.3194444444444444E-2</v>
      </c>
    </row>
    <row r="4004" spans="1:4" x14ac:dyDescent="0.25">
      <c r="A4004" s="24" t="s">
        <v>105</v>
      </c>
      <c r="B4004" s="24" t="s">
        <v>130</v>
      </c>
      <c r="C4004" s="32">
        <v>12.839</v>
      </c>
      <c r="D4004" s="28">
        <v>1.5277777777777777E-2</v>
      </c>
    </row>
    <row r="4005" spans="1:4" x14ac:dyDescent="0.25">
      <c r="A4005" s="24" t="s">
        <v>105</v>
      </c>
      <c r="B4005" s="24" t="s">
        <v>131</v>
      </c>
      <c r="C4005" s="32">
        <v>11.502000000000001</v>
      </c>
      <c r="D4005" s="28">
        <v>1.3194444444444444E-2</v>
      </c>
    </row>
    <row r="4006" spans="1:4" x14ac:dyDescent="0.25">
      <c r="A4006" s="24" t="s">
        <v>105</v>
      </c>
      <c r="B4006" s="24" t="s">
        <v>132</v>
      </c>
      <c r="C4006" s="32">
        <v>19.757000000000001</v>
      </c>
      <c r="D4006" s="28">
        <v>1.8749999999999999E-2</v>
      </c>
    </row>
    <row r="4007" spans="1:4" x14ac:dyDescent="0.25">
      <c r="A4007" s="24" t="s">
        <v>105</v>
      </c>
      <c r="B4007" s="24" t="s">
        <v>133</v>
      </c>
      <c r="C4007" s="32">
        <v>12.834</v>
      </c>
      <c r="D4007" s="28">
        <v>1.8055555555555557E-2</v>
      </c>
    </row>
    <row r="4008" spans="1:4" x14ac:dyDescent="0.25">
      <c r="A4008" s="24" t="s">
        <v>105</v>
      </c>
      <c r="B4008" s="24" t="s">
        <v>134</v>
      </c>
      <c r="C4008" s="32">
        <v>12.368</v>
      </c>
      <c r="D4008" s="28">
        <v>1.6666666666666666E-2</v>
      </c>
    </row>
    <row r="4009" spans="1:4" x14ac:dyDescent="0.25">
      <c r="A4009" s="24" t="s">
        <v>105</v>
      </c>
      <c r="B4009" s="24" t="s">
        <v>135</v>
      </c>
      <c r="C4009" s="32">
        <v>13.699</v>
      </c>
      <c r="D4009" s="28">
        <v>1.8055555555555557E-2</v>
      </c>
    </row>
    <row r="4010" spans="1:4" x14ac:dyDescent="0.25">
      <c r="A4010" s="24" t="s">
        <v>105</v>
      </c>
      <c r="B4010" s="24" t="s">
        <v>136</v>
      </c>
      <c r="C4010" s="32">
        <v>13.699</v>
      </c>
      <c r="D4010" s="28">
        <v>1.8055555555555557E-2</v>
      </c>
    </row>
    <row r="4011" spans="1:4" x14ac:dyDescent="0.25">
      <c r="A4011" s="24" t="s">
        <v>105</v>
      </c>
      <c r="B4011" s="24" t="s">
        <v>137</v>
      </c>
      <c r="C4011" s="32">
        <v>13.912000000000001</v>
      </c>
      <c r="D4011" s="28">
        <v>1.8749999999999999E-2</v>
      </c>
    </row>
    <row r="4012" spans="1:4" x14ac:dyDescent="0.25">
      <c r="A4012" s="24" t="s">
        <v>105</v>
      </c>
      <c r="B4012" s="24" t="s">
        <v>138</v>
      </c>
      <c r="C4012" s="32">
        <v>18.100000000000001</v>
      </c>
      <c r="D4012" s="28">
        <v>1.9444444444444445E-2</v>
      </c>
    </row>
    <row r="4013" spans="1:4" x14ac:dyDescent="0.25">
      <c r="A4013" s="24" t="s">
        <v>105</v>
      </c>
      <c r="B4013" s="24" t="s">
        <v>139</v>
      </c>
      <c r="C4013" s="32">
        <v>30.33</v>
      </c>
      <c r="D4013" s="28">
        <v>2.361111111111111E-2</v>
      </c>
    </row>
    <row r="4014" spans="1:4" x14ac:dyDescent="0.25">
      <c r="A4014" s="24" t="s">
        <v>105</v>
      </c>
      <c r="B4014" s="24" t="s">
        <v>140</v>
      </c>
      <c r="C4014" s="32">
        <v>24.937000000000001</v>
      </c>
      <c r="D4014" s="28">
        <v>2.5694444444444447E-2</v>
      </c>
    </row>
    <row r="4015" spans="1:4" x14ac:dyDescent="0.25">
      <c r="A4015" s="24" t="s">
        <v>105</v>
      </c>
      <c r="B4015" s="24" t="s">
        <v>141</v>
      </c>
      <c r="C4015" s="32">
        <v>55.040999999999997</v>
      </c>
      <c r="D4015" s="28">
        <v>4.2361111111111106E-2</v>
      </c>
    </row>
    <row r="4016" spans="1:4" x14ac:dyDescent="0.25">
      <c r="A4016" s="24" t="s">
        <v>105</v>
      </c>
      <c r="B4016" s="24" t="s">
        <v>142</v>
      </c>
      <c r="C4016" s="32">
        <v>51.02</v>
      </c>
      <c r="D4016" s="28">
        <v>3.7499999999999999E-2</v>
      </c>
    </row>
    <row r="4017" spans="1:4" x14ac:dyDescent="0.25">
      <c r="A4017" s="24" t="s">
        <v>105</v>
      </c>
      <c r="B4017" s="24" t="s">
        <v>143</v>
      </c>
      <c r="C4017" s="32">
        <v>69.397999999999996</v>
      </c>
      <c r="D4017" s="28">
        <v>4.4444444444444446E-2</v>
      </c>
    </row>
    <row r="4018" spans="1:4" x14ac:dyDescent="0.25">
      <c r="A4018" s="24" t="s">
        <v>105</v>
      </c>
      <c r="B4018" s="24" t="s">
        <v>144</v>
      </c>
      <c r="C4018" s="32">
        <v>88.513999999999996</v>
      </c>
      <c r="D4018" s="28">
        <v>5.5555555555555552E-2</v>
      </c>
    </row>
    <row r="4019" spans="1:4" x14ac:dyDescent="0.25">
      <c r="A4019" s="24" t="s">
        <v>105</v>
      </c>
      <c r="B4019" s="24" t="s">
        <v>145</v>
      </c>
      <c r="C4019" s="32">
        <v>35.137</v>
      </c>
      <c r="D4019" s="28">
        <v>2.7777777777777776E-2</v>
      </c>
    </row>
    <row r="4020" spans="1:4" x14ac:dyDescent="0.25">
      <c r="A4020" s="24" t="s">
        <v>105</v>
      </c>
      <c r="B4020" s="24" t="s">
        <v>146</v>
      </c>
      <c r="C4020" s="32">
        <v>50.595999999999997</v>
      </c>
      <c r="D4020" s="28">
        <v>3.6111111111111115E-2</v>
      </c>
    </row>
    <row r="4021" spans="1:4" x14ac:dyDescent="0.25">
      <c r="A4021" s="24" t="s">
        <v>105</v>
      </c>
      <c r="B4021" s="24" t="s">
        <v>147</v>
      </c>
      <c r="C4021" s="32">
        <v>6.2830000000000004</v>
      </c>
      <c r="D4021" s="28">
        <v>7.6388888888888886E-3</v>
      </c>
    </row>
    <row r="4022" spans="1:4" x14ac:dyDescent="0.25">
      <c r="A4022" s="24" t="s">
        <v>105</v>
      </c>
      <c r="B4022" s="24" t="s">
        <v>148</v>
      </c>
      <c r="C4022" s="32">
        <v>9.3670000000000009</v>
      </c>
      <c r="D4022" s="28">
        <v>9.7222222222222224E-3</v>
      </c>
    </row>
    <row r="4023" spans="1:4" x14ac:dyDescent="0.25">
      <c r="A4023" s="24" t="s">
        <v>105</v>
      </c>
      <c r="B4023" s="24" t="s">
        <v>149</v>
      </c>
      <c r="C4023" s="32">
        <v>19.863</v>
      </c>
      <c r="D4023" s="28">
        <v>1.9444444444444445E-2</v>
      </c>
    </row>
    <row r="4024" spans="1:4" x14ac:dyDescent="0.25">
      <c r="A4024" s="24" t="s">
        <v>105</v>
      </c>
      <c r="B4024" s="24" t="s">
        <v>150</v>
      </c>
      <c r="C4024" s="32">
        <v>29.35</v>
      </c>
      <c r="D4024" s="28">
        <v>2.8472222222222222E-2</v>
      </c>
    </row>
    <row r="4025" spans="1:4" x14ac:dyDescent="0.25">
      <c r="A4025" s="24" t="s">
        <v>105</v>
      </c>
      <c r="B4025" s="24" t="s">
        <v>151</v>
      </c>
      <c r="C4025" s="32">
        <v>28.608000000000001</v>
      </c>
      <c r="D4025" s="28">
        <v>2.7777777777777776E-2</v>
      </c>
    </row>
    <row r="4026" spans="1:4" x14ac:dyDescent="0.25">
      <c r="A4026" s="24" t="s">
        <v>105</v>
      </c>
      <c r="B4026" s="24" t="s">
        <v>152</v>
      </c>
      <c r="C4026" s="32">
        <v>30.177</v>
      </c>
      <c r="D4026" s="28">
        <v>2.9861111111111113E-2</v>
      </c>
    </row>
    <row r="4027" spans="1:4" x14ac:dyDescent="0.25">
      <c r="A4027" s="24" t="s">
        <v>105</v>
      </c>
      <c r="B4027" s="24" t="s">
        <v>153</v>
      </c>
      <c r="C4027" s="32">
        <v>34.704000000000001</v>
      </c>
      <c r="D4027" s="28">
        <v>3.6111111111111115E-2</v>
      </c>
    </row>
    <row r="4028" spans="1:4" x14ac:dyDescent="0.25">
      <c r="A4028" s="24" t="s">
        <v>105</v>
      </c>
      <c r="B4028" s="24" t="s">
        <v>154</v>
      </c>
      <c r="C4028" s="32">
        <v>29.513000000000002</v>
      </c>
      <c r="D4028" s="28">
        <v>2.9861111111111113E-2</v>
      </c>
    </row>
    <row r="4029" spans="1:4" x14ac:dyDescent="0.25">
      <c r="A4029" s="24" t="s">
        <v>105</v>
      </c>
      <c r="B4029" s="24" t="s">
        <v>155</v>
      </c>
      <c r="C4029" s="32">
        <v>29.212</v>
      </c>
      <c r="D4029" s="28">
        <v>2.8472222222222222E-2</v>
      </c>
    </row>
    <row r="4030" spans="1:4" x14ac:dyDescent="0.25">
      <c r="A4030" s="24" t="s">
        <v>105</v>
      </c>
      <c r="B4030" s="24" t="s">
        <v>156</v>
      </c>
      <c r="C4030" s="32">
        <v>29.196000000000002</v>
      </c>
      <c r="D4030" s="28">
        <v>2.8472222222222222E-2</v>
      </c>
    </row>
    <row r="4031" spans="1:4" x14ac:dyDescent="0.25">
      <c r="A4031" s="24" t="s">
        <v>105</v>
      </c>
      <c r="B4031" s="24" t="s">
        <v>157</v>
      </c>
      <c r="C4031" s="32">
        <v>29.902999999999999</v>
      </c>
      <c r="D4031" s="28">
        <v>2.8472222222222222E-2</v>
      </c>
    </row>
    <row r="4032" spans="1:4" x14ac:dyDescent="0.25">
      <c r="A4032" s="24" t="s">
        <v>105</v>
      </c>
      <c r="B4032" s="24" t="s">
        <v>158</v>
      </c>
      <c r="C4032" s="32">
        <v>42.194000000000003</v>
      </c>
      <c r="D4032" s="28">
        <v>3.6805555555555557E-2</v>
      </c>
    </row>
    <row r="4033" spans="1:4" x14ac:dyDescent="0.25">
      <c r="A4033" s="24" t="s">
        <v>105</v>
      </c>
      <c r="B4033" s="24" t="s">
        <v>159</v>
      </c>
      <c r="C4033" s="32">
        <v>44.018999999999998</v>
      </c>
      <c r="D4033" s="28">
        <v>4.027777777777778E-2</v>
      </c>
    </row>
    <row r="4034" spans="1:4" x14ac:dyDescent="0.25">
      <c r="A4034" s="24" t="s">
        <v>106</v>
      </c>
      <c r="B4034" s="24" t="s">
        <v>65</v>
      </c>
      <c r="C4034" s="32">
        <v>6.8869999999999996</v>
      </c>
      <c r="D4034" s="28">
        <v>4.8611111111111112E-3</v>
      </c>
    </row>
    <row r="4035" spans="1:4" x14ac:dyDescent="0.25">
      <c r="A4035" s="24" t="s">
        <v>106</v>
      </c>
      <c r="B4035" s="24" t="s">
        <v>64</v>
      </c>
      <c r="C4035" s="32">
        <v>9.5120000000000005</v>
      </c>
      <c r="D4035" s="28">
        <v>1.0416666666666666E-2</v>
      </c>
    </row>
    <row r="4036" spans="1:4" x14ac:dyDescent="0.25">
      <c r="A4036" s="24" t="s">
        <v>106</v>
      </c>
      <c r="B4036" s="24" t="s">
        <v>66</v>
      </c>
      <c r="C4036" s="32">
        <v>16.204000000000001</v>
      </c>
      <c r="D4036" s="28">
        <v>1.7361111111111112E-2</v>
      </c>
    </row>
    <row r="4037" spans="1:4" x14ac:dyDescent="0.25">
      <c r="A4037" s="24" t="s">
        <v>106</v>
      </c>
      <c r="B4037" s="24" t="s">
        <v>67</v>
      </c>
      <c r="C4037" s="32">
        <v>13.448</v>
      </c>
      <c r="D4037" s="28">
        <v>1.6666666666666666E-2</v>
      </c>
    </row>
    <row r="4038" spans="1:4" x14ac:dyDescent="0.25">
      <c r="A4038" s="24" t="s">
        <v>106</v>
      </c>
      <c r="B4038" s="24" t="s">
        <v>68</v>
      </c>
      <c r="C4038" s="32">
        <v>13.561999999999999</v>
      </c>
      <c r="D4038" s="28">
        <v>1.8055555555555557E-2</v>
      </c>
    </row>
    <row r="4039" spans="1:4" x14ac:dyDescent="0.25">
      <c r="A4039" s="24" t="s">
        <v>106</v>
      </c>
      <c r="B4039" s="24" t="s">
        <v>69</v>
      </c>
      <c r="C4039" s="32">
        <v>13.417999999999999</v>
      </c>
      <c r="D4039" s="28">
        <v>1.6666666666666666E-2</v>
      </c>
    </row>
    <row r="4040" spans="1:4" x14ac:dyDescent="0.25">
      <c r="A4040" s="24" t="s">
        <v>106</v>
      </c>
      <c r="B4040" s="24" t="s">
        <v>70</v>
      </c>
      <c r="C4040" s="32">
        <v>13.802</v>
      </c>
      <c r="D4040" s="28">
        <v>1.7361111111111112E-2</v>
      </c>
    </row>
    <row r="4041" spans="1:4" x14ac:dyDescent="0.25">
      <c r="A4041" s="24" t="s">
        <v>106</v>
      </c>
      <c r="B4041" s="24" t="s">
        <v>71</v>
      </c>
      <c r="C4041" s="32">
        <v>13.147</v>
      </c>
      <c r="D4041" s="28">
        <v>1.7361111111111112E-2</v>
      </c>
    </row>
    <row r="4042" spans="1:4" x14ac:dyDescent="0.25">
      <c r="A4042" s="24" t="s">
        <v>106</v>
      </c>
      <c r="B4042" s="24" t="s">
        <v>72</v>
      </c>
      <c r="C4042" s="32">
        <v>13.571</v>
      </c>
      <c r="D4042" s="28">
        <v>1.9444444444444445E-2</v>
      </c>
    </row>
    <row r="4043" spans="1:4" x14ac:dyDescent="0.25">
      <c r="A4043" s="24" t="s">
        <v>106</v>
      </c>
      <c r="B4043" s="24" t="s">
        <v>73</v>
      </c>
      <c r="C4043" s="32">
        <v>12.326000000000001</v>
      </c>
      <c r="D4043" s="28">
        <v>1.6666666666666666E-2</v>
      </c>
    </row>
    <row r="4044" spans="1:4" x14ac:dyDescent="0.25">
      <c r="A4044" s="24" t="s">
        <v>106</v>
      </c>
      <c r="B4044" s="24" t="s">
        <v>74</v>
      </c>
      <c r="C4044" s="32">
        <v>14.432</v>
      </c>
      <c r="D4044" s="28">
        <v>1.7361111111111112E-2</v>
      </c>
    </row>
    <row r="4045" spans="1:4" x14ac:dyDescent="0.25">
      <c r="A4045" s="24" t="s">
        <v>106</v>
      </c>
      <c r="B4045" s="24" t="s">
        <v>75</v>
      </c>
      <c r="C4045" s="32">
        <v>13.468</v>
      </c>
      <c r="D4045" s="28">
        <v>1.5972222222222224E-2</v>
      </c>
    </row>
    <row r="4046" spans="1:4" x14ac:dyDescent="0.25">
      <c r="A4046" s="24" t="s">
        <v>106</v>
      </c>
      <c r="B4046" s="24" t="s">
        <v>76</v>
      </c>
      <c r="C4046" s="32">
        <v>17.574999999999999</v>
      </c>
      <c r="D4046" s="28">
        <v>2.1527777777777781E-2</v>
      </c>
    </row>
    <row r="4047" spans="1:4" x14ac:dyDescent="0.25">
      <c r="A4047" s="24" t="s">
        <v>106</v>
      </c>
      <c r="B4047" s="24" t="s">
        <v>77</v>
      </c>
      <c r="C4047" s="32">
        <v>24.219000000000001</v>
      </c>
      <c r="D4047" s="28">
        <v>2.2916666666666669E-2</v>
      </c>
    </row>
    <row r="4048" spans="1:4" x14ac:dyDescent="0.25">
      <c r="A4048" s="24" t="s">
        <v>106</v>
      </c>
      <c r="B4048" s="24" t="s">
        <v>78</v>
      </c>
      <c r="C4048" s="32">
        <v>18.468</v>
      </c>
      <c r="D4048" s="28">
        <v>2.1527777777777781E-2</v>
      </c>
    </row>
    <row r="4049" spans="1:4" x14ac:dyDescent="0.25">
      <c r="A4049" s="24" t="s">
        <v>106</v>
      </c>
      <c r="B4049" s="24" t="s">
        <v>79</v>
      </c>
      <c r="C4049" s="32">
        <v>35.68</v>
      </c>
      <c r="D4049" s="28">
        <v>3.4027777777777775E-2</v>
      </c>
    </row>
    <row r="4050" spans="1:4" x14ac:dyDescent="0.25">
      <c r="A4050" s="24" t="s">
        <v>106</v>
      </c>
      <c r="B4050" s="24" t="s">
        <v>80</v>
      </c>
      <c r="C4050" s="32">
        <v>10.111000000000001</v>
      </c>
      <c r="D4050" s="28">
        <v>6.9444444444444441E-3</v>
      </c>
    </row>
    <row r="4051" spans="1:4" x14ac:dyDescent="0.25">
      <c r="A4051" s="24" t="s">
        <v>106</v>
      </c>
      <c r="B4051" s="24" t="s">
        <v>81</v>
      </c>
      <c r="C4051" s="32">
        <v>14.632999999999999</v>
      </c>
      <c r="D4051" s="28">
        <v>9.7222222222222224E-3</v>
      </c>
    </row>
    <row r="4052" spans="1:4" x14ac:dyDescent="0.25">
      <c r="A4052" s="24" t="s">
        <v>106</v>
      </c>
      <c r="B4052" s="24" t="s">
        <v>82</v>
      </c>
      <c r="C4052" s="32">
        <v>14.685</v>
      </c>
      <c r="D4052" s="28">
        <v>9.7222222222222224E-3</v>
      </c>
    </row>
    <row r="4053" spans="1:4" x14ac:dyDescent="0.25">
      <c r="A4053" s="24" t="s">
        <v>106</v>
      </c>
      <c r="B4053" s="24" t="s">
        <v>83</v>
      </c>
      <c r="C4053" s="32">
        <v>5.6970000000000001</v>
      </c>
      <c r="D4053" s="28">
        <v>6.9444444444444441E-3</v>
      </c>
    </row>
    <row r="4054" spans="1:4" x14ac:dyDescent="0.25">
      <c r="A4054" s="24" t="s">
        <v>106</v>
      </c>
      <c r="B4054" s="24" t="s">
        <v>84</v>
      </c>
      <c r="C4054" s="32">
        <v>11.637</v>
      </c>
      <c r="D4054" s="28">
        <v>1.3194444444444444E-2</v>
      </c>
    </row>
    <row r="4055" spans="1:4" x14ac:dyDescent="0.25">
      <c r="A4055" s="24" t="s">
        <v>106</v>
      </c>
      <c r="B4055" s="24" t="s">
        <v>85</v>
      </c>
      <c r="C4055" s="32">
        <v>11.038</v>
      </c>
      <c r="D4055" s="28">
        <v>1.2499999999999999E-2</v>
      </c>
    </row>
    <row r="4056" spans="1:4" x14ac:dyDescent="0.25">
      <c r="A4056" s="24" t="s">
        <v>106</v>
      </c>
      <c r="B4056" s="24" t="s">
        <v>86</v>
      </c>
      <c r="C4056" s="32">
        <v>8.6639999999999997</v>
      </c>
      <c r="D4056" s="28">
        <v>9.7222222222222224E-3</v>
      </c>
    </row>
    <row r="4057" spans="1:4" x14ac:dyDescent="0.25">
      <c r="A4057" s="24" t="s">
        <v>106</v>
      </c>
      <c r="B4057" s="24" t="s">
        <v>87</v>
      </c>
      <c r="C4057" s="32">
        <v>8.2859999999999996</v>
      </c>
      <c r="D4057" s="28">
        <v>9.0277777777777787E-3</v>
      </c>
    </row>
    <row r="4058" spans="1:4" x14ac:dyDescent="0.25">
      <c r="A4058" s="24" t="s">
        <v>106</v>
      </c>
      <c r="B4058" s="24" t="s">
        <v>88</v>
      </c>
      <c r="C4058" s="32">
        <v>7.4390000000000001</v>
      </c>
      <c r="D4058" s="28">
        <v>9.0277777777777787E-3</v>
      </c>
    </row>
    <row r="4059" spans="1:4" x14ac:dyDescent="0.25">
      <c r="A4059" s="24" t="s">
        <v>106</v>
      </c>
      <c r="B4059" s="24" t="s">
        <v>89</v>
      </c>
      <c r="C4059" s="32">
        <v>5.86</v>
      </c>
      <c r="D4059" s="28">
        <v>6.2499999999999995E-3</v>
      </c>
    </row>
    <row r="4060" spans="1:4" x14ac:dyDescent="0.25">
      <c r="A4060" s="24" t="s">
        <v>106</v>
      </c>
      <c r="B4060" s="24" t="s">
        <v>90</v>
      </c>
      <c r="C4060" s="32">
        <v>10.135</v>
      </c>
      <c r="D4060" s="28">
        <v>7.6388888888888886E-3</v>
      </c>
    </row>
    <row r="4061" spans="1:4" x14ac:dyDescent="0.25">
      <c r="A4061" s="24" t="s">
        <v>106</v>
      </c>
      <c r="B4061" s="24" t="s">
        <v>91</v>
      </c>
      <c r="C4061" s="32">
        <v>6.7130000000000001</v>
      </c>
      <c r="D4061" s="28">
        <v>8.3333333333333332E-3</v>
      </c>
    </row>
    <row r="4062" spans="1:4" x14ac:dyDescent="0.25">
      <c r="A4062" s="24" t="s">
        <v>106</v>
      </c>
      <c r="B4062" s="24" t="s">
        <v>92</v>
      </c>
      <c r="C4062" s="32">
        <v>8.1869999999999994</v>
      </c>
      <c r="D4062" s="28">
        <v>6.9444444444444441E-3</v>
      </c>
    </row>
    <row r="4063" spans="1:4" x14ac:dyDescent="0.25">
      <c r="A4063" s="24" t="s">
        <v>106</v>
      </c>
      <c r="B4063" s="24" t="s">
        <v>93</v>
      </c>
      <c r="C4063" s="32">
        <v>31.908999999999999</v>
      </c>
      <c r="D4063" s="28">
        <v>1.9444444444444445E-2</v>
      </c>
    </row>
    <row r="4064" spans="1:4" x14ac:dyDescent="0.25">
      <c r="A4064" s="24" t="s">
        <v>106</v>
      </c>
      <c r="B4064" s="24" t="s">
        <v>94</v>
      </c>
      <c r="C4064" s="32">
        <v>32.537999999999997</v>
      </c>
      <c r="D4064" s="28">
        <v>2.013888888888889E-2</v>
      </c>
    </row>
    <row r="4065" spans="1:4" x14ac:dyDescent="0.25">
      <c r="A4065" s="24" t="s">
        <v>106</v>
      </c>
      <c r="B4065" s="24" t="s">
        <v>95</v>
      </c>
      <c r="C4065" s="32">
        <v>14.968999999999999</v>
      </c>
      <c r="D4065" s="28">
        <v>1.0416666666666666E-2</v>
      </c>
    </row>
    <row r="4066" spans="1:4" x14ac:dyDescent="0.25">
      <c r="A4066" s="24" t="s">
        <v>106</v>
      </c>
      <c r="B4066" s="24" t="s">
        <v>96</v>
      </c>
      <c r="C4066" s="32">
        <v>16.773</v>
      </c>
      <c r="D4066" s="28">
        <v>1.4583333333333332E-2</v>
      </c>
    </row>
    <row r="4067" spans="1:4" x14ac:dyDescent="0.25">
      <c r="A4067" s="24" t="s">
        <v>106</v>
      </c>
      <c r="B4067" s="24" t="s">
        <v>97</v>
      </c>
      <c r="C4067" s="32">
        <v>26.140999999999998</v>
      </c>
      <c r="D4067" s="28">
        <v>2.2222222222222223E-2</v>
      </c>
    </row>
    <row r="4068" spans="1:4" x14ac:dyDescent="0.25">
      <c r="A4068" s="24" t="s">
        <v>106</v>
      </c>
      <c r="B4068" s="24" t="s">
        <v>98</v>
      </c>
      <c r="C4068" s="32">
        <v>19.218</v>
      </c>
      <c r="D4068" s="28">
        <v>1.4583333333333332E-2</v>
      </c>
    </row>
    <row r="4069" spans="1:4" x14ac:dyDescent="0.25">
      <c r="A4069" s="24" t="s">
        <v>106</v>
      </c>
      <c r="B4069" s="24" t="s">
        <v>99</v>
      </c>
      <c r="C4069" s="32">
        <v>25.716000000000001</v>
      </c>
      <c r="D4069" s="28">
        <v>1.9444444444444445E-2</v>
      </c>
    </row>
    <row r="4070" spans="1:4" x14ac:dyDescent="0.25">
      <c r="A4070" s="24" t="s">
        <v>106</v>
      </c>
      <c r="B4070" s="24" t="s">
        <v>100</v>
      </c>
      <c r="C4070" s="32">
        <v>15.127000000000001</v>
      </c>
      <c r="D4070" s="28">
        <v>1.1111111111111112E-2</v>
      </c>
    </row>
    <row r="4071" spans="1:4" x14ac:dyDescent="0.25">
      <c r="A4071" s="24" t="s">
        <v>106</v>
      </c>
      <c r="B4071" s="24" t="s">
        <v>101</v>
      </c>
      <c r="C4071" s="32">
        <v>19.611999999999998</v>
      </c>
      <c r="D4071" s="28">
        <v>1.5972222222222224E-2</v>
      </c>
    </row>
    <row r="4072" spans="1:4" x14ac:dyDescent="0.25">
      <c r="A4072" s="24" t="s">
        <v>106</v>
      </c>
      <c r="B4072" s="24" t="s">
        <v>102</v>
      </c>
      <c r="C4072" s="32">
        <v>19.039000000000001</v>
      </c>
      <c r="D4072" s="28">
        <v>1.5277777777777777E-2</v>
      </c>
    </row>
    <row r="4073" spans="1:4" x14ac:dyDescent="0.25">
      <c r="A4073" s="24" t="s">
        <v>106</v>
      </c>
      <c r="B4073" s="24" t="s">
        <v>103</v>
      </c>
      <c r="C4073" s="32">
        <v>3.694</v>
      </c>
      <c r="D4073" s="28">
        <v>4.1666666666666666E-3</v>
      </c>
    </row>
    <row r="4074" spans="1:4" x14ac:dyDescent="0.25">
      <c r="A4074" s="24" t="s">
        <v>106</v>
      </c>
      <c r="B4074" s="24" t="s">
        <v>104</v>
      </c>
      <c r="C4074" s="32">
        <v>7.0810000000000004</v>
      </c>
      <c r="D4074" s="28">
        <v>5.5555555555555558E-3</v>
      </c>
    </row>
    <row r="4075" spans="1:4" x14ac:dyDescent="0.25">
      <c r="A4075" s="24" t="s">
        <v>106</v>
      </c>
      <c r="B4075" s="24" t="s">
        <v>105</v>
      </c>
      <c r="C4075" s="32">
        <v>5.5049999999999999</v>
      </c>
      <c r="D4075" s="28">
        <v>7.6388888888888886E-3</v>
      </c>
    </row>
    <row r="4076" spans="1:4" x14ac:dyDescent="0.25">
      <c r="A4076" s="24" t="s">
        <v>106</v>
      </c>
      <c r="B4076" s="24" t="s">
        <v>106</v>
      </c>
      <c r="C4076" s="32">
        <v>0</v>
      </c>
      <c r="D4076" s="28">
        <v>0</v>
      </c>
    </row>
    <row r="4077" spans="1:4" x14ac:dyDescent="0.25">
      <c r="A4077" s="24" t="s">
        <v>106</v>
      </c>
      <c r="B4077" s="24" t="s">
        <v>107</v>
      </c>
      <c r="C4077" s="32">
        <v>15.752000000000001</v>
      </c>
      <c r="D4077" s="28">
        <v>1.3194444444444444E-2</v>
      </c>
    </row>
    <row r="4078" spans="1:4" x14ac:dyDescent="0.25">
      <c r="A4078" s="24" t="s">
        <v>106</v>
      </c>
      <c r="B4078" s="24" t="s">
        <v>108</v>
      </c>
      <c r="C4078" s="32">
        <v>16.349</v>
      </c>
      <c r="D4078" s="28">
        <v>1.2499999999999999E-2</v>
      </c>
    </row>
    <row r="4079" spans="1:4" x14ac:dyDescent="0.25">
      <c r="A4079" s="24" t="s">
        <v>106</v>
      </c>
      <c r="B4079" s="24" t="s">
        <v>109</v>
      </c>
      <c r="C4079" s="32">
        <v>16.318999999999999</v>
      </c>
      <c r="D4079" s="28">
        <v>1.2499999999999999E-2</v>
      </c>
    </row>
    <row r="4080" spans="1:4" x14ac:dyDescent="0.25">
      <c r="A4080" s="24" t="s">
        <v>106</v>
      </c>
      <c r="B4080" s="24" t="s">
        <v>110</v>
      </c>
      <c r="C4080" s="32">
        <v>3.9420000000000002</v>
      </c>
      <c r="D4080" s="28">
        <v>5.5555555555555558E-3</v>
      </c>
    </row>
    <row r="4081" spans="1:4" x14ac:dyDescent="0.25">
      <c r="A4081" s="24" t="s">
        <v>106</v>
      </c>
      <c r="B4081" s="24" t="s">
        <v>111</v>
      </c>
      <c r="C4081" s="32">
        <v>3.6989999999999998</v>
      </c>
      <c r="D4081" s="28">
        <v>2.7777777777777779E-3</v>
      </c>
    </row>
    <row r="4082" spans="1:4" x14ac:dyDescent="0.25">
      <c r="A4082" s="24" t="s">
        <v>106</v>
      </c>
      <c r="B4082" s="24" t="s">
        <v>112</v>
      </c>
      <c r="C4082" s="32">
        <v>15.426</v>
      </c>
      <c r="D4082" s="28">
        <v>1.1805555555555555E-2</v>
      </c>
    </row>
    <row r="4083" spans="1:4" x14ac:dyDescent="0.25">
      <c r="A4083" s="24" t="s">
        <v>106</v>
      </c>
      <c r="B4083" s="24" t="s">
        <v>113</v>
      </c>
      <c r="C4083" s="32">
        <v>19.05</v>
      </c>
      <c r="D4083" s="28">
        <v>1.3888888888888888E-2</v>
      </c>
    </row>
    <row r="4084" spans="1:4" x14ac:dyDescent="0.25">
      <c r="A4084" s="24" t="s">
        <v>106</v>
      </c>
      <c r="B4084" s="24" t="s">
        <v>114</v>
      </c>
      <c r="C4084" s="32">
        <v>13.178000000000001</v>
      </c>
      <c r="D4084" s="28">
        <v>8.3333333333333332E-3</v>
      </c>
    </row>
    <row r="4085" spans="1:4" x14ac:dyDescent="0.25">
      <c r="A4085" s="24" t="s">
        <v>106</v>
      </c>
      <c r="B4085" s="24" t="s">
        <v>115</v>
      </c>
      <c r="C4085" s="32">
        <v>13.029</v>
      </c>
      <c r="D4085" s="28">
        <v>8.3333333333333332E-3</v>
      </c>
    </row>
    <row r="4086" spans="1:4" x14ac:dyDescent="0.25">
      <c r="A4086" s="24" t="s">
        <v>106</v>
      </c>
      <c r="B4086" s="24" t="s">
        <v>116</v>
      </c>
      <c r="C4086" s="32">
        <v>7.2690000000000001</v>
      </c>
      <c r="D4086" s="28">
        <v>6.2499999999999995E-3</v>
      </c>
    </row>
    <row r="4087" spans="1:4" x14ac:dyDescent="0.25">
      <c r="A4087" s="24" t="s">
        <v>106</v>
      </c>
      <c r="B4087" s="24" t="s">
        <v>117</v>
      </c>
      <c r="C4087" s="32">
        <v>14.473000000000001</v>
      </c>
      <c r="D4087" s="28">
        <v>1.1805555555555555E-2</v>
      </c>
    </row>
    <row r="4088" spans="1:4" x14ac:dyDescent="0.25">
      <c r="A4088" s="24" t="s">
        <v>106</v>
      </c>
      <c r="B4088" s="24" t="s">
        <v>118</v>
      </c>
      <c r="C4088" s="32">
        <v>14.192</v>
      </c>
      <c r="D4088" s="28">
        <v>1.0416666666666666E-2</v>
      </c>
    </row>
    <row r="4089" spans="1:4" x14ac:dyDescent="0.25">
      <c r="A4089" s="24" t="s">
        <v>106</v>
      </c>
      <c r="B4089" s="24" t="s">
        <v>119</v>
      </c>
      <c r="C4089" s="32">
        <v>28.277000000000001</v>
      </c>
      <c r="D4089" s="28">
        <v>1.8055555555555557E-2</v>
      </c>
    </row>
    <row r="4090" spans="1:4" x14ac:dyDescent="0.25">
      <c r="A4090" s="24" t="s">
        <v>106</v>
      </c>
      <c r="B4090" s="24" t="s">
        <v>120</v>
      </c>
      <c r="C4090" s="32">
        <v>31.067</v>
      </c>
      <c r="D4090" s="28">
        <v>2.1527777777777781E-2</v>
      </c>
    </row>
    <row r="4091" spans="1:4" x14ac:dyDescent="0.25">
      <c r="A4091" s="24" t="s">
        <v>106</v>
      </c>
      <c r="B4091" s="24" t="s">
        <v>121</v>
      </c>
      <c r="C4091" s="32">
        <v>45.417999999999999</v>
      </c>
      <c r="D4091" s="28">
        <v>2.8472222222222222E-2</v>
      </c>
    </row>
    <row r="4092" spans="1:4" x14ac:dyDescent="0.25">
      <c r="A4092" s="24" t="s">
        <v>106</v>
      </c>
      <c r="B4092" s="24" t="s">
        <v>122</v>
      </c>
      <c r="C4092" s="32">
        <v>30.78</v>
      </c>
      <c r="D4092" s="28">
        <v>1.8749999999999999E-2</v>
      </c>
    </row>
    <row r="4093" spans="1:4" x14ac:dyDescent="0.25">
      <c r="A4093" s="24" t="s">
        <v>106</v>
      </c>
      <c r="B4093" s="24" t="s">
        <v>123</v>
      </c>
      <c r="C4093" s="32">
        <v>39.003</v>
      </c>
      <c r="D4093" s="28">
        <v>2.4305555555555556E-2</v>
      </c>
    </row>
    <row r="4094" spans="1:4" x14ac:dyDescent="0.25">
      <c r="A4094" s="24" t="s">
        <v>106</v>
      </c>
      <c r="B4094" s="24" t="s">
        <v>124</v>
      </c>
      <c r="C4094" s="32">
        <v>39.003</v>
      </c>
      <c r="D4094" s="28">
        <v>2.4305555555555556E-2</v>
      </c>
    </row>
    <row r="4095" spans="1:4" x14ac:dyDescent="0.25">
      <c r="A4095" s="24" t="s">
        <v>106</v>
      </c>
      <c r="B4095" s="24" t="s">
        <v>125</v>
      </c>
      <c r="C4095" s="32">
        <v>13.260999999999999</v>
      </c>
      <c r="D4095" s="28">
        <v>1.2499999999999999E-2</v>
      </c>
    </row>
    <row r="4096" spans="1:4" x14ac:dyDescent="0.25">
      <c r="A4096" s="24" t="s">
        <v>106</v>
      </c>
      <c r="B4096" s="24" t="s">
        <v>126</v>
      </c>
      <c r="C4096" s="32">
        <v>12.999000000000001</v>
      </c>
      <c r="D4096" s="28">
        <v>1.1111111111111112E-2</v>
      </c>
    </row>
    <row r="4097" spans="1:4" x14ac:dyDescent="0.25">
      <c r="A4097" s="24" t="s">
        <v>106</v>
      </c>
      <c r="B4097" s="24" t="s">
        <v>127</v>
      </c>
      <c r="C4097" s="32">
        <v>11.993</v>
      </c>
      <c r="D4097" s="28">
        <v>1.0416666666666666E-2</v>
      </c>
    </row>
    <row r="4098" spans="1:4" x14ac:dyDescent="0.25">
      <c r="A4098" s="24" t="s">
        <v>106</v>
      </c>
      <c r="B4098" s="24" t="s">
        <v>128</v>
      </c>
      <c r="C4098" s="32">
        <v>11.023</v>
      </c>
      <c r="D4098" s="28">
        <v>1.0416666666666666E-2</v>
      </c>
    </row>
    <row r="4099" spans="1:4" x14ac:dyDescent="0.25">
      <c r="A4099" s="24" t="s">
        <v>106</v>
      </c>
      <c r="B4099" s="24" t="s">
        <v>129</v>
      </c>
      <c r="C4099" s="32">
        <v>11.023</v>
      </c>
      <c r="D4099" s="28">
        <v>1.0416666666666666E-2</v>
      </c>
    </row>
    <row r="4100" spans="1:4" x14ac:dyDescent="0.25">
      <c r="A4100" s="24" t="s">
        <v>106</v>
      </c>
      <c r="B4100" s="24" t="s">
        <v>130</v>
      </c>
      <c r="C4100" s="32">
        <v>9.7230000000000008</v>
      </c>
      <c r="D4100" s="28">
        <v>1.2499999999999999E-2</v>
      </c>
    </row>
    <row r="4101" spans="1:4" x14ac:dyDescent="0.25">
      <c r="A4101" s="24" t="s">
        <v>106</v>
      </c>
      <c r="B4101" s="24" t="s">
        <v>131</v>
      </c>
      <c r="C4101" s="32">
        <v>10.984999999999999</v>
      </c>
      <c r="D4101" s="28">
        <v>1.1111111111111112E-2</v>
      </c>
    </row>
    <row r="4102" spans="1:4" x14ac:dyDescent="0.25">
      <c r="A4102" s="24" t="s">
        <v>106</v>
      </c>
      <c r="B4102" s="24" t="s">
        <v>132</v>
      </c>
      <c r="C4102" s="32">
        <v>17.32</v>
      </c>
      <c r="D4102" s="28">
        <v>1.6666666666666666E-2</v>
      </c>
    </row>
    <row r="4103" spans="1:4" x14ac:dyDescent="0.25">
      <c r="A4103" s="24" t="s">
        <v>106</v>
      </c>
      <c r="B4103" s="24" t="s">
        <v>133</v>
      </c>
      <c r="C4103" s="32">
        <v>13.427</v>
      </c>
      <c r="D4103" s="28">
        <v>1.5277777777777777E-2</v>
      </c>
    </row>
    <row r="4104" spans="1:4" x14ac:dyDescent="0.25">
      <c r="A4104" s="24" t="s">
        <v>106</v>
      </c>
      <c r="B4104" s="24" t="s">
        <v>134</v>
      </c>
      <c r="C4104" s="32">
        <v>12.961</v>
      </c>
      <c r="D4104" s="28">
        <v>1.4583333333333332E-2</v>
      </c>
    </row>
    <row r="4105" spans="1:4" x14ac:dyDescent="0.25">
      <c r="A4105" s="24" t="s">
        <v>106</v>
      </c>
      <c r="B4105" s="24" t="s">
        <v>135</v>
      </c>
      <c r="C4105" s="32">
        <v>14.292</v>
      </c>
      <c r="D4105" s="28">
        <v>1.5972222222222224E-2</v>
      </c>
    </row>
    <row r="4106" spans="1:4" x14ac:dyDescent="0.25">
      <c r="A4106" s="24" t="s">
        <v>106</v>
      </c>
      <c r="B4106" s="24" t="s">
        <v>136</v>
      </c>
      <c r="C4106" s="32">
        <v>14.292</v>
      </c>
      <c r="D4106" s="28">
        <v>1.5972222222222224E-2</v>
      </c>
    </row>
    <row r="4107" spans="1:4" x14ac:dyDescent="0.25">
      <c r="A4107" s="24" t="s">
        <v>106</v>
      </c>
      <c r="B4107" s="24" t="s">
        <v>137</v>
      </c>
      <c r="C4107" s="32">
        <v>14.81</v>
      </c>
      <c r="D4107" s="28">
        <v>1.5972222222222224E-2</v>
      </c>
    </row>
    <row r="4108" spans="1:4" x14ac:dyDescent="0.25">
      <c r="A4108" s="24" t="s">
        <v>106</v>
      </c>
      <c r="B4108" s="24" t="s">
        <v>138</v>
      </c>
      <c r="C4108" s="32">
        <v>18.45</v>
      </c>
      <c r="D4108" s="28">
        <v>1.6666666666666666E-2</v>
      </c>
    </row>
    <row r="4109" spans="1:4" x14ac:dyDescent="0.25">
      <c r="A4109" s="24" t="s">
        <v>106</v>
      </c>
      <c r="B4109" s="24" t="s">
        <v>139</v>
      </c>
      <c r="C4109" s="32">
        <v>35.265000000000001</v>
      </c>
      <c r="D4109" s="28">
        <v>2.1527777777777781E-2</v>
      </c>
    </row>
    <row r="4110" spans="1:4" x14ac:dyDescent="0.25">
      <c r="A4110" s="24" t="s">
        <v>106</v>
      </c>
      <c r="B4110" s="24" t="s">
        <v>140</v>
      </c>
      <c r="C4110" s="32">
        <v>25.53</v>
      </c>
      <c r="D4110" s="28">
        <v>2.361111111111111E-2</v>
      </c>
    </row>
    <row r="4111" spans="1:4" x14ac:dyDescent="0.25">
      <c r="A4111" s="24" t="s">
        <v>106</v>
      </c>
      <c r="B4111" s="24" t="s">
        <v>141</v>
      </c>
      <c r="C4111" s="32">
        <v>59.975999999999999</v>
      </c>
      <c r="D4111" s="28">
        <v>4.027777777777778E-2</v>
      </c>
    </row>
    <row r="4112" spans="1:4" x14ac:dyDescent="0.25">
      <c r="A4112" s="24" t="s">
        <v>106</v>
      </c>
      <c r="B4112" s="24" t="s">
        <v>142</v>
      </c>
      <c r="C4112" s="32">
        <v>58.064</v>
      </c>
      <c r="D4112" s="28">
        <v>3.3333333333333333E-2</v>
      </c>
    </row>
    <row r="4113" spans="1:4" x14ac:dyDescent="0.25">
      <c r="A4113" s="24" t="s">
        <v>106</v>
      </c>
      <c r="B4113" s="24" t="s">
        <v>143</v>
      </c>
      <c r="C4113" s="32">
        <v>76.441999999999993</v>
      </c>
      <c r="D4113" s="28">
        <v>4.027777777777778E-2</v>
      </c>
    </row>
    <row r="4114" spans="1:4" x14ac:dyDescent="0.25">
      <c r="A4114" s="24" t="s">
        <v>106</v>
      </c>
      <c r="B4114" s="24" t="s">
        <v>144</v>
      </c>
      <c r="C4114" s="32">
        <v>95.558000000000007</v>
      </c>
      <c r="D4114" s="28">
        <v>5.1388888888888894E-2</v>
      </c>
    </row>
    <row r="4115" spans="1:4" x14ac:dyDescent="0.25">
      <c r="A4115" s="24" t="s">
        <v>106</v>
      </c>
      <c r="B4115" s="24" t="s">
        <v>145</v>
      </c>
      <c r="C4115" s="32">
        <v>40.072000000000003</v>
      </c>
      <c r="D4115" s="28">
        <v>2.5694444444444447E-2</v>
      </c>
    </row>
    <row r="4116" spans="1:4" x14ac:dyDescent="0.25">
      <c r="A4116" s="24" t="s">
        <v>106</v>
      </c>
      <c r="B4116" s="24" t="s">
        <v>146</v>
      </c>
      <c r="C4116" s="32">
        <v>55.530999999999999</v>
      </c>
      <c r="D4116" s="28">
        <v>3.4027777777777775E-2</v>
      </c>
    </row>
    <row r="4117" spans="1:4" x14ac:dyDescent="0.25">
      <c r="A4117" s="24" t="s">
        <v>106</v>
      </c>
      <c r="B4117" s="24" t="s">
        <v>147</v>
      </c>
      <c r="C4117" s="32">
        <v>3.85</v>
      </c>
      <c r="D4117" s="28">
        <v>4.8611111111111112E-3</v>
      </c>
    </row>
    <row r="4118" spans="1:4" x14ac:dyDescent="0.25">
      <c r="A4118" s="24" t="s">
        <v>106</v>
      </c>
      <c r="B4118" s="24" t="s">
        <v>148</v>
      </c>
      <c r="C4118" s="32">
        <v>6.93</v>
      </c>
      <c r="D4118" s="28">
        <v>7.6388888888888886E-3</v>
      </c>
    </row>
    <row r="4119" spans="1:4" x14ac:dyDescent="0.25">
      <c r="A4119" s="24" t="s">
        <v>106</v>
      </c>
      <c r="B4119" s="24" t="s">
        <v>149</v>
      </c>
      <c r="C4119" s="32">
        <v>17.425999999999998</v>
      </c>
      <c r="D4119" s="28">
        <v>1.6666666666666666E-2</v>
      </c>
    </row>
    <row r="4120" spans="1:4" x14ac:dyDescent="0.25">
      <c r="A4120" s="24" t="s">
        <v>106</v>
      </c>
      <c r="B4120" s="24" t="s">
        <v>150</v>
      </c>
      <c r="C4120" s="32">
        <v>26.913</v>
      </c>
      <c r="D4120" s="28">
        <v>2.5694444444444447E-2</v>
      </c>
    </row>
    <row r="4121" spans="1:4" x14ac:dyDescent="0.25">
      <c r="A4121" s="24" t="s">
        <v>106</v>
      </c>
      <c r="B4121" s="24" t="s">
        <v>151</v>
      </c>
      <c r="C4121" s="32">
        <v>26.170999999999999</v>
      </c>
      <c r="D4121" s="28">
        <v>2.5694444444444447E-2</v>
      </c>
    </row>
    <row r="4122" spans="1:4" x14ac:dyDescent="0.25">
      <c r="A4122" s="24" t="s">
        <v>106</v>
      </c>
      <c r="B4122" s="24" t="s">
        <v>152</v>
      </c>
      <c r="C4122" s="32">
        <v>29.66</v>
      </c>
      <c r="D4122" s="28">
        <v>2.7777777777777776E-2</v>
      </c>
    </row>
    <row r="4123" spans="1:4" x14ac:dyDescent="0.25">
      <c r="A4123" s="24" t="s">
        <v>106</v>
      </c>
      <c r="B4123" s="24" t="s">
        <v>153</v>
      </c>
      <c r="C4123" s="32">
        <v>34.186999999999998</v>
      </c>
      <c r="D4123" s="28">
        <v>3.4027777777777775E-2</v>
      </c>
    </row>
    <row r="4124" spans="1:4" x14ac:dyDescent="0.25">
      <c r="A4124" s="24" t="s">
        <v>106</v>
      </c>
      <c r="B4124" s="24" t="s">
        <v>154</v>
      </c>
      <c r="C4124" s="32">
        <v>28.995999999999999</v>
      </c>
      <c r="D4124" s="28">
        <v>2.7777777777777776E-2</v>
      </c>
    </row>
    <row r="4125" spans="1:4" x14ac:dyDescent="0.25">
      <c r="A4125" s="24" t="s">
        <v>106</v>
      </c>
      <c r="B4125" s="24" t="s">
        <v>155</v>
      </c>
      <c r="C4125" s="32">
        <v>26.774999999999999</v>
      </c>
      <c r="D4125" s="28">
        <v>2.6388888888888889E-2</v>
      </c>
    </row>
    <row r="4126" spans="1:4" x14ac:dyDescent="0.25">
      <c r="A4126" s="24" t="s">
        <v>106</v>
      </c>
      <c r="B4126" s="24" t="s">
        <v>156</v>
      </c>
      <c r="C4126" s="32">
        <v>26.759</v>
      </c>
      <c r="D4126" s="28">
        <v>2.5694444444444447E-2</v>
      </c>
    </row>
    <row r="4127" spans="1:4" x14ac:dyDescent="0.25">
      <c r="A4127" s="24" t="s">
        <v>106</v>
      </c>
      <c r="B4127" s="24" t="s">
        <v>157</v>
      </c>
      <c r="C4127" s="32">
        <v>29.385999999999999</v>
      </c>
      <c r="D4127" s="28">
        <v>2.6388888888888889E-2</v>
      </c>
    </row>
    <row r="4128" spans="1:4" x14ac:dyDescent="0.25">
      <c r="A4128" s="24" t="s">
        <v>106</v>
      </c>
      <c r="B4128" s="24" t="s">
        <v>158</v>
      </c>
      <c r="C4128" s="32">
        <v>40.14</v>
      </c>
      <c r="D4128" s="28">
        <v>3.4027777777777775E-2</v>
      </c>
    </row>
    <row r="4129" spans="1:4" x14ac:dyDescent="0.25">
      <c r="A4129" s="24" t="s">
        <v>106</v>
      </c>
      <c r="B4129" s="24" t="s">
        <v>159</v>
      </c>
      <c r="C4129" s="32">
        <v>46.74</v>
      </c>
      <c r="D4129" s="28">
        <v>3.7499999999999999E-2</v>
      </c>
    </row>
    <row r="4130" spans="1:4" x14ac:dyDescent="0.25">
      <c r="A4130" s="24" t="s">
        <v>107</v>
      </c>
      <c r="B4130" s="24" t="s">
        <v>65</v>
      </c>
      <c r="C4130" s="32">
        <v>16.495000000000001</v>
      </c>
      <c r="D4130" s="28">
        <v>1.4583333333333332E-2</v>
      </c>
    </row>
    <row r="4131" spans="1:4" x14ac:dyDescent="0.25">
      <c r="A4131" s="24" t="s">
        <v>107</v>
      </c>
      <c r="B4131" s="24" t="s">
        <v>64</v>
      </c>
      <c r="C4131" s="32">
        <v>14.894</v>
      </c>
      <c r="D4131" s="28">
        <v>1.7361111111111112E-2</v>
      </c>
    </row>
    <row r="4132" spans="1:4" x14ac:dyDescent="0.25">
      <c r="A4132" s="24" t="s">
        <v>107</v>
      </c>
      <c r="B4132" s="24" t="s">
        <v>66</v>
      </c>
      <c r="C4132" s="32">
        <v>23.23</v>
      </c>
      <c r="D4132" s="28">
        <v>2.2916666666666669E-2</v>
      </c>
    </row>
    <row r="4133" spans="1:4" x14ac:dyDescent="0.25">
      <c r="A4133" s="24" t="s">
        <v>107</v>
      </c>
      <c r="B4133" s="24" t="s">
        <v>67</v>
      </c>
      <c r="C4133" s="32">
        <v>19.798999999999999</v>
      </c>
      <c r="D4133" s="28">
        <v>2.1527777777777781E-2</v>
      </c>
    </row>
    <row r="4134" spans="1:4" x14ac:dyDescent="0.25">
      <c r="A4134" s="24" t="s">
        <v>107</v>
      </c>
      <c r="B4134" s="24" t="s">
        <v>68</v>
      </c>
      <c r="C4134" s="32">
        <v>26.335999999999999</v>
      </c>
      <c r="D4134" s="28">
        <v>2.0833333333333332E-2</v>
      </c>
    </row>
    <row r="4135" spans="1:4" x14ac:dyDescent="0.25">
      <c r="A4135" s="24" t="s">
        <v>107</v>
      </c>
      <c r="B4135" s="24" t="s">
        <v>69</v>
      </c>
      <c r="C4135" s="32">
        <v>21.920999999999999</v>
      </c>
      <c r="D4135" s="28">
        <v>2.361111111111111E-2</v>
      </c>
    </row>
    <row r="4136" spans="1:4" x14ac:dyDescent="0.25">
      <c r="A4136" s="24" t="s">
        <v>107</v>
      </c>
      <c r="B4136" s="24" t="s">
        <v>70</v>
      </c>
      <c r="C4136" s="32">
        <v>26.8</v>
      </c>
      <c r="D4136" s="28">
        <v>2.1527777777777781E-2</v>
      </c>
    </row>
    <row r="4137" spans="1:4" x14ac:dyDescent="0.25">
      <c r="A4137" s="24" t="s">
        <v>107</v>
      </c>
      <c r="B4137" s="24" t="s">
        <v>71</v>
      </c>
      <c r="C4137" s="32">
        <v>20.170000000000002</v>
      </c>
      <c r="D4137" s="28">
        <v>2.2916666666666669E-2</v>
      </c>
    </row>
    <row r="4138" spans="1:4" x14ac:dyDescent="0.25">
      <c r="A4138" s="24" t="s">
        <v>107</v>
      </c>
      <c r="B4138" s="24" t="s">
        <v>72</v>
      </c>
      <c r="C4138" s="32">
        <v>25.936</v>
      </c>
      <c r="D4138" s="28">
        <v>2.0833333333333332E-2</v>
      </c>
    </row>
    <row r="4139" spans="1:4" x14ac:dyDescent="0.25">
      <c r="A4139" s="24" t="s">
        <v>107</v>
      </c>
      <c r="B4139" s="24" t="s">
        <v>73</v>
      </c>
      <c r="C4139" s="32">
        <v>18.719000000000001</v>
      </c>
      <c r="D4139" s="28">
        <v>2.013888888888889E-2</v>
      </c>
    </row>
    <row r="4140" spans="1:4" x14ac:dyDescent="0.25">
      <c r="A4140" s="24" t="s">
        <v>107</v>
      </c>
      <c r="B4140" s="24" t="s">
        <v>74</v>
      </c>
      <c r="C4140" s="32">
        <v>17.689</v>
      </c>
      <c r="D4140" s="28">
        <v>1.8749999999999999E-2</v>
      </c>
    </row>
    <row r="4141" spans="1:4" x14ac:dyDescent="0.25">
      <c r="A4141" s="24" t="s">
        <v>107</v>
      </c>
      <c r="B4141" s="24" t="s">
        <v>75</v>
      </c>
      <c r="C4141" s="32">
        <v>16.725000000000001</v>
      </c>
      <c r="D4141" s="28">
        <v>1.7361111111111112E-2</v>
      </c>
    </row>
    <row r="4142" spans="1:4" x14ac:dyDescent="0.25">
      <c r="A4142" s="24" t="s">
        <v>107</v>
      </c>
      <c r="B4142" s="24" t="s">
        <v>76</v>
      </c>
      <c r="C4142" s="32">
        <v>20.99</v>
      </c>
      <c r="D4142" s="28">
        <v>1.9444444444444445E-2</v>
      </c>
    </row>
    <row r="4143" spans="1:4" x14ac:dyDescent="0.25">
      <c r="A4143" s="24" t="s">
        <v>107</v>
      </c>
      <c r="B4143" s="24" t="s">
        <v>77</v>
      </c>
      <c r="C4143" s="32">
        <v>28.904</v>
      </c>
      <c r="D4143" s="28">
        <v>2.2222222222222223E-2</v>
      </c>
    </row>
    <row r="4144" spans="1:4" x14ac:dyDescent="0.25">
      <c r="A4144" s="24" t="s">
        <v>107</v>
      </c>
      <c r="B4144" s="24" t="s">
        <v>78</v>
      </c>
      <c r="C4144" s="32">
        <v>29.777000000000001</v>
      </c>
      <c r="D4144" s="28">
        <v>2.361111111111111E-2</v>
      </c>
    </row>
    <row r="4145" spans="1:4" x14ac:dyDescent="0.25">
      <c r="A4145" s="24" t="s">
        <v>107</v>
      </c>
      <c r="B4145" s="24" t="s">
        <v>79</v>
      </c>
      <c r="C4145" s="32">
        <v>40.631999999999998</v>
      </c>
      <c r="D4145" s="28">
        <v>3.4722222222222224E-2</v>
      </c>
    </row>
    <row r="4146" spans="1:4" x14ac:dyDescent="0.25">
      <c r="A4146" s="24" t="s">
        <v>107</v>
      </c>
      <c r="B4146" s="24" t="s">
        <v>80</v>
      </c>
      <c r="C4146" s="32">
        <v>19.809000000000001</v>
      </c>
      <c r="D4146" s="28">
        <v>1.7361111111111112E-2</v>
      </c>
    </row>
    <row r="4147" spans="1:4" x14ac:dyDescent="0.25">
      <c r="A4147" s="24" t="s">
        <v>107</v>
      </c>
      <c r="B4147" s="24" t="s">
        <v>81</v>
      </c>
      <c r="C4147" s="32">
        <v>18.998999999999999</v>
      </c>
      <c r="D4147" s="28">
        <v>1.8055555555555557E-2</v>
      </c>
    </row>
    <row r="4148" spans="1:4" x14ac:dyDescent="0.25">
      <c r="A4148" s="24" t="s">
        <v>107</v>
      </c>
      <c r="B4148" s="24" t="s">
        <v>82</v>
      </c>
      <c r="C4148" s="32">
        <v>19.050999999999998</v>
      </c>
      <c r="D4148" s="28">
        <v>1.8055555555555557E-2</v>
      </c>
    </row>
    <row r="4149" spans="1:4" x14ac:dyDescent="0.25">
      <c r="A4149" s="24" t="s">
        <v>107</v>
      </c>
      <c r="B4149" s="24" t="s">
        <v>83</v>
      </c>
      <c r="C4149" s="32">
        <v>12.847</v>
      </c>
      <c r="D4149" s="28">
        <v>1.5277777777777777E-2</v>
      </c>
    </row>
    <row r="4150" spans="1:4" x14ac:dyDescent="0.25">
      <c r="A4150" s="24" t="s">
        <v>107</v>
      </c>
      <c r="B4150" s="24" t="s">
        <v>84</v>
      </c>
      <c r="C4150" s="32">
        <v>14.616</v>
      </c>
      <c r="D4150" s="28">
        <v>1.4583333333333332E-2</v>
      </c>
    </row>
    <row r="4151" spans="1:4" x14ac:dyDescent="0.25">
      <c r="A4151" s="24" t="s">
        <v>107</v>
      </c>
      <c r="B4151" s="24" t="s">
        <v>85</v>
      </c>
      <c r="C4151" s="32">
        <v>14.25</v>
      </c>
      <c r="D4151" s="28">
        <v>1.4583333333333332E-2</v>
      </c>
    </row>
    <row r="4152" spans="1:4" x14ac:dyDescent="0.25">
      <c r="A4152" s="24" t="s">
        <v>107</v>
      </c>
      <c r="B4152" s="24" t="s">
        <v>86</v>
      </c>
      <c r="C4152" s="32">
        <v>9.8940000000000001</v>
      </c>
      <c r="D4152" s="28">
        <v>1.2499999999999999E-2</v>
      </c>
    </row>
    <row r="4153" spans="1:4" x14ac:dyDescent="0.25">
      <c r="A4153" s="24" t="s">
        <v>107</v>
      </c>
      <c r="B4153" s="24" t="s">
        <v>87</v>
      </c>
      <c r="C4153" s="32">
        <v>9.6720000000000006</v>
      </c>
      <c r="D4153" s="28">
        <v>1.2499999999999999E-2</v>
      </c>
    </row>
    <row r="4154" spans="1:4" x14ac:dyDescent="0.25">
      <c r="A4154" s="24" t="s">
        <v>107</v>
      </c>
      <c r="B4154" s="24" t="s">
        <v>88</v>
      </c>
      <c r="C4154" s="32">
        <v>10.750999999999999</v>
      </c>
      <c r="D4154" s="28">
        <v>1.3194444444444444E-2</v>
      </c>
    </row>
    <row r="4155" spans="1:4" x14ac:dyDescent="0.25">
      <c r="A4155" s="24" t="s">
        <v>107</v>
      </c>
      <c r="B4155" s="24" t="s">
        <v>89</v>
      </c>
      <c r="C4155" s="32">
        <v>9.5489999999999995</v>
      </c>
      <c r="D4155" s="28">
        <v>1.3194444444444444E-2</v>
      </c>
    </row>
    <row r="4156" spans="1:4" x14ac:dyDescent="0.25">
      <c r="A4156" s="24" t="s">
        <v>107</v>
      </c>
      <c r="B4156" s="24" t="s">
        <v>90</v>
      </c>
      <c r="C4156" s="32">
        <v>19.431999999999999</v>
      </c>
      <c r="D4156" s="28">
        <v>1.7361111111111112E-2</v>
      </c>
    </row>
    <row r="4157" spans="1:4" x14ac:dyDescent="0.25">
      <c r="A4157" s="24" t="s">
        <v>107</v>
      </c>
      <c r="B4157" s="24" t="s">
        <v>91</v>
      </c>
      <c r="C4157" s="32">
        <v>8.5169999999999995</v>
      </c>
      <c r="D4157" s="28">
        <v>1.2499999999999999E-2</v>
      </c>
    </row>
    <row r="4158" spans="1:4" x14ac:dyDescent="0.25">
      <c r="A4158" s="24" t="s">
        <v>107</v>
      </c>
      <c r="B4158" s="24" t="s">
        <v>92</v>
      </c>
      <c r="C4158" s="32">
        <v>17.881</v>
      </c>
      <c r="D4158" s="28">
        <v>1.6666666666666666E-2</v>
      </c>
    </row>
    <row r="4159" spans="1:4" x14ac:dyDescent="0.25">
      <c r="A4159" s="24" t="s">
        <v>107</v>
      </c>
      <c r="B4159" s="24" t="s">
        <v>93</v>
      </c>
      <c r="C4159" s="32">
        <v>41.612000000000002</v>
      </c>
      <c r="D4159" s="28">
        <v>2.9861111111111113E-2</v>
      </c>
    </row>
    <row r="4160" spans="1:4" x14ac:dyDescent="0.25">
      <c r="A4160" s="24" t="s">
        <v>107</v>
      </c>
      <c r="B4160" s="24" t="s">
        <v>94</v>
      </c>
      <c r="C4160" s="32">
        <v>42.241</v>
      </c>
      <c r="D4160" s="28">
        <v>3.0555555555555555E-2</v>
      </c>
    </row>
    <row r="4161" spans="1:4" x14ac:dyDescent="0.25">
      <c r="A4161" s="24" t="s">
        <v>107</v>
      </c>
      <c r="B4161" s="24" t="s">
        <v>95</v>
      </c>
      <c r="C4161" s="32">
        <v>19.338000000000001</v>
      </c>
      <c r="D4161" s="28">
        <v>1.8749999999999999E-2</v>
      </c>
    </row>
    <row r="4162" spans="1:4" x14ac:dyDescent="0.25">
      <c r="A4162" s="24" t="s">
        <v>107</v>
      </c>
      <c r="B4162" s="24" t="s">
        <v>96</v>
      </c>
      <c r="C4162" s="32">
        <v>25.097999999999999</v>
      </c>
      <c r="D4162" s="28">
        <v>2.4999999999999998E-2</v>
      </c>
    </row>
    <row r="4163" spans="1:4" x14ac:dyDescent="0.25">
      <c r="A4163" s="24" t="s">
        <v>107</v>
      </c>
      <c r="B4163" s="24" t="s">
        <v>97</v>
      </c>
      <c r="C4163" s="32">
        <v>35.07</v>
      </c>
      <c r="D4163" s="28">
        <v>3.0555555555555555E-2</v>
      </c>
    </row>
    <row r="4164" spans="1:4" x14ac:dyDescent="0.25">
      <c r="A4164" s="24" t="s">
        <v>107</v>
      </c>
      <c r="B4164" s="24" t="s">
        <v>98</v>
      </c>
      <c r="C4164" s="32">
        <v>27.01</v>
      </c>
      <c r="D4164" s="28">
        <v>2.361111111111111E-2</v>
      </c>
    </row>
    <row r="4165" spans="1:4" x14ac:dyDescent="0.25">
      <c r="A4165" s="24" t="s">
        <v>107</v>
      </c>
      <c r="B4165" s="24" t="s">
        <v>99</v>
      </c>
      <c r="C4165" s="32">
        <v>31.43</v>
      </c>
      <c r="D4165" s="28">
        <v>2.6388888888888889E-2</v>
      </c>
    </row>
    <row r="4166" spans="1:4" x14ac:dyDescent="0.25">
      <c r="A4166" s="24" t="s">
        <v>107</v>
      </c>
      <c r="B4166" s="24" t="s">
        <v>100</v>
      </c>
      <c r="C4166" s="32">
        <v>24.423999999999999</v>
      </c>
      <c r="D4166" s="28">
        <v>2.013888888888889E-2</v>
      </c>
    </row>
    <row r="4167" spans="1:4" x14ac:dyDescent="0.25">
      <c r="A4167" s="24" t="s">
        <v>107</v>
      </c>
      <c r="B4167" s="24" t="s">
        <v>101</v>
      </c>
      <c r="C4167" s="32">
        <v>26.061</v>
      </c>
      <c r="D4167" s="28">
        <v>2.361111111111111E-2</v>
      </c>
    </row>
    <row r="4168" spans="1:4" x14ac:dyDescent="0.25">
      <c r="A4168" s="24" t="s">
        <v>107</v>
      </c>
      <c r="B4168" s="24" t="s">
        <v>102</v>
      </c>
      <c r="C4168" s="32">
        <v>25.488</v>
      </c>
      <c r="D4168" s="28">
        <v>2.2916666666666669E-2</v>
      </c>
    </row>
    <row r="4169" spans="1:4" x14ac:dyDescent="0.25">
      <c r="A4169" s="24" t="s">
        <v>107</v>
      </c>
      <c r="B4169" s="24" t="s">
        <v>103</v>
      </c>
      <c r="C4169" s="32">
        <v>12.019</v>
      </c>
      <c r="D4169" s="28">
        <v>1.3888888888888888E-2</v>
      </c>
    </row>
    <row r="4170" spans="1:4" x14ac:dyDescent="0.25">
      <c r="A4170" s="24" t="s">
        <v>107</v>
      </c>
      <c r="B4170" s="24" t="s">
        <v>104</v>
      </c>
      <c r="C4170" s="32">
        <v>15.103</v>
      </c>
      <c r="D4170" s="28">
        <v>1.4583333333333332E-2</v>
      </c>
    </row>
    <row r="4171" spans="1:4" x14ac:dyDescent="0.25">
      <c r="A4171" s="24" t="s">
        <v>107</v>
      </c>
      <c r="B4171" s="24" t="s">
        <v>105</v>
      </c>
      <c r="C4171" s="32">
        <v>10.849</v>
      </c>
      <c r="D4171" s="28">
        <v>1.7361111111111112E-2</v>
      </c>
    </row>
    <row r="4172" spans="1:4" x14ac:dyDescent="0.25">
      <c r="A4172" s="24" t="s">
        <v>107</v>
      </c>
      <c r="B4172" s="24" t="s">
        <v>106</v>
      </c>
      <c r="C4172" s="32">
        <v>13.938000000000001</v>
      </c>
      <c r="D4172" s="28">
        <v>1.6666666666666666E-2</v>
      </c>
    </row>
    <row r="4173" spans="1:4" x14ac:dyDescent="0.25">
      <c r="A4173" s="24" t="s">
        <v>107</v>
      </c>
      <c r="B4173" s="24" t="s">
        <v>107</v>
      </c>
      <c r="C4173" s="32">
        <v>0</v>
      </c>
      <c r="D4173" s="28">
        <v>0</v>
      </c>
    </row>
    <row r="4174" spans="1:4" x14ac:dyDescent="0.25">
      <c r="A4174" s="24" t="s">
        <v>107</v>
      </c>
      <c r="B4174" s="24" t="s">
        <v>108</v>
      </c>
      <c r="C4174" s="32">
        <v>2.2349999999999999</v>
      </c>
      <c r="D4174" s="28">
        <v>4.1666666666666666E-3</v>
      </c>
    </row>
    <row r="4175" spans="1:4" x14ac:dyDescent="0.25">
      <c r="A4175" s="24" t="s">
        <v>107</v>
      </c>
      <c r="B4175" s="24" t="s">
        <v>109</v>
      </c>
      <c r="C4175" s="32">
        <v>2.2050000000000001</v>
      </c>
      <c r="D4175" s="28">
        <v>4.1666666666666666E-3</v>
      </c>
    </row>
    <row r="4176" spans="1:4" x14ac:dyDescent="0.25">
      <c r="A4176" s="24" t="s">
        <v>107</v>
      </c>
      <c r="B4176" s="24" t="s">
        <v>110</v>
      </c>
      <c r="C4176" s="32">
        <v>15.468</v>
      </c>
      <c r="D4176" s="28">
        <v>1.8055555555555557E-2</v>
      </c>
    </row>
    <row r="4177" spans="1:4" x14ac:dyDescent="0.25">
      <c r="A4177" s="24" t="s">
        <v>107</v>
      </c>
      <c r="B4177" s="24" t="s">
        <v>111</v>
      </c>
      <c r="C4177" s="32">
        <v>11.557</v>
      </c>
      <c r="D4177" s="28">
        <v>1.4583333333333332E-2</v>
      </c>
    </row>
    <row r="4178" spans="1:4" x14ac:dyDescent="0.25">
      <c r="A4178" s="24" t="s">
        <v>107</v>
      </c>
      <c r="B4178" s="24" t="s">
        <v>112</v>
      </c>
      <c r="C4178" s="32">
        <v>3.4860000000000002</v>
      </c>
      <c r="D4178" s="28">
        <v>5.5555555555555558E-3</v>
      </c>
    </row>
    <row r="4179" spans="1:4" x14ac:dyDescent="0.25">
      <c r="A4179" s="24" t="s">
        <v>107</v>
      </c>
      <c r="B4179" s="24" t="s">
        <v>113</v>
      </c>
      <c r="C4179" s="32">
        <v>6.5940000000000003</v>
      </c>
      <c r="D4179" s="28">
        <v>9.0277777777777787E-3</v>
      </c>
    </row>
    <row r="4180" spans="1:4" x14ac:dyDescent="0.25">
      <c r="A4180" s="24" t="s">
        <v>107</v>
      </c>
      <c r="B4180" s="24" t="s">
        <v>114</v>
      </c>
      <c r="C4180" s="32">
        <v>22.876000000000001</v>
      </c>
      <c r="D4180" s="28">
        <v>1.8749999999999999E-2</v>
      </c>
    </row>
    <row r="4181" spans="1:4" x14ac:dyDescent="0.25">
      <c r="A4181" s="24" t="s">
        <v>107</v>
      </c>
      <c r="B4181" s="24" t="s">
        <v>115</v>
      </c>
      <c r="C4181" s="32">
        <v>22.727</v>
      </c>
      <c r="D4181" s="28">
        <v>1.8749999999999999E-2</v>
      </c>
    </row>
    <row r="4182" spans="1:4" x14ac:dyDescent="0.25">
      <c r="A4182" s="24" t="s">
        <v>107</v>
      </c>
      <c r="B4182" s="24" t="s">
        <v>116</v>
      </c>
      <c r="C4182" s="32">
        <v>16.876999999999999</v>
      </c>
      <c r="D4182" s="28">
        <v>1.5972222222222224E-2</v>
      </c>
    </row>
    <row r="4183" spans="1:4" x14ac:dyDescent="0.25">
      <c r="A4183" s="24" t="s">
        <v>107</v>
      </c>
      <c r="B4183" s="24" t="s">
        <v>117</v>
      </c>
      <c r="C4183" s="32">
        <v>18.841999999999999</v>
      </c>
      <c r="D4183" s="28">
        <v>1.9444444444444445E-2</v>
      </c>
    </row>
    <row r="4184" spans="1:4" x14ac:dyDescent="0.25">
      <c r="A4184" s="24" t="s">
        <v>107</v>
      </c>
      <c r="B4184" s="24" t="s">
        <v>118</v>
      </c>
      <c r="C4184" s="32">
        <v>14.725</v>
      </c>
      <c r="D4184" s="28">
        <v>1.3888888888888888E-2</v>
      </c>
    </row>
    <row r="4185" spans="1:4" x14ac:dyDescent="0.25">
      <c r="A4185" s="24" t="s">
        <v>107</v>
      </c>
      <c r="B4185" s="24" t="s">
        <v>119</v>
      </c>
      <c r="C4185" s="32">
        <v>22.847999999999999</v>
      </c>
      <c r="D4185" s="28">
        <v>1.8055555555555557E-2</v>
      </c>
    </row>
    <row r="4186" spans="1:4" x14ac:dyDescent="0.25">
      <c r="A4186" s="24" t="s">
        <v>107</v>
      </c>
      <c r="B4186" s="24" t="s">
        <v>120</v>
      </c>
      <c r="C4186" s="32">
        <v>25.638000000000002</v>
      </c>
      <c r="D4186" s="28">
        <v>2.1527777777777781E-2</v>
      </c>
    </row>
    <row r="4187" spans="1:4" x14ac:dyDescent="0.25">
      <c r="A4187" s="24" t="s">
        <v>107</v>
      </c>
      <c r="B4187" s="24" t="s">
        <v>121</v>
      </c>
      <c r="C4187" s="32">
        <v>39.988999999999997</v>
      </c>
      <c r="D4187" s="28">
        <v>2.8472222222222222E-2</v>
      </c>
    </row>
    <row r="4188" spans="1:4" x14ac:dyDescent="0.25">
      <c r="A4188" s="24" t="s">
        <v>107</v>
      </c>
      <c r="B4188" s="24" t="s">
        <v>122</v>
      </c>
      <c r="C4188" s="32">
        <v>36.953000000000003</v>
      </c>
      <c r="D4188" s="28">
        <v>2.7083333333333334E-2</v>
      </c>
    </row>
    <row r="4189" spans="1:4" x14ac:dyDescent="0.25">
      <c r="A4189" s="24" t="s">
        <v>107</v>
      </c>
      <c r="B4189" s="24" t="s">
        <v>123</v>
      </c>
      <c r="C4189" s="32">
        <v>33.573999999999998</v>
      </c>
      <c r="D4189" s="28">
        <v>2.4305555555555556E-2</v>
      </c>
    </row>
    <row r="4190" spans="1:4" x14ac:dyDescent="0.25">
      <c r="A4190" s="24" t="s">
        <v>107</v>
      </c>
      <c r="B4190" s="24" t="s">
        <v>124</v>
      </c>
      <c r="C4190" s="32">
        <v>33.573999999999998</v>
      </c>
      <c r="D4190" s="28">
        <v>2.4305555555555556E-2</v>
      </c>
    </row>
    <row r="4191" spans="1:4" x14ac:dyDescent="0.25">
      <c r="A4191" s="24" t="s">
        <v>107</v>
      </c>
      <c r="B4191" s="24" t="s">
        <v>125</v>
      </c>
      <c r="C4191" s="32">
        <v>17.773</v>
      </c>
      <c r="D4191" s="28">
        <v>2.1527777777777781E-2</v>
      </c>
    </row>
    <row r="4192" spans="1:4" x14ac:dyDescent="0.25">
      <c r="A4192" s="24" t="s">
        <v>107</v>
      </c>
      <c r="B4192" s="24" t="s">
        <v>126</v>
      </c>
      <c r="C4192" s="32">
        <v>17.510999999999999</v>
      </c>
      <c r="D4192" s="28">
        <v>2.0833333333333332E-2</v>
      </c>
    </row>
    <row r="4193" spans="1:4" x14ac:dyDescent="0.25">
      <c r="A4193" s="24" t="s">
        <v>107</v>
      </c>
      <c r="B4193" s="24" t="s">
        <v>127</v>
      </c>
      <c r="C4193" s="32">
        <v>20.318000000000001</v>
      </c>
      <c r="D4193" s="28">
        <v>2.0833333333333332E-2</v>
      </c>
    </row>
    <row r="4194" spans="1:4" x14ac:dyDescent="0.25">
      <c r="A4194" s="24" t="s">
        <v>107</v>
      </c>
      <c r="B4194" s="24" t="s">
        <v>128</v>
      </c>
      <c r="C4194" s="32">
        <v>16.584</v>
      </c>
      <c r="D4194" s="28">
        <v>1.9444444444444445E-2</v>
      </c>
    </row>
    <row r="4195" spans="1:4" x14ac:dyDescent="0.25">
      <c r="A4195" s="24" t="s">
        <v>107</v>
      </c>
      <c r="B4195" s="24" t="s">
        <v>129</v>
      </c>
      <c r="C4195" s="32">
        <v>16.584</v>
      </c>
      <c r="D4195" s="28">
        <v>1.9444444444444445E-2</v>
      </c>
    </row>
    <row r="4196" spans="1:4" x14ac:dyDescent="0.25">
      <c r="A4196" s="24" t="s">
        <v>107</v>
      </c>
      <c r="B4196" s="24" t="s">
        <v>130</v>
      </c>
      <c r="C4196" s="32">
        <v>18.173999999999999</v>
      </c>
      <c r="D4196" s="28">
        <v>2.2222222222222223E-2</v>
      </c>
    </row>
    <row r="4197" spans="1:4" x14ac:dyDescent="0.25">
      <c r="A4197" s="24" t="s">
        <v>107</v>
      </c>
      <c r="B4197" s="24" t="s">
        <v>131</v>
      </c>
      <c r="C4197" s="32">
        <v>19.309999999999999</v>
      </c>
      <c r="D4197" s="28">
        <v>2.1527777777777781E-2</v>
      </c>
    </row>
    <row r="4198" spans="1:4" x14ac:dyDescent="0.25">
      <c r="A4198" s="24" t="s">
        <v>107</v>
      </c>
      <c r="B4198" s="24" t="s">
        <v>132</v>
      </c>
      <c r="C4198" s="32">
        <v>22.881</v>
      </c>
      <c r="D4198" s="28">
        <v>2.5694444444444447E-2</v>
      </c>
    </row>
    <row r="4199" spans="1:4" x14ac:dyDescent="0.25">
      <c r="A4199" s="24" t="s">
        <v>107</v>
      </c>
      <c r="B4199" s="24" t="s">
        <v>133</v>
      </c>
      <c r="C4199" s="32">
        <v>10.429</v>
      </c>
      <c r="D4199" s="28">
        <v>1.3194444444444444E-2</v>
      </c>
    </row>
    <row r="4200" spans="1:4" x14ac:dyDescent="0.25">
      <c r="A4200" s="24" t="s">
        <v>107</v>
      </c>
      <c r="B4200" s="24" t="s">
        <v>134</v>
      </c>
      <c r="C4200" s="32">
        <v>9.9629999999999992</v>
      </c>
      <c r="D4200" s="28">
        <v>1.2499999999999999E-2</v>
      </c>
    </row>
    <row r="4201" spans="1:4" x14ac:dyDescent="0.25">
      <c r="A4201" s="24" t="s">
        <v>107</v>
      </c>
      <c r="B4201" s="24" t="s">
        <v>135</v>
      </c>
      <c r="C4201" s="32">
        <v>12.112</v>
      </c>
      <c r="D4201" s="28">
        <v>1.5277777777777777E-2</v>
      </c>
    </row>
    <row r="4202" spans="1:4" x14ac:dyDescent="0.25">
      <c r="A4202" s="24" t="s">
        <v>107</v>
      </c>
      <c r="B4202" s="24" t="s">
        <v>136</v>
      </c>
      <c r="C4202" s="32">
        <v>12.112</v>
      </c>
      <c r="D4202" s="28">
        <v>1.5277777777777777E-2</v>
      </c>
    </row>
    <row r="4203" spans="1:4" x14ac:dyDescent="0.25">
      <c r="A4203" s="24" t="s">
        <v>107</v>
      </c>
      <c r="B4203" s="24" t="s">
        <v>137</v>
      </c>
      <c r="C4203" s="32">
        <v>11.721</v>
      </c>
      <c r="D4203" s="28">
        <v>1.4583333333333332E-2</v>
      </c>
    </row>
    <row r="4204" spans="1:4" x14ac:dyDescent="0.25">
      <c r="A4204" s="24" t="s">
        <v>107</v>
      </c>
      <c r="B4204" s="24" t="s">
        <v>138</v>
      </c>
      <c r="C4204" s="32">
        <v>11.661</v>
      </c>
      <c r="D4204" s="28">
        <v>1.2499999999999999E-2</v>
      </c>
    </row>
    <row r="4205" spans="1:4" x14ac:dyDescent="0.25">
      <c r="A4205" s="24" t="s">
        <v>107</v>
      </c>
      <c r="B4205" s="24" t="s">
        <v>139</v>
      </c>
      <c r="C4205" s="32">
        <v>22.809000000000001</v>
      </c>
      <c r="D4205" s="28">
        <v>1.5972222222222224E-2</v>
      </c>
    </row>
    <row r="4206" spans="1:4" x14ac:dyDescent="0.25">
      <c r="A4206" s="24" t="s">
        <v>107</v>
      </c>
      <c r="B4206" s="24" t="s">
        <v>140</v>
      </c>
      <c r="C4206" s="32">
        <v>23.120999999999999</v>
      </c>
      <c r="D4206" s="28">
        <v>1.8055555555555557E-2</v>
      </c>
    </row>
    <row r="4207" spans="1:4" x14ac:dyDescent="0.25">
      <c r="A4207" s="24" t="s">
        <v>107</v>
      </c>
      <c r="B4207" s="24" t="s">
        <v>141</v>
      </c>
      <c r="C4207" s="32">
        <v>47.52</v>
      </c>
      <c r="D4207" s="28">
        <v>3.5416666666666666E-2</v>
      </c>
    </row>
    <row r="4208" spans="1:4" x14ac:dyDescent="0.25">
      <c r="A4208" s="24" t="s">
        <v>107</v>
      </c>
      <c r="B4208" s="24" t="s">
        <v>142</v>
      </c>
      <c r="C4208" s="32">
        <v>45.607999999999997</v>
      </c>
      <c r="D4208" s="28">
        <v>2.7777777777777776E-2</v>
      </c>
    </row>
    <row r="4209" spans="1:4" x14ac:dyDescent="0.25">
      <c r="A4209" s="24" t="s">
        <v>107</v>
      </c>
      <c r="B4209" s="24" t="s">
        <v>143</v>
      </c>
      <c r="C4209" s="32">
        <v>63.985999999999997</v>
      </c>
      <c r="D4209" s="28">
        <v>3.4722222222222224E-2</v>
      </c>
    </row>
    <row r="4210" spans="1:4" x14ac:dyDescent="0.25">
      <c r="A4210" s="24" t="s">
        <v>107</v>
      </c>
      <c r="B4210" s="24" t="s">
        <v>144</v>
      </c>
      <c r="C4210" s="32">
        <v>83.102000000000004</v>
      </c>
      <c r="D4210" s="28">
        <v>4.5833333333333337E-2</v>
      </c>
    </row>
    <row r="4211" spans="1:4" x14ac:dyDescent="0.25">
      <c r="A4211" s="24" t="s">
        <v>107</v>
      </c>
      <c r="B4211" s="24" t="s">
        <v>145</v>
      </c>
      <c r="C4211" s="32">
        <v>27.616</v>
      </c>
      <c r="D4211" s="28">
        <v>2.0833333333333332E-2</v>
      </c>
    </row>
    <row r="4212" spans="1:4" x14ac:dyDescent="0.25">
      <c r="A4212" s="24" t="s">
        <v>107</v>
      </c>
      <c r="B4212" s="24" t="s">
        <v>146</v>
      </c>
      <c r="C4212" s="32">
        <v>43.075000000000003</v>
      </c>
      <c r="D4212" s="28">
        <v>2.8472222222222222E-2</v>
      </c>
    </row>
    <row r="4213" spans="1:4" x14ac:dyDescent="0.25">
      <c r="A4213" s="24" t="s">
        <v>107</v>
      </c>
      <c r="B4213" s="24" t="s">
        <v>147</v>
      </c>
      <c r="C4213" s="32">
        <v>14.090999999999999</v>
      </c>
      <c r="D4213" s="28">
        <v>1.5972222222222224E-2</v>
      </c>
    </row>
    <row r="4214" spans="1:4" x14ac:dyDescent="0.25">
      <c r="A4214" s="24" t="s">
        <v>107</v>
      </c>
      <c r="B4214" s="24" t="s">
        <v>148</v>
      </c>
      <c r="C4214" s="32">
        <v>17.175000000000001</v>
      </c>
      <c r="D4214" s="28">
        <v>1.8055555555555557E-2</v>
      </c>
    </row>
    <row r="4215" spans="1:4" x14ac:dyDescent="0.25">
      <c r="A4215" s="24" t="s">
        <v>107</v>
      </c>
      <c r="B4215" s="24" t="s">
        <v>149</v>
      </c>
      <c r="C4215" s="32">
        <v>22.986999999999998</v>
      </c>
      <c r="D4215" s="28">
        <v>2.5694444444444447E-2</v>
      </c>
    </row>
    <row r="4216" spans="1:4" x14ac:dyDescent="0.25">
      <c r="A4216" s="24" t="s">
        <v>107</v>
      </c>
      <c r="B4216" s="24" t="s">
        <v>150</v>
      </c>
      <c r="C4216" s="32">
        <v>32.473999999999997</v>
      </c>
      <c r="D4216" s="28">
        <v>3.4722222222222224E-2</v>
      </c>
    </row>
    <row r="4217" spans="1:4" x14ac:dyDescent="0.25">
      <c r="A4217" s="24" t="s">
        <v>107</v>
      </c>
      <c r="B4217" s="24" t="s">
        <v>151</v>
      </c>
      <c r="C4217" s="32">
        <v>31.731999999999999</v>
      </c>
      <c r="D4217" s="28">
        <v>3.4722222222222224E-2</v>
      </c>
    </row>
    <row r="4218" spans="1:4" x14ac:dyDescent="0.25">
      <c r="A4218" s="24" t="s">
        <v>107</v>
      </c>
      <c r="B4218" s="24" t="s">
        <v>152</v>
      </c>
      <c r="C4218" s="32">
        <v>38.378999999999998</v>
      </c>
      <c r="D4218" s="28">
        <v>3.7499999999999999E-2</v>
      </c>
    </row>
    <row r="4219" spans="1:4" x14ac:dyDescent="0.25">
      <c r="A4219" s="24" t="s">
        <v>107</v>
      </c>
      <c r="B4219" s="24" t="s">
        <v>153</v>
      </c>
      <c r="C4219" s="32">
        <v>41.331000000000003</v>
      </c>
      <c r="D4219" s="28">
        <v>4.3055555555555562E-2</v>
      </c>
    </row>
    <row r="4220" spans="1:4" x14ac:dyDescent="0.25">
      <c r="A4220" s="24" t="s">
        <v>107</v>
      </c>
      <c r="B4220" s="24" t="s">
        <v>154</v>
      </c>
      <c r="C4220" s="32">
        <v>36.149000000000001</v>
      </c>
      <c r="D4220" s="28">
        <v>3.7499999999999999E-2</v>
      </c>
    </row>
    <row r="4221" spans="1:4" x14ac:dyDescent="0.25">
      <c r="A4221" s="24" t="s">
        <v>107</v>
      </c>
      <c r="B4221" s="24" t="s">
        <v>155</v>
      </c>
      <c r="C4221" s="32">
        <v>33.375999999999998</v>
      </c>
      <c r="D4221" s="28">
        <v>3.4722222222222224E-2</v>
      </c>
    </row>
    <row r="4222" spans="1:4" x14ac:dyDescent="0.25">
      <c r="A4222" s="24" t="s">
        <v>107</v>
      </c>
      <c r="B4222" s="24" t="s">
        <v>156</v>
      </c>
      <c r="C4222" s="32">
        <v>33.36</v>
      </c>
      <c r="D4222" s="28">
        <v>3.4722222222222224E-2</v>
      </c>
    </row>
    <row r="4223" spans="1:4" x14ac:dyDescent="0.25">
      <c r="A4223" s="24" t="s">
        <v>107</v>
      </c>
      <c r="B4223" s="24" t="s">
        <v>157</v>
      </c>
      <c r="C4223" s="32">
        <v>41.645000000000003</v>
      </c>
      <c r="D4223" s="28">
        <v>3.6111111111111115E-2</v>
      </c>
    </row>
    <row r="4224" spans="1:4" x14ac:dyDescent="0.25">
      <c r="A4224" s="24" t="s">
        <v>107</v>
      </c>
      <c r="B4224" s="24" t="s">
        <v>158</v>
      </c>
      <c r="C4224" s="32">
        <v>48.465000000000003</v>
      </c>
      <c r="D4224" s="28">
        <v>4.4444444444444446E-2</v>
      </c>
    </row>
    <row r="4225" spans="1:4" x14ac:dyDescent="0.25">
      <c r="A4225" s="24" t="s">
        <v>107</v>
      </c>
      <c r="B4225" s="24" t="s">
        <v>159</v>
      </c>
      <c r="C4225" s="32">
        <v>52.454000000000001</v>
      </c>
      <c r="D4225" s="28">
        <v>4.5138888888888888E-2</v>
      </c>
    </row>
    <row r="4226" spans="1:4" x14ac:dyDescent="0.25">
      <c r="A4226" s="24" t="s">
        <v>108</v>
      </c>
      <c r="B4226" s="24" t="s">
        <v>65</v>
      </c>
      <c r="C4226" s="32">
        <v>17.709</v>
      </c>
      <c r="D4226" s="28">
        <v>1.3194444444444444E-2</v>
      </c>
    </row>
    <row r="4227" spans="1:4" x14ac:dyDescent="0.25">
      <c r="A4227" s="24" t="s">
        <v>108</v>
      </c>
      <c r="B4227" s="24" t="s">
        <v>64</v>
      </c>
      <c r="C4227" s="32">
        <v>13.308</v>
      </c>
      <c r="D4227" s="28">
        <v>1.5277777777777777E-2</v>
      </c>
    </row>
    <row r="4228" spans="1:4" x14ac:dyDescent="0.25">
      <c r="A4228" s="24" t="s">
        <v>108</v>
      </c>
      <c r="B4228" s="24" t="s">
        <v>66</v>
      </c>
      <c r="C4228" s="32">
        <v>21.643999999999998</v>
      </c>
      <c r="D4228" s="28">
        <v>2.013888888888889E-2</v>
      </c>
    </row>
    <row r="4229" spans="1:4" x14ac:dyDescent="0.25">
      <c r="A4229" s="24" t="s">
        <v>108</v>
      </c>
      <c r="B4229" s="24" t="s">
        <v>67</v>
      </c>
      <c r="C4229" s="32">
        <v>17.925999999999998</v>
      </c>
      <c r="D4229" s="28">
        <v>1.8749999999999999E-2</v>
      </c>
    </row>
    <row r="4230" spans="1:4" x14ac:dyDescent="0.25">
      <c r="A4230" s="24" t="s">
        <v>108</v>
      </c>
      <c r="B4230" s="24" t="s">
        <v>68</v>
      </c>
      <c r="C4230" s="32">
        <v>25.869</v>
      </c>
      <c r="D4230" s="28">
        <v>1.8749999999999999E-2</v>
      </c>
    </row>
    <row r="4231" spans="1:4" x14ac:dyDescent="0.25">
      <c r="A4231" s="24" t="s">
        <v>108</v>
      </c>
      <c r="B4231" s="24" t="s">
        <v>69</v>
      </c>
      <c r="C4231" s="32">
        <v>20.047999999999998</v>
      </c>
      <c r="D4231" s="28">
        <v>2.0833333333333332E-2</v>
      </c>
    </row>
    <row r="4232" spans="1:4" x14ac:dyDescent="0.25">
      <c r="A4232" s="24" t="s">
        <v>108</v>
      </c>
      <c r="B4232" s="24" t="s">
        <v>70</v>
      </c>
      <c r="C4232" s="32">
        <v>26.332999999999998</v>
      </c>
      <c r="D4232" s="28">
        <v>1.9444444444444445E-2</v>
      </c>
    </row>
    <row r="4233" spans="1:4" x14ac:dyDescent="0.25">
      <c r="A4233" s="24" t="s">
        <v>108</v>
      </c>
      <c r="B4233" s="24" t="s">
        <v>71</v>
      </c>
      <c r="C4233" s="32">
        <v>18.297000000000001</v>
      </c>
      <c r="D4233" s="28">
        <v>2.013888888888889E-2</v>
      </c>
    </row>
    <row r="4234" spans="1:4" x14ac:dyDescent="0.25">
      <c r="A4234" s="24" t="s">
        <v>108</v>
      </c>
      <c r="B4234" s="24" t="s">
        <v>72</v>
      </c>
      <c r="C4234" s="32">
        <v>25.469000000000001</v>
      </c>
      <c r="D4234" s="28">
        <v>1.8749999999999999E-2</v>
      </c>
    </row>
    <row r="4235" spans="1:4" x14ac:dyDescent="0.25">
      <c r="A4235" s="24" t="s">
        <v>108</v>
      </c>
      <c r="B4235" s="24" t="s">
        <v>73</v>
      </c>
      <c r="C4235" s="32">
        <v>17.132999999999999</v>
      </c>
      <c r="D4235" s="28">
        <v>1.7361111111111112E-2</v>
      </c>
    </row>
    <row r="4236" spans="1:4" x14ac:dyDescent="0.25">
      <c r="A4236" s="24" t="s">
        <v>108</v>
      </c>
      <c r="B4236" s="24" t="s">
        <v>74</v>
      </c>
      <c r="C4236" s="32">
        <v>16.103000000000002</v>
      </c>
      <c r="D4236" s="28">
        <v>1.5972222222222224E-2</v>
      </c>
    </row>
    <row r="4237" spans="1:4" x14ac:dyDescent="0.25">
      <c r="A4237" s="24" t="s">
        <v>108</v>
      </c>
      <c r="B4237" s="24" t="s">
        <v>75</v>
      </c>
      <c r="C4237" s="32">
        <v>15.138999999999999</v>
      </c>
      <c r="D4237" s="28">
        <v>1.4583333333333332E-2</v>
      </c>
    </row>
    <row r="4238" spans="1:4" x14ac:dyDescent="0.25">
      <c r="A4238" s="24" t="s">
        <v>108</v>
      </c>
      <c r="B4238" s="24" t="s">
        <v>76</v>
      </c>
      <c r="C4238" s="32">
        <v>20.523</v>
      </c>
      <c r="D4238" s="28">
        <v>1.7361111111111112E-2</v>
      </c>
    </row>
    <row r="4239" spans="1:4" x14ac:dyDescent="0.25">
      <c r="A4239" s="24" t="s">
        <v>108</v>
      </c>
      <c r="B4239" s="24" t="s">
        <v>77</v>
      </c>
      <c r="C4239" s="32">
        <v>28.437000000000001</v>
      </c>
      <c r="D4239" s="28">
        <v>2.013888888888889E-2</v>
      </c>
    </row>
    <row r="4240" spans="1:4" x14ac:dyDescent="0.25">
      <c r="A4240" s="24" t="s">
        <v>108</v>
      </c>
      <c r="B4240" s="24" t="s">
        <v>78</v>
      </c>
      <c r="C4240" s="32">
        <v>29.31</v>
      </c>
      <c r="D4240" s="28">
        <v>2.1527777777777781E-2</v>
      </c>
    </row>
    <row r="4241" spans="1:4" x14ac:dyDescent="0.25">
      <c r="A4241" s="24" t="s">
        <v>108</v>
      </c>
      <c r="B4241" s="24" t="s">
        <v>79</v>
      </c>
      <c r="C4241" s="32">
        <v>40.164999999999999</v>
      </c>
      <c r="D4241" s="28">
        <v>3.2638888888888891E-2</v>
      </c>
    </row>
    <row r="4242" spans="1:4" x14ac:dyDescent="0.25">
      <c r="A4242" s="24" t="s">
        <v>108</v>
      </c>
      <c r="B4242" s="24" t="s">
        <v>80</v>
      </c>
      <c r="C4242" s="32">
        <v>21.023</v>
      </c>
      <c r="D4242" s="28">
        <v>1.5972222222222224E-2</v>
      </c>
    </row>
    <row r="4243" spans="1:4" x14ac:dyDescent="0.25">
      <c r="A4243" s="24" t="s">
        <v>108</v>
      </c>
      <c r="B4243" s="24" t="s">
        <v>81</v>
      </c>
      <c r="C4243" s="32">
        <v>20.213000000000001</v>
      </c>
      <c r="D4243" s="28">
        <v>1.5972222222222224E-2</v>
      </c>
    </row>
    <row r="4244" spans="1:4" x14ac:dyDescent="0.25">
      <c r="A4244" s="24" t="s">
        <v>108</v>
      </c>
      <c r="B4244" s="24" t="s">
        <v>82</v>
      </c>
      <c r="C4244" s="32">
        <v>20.265000000000001</v>
      </c>
      <c r="D4244" s="28">
        <v>1.5972222222222224E-2</v>
      </c>
    </row>
    <row r="4245" spans="1:4" x14ac:dyDescent="0.25">
      <c r="A4245" s="24" t="s">
        <v>108</v>
      </c>
      <c r="B4245" s="24" t="s">
        <v>83</v>
      </c>
      <c r="C4245" s="32">
        <v>11.260999999999999</v>
      </c>
      <c r="D4245" s="28">
        <v>1.2499999999999999E-2</v>
      </c>
    </row>
    <row r="4246" spans="1:4" x14ac:dyDescent="0.25">
      <c r="A4246" s="24" t="s">
        <v>108</v>
      </c>
      <c r="B4246" s="24" t="s">
        <v>84</v>
      </c>
      <c r="C4246" s="32">
        <v>13.03</v>
      </c>
      <c r="D4246" s="28">
        <v>1.1805555555555555E-2</v>
      </c>
    </row>
    <row r="4247" spans="1:4" x14ac:dyDescent="0.25">
      <c r="A4247" s="24" t="s">
        <v>108</v>
      </c>
      <c r="B4247" s="24" t="s">
        <v>85</v>
      </c>
      <c r="C4247" s="32">
        <v>12.664</v>
      </c>
      <c r="D4247" s="28">
        <v>1.1805555555555555E-2</v>
      </c>
    </row>
    <row r="4248" spans="1:4" x14ac:dyDescent="0.25">
      <c r="A4248" s="24" t="s">
        <v>108</v>
      </c>
      <c r="B4248" s="24" t="s">
        <v>86</v>
      </c>
      <c r="C4248" s="32">
        <v>8.3079999999999998</v>
      </c>
      <c r="D4248" s="28">
        <v>9.7222222222222224E-3</v>
      </c>
    </row>
    <row r="4249" spans="1:4" x14ac:dyDescent="0.25">
      <c r="A4249" s="24" t="s">
        <v>108</v>
      </c>
      <c r="B4249" s="24" t="s">
        <v>87</v>
      </c>
      <c r="C4249" s="32">
        <v>8.0860000000000003</v>
      </c>
      <c r="D4249" s="28">
        <v>9.7222222222222224E-3</v>
      </c>
    </row>
    <row r="4250" spans="1:4" x14ac:dyDescent="0.25">
      <c r="A4250" s="24" t="s">
        <v>108</v>
      </c>
      <c r="B4250" s="24" t="s">
        <v>88</v>
      </c>
      <c r="C4250" s="32">
        <v>9.1649999999999991</v>
      </c>
      <c r="D4250" s="28">
        <v>1.0416666666666666E-2</v>
      </c>
    </row>
    <row r="4251" spans="1:4" x14ac:dyDescent="0.25">
      <c r="A4251" s="24" t="s">
        <v>108</v>
      </c>
      <c r="B4251" s="24" t="s">
        <v>89</v>
      </c>
      <c r="C4251" s="32">
        <v>12.362</v>
      </c>
      <c r="D4251" s="28">
        <v>1.1805555555555555E-2</v>
      </c>
    </row>
    <row r="4252" spans="1:4" x14ac:dyDescent="0.25">
      <c r="A4252" s="24" t="s">
        <v>108</v>
      </c>
      <c r="B4252" s="24" t="s">
        <v>90</v>
      </c>
      <c r="C4252" s="32">
        <v>20.646000000000001</v>
      </c>
      <c r="D4252" s="28">
        <v>1.5277777777777777E-2</v>
      </c>
    </row>
    <row r="4253" spans="1:4" x14ac:dyDescent="0.25">
      <c r="A4253" s="24" t="s">
        <v>108</v>
      </c>
      <c r="B4253" s="24" t="s">
        <v>91</v>
      </c>
      <c r="C4253" s="32">
        <v>10.712999999999999</v>
      </c>
      <c r="D4253" s="28">
        <v>1.2499999999999999E-2</v>
      </c>
    </row>
    <row r="4254" spans="1:4" x14ac:dyDescent="0.25">
      <c r="A4254" s="24" t="s">
        <v>108</v>
      </c>
      <c r="B4254" s="24" t="s">
        <v>92</v>
      </c>
      <c r="C4254" s="32">
        <v>19.094999999999999</v>
      </c>
      <c r="D4254" s="28">
        <v>1.5277777777777777E-2</v>
      </c>
    </row>
    <row r="4255" spans="1:4" x14ac:dyDescent="0.25">
      <c r="A4255" s="24" t="s">
        <v>108</v>
      </c>
      <c r="B4255" s="24" t="s">
        <v>93</v>
      </c>
      <c r="C4255" s="32">
        <v>42.826000000000001</v>
      </c>
      <c r="D4255" s="28">
        <v>2.8472222222222222E-2</v>
      </c>
    </row>
    <row r="4256" spans="1:4" x14ac:dyDescent="0.25">
      <c r="A4256" s="24" t="s">
        <v>108</v>
      </c>
      <c r="B4256" s="24" t="s">
        <v>94</v>
      </c>
      <c r="C4256" s="32">
        <v>43.454999999999998</v>
      </c>
      <c r="D4256" s="28">
        <v>2.9166666666666664E-2</v>
      </c>
    </row>
    <row r="4257" spans="1:4" x14ac:dyDescent="0.25">
      <c r="A4257" s="24" t="s">
        <v>108</v>
      </c>
      <c r="B4257" s="24" t="s">
        <v>95</v>
      </c>
      <c r="C4257" s="32">
        <v>20.552</v>
      </c>
      <c r="D4257" s="28">
        <v>1.7361111111111112E-2</v>
      </c>
    </row>
    <row r="4258" spans="1:4" x14ac:dyDescent="0.25">
      <c r="A4258" s="24" t="s">
        <v>108</v>
      </c>
      <c r="B4258" s="24" t="s">
        <v>96</v>
      </c>
      <c r="C4258" s="32">
        <v>27.913</v>
      </c>
      <c r="D4258" s="28">
        <v>2.361111111111111E-2</v>
      </c>
    </row>
    <row r="4259" spans="1:4" x14ac:dyDescent="0.25">
      <c r="A4259" s="24" t="s">
        <v>108</v>
      </c>
      <c r="B4259" s="24" t="s">
        <v>97</v>
      </c>
      <c r="C4259" s="32">
        <v>36.283999999999999</v>
      </c>
      <c r="D4259" s="28">
        <v>2.9166666666666664E-2</v>
      </c>
    </row>
    <row r="4260" spans="1:4" x14ac:dyDescent="0.25">
      <c r="A4260" s="24" t="s">
        <v>108</v>
      </c>
      <c r="B4260" s="24" t="s">
        <v>98</v>
      </c>
      <c r="C4260" s="32">
        <v>28.224</v>
      </c>
      <c r="D4260" s="28">
        <v>2.2222222222222223E-2</v>
      </c>
    </row>
    <row r="4261" spans="1:4" x14ac:dyDescent="0.25">
      <c r="A4261" s="24" t="s">
        <v>108</v>
      </c>
      <c r="B4261" s="24" t="s">
        <v>99</v>
      </c>
      <c r="C4261" s="32">
        <v>32.643999999999998</v>
      </c>
      <c r="D4261" s="28">
        <v>2.4999999999999998E-2</v>
      </c>
    </row>
    <row r="4262" spans="1:4" x14ac:dyDescent="0.25">
      <c r="A4262" s="24" t="s">
        <v>108</v>
      </c>
      <c r="B4262" s="24" t="s">
        <v>100</v>
      </c>
      <c r="C4262" s="32">
        <v>25.638000000000002</v>
      </c>
      <c r="D4262" s="28">
        <v>1.8749999999999999E-2</v>
      </c>
    </row>
    <row r="4263" spans="1:4" x14ac:dyDescent="0.25">
      <c r="A4263" s="24" t="s">
        <v>108</v>
      </c>
      <c r="B4263" s="24" t="s">
        <v>101</v>
      </c>
      <c r="C4263" s="32">
        <v>27.274999999999999</v>
      </c>
      <c r="D4263" s="28">
        <v>2.2222222222222223E-2</v>
      </c>
    </row>
    <row r="4264" spans="1:4" x14ac:dyDescent="0.25">
      <c r="A4264" s="24" t="s">
        <v>108</v>
      </c>
      <c r="B4264" s="24" t="s">
        <v>102</v>
      </c>
      <c r="C4264" s="32">
        <v>26.702000000000002</v>
      </c>
      <c r="D4264" s="28">
        <v>2.1527777777777781E-2</v>
      </c>
    </row>
    <row r="4265" spans="1:4" x14ac:dyDescent="0.25">
      <c r="A4265" s="24" t="s">
        <v>108</v>
      </c>
      <c r="B4265" s="24" t="s">
        <v>103</v>
      </c>
      <c r="C4265" s="32">
        <v>14.834</v>
      </c>
      <c r="D4265" s="28">
        <v>1.2499999999999999E-2</v>
      </c>
    </row>
    <row r="4266" spans="1:4" x14ac:dyDescent="0.25">
      <c r="A4266" s="24" t="s">
        <v>108</v>
      </c>
      <c r="B4266" s="24" t="s">
        <v>104</v>
      </c>
      <c r="C4266" s="32">
        <v>16.317</v>
      </c>
      <c r="D4266" s="28">
        <v>1.3194444444444444E-2</v>
      </c>
    </row>
    <row r="4267" spans="1:4" x14ac:dyDescent="0.25">
      <c r="A4267" s="24" t="s">
        <v>108</v>
      </c>
      <c r="B4267" s="24" t="s">
        <v>105</v>
      </c>
      <c r="C4267" s="32">
        <v>13.664</v>
      </c>
      <c r="D4267" s="28">
        <v>1.5972222222222224E-2</v>
      </c>
    </row>
    <row r="4268" spans="1:4" x14ac:dyDescent="0.25">
      <c r="A4268" s="24" t="s">
        <v>108</v>
      </c>
      <c r="B4268" s="24" t="s">
        <v>106</v>
      </c>
      <c r="C4268" s="32">
        <v>16.753</v>
      </c>
      <c r="D4268" s="28">
        <v>1.5277777777777777E-2</v>
      </c>
    </row>
    <row r="4269" spans="1:4" x14ac:dyDescent="0.25">
      <c r="A4269" s="24" t="s">
        <v>108</v>
      </c>
      <c r="B4269" s="24" t="s">
        <v>107</v>
      </c>
      <c r="C4269" s="32">
        <v>2.3170000000000002</v>
      </c>
      <c r="D4269" s="28">
        <v>4.8611111111111112E-3</v>
      </c>
    </row>
    <row r="4270" spans="1:4" x14ac:dyDescent="0.25">
      <c r="A4270" s="24" t="s">
        <v>108</v>
      </c>
      <c r="B4270" s="24" t="s">
        <v>108</v>
      </c>
      <c r="C4270" s="32">
        <v>0</v>
      </c>
      <c r="D4270" s="28">
        <v>0</v>
      </c>
    </row>
    <row r="4271" spans="1:4" x14ac:dyDescent="0.25">
      <c r="A4271" s="24" t="s">
        <v>108</v>
      </c>
      <c r="B4271" s="24" t="s">
        <v>109</v>
      </c>
      <c r="C4271" s="32">
        <v>0.03</v>
      </c>
      <c r="D4271" s="28">
        <v>0</v>
      </c>
    </row>
    <row r="4272" spans="1:4" x14ac:dyDescent="0.25">
      <c r="A4272" s="24" t="s">
        <v>108</v>
      </c>
      <c r="B4272" s="24" t="s">
        <v>110</v>
      </c>
      <c r="C4272" s="32">
        <v>18.283000000000001</v>
      </c>
      <c r="D4272" s="28">
        <v>1.6666666666666666E-2</v>
      </c>
    </row>
    <row r="4273" spans="1:4" x14ac:dyDescent="0.25">
      <c r="A4273" s="24" t="s">
        <v>108</v>
      </c>
      <c r="B4273" s="24" t="s">
        <v>111</v>
      </c>
      <c r="C4273" s="32">
        <v>16.809999999999999</v>
      </c>
      <c r="D4273" s="28">
        <v>1.3194444444444444E-2</v>
      </c>
    </row>
    <row r="4274" spans="1:4" x14ac:dyDescent="0.25">
      <c r="A4274" s="24" t="s">
        <v>108</v>
      </c>
      <c r="B4274" s="24" t="s">
        <v>112</v>
      </c>
      <c r="C4274" s="32">
        <v>2.593</v>
      </c>
      <c r="D4274" s="28">
        <v>4.8611111111111112E-3</v>
      </c>
    </row>
    <row r="4275" spans="1:4" x14ac:dyDescent="0.25">
      <c r="A4275" s="24" t="s">
        <v>108</v>
      </c>
      <c r="B4275" s="24" t="s">
        <v>113</v>
      </c>
      <c r="C4275" s="32">
        <v>6.1269999999999998</v>
      </c>
      <c r="D4275" s="28">
        <v>6.9444444444444441E-3</v>
      </c>
    </row>
    <row r="4276" spans="1:4" x14ac:dyDescent="0.25">
      <c r="A4276" s="24" t="s">
        <v>108</v>
      </c>
      <c r="B4276" s="24" t="s">
        <v>114</v>
      </c>
      <c r="C4276" s="32">
        <v>24.09</v>
      </c>
      <c r="D4276" s="28">
        <v>1.6666666666666666E-2</v>
      </c>
    </row>
    <row r="4277" spans="1:4" x14ac:dyDescent="0.25">
      <c r="A4277" s="24" t="s">
        <v>108</v>
      </c>
      <c r="B4277" s="24" t="s">
        <v>115</v>
      </c>
      <c r="C4277" s="32">
        <v>23.940999999999999</v>
      </c>
      <c r="D4277" s="28">
        <v>1.7361111111111112E-2</v>
      </c>
    </row>
    <row r="4278" spans="1:4" x14ac:dyDescent="0.25">
      <c r="A4278" s="24" t="s">
        <v>108</v>
      </c>
      <c r="B4278" s="24" t="s">
        <v>116</v>
      </c>
      <c r="C4278" s="32">
        <v>18.091000000000001</v>
      </c>
      <c r="D4278" s="28">
        <v>1.4583333333333332E-2</v>
      </c>
    </row>
    <row r="4279" spans="1:4" x14ac:dyDescent="0.25">
      <c r="A4279" s="24" t="s">
        <v>108</v>
      </c>
      <c r="B4279" s="24" t="s">
        <v>117</v>
      </c>
      <c r="C4279" s="32">
        <v>20.056000000000001</v>
      </c>
      <c r="D4279" s="28">
        <v>1.8055555555555557E-2</v>
      </c>
    </row>
    <row r="4280" spans="1:4" x14ac:dyDescent="0.25">
      <c r="A4280" s="24" t="s">
        <v>108</v>
      </c>
      <c r="B4280" s="24" t="s">
        <v>118</v>
      </c>
      <c r="C4280" s="32">
        <v>15.939</v>
      </c>
      <c r="D4280" s="28">
        <v>1.1805555555555555E-2</v>
      </c>
    </row>
    <row r="4281" spans="1:4" x14ac:dyDescent="0.25">
      <c r="A4281" s="24" t="s">
        <v>108</v>
      </c>
      <c r="B4281" s="24" t="s">
        <v>119</v>
      </c>
      <c r="C4281" s="32">
        <v>22.381</v>
      </c>
      <c r="D4281" s="28">
        <v>1.5972222222222224E-2</v>
      </c>
    </row>
    <row r="4282" spans="1:4" x14ac:dyDescent="0.25">
      <c r="A4282" s="24" t="s">
        <v>108</v>
      </c>
      <c r="B4282" s="24" t="s">
        <v>120</v>
      </c>
      <c r="C4282" s="32">
        <v>25.170999999999999</v>
      </c>
      <c r="D4282" s="28">
        <v>1.9444444444444445E-2</v>
      </c>
    </row>
    <row r="4283" spans="1:4" x14ac:dyDescent="0.25">
      <c r="A4283" s="24" t="s">
        <v>108</v>
      </c>
      <c r="B4283" s="24" t="s">
        <v>121</v>
      </c>
      <c r="C4283" s="32">
        <v>39.521999999999998</v>
      </c>
      <c r="D4283" s="28">
        <v>2.6388888888888889E-2</v>
      </c>
    </row>
    <row r="4284" spans="1:4" x14ac:dyDescent="0.25">
      <c r="A4284" s="24" t="s">
        <v>108</v>
      </c>
      <c r="B4284" s="24" t="s">
        <v>122</v>
      </c>
      <c r="C4284" s="32">
        <v>36.485999999999997</v>
      </c>
      <c r="D4284" s="28">
        <v>2.4999999999999998E-2</v>
      </c>
    </row>
    <row r="4285" spans="1:4" x14ac:dyDescent="0.25">
      <c r="A4285" s="24" t="s">
        <v>108</v>
      </c>
      <c r="B4285" s="24" t="s">
        <v>123</v>
      </c>
      <c r="C4285" s="32">
        <v>33.106999999999999</v>
      </c>
      <c r="D4285" s="28">
        <v>2.2222222222222223E-2</v>
      </c>
    </row>
    <row r="4286" spans="1:4" x14ac:dyDescent="0.25">
      <c r="A4286" s="24" t="s">
        <v>108</v>
      </c>
      <c r="B4286" s="24" t="s">
        <v>124</v>
      </c>
      <c r="C4286" s="32">
        <v>33.106999999999999</v>
      </c>
      <c r="D4286" s="28">
        <v>2.2222222222222223E-2</v>
      </c>
    </row>
    <row r="4287" spans="1:4" x14ac:dyDescent="0.25">
      <c r="A4287" s="24" t="s">
        <v>108</v>
      </c>
      <c r="B4287" s="24" t="s">
        <v>125</v>
      </c>
      <c r="C4287" s="32">
        <v>16.187000000000001</v>
      </c>
      <c r="D4287" s="28">
        <v>1.8749999999999999E-2</v>
      </c>
    </row>
    <row r="4288" spans="1:4" x14ac:dyDescent="0.25">
      <c r="A4288" s="24" t="s">
        <v>108</v>
      </c>
      <c r="B4288" s="24" t="s">
        <v>126</v>
      </c>
      <c r="C4288" s="32">
        <v>15.925000000000001</v>
      </c>
      <c r="D4288" s="28">
        <v>1.8055555555555557E-2</v>
      </c>
    </row>
    <row r="4289" spans="1:4" x14ac:dyDescent="0.25">
      <c r="A4289" s="24" t="s">
        <v>108</v>
      </c>
      <c r="B4289" s="24" t="s">
        <v>127</v>
      </c>
      <c r="C4289" s="32">
        <v>16.670000000000002</v>
      </c>
      <c r="D4289" s="28">
        <v>1.8749999999999999E-2</v>
      </c>
    </row>
    <row r="4290" spans="1:4" x14ac:dyDescent="0.25">
      <c r="A4290" s="24" t="s">
        <v>108</v>
      </c>
      <c r="B4290" s="24" t="s">
        <v>128</v>
      </c>
      <c r="C4290" s="32">
        <v>14.997999999999999</v>
      </c>
      <c r="D4290" s="28">
        <v>1.6666666666666666E-2</v>
      </c>
    </row>
    <row r="4291" spans="1:4" x14ac:dyDescent="0.25">
      <c r="A4291" s="24" t="s">
        <v>108</v>
      </c>
      <c r="B4291" s="24" t="s">
        <v>129</v>
      </c>
      <c r="C4291" s="32">
        <v>14.997999999999999</v>
      </c>
      <c r="D4291" s="28">
        <v>1.6666666666666666E-2</v>
      </c>
    </row>
    <row r="4292" spans="1:4" x14ac:dyDescent="0.25">
      <c r="A4292" s="24" t="s">
        <v>108</v>
      </c>
      <c r="B4292" s="24" t="s">
        <v>130</v>
      </c>
      <c r="C4292" s="32">
        <v>16.588000000000001</v>
      </c>
      <c r="D4292" s="28">
        <v>1.9444444444444445E-2</v>
      </c>
    </row>
    <row r="4293" spans="1:4" x14ac:dyDescent="0.25">
      <c r="A4293" s="24" t="s">
        <v>108</v>
      </c>
      <c r="B4293" s="24" t="s">
        <v>131</v>
      </c>
      <c r="C4293" s="32">
        <v>22.125</v>
      </c>
      <c r="D4293" s="28">
        <v>2.013888888888889E-2</v>
      </c>
    </row>
    <row r="4294" spans="1:4" x14ac:dyDescent="0.25">
      <c r="A4294" s="24" t="s">
        <v>108</v>
      </c>
      <c r="B4294" s="24" t="s">
        <v>132</v>
      </c>
      <c r="C4294" s="32">
        <v>21.295000000000002</v>
      </c>
      <c r="D4294" s="28">
        <v>2.2916666666666669E-2</v>
      </c>
    </row>
    <row r="4295" spans="1:4" x14ac:dyDescent="0.25">
      <c r="A4295" s="24" t="s">
        <v>108</v>
      </c>
      <c r="B4295" s="24" t="s">
        <v>133</v>
      </c>
      <c r="C4295" s="32">
        <v>8.843</v>
      </c>
      <c r="D4295" s="28">
        <v>1.0416666666666666E-2</v>
      </c>
    </row>
    <row r="4296" spans="1:4" x14ac:dyDescent="0.25">
      <c r="A4296" s="24" t="s">
        <v>108</v>
      </c>
      <c r="B4296" s="24" t="s">
        <v>134</v>
      </c>
      <c r="C4296" s="32">
        <v>8.3770000000000007</v>
      </c>
      <c r="D4296" s="28">
        <v>9.7222222222222224E-3</v>
      </c>
    </row>
    <row r="4297" spans="1:4" x14ac:dyDescent="0.25">
      <c r="A4297" s="24" t="s">
        <v>108</v>
      </c>
      <c r="B4297" s="24" t="s">
        <v>135</v>
      </c>
      <c r="C4297" s="32">
        <v>10.526</v>
      </c>
      <c r="D4297" s="28">
        <v>1.2499999999999999E-2</v>
      </c>
    </row>
    <row r="4298" spans="1:4" x14ac:dyDescent="0.25">
      <c r="A4298" s="24" t="s">
        <v>108</v>
      </c>
      <c r="B4298" s="24" t="s">
        <v>136</v>
      </c>
      <c r="C4298" s="32">
        <v>10.526</v>
      </c>
      <c r="D4298" s="28">
        <v>1.2499999999999999E-2</v>
      </c>
    </row>
    <row r="4299" spans="1:4" x14ac:dyDescent="0.25">
      <c r="A4299" s="24" t="s">
        <v>108</v>
      </c>
      <c r="B4299" s="24" t="s">
        <v>137</v>
      </c>
      <c r="C4299" s="32">
        <v>10.135</v>
      </c>
      <c r="D4299" s="28">
        <v>1.1805555555555555E-2</v>
      </c>
    </row>
    <row r="4300" spans="1:4" x14ac:dyDescent="0.25">
      <c r="A4300" s="24" t="s">
        <v>108</v>
      </c>
      <c r="B4300" s="24" t="s">
        <v>138</v>
      </c>
      <c r="C4300" s="32">
        <v>10.074999999999999</v>
      </c>
      <c r="D4300" s="28">
        <v>9.7222222222222224E-3</v>
      </c>
    </row>
    <row r="4301" spans="1:4" x14ac:dyDescent="0.25">
      <c r="A4301" s="24" t="s">
        <v>108</v>
      </c>
      <c r="B4301" s="24" t="s">
        <v>139</v>
      </c>
      <c r="C4301" s="32">
        <v>22.341999999999999</v>
      </c>
      <c r="D4301" s="28">
        <v>1.3888888888888888E-2</v>
      </c>
    </row>
    <row r="4302" spans="1:4" x14ac:dyDescent="0.25">
      <c r="A4302" s="24" t="s">
        <v>108</v>
      </c>
      <c r="B4302" s="24" t="s">
        <v>140</v>
      </c>
      <c r="C4302" s="32">
        <v>22.654</v>
      </c>
      <c r="D4302" s="28">
        <v>1.5972222222222224E-2</v>
      </c>
    </row>
    <row r="4303" spans="1:4" x14ac:dyDescent="0.25">
      <c r="A4303" s="24" t="s">
        <v>108</v>
      </c>
      <c r="B4303" s="24" t="s">
        <v>141</v>
      </c>
      <c r="C4303" s="32">
        <v>47.052999999999997</v>
      </c>
      <c r="D4303" s="28">
        <v>3.3333333333333333E-2</v>
      </c>
    </row>
    <row r="4304" spans="1:4" x14ac:dyDescent="0.25">
      <c r="A4304" s="24" t="s">
        <v>108</v>
      </c>
      <c r="B4304" s="24" t="s">
        <v>142</v>
      </c>
      <c r="C4304" s="32">
        <v>45.140999999999998</v>
      </c>
      <c r="D4304" s="28">
        <v>2.5694444444444447E-2</v>
      </c>
    </row>
    <row r="4305" spans="1:4" x14ac:dyDescent="0.25">
      <c r="A4305" s="24" t="s">
        <v>108</v>
      </c>
      <c r="B4305" s="24" t="s">
        <v>143</v>
      </c>
      <c r="C4305" s="32">
        <v>63.518999999999998</v>
      </c>
      <c r="D4305" s="28">
        <v>3.2638888888888891E-2</v>
      </c>
    </row>
    <row r="4306" spans="1:4" x14ac:dyDescent="0.25">
      <c r="A4306" s="24" t="s">
        <v>108</v>
      </c>
      <c r="B4306" s="24" t="s">
        <v>144</v>
      </c>
      <c r="C4306" s="32">
        <v>82.635000000000005</v>
      </c>
      <c r="D4306" s="28">
        <v>4.3750000000000004E-2</v>
      </c>
    </row>
    <row r="4307" spans="1:4" x14ac:dyDescent="0.25">
      <c r="A4307" s="24" t="s">
        <v>108</v>
      </c>
      <c r="B4307" s="24" t="s">
        <v>145</v>
      </c>
      <c r="C4307" s="32">
        <v>27.149000000000001</v>
      </c>
      <c r="D4307" s="28">
        <v>1.8055555555555557E-2</v>
      </c>
    </row>
    <row r="4308" spans="1:4" x14ac:dyDescent="0.25">
      <c r="A4308" s="24" t="s">
        <v>108</v>
      </c>
      <c r="B4308" s="24" t="s">
        <v>146</v>
      </c>
      <c r="C4308" s="32">
        <v>42.607999999999997</v>
      </c>
      <c r="D4308" s="28">
        <v>2.6388888888888889E-2</v>
      </c>
    </row>
    <row r="4309" spans="1:4" x14ac:dyDescent="0.25">
      <c r="A4309" s="24" t="s">
        <v>108</v>
      </c>
      <c r="B4309" s="24" t="s">
        <v>147</v>
      </c>
      <c r="C4309" s="32">
        <v>16.905999999999999</v>
      </c>
      <c r="D4309" s="28">
        <v>1.4583333333333332E-2</v>
      </c>
    </row>
    <row r="4310" spans="1:4" x14ac:dyDescent="0.25">
      <c r="A4310" s="24" t="s">
        <v>108</v>
      </c>
      <c r="B4310" s="24" t="s">
        <v>148</v>
      </c>
      <c r="C4310" s="32">
        <v>19.989999999999998</v>
      </c>
      <c r="D4310" s="28">
        <v>1.6666666666666666E-2</v>
      </c>
    </row>
    <row r="4311" spans="1:4" x14ac:dyDescent="0.25">
      <c r="A4311" s="24" t="s">
        <v>108</v>
      </c>
      <c r="B4311" s="24" t="s">
        <v>149</v>
      </c>
      <c r="C4311" s="32">
        <v>21.401</v>
      </c>
      <c r="D4311" s="28">
        <v>2.2916666666666669E-2</v>
      </c>
    </row>
    <row r="4312" spans="1:4" x14ac:dyDescent="0.25">
      <c r="A4312" s="24" t="s">
        <v>108</v>
      </c>
      <c r="B4312" s="24" t="s">
        <v>150</v>
      </c>
      <c r="C4312" s="32">
        <v>30.888000000000002</v>
      </c>
      <c r="D4312" s="28">
        <v>3.1944444444444449E-2</v>
      </c>
    </row>
    <row r="4313" spans="1:4" x14ac:dyDescent="0.25">
      <c r="A4313" s="24" t="s">
        <v>108</v>
      </c>
      <c r="B4313" s="24" t="s">
        <v>151</v>
      </c>
      <c r="C4313" s="32">
        <v>30.146000000000001</v>
      </c>
      <c r="D4313" s="28">
        <v>3.1944444444444449E-2</v>
      </c>
    </row>
    <row r="4314" spans="1:4" x14ac:dyDescent="0.25">
      <c r="A4314" s="24" t="s">
        <v>108</v>
      </c>
      <c r="B4314" s="24" t="s">
        <v>152</v>
      </c>
      <c r="C4314" s="32">
        <v>35.902999999999999</v>
      </c>
      <c r="D4314" s="28">
        <v>3.6111111111111115E-2</v>
      </c>
    </row>
    <row r="4315" spans="1:4" x14ac:dyDescent="0.25">
      <c r="A4315" s="24" t="s">
        <v>108</v>
      </c>
      <c r="B4315" s="24" t="s">
        <v>153</v>
      </c>
      <c r="C4315" s="32">
        <v>39.744999999999997</v>
      </c>
      <c r="D4315" s="28">
        <v>4.0972222222222222E-2</v>
      </c>
    </row>
    <row r="4316" spans="1:4" x14ac:dyDescent="0.25">
      <c r="A4316" s="24" t="s">
        <v>108</v>
      </c>
      <c r="B4316" s="24" t="s">
        <v>154</v>
      </c>
      <c r="C4316" s="32">
        <v>34.563000000000002</v>
      </c>
      <c r="D4316" s="28">
        <v>3.4722222222222224E-2</v>
      </c>
    </row>
    <row r="4317" spans="1:4" x14ac:dyDescent="0.25">
      <c r="A4317" s="24" t="s">
        <v>108</v>
      </c>
      <c r="B4317" s="24" t="s">
        <v>155</v>
      </c>
      <c r="C4317" s="32">
        <v>31.79</v>
      </c>
      <c r="D4317" s="28">
        <v>3.1944444444444449E-2</v>
      </c>
    </row>
    <row r="4318" spans="1:4" x14ac:dyDescent="0.25">
      <c r="A4318" s="24" t="s">
        <v>108</v>
      </c>
      <c r="B4318" s="24" t="s">
        <v>156</v>
      </c>
      <c r="C4318" s="32">
        <v>31.774000000000001</v>
      </c>
      <c r="D4318" s="28">
        <v>3.1944444444444449E-2</v>
      </c>
    </row>
    <row r="4319" spans="1:4" x14ac:dyDescent="0.25">
      <c r="A4319" s="24" t="s">
        <v>108</v>
      </c>
      <c r="B4319" s="24" t="s">
        <v>157</v>
      </c>
      <c r="C4319" s="32">
        <v>42.859000000000002</v>
      </c>
      <c r="D4319" s="28">
        <v>3.4027777777777775E-2</v>
      </c>
    </row>
    <row r="4320" spans="1:4" x14ac:dyDescent="0.25">
      <c r="A4320" s="24" t="s">
        <v>108</v>
      </c>
      <c r="B4320" s="24" t="s">
        <v>158</v>
      </c>
      <c r="C4320" s="32">
        <v>51.28</v>
      </c>
      <c r="D4320" s="28">
        <v>4.3055555555555562E-2</v>
      </c>
    </row>
    <row r="4321" spans="1:4" x14ac:dyDescent="0.25">
      <c r="A4321" s="24" t="s">
        <v>108</v>
      </c>
      <c r="B4321" s="24" t="s">
        <v>159</v>
      </c>
      <c r="C4321" s="32">
        <v>53.667999999999999</v>
      </c>
      <c r="D4321" s="28">
        <v>4.3750000000000004E-2</v>
      </c>
    </row>
    <row r="4322" spans="1:4" x14ac:dyDescent="0.25">
      <c r="A4322" s="24" t="s">
        <v>109</v>
      </c>
      <c r="B4322" s="24" t="s">
        <v>65</v>
      </c>
      <c r="C4322" s="32">
        <v>17.678999999999998</v>
      </c>
      <c r="D4322" s="28">
        <v>1.3194444444444444E-2</v>
      </c>
    </row>
    <row r="4323" spans="1:4" x14ac:dyDescent="0.25">
      <c r="A4323" s="24" t="s">
        <v>109</v>
      </c>
      <c r="B4323" s="24" t="s">
        <v>64</v>
      </c>
      <c r="C4323" s="32">
        <v>13.337999999999999</v>
      </c>
      <c r="D4323" s="28">
        <v>1.5277777777777777E-2</v>
      </c>
    </row>
    <row r="4324" spans="1:4" x14ac:dyDescent="0.25">
      <c r="A4324" s="24" t="s">
        <v>109</v>
      </c>
      <c r="B4324" s="24" t="s">
        <v>66</v>
      </c>
      <c r="C4324" s="32">
        <v>21.673999999999999</v>
      </c>
      <c r="D4324" s="28">
        <v>2.0833333333333332E-2</v>
      </c>
    </row>
    <row r="4325" spans="1:4" x14ac:dyDescent="0.25">
      <c r="A4325" s="24" t="s">
        <v>109</v>
      </c>
      <c r="B4325" s="24" t="s">
        <v>67</v>
      </c>
      <c r="C4325" s="32">
        <v>17.956</v>
      </c>
      <c r="D4325" s="28">
        <v>1.8749999999999999E-2</v>
      </c>
    </row>
    <row r="4326" spans="1:4" x14ac:dyDescent="0.25">
      <c r="A4326" s="24" t="s">
        <v>109</v>
      </c>
      <c r="B4326" s="24" t="s">
        <v>68</v>
      </c>
      <c r="C4326" s="32">
        <v>25.838999999999999</v>
      </c>
      <c r="D4326" s="28">
        <v>1.8749999999999999E-2</v>
      </c>
    </row>
    <row r="4327" spans="1:4" x14ac:dyDescent="0.25">
      <c r="A4327" s="24" t="s">
        <v>109</v>
      </c>
      <c r="B4327" s="24" t="s">
        <v>69</v>
      </c>
      <c r="C4327" s="32">
        <v>20.077999999999999</v>
      </c>
      <c r="D4327" s="28">
        <v>2.0833333333333332E-2</v>
      </c>
    </row>
    <row r="4328" spans="1:4" x14ac:dyDescent="0.25">
      <c r="A4328" s="24" t="s">
        <v>109</v>
      </c>
      <c r="B4328" s="24" t="s">
        <v>70</v>
      </c>
      <c r="C4328" s="32">
        <v>26.303000000000001</v>
      </c>
      <c r="D4328" s="28">
        <v>1.9444444444444445E-2</v>
      </c>
    </row>
    <row r="4329" spans="1:4" x14ac:dyDescent="0.25">
      <c r="A4329" s="24" t="s">
        <v>109</v>
      </c>
      <c r="B4329" s="24" t="s">
        <v>71</v>
      </c>
      <c r="C4329" s="32">
        <v>18.327000000000002</v>
      </c>
      <c r="D4329" s="28">
        <v>2.013888888888889E-2</v>
      </c>
    </row>
    <row r="4330" spans="1:4" x14ac:dyDescent="0.25">
      <c r="A4330" s="24" t="s">
        <v>109</v>
      </c>
      <c r="B4330" s="24" t="s">
        <v>72</v>
      </c>
      <c r="C4330" s="32">
        <v>25.439</v>
      </c>
      <c r="D4330" s="28">
        <v>1.8749999999999999E-2</v>
      </c>
    </row>
    <row r="4331" spans="1:4" x14ac:dyDescent="0.25">
      <c r="A4331" s="24" t="s">
        <v>109</v>
      </c>
      <c r="B4331" s="24" t="s">
        <v>73</v>
      </c>
      <c r="C4331" s="32">
        <v>17.163</v>
      </c>
      <c r="D4331" s="28">
        <v>1.7361111111111112E-2</v>
      </c>
    </row>
    <row r="4332" spans="1:4" x14ac:dyDescent="0.25">
      <c r="A4332" s="24" t="s">
        <v>109</v>
      </c>
      <c r="B4332" s="24" t="s">
        <v>74</v>
      </c>
      <c r="C4332" s="32">
        <v>16.132999999999999</v>
      </c>
      <c r="D4332" s="28">
        <v>1.5972222222222224E-2</v>
      </c>
    </row>
    <row r="4333" spans="1:4" x14ac:dyDescent="0.25">
      <c r="A4333" s="24" t="s">
        <v>109</v>
      </c>
      <c r="B4333" s="24" t="s">
        <v>75</v>
      </c>
      <c r="C4333" s="32">
        <v>15.169</v>
      </c>
      <c r="D4333" s="28">
        <v>1.4583333333333332E-2</v>
      </c>
    </row>
    <row r="4334" spans="1:4" x14ac:dyDescent="0.25">
      <c r="A4334" s="24" t="s">
        <v>109</v>
      </c>
      <c r="B4334" s="24" t="s">
        <v>76</v>
      </c>
      <c r="C4334" s="32">
        <v>20.492999999999999</v>
      </c>
      <c r="D4334" s="28">
        <v>1.7361111111111112E-2</v>
      </c>
    </row>
    <row r="4335" spans="1:4" x14ac:dyDescent="0.25">
      <c r="A4335" s="24" t="s">
        <v>109</v>
      </c>
      <c r="B4335" s="24" t="s">
        <v>77</v>
      </c>
      <c r="C4335" s="32">
        <v>28.407</v>
      </c>
      <c r="D4335" s="28">
        <v>2.013888888888889E-2</v>
      </c>
    </row>
    <row r="4336" spans="1:4" x14ac:dyDescent="0.25">
      <c r="A4336" s="24" t="s">
        <v>109</v>
      </c>
      <c r="B4336" s="24" t="s">
        <v>78</v>
      </c>
      <c r="C4336" s="32">
        <v>29.28</v>
      </c>
      <c r="D4336" s="28">
        <v>2.1527777777777781E-2</v>
      </c>
    </row>
    <row r="4337" spans="1:4" x14ac:dyDescent="0.25">
      <c r="A4337" s="24" t="s">
        <v>109</v>
      </c>
      <c r="B4337" s="24" t="s">
        <v>79</v>
      </c>
      <c r="C4337" s="32">
        <v>40.134999999999998</v>
      </c>
      <c r="D4337" s="28">
        <v>3.2638888888888891E-2</v>
      </c>
    </row>
    <row r="4338" spans="1:4" x14ac:dyDescent="0.25">
      <c r="A4338" s="24" t="s">
        <v>109</v>
      </c>
      <c r="B4338" s="24" t="s">
        <v>80</v>
      </c>
      <c r="C4338" s="32">
        <v>20.992999999999999</v>
      </c>
      <c r="D4338" s="28">
        <v>1.5972222222222224E-2</v>
      </c>
    </row>
    <row r="4339" spans="1:4" x14ac:dyDescent="0.25">
      <c r="A4339" s="24" t="s">
        <v>109</v>
      </c>
      <c r="B4339" s="24" t="s">
        <v>81</v>
      </c>
      <c r="C4339" s="32">
        <v>20.183</v>
      </c>
      <c r="D4339" s="28">
        <v>1.5972222222222224E-2</v>
      </c>
    </row>
    <row r="4340" spans="1:4" x14ac:dyDescent="0.25">
      <c r="A4340" s="24" t="s">
        <v>109</v>
      </c>
      <c r="B4340" s="24" t="s">
        <v>82</v>
      </c>
      <c r="C4340" s="32">
        <v>20.234999999999999</v>
      </c>
      <c r="D4340" s="28">
        <v>1.5972222222222224E-2</v>
      </c>
    </row>
    <row r="4341" spans="1:4" x14ac:dyDescent="0.25">
      <c r="A4341" s="24" t="s">
        <v>109</v>
      </c>
      <c r="B4341" s="24" t="s">
        <v>83</v>
      </c>
      <c r="C4341" s="32">
        <v>11.291</v>
      </c>
      <c r="D4341" s="28">
        <v>1.2499999999999999E-2</v>
      </c>
    </row>
    <row r="4342" spans="1:4" x14ac:dyDescent="0.25">
      <c r="A4342" s="24" t="s">
        <v>109</v>
      </c>
      <c r="B4342" s="24" t="s">
        <v>84</v>
      </c>
      <c r="C4342" s="32">
        <v>13.06</v>
      </c>
      <c r="D4342" s="28">
        <v>1.1805555555555555E-2</v>
      </c>
    </row>
    <row r="4343" spans="1:4" x14ac:dyDescent="0.25">
      <c r="A4343" s="24" t="s">
        <v>109</v>
      </c>
      <c r="B4343" s="24" t="s">
        <v>85</v>
      </c>
      <c r="C4343" s="32">
        <v>12.694000000000001</v>
      </c>
      <c r="D4343" s="28">
        <v>1.1805555555555555E-2</v>
      </c>
    </row>
    <row r="4344" spans="1:4" x14ac:dyDescent="0.25">
      <c r="A4344" s="24" t="s">
        <v>109</v>
      </c>
      <c r="B4344" s="24" t="s">
        <v>86</v>
      </c>
      <c r="C4344" s="32">
        <v>8.3379999999999992</v>
      </c>
      <c r="D4344" s="28">
        <v>9.7222222222222224E-3</v>
      </c>
    </row>
    <row r="4345" spans="1:4" x14ac:dyDescent="0.25">
      <c r="A4345" s="24" t="s">
        <v>109</v>
      </c>
      <c r="B4345" s="24" t="s">
        <v>87</v>
      </c>
      <c r="C4345" s="32">
        <v>8.1159999999999997</v>
      </c>
      <c r="D4345" s="28">
        <v>9.7222222222222224E-3</v>
      </c>
    </row>
    <row r="4346" spans="1:4" x14ac:dyDescent="0.25">
      <c r="A4346" s="24" t="s">
        <v>109</v>
      </c>
      <c r="B4346" s="24" t="s">
        <v>88</v>
      </c>
      <c r="C4346" s="32">
        <v>9.1950000000000003</v>
      </c>
      <c r="D4346" s="28">
        <v>1.0416666666666666E-2</v>
      </c>
    </row>
    <row r="4347" spans="1:4" x14ac:dyDescent="0.25">
      <c r="A4347" s="24" t="s">
        <v>109</v>
      </c>
      <c r="B4347" s="24" t="s">
        <v>89</v>
      </c>
      <c r="C4347" s="32">
        <v>12.332000000000001</v>
      </c>
      <c r="D4347" s="28">
        <v>1.1805555555555555E-2</v>
      </c>
    </row>
    <row r="4348" spans="1:4" x14ac:dyDescent="0.25">
      <c r="A4348" s="24" t="s">
        <v>109</v>
      </c>
      <c r="B4348" s="24" t="s">
        <v>90</v>
      </c>
      <c r="C4348" s="32">
        <v>20.616</v>
      </c>
      <c r="D4348" s="28">
        <v>1.5277777777777777E-2</v>
      </c>
    </row>
    <row r="4349" spans="1:4" x14ac:dyDescent="0.25">
      <c r="A4349" s="24" t="s">
        <v>109</v>
      </c>
      <c r="B4349" s="24" t="s">
        <v>91</v>
      </c>
      <c r="C4349" s="32">
        <v>10.743</v>
      </c>
      <c r="D4349" s="28">
        <v>1.2499999999999999E-2</v>
      </c>
    </row>
    <row r="4350" spans="1:4" x14ac:dyDescent="0.25">
      <c r="A4350" s="24" t="s">
        <v>109</v>
      </c>
      <c r="B4350" s="24" t="s">
        <v>92</v>
      </c>
      <c r="C4350" s="32">
        <v>19.065000000000001</v>
      </c>
      <c r="D4350" s="28">
        <v>1.5277777777777777E-2</v>
      </c>
    </row>
    <row r="4351" spans="1:4" x14ac:dyDescent="0.25">
      <c r="A4351" s="24" t="s">
        <v>109</v>
      </c>
      <c r="B4351" s="24" t="s">
        <v>93</v>
      </c>
      <c r="C4351" s="32">
        <v>42.795999999999999</v>
      </c>
      <c r="D4351" s="28">
        <v>2.8472222222222222E-2</v>
      </c>
    </row>
    <row r="4352" spans="1:4" x14ac:dyDescent="0.25">
      <c r="A4352" s="24" t="s">
        <v>109</v>
      </c>
      <c r="B4352" s="24" t="s">
        <v>94</v>
      </c>
      <c r="C4352" s="32">
        <v>43.424999999999997</v>
      </c>
      <c r="D4352" s="28">
        <v>2.9166666666666664E-2</v>
      </c>
    </row>
    <row r="4353" spans="1:4" x14ac:dyDescent="0.25">
      <c r="A4353" s="24" t="s">
        <v>109</v>
      </c>
      <c r="B4353" s="24" t="s">
        <v>95</v>
      </c>
      <c r="C4353" s="32">
        <v>20.521999999999998</v>
      </c>
      <c r="D4353" s="28">
        <v>1.7361111111111112E-2</v>
      </c>
    </row>
    <row r="4354" spans="1:4" x14ac:dyDescent="0.25">
      <c r="A4354" s="24" t="s">
        <v>109</v>
      </c>
      <c r="B4354" s="24" t="s">
        <v>96</v>
      </c>
      <c r="C4354" s="32">
        <v>27.882999999999999</v>
      </c>
      <c r="D4354" s="28">
        <v>2.361111111111111E-2</v>
      </c>
    </row>
    <row r="4355" spans="1:4" x14ac:dyDescent="0.25">
      <c r="A4355" s="24" t="s">
        <v>109</v>
      </c>
      <c r="B4355" s="24" t="s">
        <v>97</v>
      </c>
      <c r="C4355" s="32">
        <v>36.253999999999998</v>
      </c>
      <c r="D4355" s="28">
        <v>2.9166666666666664E-2</v>
      </c>
    </row>
    <row r="4356" spans="1:4" x14ac:dyDescent="0.25">
      <c r="A4356" s="24" t="s">
        <v>109</v>
      </c>
      <c r="B4356" s="24" t="s">
        <v>98</v>
      </c>
      <c r="C4356" s="32">
        <v>28.193999999999999</v>
      </c>
      <c r="D4356" s="28">
        <v>2.2222222222222223E-2</v>
      </c>
    </row>
    <row r="4357" spans="1:4" x14ac:dyDescent="0.25">
      <c r="A4357" s="24" t="s">
        <v>109</v>
      </c>
      <c r="B4357" s="24" t="s">
        <v>99</v>
      </c>
      <c r="C4357" s="32">
        <v>32.613999999999997</v>
      </c>
      <c r="D4357" s="28">
        <v>2.4999999999999998E-2</v>
      </c>
    </row>
    <row r="4358" spans="1:4" x14ac:dyDescent="0.25">
      <c r="A4358" s="24" t="s">
        <v>109</v>
      </c>
      <c r="B4358" s="24" t="s">
        <v>100</v>
      </c>
      <c r="C4358" s="32">
        <v>25.608000000000001</v>
      </c>
      <c r="D4358" s="28">
        <v>1.8749999999999999E-2</v>
      </c>
    </row>
    <row r="4359" spans="1:4" x14ac:dyDescent="0.25">
      <c r="A4359" s="24" t="s">
        <v>109</v>
      </c>
      <c r="B4359" s="24" t="s">
        <v>101</v>
      </c>
      <c r="C4359" s="32">
        <v>27.245000000000001</v>
      </c>
      <c r="D4359" s="28">
        <v>2.2222222222222223E-2</v>
      </c>
    </row>
    <row r="4360" spans="1:4" x14ac:dyDescent="0.25">
      <c r="A4360" s="24" t="s">
        <v>109</v>
      </c>
      <c r="B4360" s="24" t="s">
        <v>102</v>
      </c>
      <c r="C4360" s="32">
        <v>26.672000000000001</v>
      </c>
      <c r="D4360" s="28">
        <v>2.1527777777777781E-2</v>
      </c>
    </row>
    <row r="4361" spans="1:4" x14ac:dyDescent="0.25">
      <c r="A4361" s="24" t="s">
        <v>109</v>
      </c>
      <c r="B4361" s="24" t="s">
        <v>103</v>
      </c>
      <c r="C4361" s="32">
        <v>14.804</v>
      </c>
      <c r="D4361" s="28">
        <v>1.2499999999999999E-2</v>
      </c>
    </row>
    <row r="4362" spans="1:4" x14ac:dyDescent="0.25">
      <c r="A4362" s="24" t="s">
        <v>109</v>
      </c>
      <c r="B4362" s="24" t="s">
        <v>104</v>
      </c>
      <c r="C4362" s="32">
        <v>16.286999999999999</v>
      </c>
      <c r="D4362" s="28">
        <v>1.3194444444444444E-2</v>
      </c>
    </row>
    <row r="4363" spans="1:4" x14ac:dyDescent="0.25">
      <c r="A4363" s="24" t="s">
        <v>109</v>
      </c>
      <c r="B4363" s="24" t="s">
        <v>105</v>
      </c>
      <c r="C4363" s="32">
        <v>13.634</v>
      </c>
      <c r="D4363" s="28">
        <v>1.5972222222222224E-2</v>
      </c>
    </row>
    <row r="4364" spans="1:4" x14ac:dyDescent="0.25">
      <c r="A4364" s="24" t="s">
        <v>109</v>
      </c>
      <c r="B4364" s="24" t="s">
        <v>106</v>
      </c>
      <c r="C4364" s="32">
        <v>16.722999999999999</v>
      </c>
      <c r="D4364" s="28">
        <v>1.5277777777777777E-2</v>
      </c>
    </row>
    <row r="4365" spans="1:4" x14ac:dyDescent="0.25">
      <c r="A4365" s="24" t="s">
        <v>109</v>
      </c>
      <c r="B4365" s="24" t="s">
        <v>107</v>
      </c>
      <c r="C4365" s="32">
        <v>2.2869999999999999</v>
      </c>
      <c r="D4365" s="28">
        <v>4.8611111111111112E-3</v>
      </c>
    </row>
    <row r="4366" spans="1:4" x14ac:dyDescent="0.25">
      <c r="A4366" s="24" t="s">
        <v>109</v>
      </c>
      <c r="B4366" s="24" t="s">
        <v>108</v>
      </c>
      <c r="C4366" s="32">
        <v>0.03</v>
      </c>
      <c r="D4366" s="28">
        <v>0</v>
      </c>
    </row>
    <row r="4367" spans="1:4" x14ac:dyDescent="0.25">
      <c r="A4367" s="24" t="s">
        <v>109</v>
      </c>
      <c r="B4367" s="24" t="s">
        <v>109</v>
      </c>
      <c r="C4367" s="32">
        <v>0</v>
      </c>
      <c r="D4367" s="28">
        <v>0</v>
      </c>
    </row>
    <row r="4368" spans="1:4" x14ac:dyDescent="0.25">
      <c r="A4368" s="24" t="s">
        <v>109</v>
      </c>
      <c r="B4368" s="24" t="s">
        <v>110</v>
      </c>
      <c r="C4368" s="32">
        <v>18.253</v>
      </c>
      <c r="D4368" s="28">
        <v>1.6666666666666666E-2</v>
      </c>
    </row>
    <row r="4369" spans="1:4" x14ac:dyDescent="0.25">
      <c r="A4369" s="24" t="s">
        <v>109</v>
      </c>
      <c r="B4369" s="24" t="s">
        <v>111</v>
      </c>
      <c r="C4369" s="32">
        <v>16.78</v>
      </c>
      <c r="D4369" s="28">
        <v>1.3194444444444444E-2</v>
      </c>
    </row>
    <row r="4370" spans="1:4" x14ac:dyDescent="0.25">
      <c r="A4370" s="24" t="s">
        <v>109</v>
      </c>
      <c r="B4370" s="24" t="s">
        <v>112</v>
      </c>
      <c r="C4370" s="32">
        <v>2.5630000000000002</v>
      </c>
      <c r="D4370" s="28">
        <v>4.8611111111111112E-3</v>
      </c>
    </row>
    <row r="4371" spans="1:4" x14ac:dyDescent="0.25">
      <c r="A4371" s="24" t="s">
        <v>109</v>
      </c>
      <c r="B4371" s="24" t="s">
        <v>113</v>
      </c>
      <c r="C4371" s="32">
        <v>6.0970000000000004</v>
      </c>
      <c r="D4371" s="28">
        <v>6.9444444444444441E-3</v>
      </c>
    </row>
    <row r="4372" spans="1:4" x14ac:dyDescent="0.25">
      <c r="A4372" s="24" t="s">
        <v>109</v>
      </c>
      <c r="B4372" s="24" t="s">
        <v>114</v>
      </c>
      <c r="C4372" s="32">
        <v>24.06</v>
      </c>
      <c r="D4372" s="28">
        <v>1.6666666666666666E-2</v>
      </c>
    </row>
    <row r="4373" spans="1:4" x14ac:dyDescent="0.25">
      <c r="A4373" s="24" t="s">
        <v>109</v>
      </c>
      <c r="B4373" s="24" t="s">
        <v>115</v>
      </c>
      <c r="C4373" s="32">
        <v>23.911000000000001</v>
      </c>
      <c r="D4373" s="28">
        <v>1.7361111111111112E-2</v>
      </c>
    </row>
    <row r="4374" spans="1:4" x14ac:dyDescent="0.25">
      <c r="A4374" s="24" t="s">
        <v>109</v>
      </c>
      <c r="B4374" s="24" t="s">
        <v>116</v>
      </c>
      <c r="C4374" s="32">
        <v>18.061</v>
      </c>
      <c r="D4374" s="28">
        <v>1.4583333333333332E-2</v>
      </c>
    </row>
    <row r="4375" spans="1:4" x14ac:dyDescent="0.25">
      <c r="A4375" s="24" t="s">
        <v>109</v>
      </c>
      <c r="B4375" s="24" t="s">
        <v>117</v>
      </c>
      <c r="C4375" s="32">
        <v>20.026</v>
      </c>
      <c r="D4375" s="28">
        <v>1.8055555555555557E-2</v>
      </c>
    </row>
    <row r="4376" spans="1:4" x14ac:dyDescent="0.25">
      <c r="A4376" s="24" t="s">
        <v>109</v>
      </c>
      <c r="B4376" s="24" t="s">
        <v>118</v>
      </c>
      <c r="C4376" s="32">
        <v>15.909000000000001</v>
      </c>
      <c r="D4376" s="28">
        <v>1.1805555555555555E-2</v>
      </c>
    </row>
    <row r="4377" spans="1:4" x14ac:dyDescent="0.25">
      <c r="A4377" s="24" t="s">
        <v>109</v>
      </c>
      <c r="B4377" s="24" t="s">
        <v>119</v>
      </c>
      <c r="C4377" s="32">
        <v>22.350999999999999</v>
      </c>
      <c r="D4377" s="28">
        <v>1.5972222222222224E-2</v>
      </c>
    </row>
    <row r="4378" spans="1:4" x14ac:dyDescent="0.25">
      <c r="A4378" s="24" t="s">
        <v>109</v>
      </c>
      <c r="B4378" s="24" t="s">
        <v>120</v>
      </c>
      <c r="C4378" s="32">
        <v>25.140999999999998</v>
      </c>
      <c r="D4378" s="28">
        <v>1.9444444444444445E-2</v>
      </c>
    </row>
    <row r="4379" spans="1:4" x14ac:dyDescent="0.25">
      <c r="A4379" s="24" t="s">
        <v>109</v>
      </c>
      <c r="B4379" s="24" t="s">
        <v>121</v>
      </c>
      <c r="C4379" s="32">
        <v>39.491999999999997</v>
      </c>
      <c r="D4379" s="28">
        <v>2.6388888888888889E-2</v>
      </c>
    </row>
    <row r="4380" spans="1:4" x14ac:dyDescent="0.25">
      <c r="A4380" s="24" t="s">
        <v>109</v>
      </c>
      <c r="B4380" s="24" t="s">
        <v>122</v>
      </c>
      <c r="C4380" s="32">
        <v>36.456000000000003</v>
      </c>
      <c r="D4380" s="28">
        <v>2.4999999999999998E-2</v>
      </c>
    </row>
    <row r="4381" spans="1:4" x14ac:dyDescent="0.25">
      <c r="A4381" s="24" t="s">
        <v>109</v>
      </c>
      <c r="B4381" s="24" t="s">
        <v>123</v>
      </c>
      <c r="C4381" s="32">
        <v>33.076999999999998</v>
      </c>
      <c r="D4381" s="28">
        <v>2.2222222222222223E-2</v>
      </c>
    </row>
    <row r="4382" spans="1:4" x14ac:dyDescent="0.25">
      <c r="A4382" s="24" t="s">
        <v>109</v>
      </c>
      <c r="B4382" s="24" t="s">
        <v>124</v>
      </c>
      <c r="C4382" s="32">
        <v>33.076999999999998</v>
      </c>
      <c r="D4382" s="28">
        <v>2.2222222222222223E-2</v>
      </c>
    </row>
    <row r="4383" spans="1:4" x14ac:dyDescent="0.25">
      <c r="A4383" s="24" t="s">
        <v>109</v>
      </c>
      <c r="B4383" s="24" t="s">
        <v>125</v>
      </c>
      <c r="C4383" s="32">
        <v>16.216999999999999</v>
      </c>
      <c r="D4383" s="28">
        <v>1.8749999999999999E-2</v>
      </c>
    </row>
    <row r="4384" spans="1:4" x14ac:dyDescent="0.25">
      <c r="A4384" s="24" t="s">
        <v>109</v>
      </c>
      <c r="B4384" s="24" t="s">
        <v>126</v>
      </c>
      <c r="C4384" s="32">
        <v>15.955</v>
      </c>
      <c r="D4384" s="28">
        <v>1.8055555555555557E-2</v>
      </c>
    </row>
    <row r="4385" spans="1:4" x14ac:dyDescent="0.25">
      <c r="A4385" s="24" t="s">
        <v>109</v>
      </c>
      <c r="B4385" s="24" t="s">
        <v>127</v>
      </c>
      <c r="C4385" s="32">
        <v>16.7</v>
      </c>
      <c r="D4385" s="28">
        <v>1.8749999999999999E-2</v>
      </c>
    </row>
    <row r="4386" spans="1:4" x14ac:dyDescent="0.25">
      <c r="A4386" s="24" t="s">
        <v>109</v>
      </c>
      <c r="B4386" s="24" t="s">
        <v>128</v>
      </c>
      <c r="C4386" s="32">
        <v>15.028</v>
      </c>
      <c r="D4386" s="28">
        <v>1.6666666666666666E-2</v>
      </c>
    </row>
    <row r="4387" spans="1:4" x14ac:dyDescent="0.25">
      <c r="A4387" s="24" t="s">
        <v>109</v>
      </c>
      <c r="B4387" s="24" t="s">
        <v>129</v>
      </c>
      <c r="C4387" s="32">
        <v>15.028</v>
      </c>
      <c r="D4387" s="28">
        <v>1.6666666666666666E-2</v>
      </c>
    </row>
    <row r="4388" spans="1:4" x14ac:dyDescent="0.25">
      <c r="A4388" s="24" t="s">
        <v>109</v>
      </c>
      <c r="B4388" s="24" t="s">
        <v>130</v>
      </c>
      <c r="C4388" s="32">
        <v>16.617999999999999</v>
      </c>
      <c r="D4388" s="28">
        <v>1.9444444444444445E-2</v>
      </c>
    </row>
    <row r="4389" spans="1:4" x14ac:dyDescent="0.25">
      <c r="A4389" s="24" t="s">
        <v>109</v>
      </c>
      <c r="B4389" s="24" t="s">
        <v>131</v>
      </c>
      <c r="C4389" s="32">
        <v>22.094999999999999</v>
      </c>
      <c r="D4389" s="28">
        <v>2.013888888888889E-2</v>
      </c>
    </row>
    <row r="4390" spans="1:4" x14ac:dyDescent="0.25">
      <c r="A4390" s="24" t="s">
        <v>109</v>
      </c>
      <c r="B4390" s="24" t="s">
        <v>132</v>
      </c>
      <c r="C4390" s="32">
        <v>21.324999999999999</v>
      </c>
      <c r="D4390" s="28">
        <v>2.2916666666666669E-2</v>
      </c>
    </row>
    <row r="4391" spans="1:4" x14ac:dyDescent="0.25">
      <c r="A4391" s="24" t="s">
        <v>109</v>
      </c>
      <c r="B4391" s="24" t="s">
        <v>133</v>
      </c>
      <c r="C4391" s="32">
        <v>8.8729999999999993</v>
      </c>
      <c r="D4391" s="28">
        <v>1.0416666666666666E-2</v>
      </c>
    </row>
    <row r="4392" spans="1:4" x14ac:dyDescent="0.25">
      <c r="A4392" s="24" t="s">
        <v>109</v>
      </c>
      <c r="B4392" s="24" t="s">
        <v>134</v>
      </c>
      <c r="C4392" s="32">
        <v>8.407</v>
      </c>
      <c r="D4392" s="28">
        <v>9.7222222222222224E-3</v>
      </c>
    </row>
    <row r="4393" spans="1:4" x14ac:dyDescent="0.25">
      <c r="A4393" s="24" t="s">
        <v>109</v>
      </c>
      <c r="B4393" s="24" t="s">
        <v>135</v>
      </c>
      <c r="C4393" s="32">
        <v>10.555999999999999</v>
      </c>
      <c r="D4393" s="28">
        <v>1.2499999999999999E-2</v>
      </c>
    </row>
    <row r="4394" spans="1:4" x14ac:dyDescent="0.25">
      <c r="A4394" s="24" t="s">
        <v>109</v>
      </c>
      <c r="B4394" s="24" t="s">
        <v>136</v>
      </c>
      <c r="C4394" s="32">
        <v>10.555999999999999</v>
      </c>
      <c r="D4394" s="28">
        <v>1.2499999999999999E-2</v>
      </c>
    </row>
    <row r="4395" spans="1:4" x14ac:dyDescent="0.25">
      <c r="A4395" s="24" t="s">
        <v>109</v>
      </c>
      <c r="B4395" s="24" t="s">
        <v>137</v>
      </c>
      <c r="C4395" s="32">
        <v>10.164999999999999</v>
      </c>
      <c r="D4395" s="28">
        <v>1.1805555555555555E-2</v>
      </c>
    </row>
    <row r="4396" spans="1:4" x14ac:dyDescent="0.25">
      <c r="A4396" s="24" t="s">
        <v>109</v>
      </c>
      <c r="B4396" s="24" t="s">
        <v>138</v>
      </c>
      <c r="C4396" s="32">
        <v>10.105</v>
      </c>
      <c r="D4396" s="28">
        <v>9.7222222222222224E-3</v>
      </c>
    </row>
    <row r="4397" spans="1:4" x14ac:dyDescent="0.25">
      <c r="A4397" s="24" t="s">
        <v>109</v>
      </c>
      <c r="B4397" s="24" t="s">
        <v>139</v>
      </c>
      <c r="C4397" s="32">
        <v>22.312000000000001</v>
      </c>
      <c r="D4397" s="28">
        <v>1.3888888888888888E-2</v>
      </c>
    </row>
    <row r="4398" spans="1:4" x14ac:dyDescent="0.25">
      <c r="A4398" s="24" t="s">
        <v>109</v>
      </c>
      <c r="B4398" s="24" t="s">
        <v>140</v>
      </c>
      <c r="C4398" s="32">
        <v>22.623999999999999</v>
      </c>
      <c r="D4398" s="28">
        <v>1.5972222222222224E-2</v>
      </c>
    </row>
    <row r="4399" spans="1:4" x14ac:dyDescent="0.25">
      <c r="A4399" s="24" t="s">
        <v>109</v>
      </c>
      <c r="B4399" s="24" t="s">
        <v>141</v>
      </c>
      <c r="C4399" s="32">
        <v>47.023000000000003</v>
      </c>
      <c r="D4399" s="28">
        <v>3.3333333333333333E-2</v>
      </c>
    </row>
    <row r="4400" spans="1:4" x14ac:dyDescent="0.25">
      <c r="A4400" s="24" t="s">
        <v>109</v>
      </c>
      <c r="B4400" s="24" t="s">
        <v>142</v>
      </c>
      <c r="C4400" s="32">
        <v>45.110999999999997</v>
      </c>
      <c r="D4400" s="28">
        <v>2.5694444444444447E-2</v>
      </c>
    </row>
    <row r="4401" spans="1:4" x14ac:dyDescent="0.25">
      <c r="A4401" s="24" t="s">
        <v>109</v>
      </c>
      <c r="B4401" s="24" t="s">
        <v>143</v>
      </c>
      <c r="C4401" s="32">
        <v>63.488999999999997</v>
      </c>
      <c r="D4401" s="28">
        <v>3.2638888888888891E-2</v>
      </c>
    </row>
    <row r="4402" spans="1:4" x14ac:dyDescent="0.25">
      <c r="A4402" s="24" t="s">
        <v>109</v>
      </c>
      <c r="B4402" s="24" t="s">
        <v>144</v>
      </c>
      <c r="C4402" s="32">
        <v>82.605000000000004</v>
      </c>
      <c r="D4402" s="28">
        <v>4.3750000000000004E-2</v>
      </c>
    </row>
    <row r="4403" spans="1:4" x14ac:dyDescent="0.25">
      <c r="A4403" s="24" t="s">
        <v>109</v>
      </c>
      <c r="B4403" s="24" t="s">
        <v>145</v>
      </c>
      <c r="C4403" s="32">
        <v>27.119</v>
      </c>
      <c r="D4403" s="28">
        <v>1.8055555555555557E-2</v>
      </c>
    </row>
    <row r="4404" spans="1:4" x14ac:dyDescent="0.25">
      <c r="A4404" s="24" t="s">
        <v>109</v>
      </c>
      <c r="B4404" s="24" t="s">
        <v>146</v>
      </c>
      <c r="C4404" s="32">
        <v>42.578000000000003</v>
      </c>
      <c r="D4404" s="28">
        <v>2.6388888888888889E-2</v>
      </c>
    </row>
    <row r="4405" spans="1:4" x14ac:dyDescent="0.25">
      <c r="A4405" s="24" t="s">
        <v>109</v>
      </c>
      <c r="B4405" s="24" t="s">
        <v>147</v>
      </c>
      <c r="C4405" s="32">
        <v>16.876000000000001</v>
      </c>
      <c r="D4405" s="28">
        <v>1.4583333333333332E-2</v>
      </c>
    </row>
    <row r="4406" spans="1:4" x14ac:dyDescent="0.25">
      <c r="A4406" s="24" t="s">
        <v>109</v>
      </c>
      <c r="B4406" s="24" t="s">
        <v>148</v>
      </c>
      <c r="C4406" s="32">
        <v>19.96</v>
      </c>
      <c r="D4406" s="28">
        <v>1.6666666666666666E-2</v>
      </c>
    </row>
    <row r="4407" spans="1:4" x14ac:dyDescent="0.25">
      <c r="A4407" s="24" t="s">
        <v>109</v>
      </c>
      <c r="B4407" s="24" t="s">
        <v>149</v>
      </c>
      <c r="C4407" s="32">
        <v>21.431000000000001</v>
      </c>
      <c r="D4407" s="28">
        <v>2.2916666666666669E-2</v>
      </c>
    </row>
    <row r="4408" spans="1:4" x14ac:dyDescent="0.25">
      <c r="A4408" s="24" t="s">
        <v>109</v>
      </c>
      <c r="B4408" s="24" t="s">
        <v>150</v>
      </c>
      <c r="C4408" s="32">
        <v>30.917999999999999</v>
      </c>
      <c r="D4408" s="28">
        <v>3.1944444444444449E-2</v>
      </c>
    </row>
    <row r="4409" spans="1:4" x14ac:dyDescent="0.25">
      <c r="A4409" s="24" t="s">
        <v>109</v>
      </c>
      <c r="B4409" s="24" t="s">
        <v>151</v>
      </c>
      <c r="C4409" s="32">
        <v>30.175999999999998</v>
      </c>
      <c r="D4409" s="28">
        <v>3.1944444444444449E-2</v>
      </c>
    </row>
    <row r="4410" spans="1:4" x14ac:dyDescent="0.25">
      <c r="A4410" s="24" t="s">
        <v>109</v>
      </c>
      <c r="B4410" s="24" t="s">
        <v>152</v>
      </c>
      <c r="C4410" s="32">
        <v>35.933</v>
      </c>
      <c r="D4410" s="28">
        <v>3.6111111111111115E-2</v>
      </c>
    </row>
    <row r="4411" spans="1:4" x14ac:dyDescent="0.25">
      <c r="A4411" s="24" t="s">
        <v>109</v>
      </c>
      <c r="B4411" s="24" t="s">
        <v>153</v>
      </c>
      <c r="C4411" s="32">
        <v>39.774999999999999</v>
      </c>
      <c r="D4411" s="28">
        <v>4.0972222222222222E-2</v>
      </c>
    </row>
    <row r="4412" spans="1:4" x14ac:dyDescent="0.25">
      <c r="A4412" s="24" t="s">
        <v>109</v>
      </c>
      <c r="B4412" s="24" t="s">
        <v>154</v>
      </c>
      <c r="C4412" s="32">
        <v>34.593000000000004</v>
      </c>
      <c r="D4412" s="28">
        <v>3.4722222222222224E-2</v>
      </c>
    </row>
    <row r="4413" spans="1:4" x14ac:dyDescent="0.25">
      <c r="A4413" s="24" t="s">
        <v>109</v>
      </c>
      <c r="B4413" s="24" t="s">
        <v>155</v>
      </c>
      <c r="C4413" s="32">
        <v>31.82</v>
      </c>
      <c r="D4413" s="28">
        <v>3.1944444444444449E-2</v>
      </c>
    </row>
    <row r="4414" spans="1:4" x14ac:dyDescent="0.25">
      <c r="A4414" s="24" t="s">
        <v>109</v>
      </c>
      <c r="B4414" s="24" t="s">
        <v>156</v>
      </c>
      <c r="C4414" s="32">
        <v>31.803999999999998</v>
      </c>
      <c r="D4414" s="28">
        <v>3.1944444444444449E-2</v>
      </c>
    </row>
    <row r="4415" spans="1:4" x14ac:dyDescent="0.25">
      <c r="A4415" s="24" t="s">
        <v>109</v>
      </c>
      <c r="B4415" s="24" t="s">
        <v>157</v>
      </c>
      <c r="C4415" s="32">
        <v>42.829000000000001</v>
      </c>
      <c r="D4415" s="28">
        <v>3.4027777777777775E-2</v>
      </c>
    </row>
    <row r="4416" spans="1:4" x14ac:dyDescent="0.25">
      <c r="A4416" s="24" t="s">
        <v>109</v>
      </c>
      <c r="B4416" s="24" t="s">
        <v>158</v>
      </c>
      <c r="C4416" s="32">
        <v>51.25</v>
      </c>
      <c r="D4416" s="28">
        <v>4.3055555555555562E-2</v>
      </c>
    </row>
    <row r="4417" spans="1:4" x14ac:dyDescent="0.25">
      <c r="A4417" s="24" t="s">
        <v>109</v>
      </c>
      <c r="B4417" s="24" t="s">
        <v>159</v>
      </c>
      <c r="C4417" s="32">
        <v>53.637999999999998</v>
      </c>
      <c r="D4417" s="28">
        <v>4.3750000000000004E-2</v>
      </c>
    </row>
    <row r="4418" spans="1:4" x14ac:dyDescent="0.25">
      <c r="A4418" s="24" t="s">
        <v>110</v>
      </c>
      <c r="B4418" s="24" t="s">
        <v>65</v>
      </c>
      <c r="C4418" s="32">
        <v>7.98</v>
      </c>
      <c r="D4418" s="28">
        <v>6.2499999999999995E-3</v>
      </c>
    </row>
    <row r="4419" spans="1:4" x14ac:dyDescent="0.25">
      <c r="A4419" s="24" t="s">
        <v>110</v>
      </c>
      <c r="B4419" s="24" t="s">
        <v>64</v>
      </c>
      <c r="C4419" s="32">
        <v>9.5679999999999996</v>
      </c>
      <c r="D4419" s="28">
        <v>1.2499999999999999E-2</v>
      </c>
    </row>
    <row r="4420" spans="1:4" x14ac:dyDescent="0.25">
      <c r="A4420" s="24" t="s">
        <v>110</v>
      </c>
      <c r="B4420" s="24" t="s">
        <v>66</v>
      </c>
      <c r="C4420" s="32">
        <v>16.260000000000002</v>
      </c>
      <c r="D4420" s="28">
        <v>1.9444444444444445E-2</v>
      </c>
    </row>
    <row r="4421" spans="1:4" x14ac:dyDescent="0.25">
      <c r="A4421" s="24" t="s">
        <v>110</v>
      </c>
      <c r="B4421" s="24" t="s">
        <v>67</v>
      </c>
      <c r="C4421" s="32">
        <v>13.504</v>
      </c>
      <c r="D4421" s="28">
        <v>1.8749999999999999E-2</v>
      </c>
    </row>
    <row r="4422" spans="1:4" x14ac:dyDescent="0.25">
      <c r="A4422" s="24" t="s">
        <v>110</v>
      </c>
      <c r="B4422" s="24" t="s">
        <v>68</v>
      </c>
      <c r="C4422" s="32">
        <v>13.618</v>
      </c>
      <c r="D4422" s="28">
        <v>1.9444444444444445E-2</v>
      </c>
    </row>
    <row r="4423" spans="1:4" x14ac:dyDescent="0.25">
      <c r="A4423" s="24" t="s">
        <v>110</v>
      </c>
      <c r="B4423" s="24" t="s">
        <v>69</v>
      </c>
      <c r="C4423" s="32">
        <v>13.474</v>
      </c>
      <c r="D4423" s="28">
        <v>1.8749999999999999E-2</v>
      </c>
    </row>
    <row r="4424" spans="1:4" x14ac:dyDescent="0.25">
      <c r="A4424" s="24" t="s">
        <v>110</v>
      </c>
      <c r="B4424" s="24" t="s">
        <v>70</v>
      </c>
      <c r="C4424" s="32">
        <v>13.858000000000001</v>
      </c>
      <c r="D4424" s="28">
        <v>1.9444444444444445E-2</v>
      </c>
    </row>
    <row r="4425" spans="1:4" x14ac:dyDescent="0.25">
      <c r="A4425" s="24" t="s">
        <v>110</v>
      </c>
      <c r="B4425" s="24" t="s">
        <v>71</v>
      </c>
      <c r="C4425" s="32">
        <v>13.202999999999999</v>
      </c>
      <c r="D4425" s="28">
        <v>1.9444444444444445E-2</v>
      </c>
    </row>
    <row r="4426" spans="1:4" x14ac:dyDescent="0.25">
      <c r="A4426" s="24" t="s">
        <v>110</v>
      </c>
      <c r="B4426" s="24" t="s">
        <v>72</v>
      </c>
      <c r="C4426" s="32">
        <v>13.627000000000001</v>
      </c>
      <c r="D4426" s="28">
        <v>2.0833333333333332E-2</v>
      </c>
    </row>
    <row r="4427" spans="1:4" x14ac:dyDescent="0.25">
      <c r="A4427" s="24" t="s">
        <v>110</v>
      </c>
      <c r="B4427" s="24" t="s">
        <v>73</v>
      </c>
      <c r="C4427" s="32">
        <v>12.382</v>
      </c>
      <c r="D4427" s="28">
        <v>1.8055555555555557E-2</v>
      </c>
    </row>
    <row r="4428" spans="1:4" x14ac:dyDescent="0.25">
      <c r="A4428" s="24" t="s">
        <v>110</v>
      </c>
      <c r="B4428" s="24" t="s">
        <v>74</v>
      </c>
      <c r="C4428" s="32">
        <v>14.488</v>
      </c>
      <c r="D4428" s="28">
        <v>1.9444444444444445E-2</v>
      </c>
    </row>
    <row r="4429" spans="1:4" x14ac:dyDescent="0.25">
      <c r="A4429" s="24" t="s">
        <v>110</v>
      </c>
      <c r="B4429" s="24" t="s">
        <v>75</v>
      </c>
      <c r="C4429" s="32">
        <v>13.523999999999999</v>
      </c>
      <c r="D4429" s="28">
        <v>1.8055555555555557E-2</v>
      </c>
    </row>
    <row r="4430" spans="1:4" x14ac:dyDescent="0.25">
      <c r="A4430" s="24" t="s">
        <v>110</v>
      </c>
      <c r="B4430" s="24" t="s">
        <v>76</v>
      </c>
      <c r="C4430" s="32">
        <v>17.631</v>
      </c>
      <c r="D4430" s="28">
        <v>2.361111111111111E-2</v>
      </c>
    </row>
    <row r="4431" spans="1:4" x14ac:dyDescent="0.25">
      <c r="A4431" s="24" t="s">
        <v>110</v>
      </c>
      <c r="B4431" s="24" t="s">
        <v>77</v>
      </c>
      <c r="C4431" s="32">
        <v>24.274999999999999</v>
      </c>
      <c r="D4431" s="28">
        <v>2.4999999999999998E-2</v>
      </c>
    </row>
    <row r="4432" spans="1:4" x14ac:dyDescent="0.25">
      <c r="A4432" s="24" t="s">
        <v>110</v>
      </c>
      <c r="B4432" s="24" t="s">
        <v>78</v>
      </c>
      <c r="C4432" s="32">
        <v>21.632000000000001</v>
      </c>
      <c r="D4432" s="28">
        <v>2.2916666666666669E-2</v>
      </c>
    </row>
    <row r="4433" spans="1:4" x14ac:dyDescent="0.25">
      <c r="A4433" s="24" t="s">
        <v>110</v>
      </c>
      <c r="B4433" s="24" t="s">
        <v>79</v>
      </c>
      <c r="C4433" s="32">
        <v>35.206000000000003</v>
      </c>
      <c r="D4433" s="28">
        <v>3.6111111111111115E-2</v>
      </c>
    </row>
    <row r="4434" spans="1:4" x14ac:dyDescent="0.25">
      <c r="A4434" s="24" t="s">
        <v>110</v>
      </c>
      <c r="B4434" s="24" t="s">
        <v>80</v>
      </c>
      <c r="C4434" s="32">
        <v>11.208</v>
      </c>
      <c r="D4434" s="28">
        <v>8.3333333333333332E-3</v>
      </c>
    </row>
    <row r="4435" spans="1:4" x14ac:dyDescent="0.25">
      <c r="A4435" s="24" t="s">
        <v>110</v>
      </c>
      <c r="B4435" s="24" t="s">
        <v>81</v>
      </c>
      <c r="C4435" s="32">
        <v>15.73</v>
      </c>
      <c r="D4435" s="28">
        <v>1.1111111111111112E-2</v>
      </c>
    </row>
    <row r="4436" spans="1:4" x14ac:dyDescent="0.25">
      <c r="A4436" s="24" t="s">
        <v>110</v>
      </c>
      <c r="B4436" s="24" t="s">
        <v>82</v>
      </c>
      <c r="C4436" s="32">
        <v>15.782</v>
      </c>
      <c r="D4436" s="28">
        <v>1.1111111111111112E-2</v>
      </c>
    </row>
    <row r="4437" spans="1:4" x14ac:dyDescent="0.25">
      <c r="A4437" s="24" t="s">
        <v>110</v>
      </c>
      <c r="B4437" s="24" t="s">
        <v>83</v>
      </c>
      <c r="C4437" s="32">
        <v>5.7530000000000001</v>
      </c>
      <c r="D4437" s="28">
        <v>8.3333333333333332E-3</v>
      </c>
    </row>
    <row r="4438" spans="1:4" x14ac:dyDescent="0.25">
      <c r="A4438" s="24" t="s">
        <v>110</v>
      </c>
      <c r="B4438" s="24" t="s">
        <v>84</v>
      </c>
      <c r="C4438" s="32">
        <v>11.693</v>
      </c>
      <c r="D4438" s="28">
        <v>1.5277777777777777E-2</v>
      </c>
    </row>
    <row r="4439" spans="1:4" x14ac:dyDescent="0.25">
      <c r="A4439" s="24" t="s">
        <v>110</v>
      </c>
      <c r="B4439" s="24" t="s">
        <v>85</v>
      </c>
      <c r="C4439" s="32">
        <v>11.093999999999999</v>
      </c>
      <c r="D4439" s="28">
        <v>1.4583333333333332E-2</v>
      </c>
    </row>
    <row r="4440" spans="1:4" x14ac:dyDescent="0.25">
      <c r="A4440" s="24" t="s">
        <v>110</v>
      </c>
      <c r="B4440" s="24" t="s">
        <v>86</v>
      </c>
      <c r="C4440" s="32">
        <v>8.7200000000000006</v>
      </c>
      <c r="D4440" s="28">
        <v>1.1805555555555555E-2</v>
      </c>
    </row>
    <row r="4441" spans="1:4" x14ac:dyDescent="0.25">
      <c r="A4441" s="24" t="s">
        <v>110</v>
      </c>
      <c r="B4441" s="24" t="s">
        <v>87</v>
      </c>
      <c r="C4441" s="32">
        <v>8.3420000000000005</v>
      </c>
      <c r="D4441" s="28">
        <v>1.1111111111111112E-2</v>
      </c>
    </row>
    <row r="4442" spans="1:4" x14ac:dyDescent="0.25">
      <c r="A4442" s="24" t="s">
        <v>110</v>
      </c>
      <c r="B4442" s="24" t="s">
        <v>88</v>
      </c>
      <c r="C4442" s="32">
        <v>7.4950000000000001</v>
      </c>
      <c r="D4442" s="28">
        <v>1.1111111111111112E-2</v>
      </c>
    </row>
    <row r="4443" spans="1:4" x14ac:dyDescent="0.25">
      <c r="A4443" s="24" t="s">
        <v>110</v>
      </c>
      <c r="B4443" s="24" t="s">
        <v>89</v>
      </c>
      <c r="C4443" s="32">
        <v>6.43</v>
      </c>
      <c r="D4443" s="28">
        <v>7.6388888888888886E-3</v>
      </c>
    </row>
    <row r="4444" spans="1:4" x14ac:dyDescent="0.25">
      <c r="A4444" s="24" t="s">
        <v>110</v>
      </c>
      <c r="B4444" s="24" t="s">
        <v>90</v>
      </c>
      <c r="C4444" s="32">
        <v>11.214</v>
      </c>
      <c r="D4444" s="28">
        <v>9.0277777777777787E-3</v>
      </c>
    </row>
    <row r="4445" spans="1:4" x14ac:dyDescent="0.25">
      <c r="A4445" s="24" t="s">
        <v>110</v>
      </c>
      <c r="B4445" s="24" t="s">
        <v>91</v>
      </c>
      <c r="C4445" s="32">
        <v>8.8740000000000006</v>
      </c>
      <c r="D4445" s="28">
        <v>9.7222222222222224E-3</v>
      </c>
    </row>
    <row r="4446" spans="1:4" x14ac:dyDescent="0.25">
      <c r="A4446" s="24" t="s">
        <v>110</v>
      </c>
      <c r="B4446" s="24" t="s">
        <v>92</v>
      </c>
      <c r="C4446" s="32">
        <v>9.2799999999999994</v>
      </c>
      <c r="D4446" s="28">
        <v>7.6388888888888886E-3</v>
      </c>
    </row>
    <row r="4447" spans="1:4" x14ac:dyDescent="0.25">
      <c r="A4447" s="24" t="s">
        <v>110</v>
      </c>
      <c r="B4447" s="24" t="s">
        <v>93</v>
      </c>
      <c r="C4447" s="32">
        <v>33.011000000000003</v>
      </c>
      <c r="D4447" s="28">
        <v>2.1527777777777781E-2</v>
      </c>
    </row>
    <row r="4448" spans="1:4" x14ac:dyDescent="0.25">
      <c r="A4448" s="24" t="s">
        <v>110</v>
      </c>
      <c r="B4448" s="24" t="s">
        <v>94</v>
      </c>
      <c r="C4448" s="32">
        <v>33.64</v>
      </c>
      <c r="D4448" s="28">
        <v>2.2222222222222223E-2</v>
      </c>
    </row>
    <row r="4449" spans="1:4" x14ac:dyDescent="0.25">
      <c r="A4449" s="24" t="s">
        <v>110</v>
      </c>
      <c r="B4449" s="24" t="s">
        <v>95</v>
      </c>
      <c r="C4449" s="32">
        <v>16.065999999999999</v>
      </c>
      <c r="D4449" s="28">
        <v>1.2499999999999999E-2</v>
      </c>
    </row>
    <row r="4450" spans="1:4" x14ac:dyDescent="0.25">
      <c r="A4450" s="24" t="s">
        <v>110</v>
      </c>
      <c r="B4450" s="24" t="s">
        <v>96</v>
      </c>
      <c r="C4450" s="32">
        <v>17.364999999999998</v>
      </c>
      <c r="D4450" s="28">
        <v>1.5277777777777777E-2</v>
      </c>
    </row>
    <row r="4451" spans="1:4" x14ac:dyDescent="0.25">
      <c r="A4451" s="24" t="s">
        <v>110</v>
      </c>
      <c r="B4451" s="24" t="s">
        <v>97</v>
      </c>
      <c r="C4451" s="32">
        <v>26.733000000000001</v>
      </c>
      <c r="D4451" s="28">
        <v>2.2916666666666669E-2</v>
      </c>
    </row>
    <row r="4452" spans="1:4" x14ac:dyDescent="0.25">
      <c r="A4452" s="24" t="s">
        <v>110</v>
      </c>
      <c r="B4452" s="24" t="s">
        <v>98</v>
      </c>
      <c r="C4452" s="32">
        <v>20.297000000000001</v>
      </c>
      <c r="D4452" s="28">
        <v>1.5277777777777777E-2</v>
      </c>
    </row>
    <row r="4453" spans="1:4" x14ac:dyDescent="0.25">
      <c r="A4453" s="24" t="s">
        <v>110</v>
      </c>
      <c r="B4453" s="24" t="s">
        <v>99</v>
      </c>
      <c r="C4453" s="32">
        <v>26.795000000000002</v>
      </c>
      <c r="D4453" s="28">
        <v>2.013888888888889E-2</v>
      </c>
    </row>
    <row r="4454" spans="1:4" x14ac:dyDescent="0.25">
      <c r="A4454" s="24" t="s">
        <v>110</v>
      </c>
      <c r="B4454" s="24" t="s">
        <v>100</v>
      </c>
      <c r="C4454" s="32">
        <v>16.206</v>
      </c>
      <c r="D4454" s="28">
        <v>1.1805555555555555E-2</v>
      </c>
    </row>
    <row r="4455" spans="1:4" x14ac:dyDescent="0.25">
      <c r="A4455" s="24" t="s">
        <v>110</v>
      </c>
      <c r="B4455" s="24" t="s">
        <v>101</v>
      </c>
      <c r="C4455" s="32">
        <v>20.690999999999999</v>
      </c>
      <c r="D4455" s="28">
        <v>1.7361111111111112E-2</v>
      </c>
    </row>
    <row r="4456" spans="1:4" x14ac:dyDescent="0.25">
      <c r="A4456" s="24" t="s">
        <v>110</v>
      </c>
      <c r="B4456" s="24" t="s">
        <v>102</v>
      </c>
      <c r="C4456" s="32">
        <v>20.117999999999999</v>
      </c>
      <c r="D4456" s="28">
        <v>1.6666666666666666E-2</v>
      </c>
    </row>
    <row r="4457" spans="1:4" x14ac:dyDescent="0.25">
      <c r="A4457" s="24" t="s">
        <v>110</v>
      </c>
      <c r="B4457" s="24" t="s">
        <v>103</v>
      </c>
      <c r="C4457" s="32">
        <v>4.2859999999999996</v>
      </c>
      <c r="D4457" s="28">
        <v>4.1666666666666666E-3</v>
      </c>
    </row>
    <row r="4458" spans="1:4" x14ac:dyDescent="0.25">
      <c r="A4458" s="24" t="s">
        <v>110</v>
      </c>
      <c r="B4458" s="24" t="s">
        <v>104</v>
      </c>
      <c r="C4458" s="32">
        <v>8.16</v>
      </c>
      <c r="D4458" s="28">
        <v>6.9444444444444441E-3</v>
      </c>
    </row>
    <row r="4459" spans="1:4" x14ac:dyDescent="0.25">
      <c r="A4459" s="24" t="s">
        <v>110</v>
      </c>
      <c r="B4459" s="24" t="s">
        <v>105</v>
      </c>
      <c r="C4459" s="32">
        <v>6.0750000000000002</v>
      </c>
      <c r="D4459" s="28">
        <v>9.0277777777777787E-3</v>
      </c>
    </row>
    <row r="4460" spans="1:4" x14ac:dyDescent="0.25">
      <c r="A4460" s="24" t="s">
        <v>110</v>
      </c>
      <c r="B4460" s="24" t="s">
        <v>106</v>
      </c>
      <c r="C4460" s="32">
        <v>3.6920000000000002</v>
      </c>
      <c r="D4460" s="28">
        <v>5.5555555555555558E-3</v>
      </c>
    </row>
    <row r="4461" spans="1:4" x14ac:dyDescent="0.25">
      <c r="A4461" s="24" t="s">
        <v>110</v>
      </c>
      <c r="B4461" s="24" t="s">
        <v>107</v>
      </c>
      <c r="C4461" s="32">
        <v>16.831</v>
      </c>
      <c r="D4461" s="28">
        <v>1.4583333333333332E-2</v>
      </c>
    </row>
    <row r="4462" spans="1:4" x14ac:dyDescent="0.25">
      <c r="A4462" s="24" t="s">
        <v>110</v>
      </c>
      <c r="B4462" s="24" t="s">
        <v>108</v>
      </c>
      <c r="C4462" s="32">
        <v>17.428000000000001</v>
      </c>
      <c r="D4462" s="28">
        <v>1.3194444444444444E-2</v>
      </c>
    </row>
    <row r="4463" spans="1:4" x14ac:dyDescent="0.25">
      <c r="A4463" s="24" t="s">
        <v>110</v>
      </c>
      <c r="B4463" s="24" t="s">
        <v>109</v>
      </c>
      <c r="C4463" s="32">
        <v>17.398</v>
      </c>
      <c r="D4463" s="28">
        <v>1.3194444444444444E-2</v>
      </c>
    </row>
    <row r="4464" spans="1:4" x14ac:dyDescent="0.25">
      <c r="A4464" s="24" t="s">
        <v>110</v>
      </c>
      <c r="B4464" s="24" t="s">
        <v>110</v>
      </c>
      <c r="C4464" s="32">
        <v>0</v>
      </c>
      <c r="D4464" s="28">
        <v>0</v>
      </c>
    </row>
    <row r="4465" spans="1:4" x14ac:dyDescent="0.25">
      <c r="A4465" s="24" t="s">
        <v>110</v>
      </c>
      <c r="B4465" s="24" t="s">
        <v>111</v>
      </c>
      <c r="C4465" s="32">
        <v>2.919</v>
      </c>
      <c r="D4465" s="28">
        <v>2.7777777777777779E-3</v>
      </c>
    </row>
    <row r="4466" spans="1:4" x14ac:dyDescent="0.25">
      <c r="A4466" s="24" t="s">
        <v>110</v>
      </c>
      <c r="B4466" s="24" t="s">
        <v>112</v>
      </c>
      <c r="C4466" s="32">
        <v>16.504999999999999</v>
      </c>
      <c r="D4466" s="28">
        <v>1.3194444444444444E-2</v>
      </c>
    </row>
    <row r="4467" spans="1:4" x14ac:dyDescent="0.25">
      <c r="A4467" s="24" t="s">
        <v>110</v>
      </c>
      <c r="B4467" s="24" t="s">
        <v>113</v>
      </c>
      <c r="C4467" s="32">
        <v>20.129000000000001</v>
      </c>
      <c r="D4467" s="28">
        <v>1.5277777777777777E-2</v>
      </c>
    </row>
    <row r="4468" spans="1:4" x14ac:dyDescent="0.25">
      <c r="A4468" s="24" t="s">
        <v>110</v>
      </c>
      <c r="B4468" s="24" t="s">
        <v>114</v>
      </c>
      <c r="C4468" s="32">
        <v>14.275</v>
      </c>
      <c r="D4468" s="28">
        <v>9.7222222222222224E-3</v>
      </c>
    </row>
    <row r="4469" spans="1:4" x14ac:dyDescent="0.25">
      <c r="A4469" s="24" t="s">
        <v>110</v>
      </c>
      <c r="B4469" s="24" t="s">
        <v>115</v>
      </c>
      <c r="C4469" s="32">
        <v>14.125999999999999</v>
      </c>
      <c r="D4469" s="28">
        <v>1.0416666666666666E-2</v>
      </c>
    </row>
    <row r="4470" spans="1:4" x14ac:dyDescent="0.25">
      <c r="A4470" s="24" t="s">
        <v>110</v>
      </c>
      <c r="B4470" s="24" t="s">
        <v>116</v>
      </c>
      <c r="C4470" s="32">
        <v>8.3620000000000001</v>
      </c>
      <c r="D4470" s="28">
        <v>7.6388888888888886E-3</v>
      </c>
    </row>
    <row r="4471" spans="1:4" x14ac:dyDescent="0.25">
      <c r="A4471" s="24" t="s">
        <v>110</v>
      </c>
      <c r="B4471" s="24" t="s">
        <v>117</v>
      </c>
      <c r="C4471" s="32">
        <v>15.57</v>
      </c>
      <c r="D4471" s="28">
        <v>1.3194444444444444E-2</v>
      </c>
    </row>
    <row r="4472" spans="1:4" x14ac:dyDescent="0.25">
      <c r="A4472" s="24" t="s">
        <v>110</v>
      </c>
      <c r="B4472" s="24" t="s">
        <v>118</v>
      </c>
      <c r="C4472" s="32">
        <v>15.271000000000001</v>
      </c>
      <c r="D4472" s="28">
        <v>1.1805555555555555E-2</v>
      </c>
    </row>
    <row r="4473" spans="1:4" x14ac:dyDescent="0.25">
      <c r="A4473" s="24" t="s">
        <v>110</v>
      </c>
      <c r="B4473" s="24" t="s">
        <v>119</v>
      </c>
      <c r="C4473" s="32">
        <v>29.356000000000002</v>
      </c>
      <c r="D4473" s="28">
        <v>1.8749999999999999E-2</v>
      </c>
    </row>
    <row r="4474" spans="1:4" x14ac:dyDescent="0.25">
      <c r="A4474" s="24" t="s">
        <v>110</v>
      </c>
      <c r="B4474" s="24" t="s">
        <v>120</v>
      </c>
      <c r="C4474" s="32">
        <v>32.146000000000001</v>
      </c>
      <c r="D4474" s="28">
        <v>2.2222222222222223E-2</v>
      </c>
    </row>
    <row r="4475" spans="1:4" x14ac:dyDescent="0.25">
      <c r="A4475" s="24" t="s">
        <v>110</v>
      </c>
      <c r="B4475" s="24" t="s">
        <v>121</v>
      </c>
      <c r="C4475" s="32">
        <v>46.497</v>
      </c>
      <c r="D4475" s="28">
        <v>2.9166666666666664E-2</v>
      </c>
    </row>
    <row r="4476" spans="1:4" x14ac:dyDescent="0.25">
      <c r="A4476" s="24" t="s">
        <v>110</v>
      </c>
      <c r="B4476" s="24" t="s">
        <v>122</v>
      </c>
      <c r="C4476" s="32">
        <v>31.882000000000001</v>
      </c>
      <c r="D4476" s="28">
        <v>2.0833333333333332E-2</v>
      </c>
    </row>
    <row r="4477" spans="1:4" x14ac:dyDescent="0.25">
      <c r="A4477" s="24" t="s">
        <v>110</v>
      </c>
      <c r="B4477" s="24" t="s">
        <v>123</v>
      </c>
      <c r="C4477" s="32">
        <v>40.082000000000001</v>
      </c>
      <c r="D4477" s="28">
        <v>2.5694444444444447E-2</v>
      </c>
    </row>
    <row r="4478" spans="1:4" x14ac:dyDescent="0.25">
      <c r="A4478" s="24" t="s">
        <v>110</v>
      </c>
      <c r="B4478" s="24" t="s">
        <v>124</v>
      </c>
      <c r="C4478" s="32">
        <v>40.082000000000001</v>
      </c>
      <c r="D4478" s="28">
        <v>2.5694444444444447E-2</v>
      </c>
    </row>
    <row r="4479" spans="1:4" x14ac:dyDescent="0.25">
      <c r="A4479" s="24" t="s">
        <v>110</v>
      </c>
      <c r="B4479" s="24" t="s">
        <v>125</v>
      </c>
      <c r="C4479" s="32">
        <v>13.853</v>
      </c>
      <c r="D4479" s="28">
        <v>1.2499999999999999E-2</v>
      </c>
    </row>
    <row r="4480" spans="1:4" x14ac:dyDescent="0.25">
      <c r="A4480" s="24" t="s">
        <v>110</v>
      </c>
      <c r="B4480" s="24" t="s">
        <v>126</v>
      </c>
      <c r="C4480" s="32">
        <v>13.590999999999999</v>
      </c>
      <c r="D4480" s="28">
        <v>1.1805555555555555E-2</v>
      </c>
    </row>
    <row r="4481" spans="1:4" x14ac:dyDescent="0.25">
      <c r="A4481" s="24" t="s">
        <v>110</v>
      </c>
      <c r="B4481" s="24" t="s">
        <v>127</v>
      </c>
      <c r="C4481" s="32">
        <v>12.585000000000001</v>
      </c>
      <c r="D4481" s="28">
        <v>1.1111111111111112E-2</v>
      </c>
    </row>
    <row r="4482" spans="1:4" x14ac:dyDescent="0.25">
      <c r="A4482" s="24" t="s">
        <v>110</v>
      </c>
      <c r="B4482" s="24" t="s">
        <v>128</v>
      </c>
      <c r="C4482" s="32">
        <v>13.535</v>
      </c>
      <c r="D4482" s="28">
        <v>1.1111111111111112E-2</v>
      </c>
    </row>
    <row r="4483" spans="1:4" x14ac:dyDescent="0.25">
      <c r="A4483" s="24" t="s">
        <v>110</v>
      </c>
      <c r="B4483" s="24" t="s">
        <v>129</v>
      </c>
      <c r="C4483" s="32">
        <v>13.535</v>
      </c>
      <c r="D4483" s="28">
        <v>1.1111111111111112E-2</v>
      </c>
    </row>
    <row r="4484" spans="1:4" x14ac:dyDescent="0.25">
      <c r="A4484" s="24" t="s">
        <v>110</v>
      </c>
      <c r="B4484" s="24" t="s">
        <v>130</v>
      </c>
      <c r="C4484" s="32">
        <v>12.914</v>
      </c>
      <c r="D4484" s="28">
        <v>1.3888888888888888E-2</v>
      </c>
    </row>
    <row r="4485" spans="1:4" x14ac:dyDescent="0.25">
      <c r="A4485" s="24" t="s">
        <v>110</v>
      </c>
      <c r="B4485" s="24" t="s">
        <v>131</v>
      </c>
      <c r="C4485" s="32">
        <v>11.577</v>
      </c>
      <c r="D4485" s="28">
        <v>1.1805555555555555E-2</v>
      </c>
    </row>
    <row r="4486" spans="1:4" x14ac:dyDescent="0.25">
      <c r="A4486" s="24" t="s">
        <v>110</v>
      </c>
      <c r="B4486" s="24" t="s">
        <v>132</v>
      </c>
      <c r="C4486" s="32">
        <v>19.832000000000001</v>
      </c>
      <c r="D4486" s="28">
        <v>1.7361111111111112E-2</v>
      </c>
    </row>
    <row r="4487" spans="1:4" x14ac:dyDescent="0.25">
      <c r="A4487" s="24" t="s">
        <v>110</v>
      </c>
      <c r="B4487" s="24" t="s">
        <v>133</v>
      </c>
      <c r="C4487" s="32">
        <v>15.199</v>
      </c>
      <c r="D4487" s="28">
        <v>1.7361111111111112E-2</v>
      </c>
    </row>
    <row r="4488" spans="1:4" x14ac:dyDescent="0.25">
      <c r="A4488" s="24" t="s">
        <v>110</v>
      </c>
      <c r="B4488" s="24" t="s">
        <v>134</v>
      </c>
      <c r="C4488" s="32">
        <v>14.733000000000001</v>
      </c>
      <c r="D4488" s="28">
        <v>1.6666666666666666E-2</v>
      </c>
    </row>
    <row r="4489" spans="1:4" x14ac:dyDescent="0.25">
      <c r="A4489" s="24" t="s">
        <v>110</v>
      </c>
      <c r="B4489" s="24" t="s">
        <v>135</v>
      </c>
      <c r="C4489" s="32">
        <v>16.064</v>
      </c>
      <c r="D4489" s="28">
        <v>1.8055555555555557E-2</v>
      </c>
    </row>
    <row r="4490" spans="1:4" x14ac:dyDescent="0.25">
      <c r="A4490" s="24" t="s">
        <v>110</v>
      </c>
      <c r="B4490" s="24" t="s">
        <v>136</v>
      </c>
      <c r="C4490" s="32">
        <v>16.064</v>
      </c>
      <c r="D4490" s="28">
        <v>1.8055555555555557E-2</v>
      </c>
    </row>
    <row r="4491" spans="1:4" x14ac:dyDescent="0.25">
      <c r="A4491" s="24" t="s">
        <v>110</v>
      </c>
      <c r="B4491" s="24" t="s">
        <v>137</v>
      </c>
      <c r="C4491" s="32">
        <v>14.866</v>
      </c>
      <c r="D4491" s="28">
        <v>1.8055555555555557E-2</v>
      </c>
    </row>
    <row r="4492" spans="1:4" x14ac:dyDescent="0.25">
      <c r="A4492" s="24" t="s">
        <v>110</v>
      </c>
      <c r="B4492" s="24" t="s">
        <v>138</v>
      </c>
      <c r="C4492" s="32">
        <v>18.506</v>
      </c>
      <c r="D4492" s="28">
        <v>1.8749999999999999E-2</v>
      </c>
    </row>
    <row r="4493" spans="1:4" x14ac:dyDescent="0.25">
      <c r="A4493" s="24" t="s">
        <v>110</v>
      </c>
      <c r="B4493" s="24" t="s">
        <v>139</v>
      </c>
      <c r="C4493" s="32">
        <v>36.344000000000001</v>
      </c>
      <c r="D4493" s="28">
        <v>2.2222222222222223E-2</v>
      </c>
    </row>
    <row r="4494" spans="1:4" x14ac:dyDescent="0.25">
      <c r="A4494" s="24" t="s">
        <v>110</v>
      </c>
      <c r="B4494" s="24" t="s">
        <v>140</v>
      </c>
      <c r="C4494" s="32">
        <v>27.302</v>
      </c>
      <c r="D4494" s="28">
        <v>2.4999999999999998E-2</v>
      </c>
    </row>
    <row r="4495" spans="1:4" x14ac:dyDescent="0.25">
      <c r="A4495" s="24" t="s">
        <v>110</v>
      </c>
      <c r="B4495" s="24" t="s">
        <v>141</v>
      </c>
      <c r="C4495" s="32">
        <v>61.055</v>
      </c>
      <c r="D4495" s="28">
        <v>4.1666666666666664E-2</v>
      </c>
    </row>
    <row r="4496" spans="1:4" x14ac:dyDescent="0.25">
      <c r="A4496" s="24" t="s">
        <v>110</v>
      </c>
      <c r="B4496" s="24" t="s">
        <v>142</v>
      </c>
      <c r="C4496" s="32">
        <v>59.143000000000001</v>
      </c>
      <c r="D4496" s="28">
        <v>3.4027777777777775E-2</v>
      </c>
    </row>
    <row r="4497" spans="1:4" x14ac:dyDescent="0.25">
      <c r="A4497" s="24" t="s">
        <v>110</v>
      </c>
      <c r="B4497" s="24" t="s">
        <v>143</v>
      </c>
      <c r="C4497" s="32">
        <v>77.521000000000001</v>
      </c>
      <c r="D4497" s="28">
        <v>4.1666666666666664E-2</v>
      </c>
    </row>
    <row r="4498" spans="1:4" x14ac:dyDescent="0.25">
      <c r="A4498" s="24" t="s">
        <v>110</v>
      </c>
      <c r="B4498" s="24" t="s">
        <v>144</v>
      </c>
      <c r="C4498" s="32">
        <v>96.637</v>
      </c>
      <c r="D4498" s="28">
        <v>5.2777777777777778E-2</v>
      </c>
    </row>
    <row r="4499" spans="1:4" x14ac:dyDescent="0.25">
      <c r="A4499" s="24" t="s">
        <v>110</v>
      </c>
      <c r="B4499" s="24" t="s">
        <v>145</v>
      </c>
      <c r="C4499" s="32">
        <v>41.151000000000003</v>
      </c>
      <c r="D4499" s="28">
        <v>2.7083333333333334E-2</v>
      </c>
    </row>
    <row r="4500" spans="1:4" x14ac:dyDescent="0.25">
      <c r="A4500" s="24" t="s">
        <v>110</v>
      </c>
      <c r="B4500" s="24" t="s">
        <v>146</v>
      </c>
      <c r="C4500" s="32">
        <v>56.61</v>
      </c>
      <c r="D4500" s="28">
        <v>3.4722222222222224E-2</v>
      </c>
    </row>
    <row r="4501" spans="1:4" x14ac:dyDescent="0.25">
      <c r="A4501" s="24" t="s">
        <v>110</v>
      </c>
      <c r="B4501" s="24" t="s">
        <v>147</v>
      </c>
      <c r="C4501" s="32">
        <v>6.3579999999999997</v>
      </c>
      <c r="D4501" s="28">
        <v>6.2499999999999995E-3</v>
      </c>
    </row>
    <row r="4502" spans="1:4" x14ac:dyDescent="0.25">
      <c r="A4502" s="24" t="s">
        <v>110</v>
      </c>
      <c r="B4502" s="24" t="s">
        <v>148</v>
      </c>
      <c r="C4502" s="32">
        <v>9.4420000000000002</v>
      </c>
      <c r="D4502" s="28">
        <v>8.3333333333333332E-3</v>
      </c>
    </row>
    <row r="4503" spans="1:4" x14ac:dyDescent="0.25">
      <c r="A4503" s="24" t="s">
        <v>110</v>
      </c>
      <c r="B4503" s="24" t="s">
        <v>149</v>
      </c>
      <c r="C4503" s="32">
        <v>19.937999999999999</v>
      </c>
      <c r="D4503" s="28">
        <v>1.8055555555555557E-2</v>
      </c>
    </row>
    <row r="4504" spans="1:4" x14ac:dyDescent="0.25">
      <c r="A4504" s="24" t="s">
        <v>110</v>
      </c>
      <c r="B4504" s="24" t="s">
        <v>150</v>
      </c>
      <c r="C4504" s="32">
        <v>29.425000000000001</v>
      </c>
      <c r="D4504" s="28">
        <v>2.7083333333333334E-2</v>
      </c>
    </row>
    <row r="4505" spans="1:4" x14ac:dyDescent="0.25">
      <c r="A4505" s="24" t="s">
        <v>110</v>
      </c>
      <c r="B4505" s="24" t="s">
        <v>151</v>
      </c>
      <c r="C4505" s="32">
        <v>28.683</v>
      </c>
      <c r="D4505" s="28">
        <v>2.6388888888888889E-2</v>
      </c>
    </row>
    <row r="4506" spans="1:4" x14ac:dyDescent="0.25">
      <c r="A4506" s="24" t="s">
        <v>110</v>
      </c>
      <c r="B4506" s="24" t="s">
        <v>152</v>
      </c>
      <c r="C4506" s="32">
        <v>30.251999999999999</v>
      </c>
      <c r="D4506" s="28">
        <v>2.8472222222222222E-2</v>
      </c>
    </row>
    <row r="4507" spans="1:4" x14ac:dyDescent="0.25">
      <c r="A4507" s="24" t="s">
        <v>110</v>
      </c>
      <c r="B4507" s="24" t="s">
        <v>153</v>
      </c>
      <c r="C4507" s="32">
        <v>34.779000000000003</v>
      </c>
      <c r="D4507" s="28">
        <v>3.4722222222222224E-2</v>
      </c>
    </row>
    <row r="4508" spans="1:4" x14ac:dyDescent="0.25">
      <c r="A4508" s="24" t="s">
        <v>110</v>
      </c>
      <c r="B4508" s="24" t="s">
        <v>154</v>
      </c>
      <c r="C4508" s="32">
        <v>29.588000000000001</v>
      </c>
      <c r="D4508" s="28">
        <v>2.8472222222222222E-2</v>
      </c>
    </row>
    <row r="4509" spans="1:4" x14ac:dyDescent="0.25">
      <c r="A4509" s="24" t="s">
        <v>110</v>
      </c>
      <c r="B4509" s="24" t="s">
        <v>155</v>
      </c>
      <c r="C4509" s="32">
        <v>29.286999999999999</v>
      </c>
      <c r="D4509" s="28">
        <v>2.7083333333333334E-2</v>
      </c>
    </row>
    <row r="4510" spans="1:4" x14ac:dyDescent="0.25">
      <c r="A4510" s="24" t="s">
        <v>110</v>
      </c>
      <c r="B4510" s="24" t="s">
        <v>156</v>
      </c>
      <c r="C4510" s="32">
        <v>29.271000000000001</v>
      </c>
      <c r="D4510" s="28">
        <v>2.7083333333333334E-2</v>
      </c>
    </row>
    <row r="4511" spans="1:4" x14ac:dyDescent="0.25">
      <c r="A4511" s="24" t="s">
        <v>110</v>
      </c>
      <c r="B4511" s="24" t="s">
        <v>157</v>
      </c>
      <c r="C4511" s="32">
        <v>29.978000000000002</v>
      </c>
      <c r="D4511" s="28">
        <v>2.7083333333333334E-2</v>
      </c>
    </row>
    <row r="4512" spans="1:4" x14ac:dyDescent="0.25">
      <c r="A4512" s="24" t="s">
        <v>110</v>
      </c>
      <c r="B4512" s="24" t="s">
        <v>158</v>
      </c>
      <c r="C4512" s="32">
        <v>42.268999999999998</v>
      </c>
      <c r="D4512" s="28">
        <v>3.5416666666666666E-2</v>
      </c>
    </row>
    <row r="4513" spans="1:4" x14ac:dyDescent="0.25">
      <c r="A4513" s="24" t="s">
        <v>110</v>
      </c>
      <c r="B4513" s="24" t="s">
        <v>159</v>
      </c>
      <c r="C4513" s="32">
        <v>47.819000000000003</v>
      </c>
      <c r="D4513" s="28">
        <v>3.888888888888889E-2</v>
      </c>
    </row>
    <row r="4514" spans="1:4" x14ac:dyDescent="0.25">
      <c r="A4514" s="24" t="s">
        <v>111</v>
      </c>
      <c r="B4514" s="24" t="s">
        <v>65</v>
      </c>
      <c r="C4514" s="32">
        <v>5.1369999999999996</v>
      </c>
      <c r="D4514" s="28">
        <v>4.1666666666666666E-3</v>
      </c>
    </row>
    <row r="4515" spans="1:4" x14ac:dyDescent="0.25">
      <c r="A4515" s="24" t="s">
        <v>111</v>
      </c>
      <c r="B4515" s="24" t="s">
        <v>64</v>
      </c>
      <c r="C4515" s="32">
        <v>11.199</v>
      </c>
      <c r="D4515" s="28">
        <v>1.1111111111111112E-2</v>
      </c>
    </row>
    <row r="4516" spans="1:4" x14ac:dyDescent="0.25">
      <c r="A4516" s="24" t="s">
        <v>111</v>
      </c>
      <c r="B4516" s="24" t="s">
        <v>66</v>
      </c>
      <c r="C4516" s="32">
        <v>17.890999999999998</v>
      </c>
      <c r="D4516" s="28">
        <v>1.8055555555555557E-2</v>
      </c>
    </row>
    <row r="4517" spans="1:4" x14ac:dyDescent="0.25">
      <c r="A4517" s="24" t="s">
        <v>111</v>
      </c>
      <c r="B4517" s="24" t="s">
        <v>67</v>
      </c>
      <c r="C4517" s="32">
        <v>15.135</v>
      </c>
      <c r="D4517" s="28">
        <v>1.7361111111111112E-2</v>
      </c>
    </row>
    <row r="4518" spans="1:4" x14ac:dyDescent="0.25">
      <c r="A4518" s="24" t="s">
        <v>111</v>
      </c>
      <c r="B4518" s="24" t="s">
        <v>68</v>
      </c>
      <c r="C4518" s="32">
        <v>15.249000000000001</v>
      </c>
      <c r="D4518" s="28">
        <v>1.8055555555555557E-2</v>
      </c>
    </row>
    <row r="4519" spans="1:4" x14ac:dyDescent="0.25">
      <c r="A4519" s="24" t="s">
        <v>111</v>
      </c>
      <c r="B4519" s="24" t="s">
        <v>69</v>
      </c>
      <c r="C4519" s="32">
        <v>17.071000000000002</v>
      </c>
      <c r="D4519" s="28">
        <v>1.7361111111111112E-2</v>
      </c>
    </row>
    <row r="4520" spans="1:4" x14ac:dyDescent="0.25">
      <c r="A4520" s="24" t="s">
        <v>111</v>
      </c>
      <c r="B4520" s="24" t="s">
        <v>70</v>
      </c>
      <c r="C4520" s="32">
        <v>17.454999999999998</v>
      </c>
      <c r="D4520" s="28">
        <v>1.8055555555555557E-2</v>
      </c>
    </row>
    <row r="4521" spans="1:4" x14ac:dyDescent="0.25">
      <c r="A4521" s="24" t="s">
        <v>111</v>
      </c>
      <c r="B4521" s="24" t="s">
        <v>71</v>
      </c>
      <c r="C4521" s="32">
        <v>14.834</v>
      </c>
      <c r="D4521" s="28">
        <v>1.8055555555555557E-2</v>
      </c>
    </row>
    <row r="4522" spans="1:4" x14ac:dyDescent="0.25">
      <c r="A4522" s="24" t="s">
        <v>111</v>
      </c>
      <c r="B4522" s="24" t="s">
        <v>72</v>
      </c>
      <c r="C4522" s="32">
        <v>15.257999999999999</v>
      </c>
      <c r="D4522" s="28">
        <v>1.9444444444444445E-2</v>
      </c>
    </row>
    <row r="4523" spans="1:4" x14ac:dyDescent="0.25">
      <c r="A4523" s="24" t="s">
        <v>111</v>
      </c>
      <c r="B4523" s="24" t="s">
        <v>73</v>
      </c>
      <c r="C4523" s="32">
        <v>14.013</v>
      </c>
      <c r="D4523" s="28">
        <v>1.6666666666666666E-2</v>
      </c>
    </row>
    <row r="4524" spans="1:4" x14ac:dyDescent="0.25">
      <c r="A4524" s="24" t="s">
        <v>111</v>
      </c>
      <c r="B4524" s="24" t="s">
        <v>74</v>
      </c>
      <c r="C4524" s="32">
        <v>16.119</v>
      </c>
      <c r="D4524" s="28">
        <v>1.8055555555555557E-2</v>
      </c>
    </row>
    <row r="4525" spans="1:4" x14ac:dyDescent="0.25">
      <c r="A4525" s="24" t="s">
        <v>111</v>
      </c>
      <c r="B4525" s="24" t="s">
        <v>75</v>
      </c>
      <c r="C4525" s="32">
        <v>15.154999999999999</v>
      </c>
      <c r="D4525" s="28">
        <v>1.6666666666666666E-2</v>
      </c>
    </row>
    <row r="4526" spans="1:4" x14ac:dyDescent="0.25">
      <c r="A4526" s="24" t="s">
        <v>111</v>
      </c>
      <c r="B4526" s="24" t="s">
        <v>76</v>
      </c>
      <c r="C4526" s="32">
        <v>19.667999999999999</v>
      </c>
      <c r="D4526" s="28">
        <v>2.2222222222222223E-2</v>
      </c>
    </row>
    <row r="4527" spans="1:4" x14ac:dyDescent="0.25">
      <c r="A4527" s="24" t="s">
        <v>111</v>
      </c>
      <c r="B4527" s="24" t="s">
        <v>77</v>
      </c>
      <c r="C4527" s="32">
        <v>25.376000000000001</v>
      </c>
      <c r="D4527" s="28">
        <v>2.361111111111111E-2</v>
      </c>
    </row>
    <row r="4528" spans="1:4" x14ac:dyDescent="0.25">
      <c r="A4528" s="24" t="s">
        <v>111</v>
      </c>
      <c r="B4528" s="24" t="s">
        <v>78</v>
      </c>
      <c r="C4528" s="32">
        <v>21.510999999999999</v>
      </c>
      <c r="D4528" s="28">
        <v>2.0833333333333332E-2</v>
      </c>
    </row>
    <row r="4529" spans="1:4" x14ac:dyDescent="0.25">
      <c r="A4529" s="24" t="s">
        <v>111</v>
      </c>
      <c r="B4529" s="24" t="s">
        <v>79</v>
      </c>
      <c r="C4529" s="32">
        <v>36.914999999999999</v>
      </c>
      <c r="D4529" s="28">
        <v>3.4722222222222224E-2</v>
      </c>
    </row>
    <row r="4530" spans="1:4" x14ac:dyDescent="0.25">
      <c r="A4530" s="24" t="s">
        <v>111</v>
      </c>
      <c r="B4530" s="24" t="s">
        <v>80</v>
      </c>
      <c r="C4530" s="32">
        <v>8.3650000000000002</v>
      </c>
      <c r="D4530" s="28">
        <v>6.2499999999999995E-3</v>
      </c>
    </row>
    <row r="4531" spans="1:4" x14ac:dyDescent="0.25">
      <c r="A4531" s="24" t="s">
        <v>111</v>
      </c>
      <c r="B4531" s="24" t="s">
        <v>81</v>
      </c>
      <c r="C4531" s="32">
        <v>12.887</v>
      </c>
      <c r="D4531" s="28">
        <v>9.0277777777777787E-3</v>
      </c>
    </row>
    <row r="4532" spans="1:4" x14ac:dyDescent="0.25">
      <c r="A4532" s="24" t="s">
        <v>111</v>
      </c>
      <c r="B4532" s="24" t="s">
        <v>82</v>
      </c>
      <c r="C4532" s="32">
        <v>12.939</v>
      </c>
      <c r="D4532" s="28">
        <v>9.0277777777777787E-3</v>
      </c>
    </row>
    <row r="4533" spans="1:4" x14ac:dyDescent="0.25">
      <c r="A4533" s="24" t="s">
        <v>111</v>
      </c>
      <c r="B4533" s="24" t="s">
        <v>83</v>
      </c>
      <c r="C4533" s="32">
        <v>7.3840000000000003</v>
      </c>
      <c r="D4533" s="28">
        <v>7.6388888888888886E-3</v>
      </c>
    </row>
    <row r="4534" spans="1:4" x14ac:dyDescent="0.25">
      <c r="A4534" s="24" t="s">
        <v>111</v>
      </c>
      <c r="B4534" s="24" t="s">
        <v>84</v>
      </c>
      <c r="C4534" s="32">
        <v>13.324</v>
      </c>
      <c r="D4534" s="28">
        <v>1.3888888888888888E-2</v>
      </c>
    </row>
    <row r="4535" spans="1:4" x14ac:dyDescent="0.25">
      <c r="A4535" s="24" t="s">
        <v>111</v>
      </c>
      <c r="B4535" s="24" t="s">
        <v>85</v>
      </c>
      <c r="C4535" s="32">
        <v>12.725</v>
      </c>
      <c r="D4535" s="28">
        <v>1.3194444444444444E-2</v>
      </c>
    </row>
    <row r="4536" spans="1:4" x14ac:dyDescent="0.25">
      <c r="A4536" s="24" t="s">
        <v>111</v>
      </c>
      <c r="B4536" s="24" t="s">
        <v>86</v>
      </c>
      <c r="C4536" s="32">
        <v>10.351000000000001</v>
      </c>
      <c r="D4536" s="28">
        <v>1.0416666666666666E-2</v>
      </c>
    </row>
    <row r="4537" spans="1:4" x14ac:dyDescent="0.25">
      <c r="A4537" s="24" t="s">
        <v>111</v>
      </c>
      <c r="B4537" s="24" t="s">
        <v>87</v>
      </c>
      <c r="C4537" s="32">
        <v>9.9730000000000008</v>
      </c>
      <c r="D4537" s="28">
        <v>9.7222222222222224E-3</v>
      </c>
    </row>
    <row r="4538" spans="1:4" x14ac:dyDescent="0.25">
      <c r="A4538" s="24" t="s">
        <v>111</v>
      </c>
      <c r="B4538" s="24" t="s">
        <v>88</v>
      </c>
      <c r="C4538" s="32">
        <v>9.1259999999999994</v>
      </c>
      <c r="D4538" s="28">
        <v>9.7222222222222224E-3</v>
      </c>
    </row>
    <row r="4539" spans="1:4" x14ac:dyDescent="0.25">
      <c r="A4539" s="24" t="s">
        <v>111</v>
      </c>
      <c r="B4539" s="24" t="s">
        <v>89</v>
      </c>
      <c r="C4539" s="32">
        <v>5.2050000000000001</v>
      </c>
      <c r="D4539" s="28">
        <v>5.5555555555555558E-3</v>
      </c>
    </row>
    <row r="4540" spans="1:4" x14ac:dyDescent="0.25">
      <c r="A4540" s="24" t="s">
        <v>111</v>
      </c>
      <c r="B4540" s="24" t="s">
        <v>90</v>
      </c>
      <c r="C4540" s="32">
        <v>8.3710000000000004</v>
      </c>
      <c r="D4540" s="28">
        <v>6.2499999999999995E-3</v>
      </c>
    </row>
    <row r="4541" spans="1:4" x14ac:dyDescent="0.25">
      <c r="A4541" s="24" t="s">
        <v>111</v>
      </c>
      <c r="B4541" s="24" t="s">
        <v>91</v>
      </c>
      <c r="C4541" s="32">
        <v>7.649</v>
      </c>
      <c r="D4541" s="28">
        <v>8.3333333333333332E-3</v>
      </c>
    </row>
    <row r="4542" spans="1:4" x14ac:dyDescent="0.25">
      <c r="A4542" s="24" t="s">
        <v>111</v>
      </c>
      <c r="B4542" s="24" t="s">
        <v>92</v>
      </c>
      <c r="C4542" s="32">
        <v>6.4370000000000003</v>
      </c>
      <c r="D4542" s="28">
        <v>5.5555555555555558E-3</v>
      </c>
    </row>
    <row r="4543" spans="1:4" x14ac:dyDescent="0.25">
      <c r="A4543" s="24" t="s">
        <v>111</v>
      </c>
      <c r="B4543" s="24" t="s">
        <v>93</v>
      </c>
      <c r="C4543" s="32">
        <v>30.167999999999999</v>
      </c>
      <c r="D4543" s="28">
        <v>1.8749999999999999E-2</v>
      </c>
    </row>
    <row r="4544" spans="1:4" x14ac:dyDescent="0.25">
      <c r="A4544" s="24" t="s">
        <v>111</v>
      </c>
      <c r="B4544" s="24" t="s">
        <v>94</v>
      </c>
      <c r="C4544" s="32">
        <v>30.797000000000001</v>
      </c>
      <c r="D4544" s="28">
        <v>1.9444444444444445E-2</v>
      </c>
    </row>
    <row r="4545" spans="1:4" x14ac:dyDescent="0.25">
      <c r="A4545" s="24" t="s">
        <v>111</v>
      </c>
      <c r="B4545" s="24" t="s">
        <v>95</v>
      </c>
      <c r="C4545" s="32">
        <v>13.223000000000001</v>
      </c>
      <c r="D4545" s="28">
        <v>9.7222222222222224E-3</v>
      </c>
    </row>
    <row r="4546" spans="1:4" x14ac:dyDescent="0.25">
      <c r="A4546" s="24" t="s">
        <v>111</v>
      </c>
      <c r="B4546" s="24" t="s">
        <v>96</v>
      </c>
      <c r="C4546" s="32">
        <v>16.14</v>
      </c>
      <c r="D4546" s="28">
        <v>1.3194444444444444E-2</v>
      </c>
    </row>
    <row r="4547" spans="1:4" x14ac:dyDescent="0.25">
      <c r="A4547" s="24" t="s">
        <v>111</v>
      </c>
      <c r="B4547" s="24" t="s">
        <v>97</v>
      </c>
      <c r="C4547" s="32">
        <v>25.507999999999999</v>
      </c>
      <c r="D4547" s="28">
        <v>2.0833333333333332E-2</v>
      </c>
    </row>
    <row r="4548" spans="1:4" x14ac:dyDescent="0.25">
      <c r="A4548" s="24" t="s">
        <v>111</v>
      </c>
      <c r="B4548" s="24" t="s">
        <v>98</v>
      </c>
      <c r="C4548" s="32">
        <v>17.454000000000001</v>
      </c>
      <c r="D4548" s="28">
        <v>1.3194444444444444E-2</v>
      </c>
    </row>
    <row r="4549" spans="1:4" x14ac:dyDescent="0.25">
      <c r="A4549" s="24" t="s">
        <v>111</v>
      </c>
      <c r="B4549" s="24" t="s">
        <v>99</v>
      </c>
      <c r="C4549" s="32">
        <v>23.952000000000002</v>
      </c>
      <c r="D4549" s="28">
        <v>1.8055555555555557E-2</v>
      </c>
    </row>
    <row r="4550" spans="1:4" x14ac:dyDescent="0.25">
      <c r="A4550" s="24" t="s">
        <v>111</v>
      </c>
      <c r="B4550" s="24" t="s">
        <v>100</v>
      </c>
      <c r="C4550" s="32">
        <v>13.363</v>
      </c>
      <c r="D4550" s="28">
        <v>9.7222222222222224E-3</v>
      </c>
    </row>
    <row r="4551" spans="1:4" x14ac:dyDescent="0.25">
      <c r="A4551" s="24" t="s">
        <v>111</v>
      </c>
      <c r="B4551" s="24" t="s">
        <v>101</v>
      </c>
      <c r="C4551" s="32">
        <v>17.847999999999999</v>
      </c>
      <c r="D4551" s="28">
        <v>1.4583333333333332E-2</v>
      </c>
    </row>
    <row r="4552" spans="1:4" x14ac:dyDescent="0.25">
      <c r="A4552" s="24" t="s">
        <v>111</v>
      </c>
      <c r="B4552" s="24" t="s">
        <v>102</v>
      </c>
      <c r="C4552" s="32">
        <v>17.274999999999999</v>
      </c>
      <c r="D4552" s="28">
        <v>1.3888888888888888E-2</v>
      </c>
    </row>
    <row r="4553" spans="1:4" x14ac:dyDescent="0.25">
      <c r="A4553" s="24" t="s">
        <v>111</v>
      </c>
      <c r="B4553" s="24" t="s">
        <v>103</v>
      </c>
      <c r="C4553" s="32">
        <v>3.0609999999999999</v>
      </c>
      <c r="D4553" s="28">
        <v>2.7777777777777779E-3</v>
      </c>
    </row>
    <row r="4554" spans="1:4" x14ac:dyDescent="0.25">
      <c r="A4554" s="24" t="s">
        <v>111</v>
      </c>
      <c r="B4554" s="24" t="s">
        <v>104</v>
      </c>
      <c r="C4554" s="32">
        <v>5.3170000000000002</v>
      </c>
      <c r="D4554" s="28">
        <v>4.1666666666666666E-3</v>
      </c>
    </row>
    <row r="4555" spans="1:4" x14ac:dyDescent="0.25">
      <c r="A4555" s="24" t="s">
        <v>111</v>
      </c>
      <c r="B4555" s="24" t="s">
        <v>105</v>
      </c>
      <c r="C4555" s="32">
        <v>2.9249999999999998</v>
      </c>
      <c r="D4555" s="28">
        <v>5.5555555555555558E-3</v>
      </c>
    </row>
    <row r="4556" spans="1:4" x14ac:dyDescent="0.25">
      <c r="A4556" s="24" t="s">
        <v>111</v>
      </c>
      <c r="B4556" s="24" t="s">
        <v>106</v>
      </c>
      <c r="C4556" s="32">
        <v>5.3230000000000004</v>
      </c>
      <c r="D4556" s="28">
        <v>4.1666666666666666E-3</v>
      </c>
    </row>
    <row r="4557" spans="1:4" x14ac:dyDescent="0.25">
      <c r="A4557" s="24" t="s">
        <v>111</v>
      </c>
      <c r="B4557" s="24" t="s">
        <v>107</v>
      </c>
      <c r="C4557" s="32">
        <v>13.988</v>
      </c>
      <c r="D4557" s="28">
        <v>1.2499999999999999E-2</v>
      </c>
    </row>
    <row r="4558" spans="1:4" x14ac:dyDescent="0.25">
      <c r="A4558" s="24" t="s">
        <v>111</v>
      </c>
      <c r="B4558" s="24" t="s">
        <v>108</v>
      </c>
      <c r="C4558" s="32">
        <v>14.585000000000001</v>
      </c>
      <c r="D4558" s="28">
        <v>1.1111111111111112E-2</v>
      </c>
    </row>
    <row r="4559" spans="1:4" x14ac:dyDescent="0.25">
      <c r="A4559" s="24" t="s">
        <v>111</v>
      </c>
      <c r="B4559" s="24" t="s">
        <v>109</v>
      </c>
      <c r="C4559" s="32">
        <v>14.555</v>
      </c>
      <c r="D4559" s="28">
        <v>1.1111111111111112E-2</v>
      </c>
    </row>
    <row r="4560" spans="1:4" x14ac:dyDescent="0.25">
      <c r="A4560" s="24" t="s">
        <v>111</v>
      </c>
      <c r="B4560" s="24" t="s">
        <v>110</v>
      </c>
      <c r="C4560" s="32">
        <v>3.0329999999999999</v>
      </c>
      <c r="D4560" s="28">
        <v>4.1666666666666666E-3</v>
      </c>
    </row>
    <row r="4561" spans="1:4" x14ac:dyDescent="0.25">
      <c r="A4561" s="24" t="s">
        <v>111</v>
      </c>
      <c r="B4561" s="24" t="s">
        <v>111</v>
      </c>
      <c r="C4561" s="32">
        <v>0</v>
      </c>
      <c r="D4561" s="28">
        <v>0</v>
      </c>
    </row>
    <row r="4562" spans="1:4" x14ac:dyDescent="0.25">
      <c r="A4562" s="24" t="s">
        <v>111</v>
      </c>
      <c r="B4562" s="24" t="s">
        <v>112</v>
      </c>
      <c r="C4562" s="32">
        <v>13.662000000000001</v>
      </c>
      <c r="D4562" s="28">
        <v>1.0416666666666666E-2</v>
      </c>
    </row>
    <row r="4563" spans="1:4" x14ac:dyDescent="0.25">
      <c r="A4563" s="24" t="s">
        <v>111</v>
      </c>
      <c r="B4563" s="24" t="s">
        <v>113</v>
      </c>
      <c r="C4563" s="32">
        <v>17.286000000000001</v>
      </c>
      <c r="D4563" s="28">
        <v>1.3194444444444444E-2</v>
      </c>
    </row>
    <row r="4564" spans="1:4" x14ac:dyDescent="0.25">
      <c r="A4564" s="24" t="s">
        <v>111</v>
      </c>
      <c r="B4564" s="24" t="s">
        <v>114</v>
      </c>
      <c r="C4564" s="32">
        <v>11.432</v>
      </c>
      <c r="D4564" s="28">
        <v>7.6388888888888886E-3</v>
      </c>
    </row>
    <row r="4565" spans="1:4" x14ac:dyDescent="0.25">
      <c r="A4565" s="24" t="s">
        <v>111</v>
      </c>
      <c r="B4565" s="24" t="s">
        <v>115</v>
      </c>
      <c r="C4565" s="32">
        <v>11.282999999999999</v>
      </c>
      <c r="D4565" s="28">
        <v>7.6388888888888886E-3</v>
      </c>
    </row>
    <row r="4566" spans="1:4" x14ac:dyDescent="0.25">
      <c r="A4566" s="24" t="s">
        <v>111</v>
      </c>
      <c r="B4566" s="24" t="s">
        <v>116</v>
      </c>
      <c r="C4566" s="32">
        <v>5.5190000000000001</v>
      </c>
      <c r="D4566" s="28">
        <v>5.5555555555555558E-3</v>
      </c>
    </row>
    <row r="4567" spans="1:4" x14ac:dyDescent="0.25">
      <c r="A4567" s="24" t="s">
        <v>111</v>
      </c>
      <c r="B4567" s="24" t="s">
        <v>117</v>
      </c>
      <c r="C4567" s="32">
        <v>12.727</v>
      </c>
      <c r="D4567" s="28">
        <v>1.1111111111111112E-2</v>
      </c>
    </row>
    <row r="4568" spans="1:4" x14ac:dyDescent="0.25">
      <c r="A4568" s="24" t="s">
        <v>111</v>
      </c>
      <c r="B4568" s="24" t="s">
        <v>118</v>
      </c>
      <c r="C4568" s="32">
        <v>12.428000000000001</v>
      </c>
      <c r="D4568" s="28">
        <v>9.7222222222222224E-3</v>
      </c>
    </row>
    <row r="4569" spans="1:4" x14ac:dyDescent="0.25">
      <c r="A4569" s="24" t="s">
        <v>111</v>
      </c>
      <c r="B4569" s="24" t="s">
        <v>119</v>
      </c>
      <c r="C4569" s="32">
        <v>26.513000000000002</v>
      </c>
      <c r="D4569" s="28">
        <v>1.6666666666666666E-2</v>
      </c>
    </row>
    <row r="4570" spans="1:4" x14ac:dyDescent="0.25">
      <c r="A4570" s="24" t="s">
        <v>111</v>
      </c>
      <c r="B4570" s="24" t="s">
        <v>120</v>
      </c>
      <c r="C4570" s="32">
        <v>29.303000000000001</v>
      </c>
      <c r="D4570" s="28">
        <v>2.013888888888889E-2</v>
      </c>
    </row>
    <row r="4571" spans="1:4" x14ac:dyDescent="0.25">
      <c r="A4571" s="24" t="s">
        <v>111</v>
      </c>
      <c r="B4571" s="24" t="s">
        <v>121</v>
      </c>
      <c r="C4571" s="32">
        <v>43.654000000000003</v>
      </c>
      <c r="D4571" s="28">
        <v>2.7083333333333334E-2</v>
      </c>
    </row>
    <row r="4572" spans="1:4" x14ac:dyDescent="0.25">
      <c r="A4572" s="24" t="s">
        <v>111</v>
      </c>
      <c r="B4572" s="24" t="s">
        <v>122</v>
      </c>
      <c r="C4572" s="32">
        <v>29.039000000000001</v>
      </c>
      <c r="D4572" s="28">
        <v>1.8055555555555557E-2</v>
      </c>
    </row>
    <row r="4573" spans="1:4" x14ac:dyDescent="0.25">
      <c r="A4573" s="24" t="s">
        <v>111</v>
      </c>
      <c r="B4573" s="24" t="s">
        <v>123</v>
      </c>
      <c r="C4573" s="32">
        <v>37.238999999999997</v>
      </c>
      <c r="D4573" s="28">
        <v>2.2916666666666669E-2</v>
      </c>
    </row>
    <row r="4574" spans="1:4" x14ac:dyDescent="0.25">
      <c r="A4574" s="24" t="s">
        <v>111</v>
      </c>
      <c r="B4574" s="24" t="s">
        <v>124</v>
      </c>
      <c r="C4574" s="32">
        <v>37.238999999999997</v>
      </c>
      <c r="D4574" s="28">
        <v>2.2916666666666669E-2</v>
      </c>
    </row>
    <row r="4575" spans="1:4" x14ac:dyDescent="0.25">
      <c r="A4575" s="24" t="s">
        <v>111</v>
      </c>
      <c r="B4575" s="24" t="s">
        <v>125</v>
      </c>
      <c r="C4575" s="32">
        <v>12.628</v>
      </c>
      <c r="D4575" s="28">
        <v>1.1111111111111112E-2</v>
      </c>
    </row>
    <row r="4576" spans="1:4" x14ac:dyDescent="0.25">
      <c r="A4576" s="24" t="s">
        <v>111</v>
      </c>
      <c r="B4576" s="24" t="s">
        <v>126</v>
      </c>
      <c r="C4576" s="32">
        <v>12.366</v>
      </c>
      <c r="D4576" s="28">
        <v>1.0416666666666666E-2</v>
      </c>
    </row>
    <row r="4577" spans="1:4" x14ac:dyDescent="0.25">
      <c r="A4577" s="24" t="s">
        <v>111</v>
      </c>
      <c r="B4577" s="24" t="s">
        <v>127</v>
      </c>
      <c r="C4577" s="32">
        <v>11.36</v>
      </c>
      <c r="D4577" s="28">
        <v>9.0277777777777787E-3</v>
      </c>
    </row>
    <row r="4578" spans="1:4" x14ac:dyDescent="0.25">
      <c r="A4578" s="24" t="s">
        <v>111</v>
      </c>
      <c r="B4578" s="24" t="s">
        <v>128</v>
      </c>
      <c r="C4578" s="32">
        <v>12.31</v>
      </c>
      <c r="D4578" s="28">
        <v>9.7222222222222224E-3</v>
      </c>
    </row>
    <row r="4579" spans="1:4" x14ac:dyDescent="0.25">
      <c r="A4579" s="24" t="s">
        <v>111</v>
      </c>
      <c r="B4579" s="24" t="s">
        <v>129</v>
      </c>
      <c r="C4579" s="32">
        <v>12.31</v>
      </c>
      <c r="D4579" s="28">
        <v>9.7222222222222224E-3</v>
      </c>
    </row>
    <row r="4580" spans="1:4" x14ac:dyDescent="0.25">
      <c r="A4580" s="24" t="s">
        <v>111</v>
      </c>
      <c r="B4580" s="24" t="s">
        <v>130</v>
      </c>
      <c r="C4580" s="32">
        <v>11.689</v>
      </c>
      <c r="D4580" s="28">
        <v>1.1805555555555555E-2</v>
      </c>
    </row>
    <row r="4581" spans="1:4" x14ac:dyDescent="0.25">
      <c r="A4581" s="24" t="s">
        <v>111</v>
      </c>
      <c r="B4581" s="24" t="s">
        <v>131</v>
      </c>
      <c r="C4581" s="32">
        <v>10.352</v>
      </c>
      <c r="D4581" s="28">
        <v>9.7222222222222224E-3</v>
      </c>
    </row>
    <row r="4582" spans="1:4" x14ac:dyDescent="0.25">
      <c r="A4582" s="24" t="s">
        <v>111</v>
      </c>
      <c r="B4582" s="24" t="s">
        <v>132</v>
      </c>
      <c r="C4582" s="32">
        <v>18.606999999999999</v>
      </c>
      <c r="D4582" s="28">
        <v>1.5972222222222224E-2</v>
      </c>
    </row>
    <row r="4583" spans="1:4" x14ac:dyDescent="0.25">
      <c r="A4583" s="24" t="s">
        <v>111</v>
      </c>
      <c r="B4583" s="24" t="s">
        <v>133</v>
      </c>
      <c r="C4583" s="32">
        <v>13.974</v>
      </c>
      <c r="D4583" s="28">
        <v>1.5277777777777777E-2</v>
      </c>
    </row>
    <row r="4584" spans="1:4" x14ac:dyDescent="0.25">
      <c r="A4584" s="24" t="s">
        <v>111</v>
      </c>
      <c r="B4584" s="24" t="s">
        <v>134</v>
      </c>
      <c r="C4584" s="32">
        <v>13.507999999999999</v>
      </c>
      <c r="D4584" s="28">
        <v>1.4583333333333332E-2</v>
      </c>
    </row>
    <row r="4585" spans="1:4" x14ac:dyDescent="0.25">
      <c r="A4585" s="24" t="s">
        <v>111</v>
      </c>
      <c r="B4585" s="24" t="s">
        <v>135</v>
      </c>
      <c r="C4585" s="32">
        <v>14.839</v>
      </c>
      <c r="D4585" s="28">
        <v>1.5972222222222224E-2</v>
      </c>
    </row>
    <row r="4586" spans="1:4" x14ac:dyDescent="0.25">
      <c r="A4586" s="24" t="s">
        <v>111</v>
      </c>
      <c r="B4586" s="24" t="s">
        <v>136</v>
      </c>
      <c r="C4586" s="32">
        <v>14.839</v>
      </c>
      <c r="D4586" s="28">
        <v>1.5972222222222224E-2</v>
      </c>
    </row>
    <row r="4587" spans="1:4" x14ac:dyDescent="0.25">
      <c r="A4587" s="24" t="s">
        <v>111</v>
      </c>
      <c r="B4587" s="24" t="s">
        <v>137</v>
      </c>
      <c r="C4587" s="32">
        <v>15.052</v>
      </c>
      <c r="D4587" s="28">
        <v>1.5972222222222224E-2</v>
      </c>
    </row>
    <row r="4588" spans="1:4" x14ac:dyDescent="0.25">
      <c r="A4588" s="24" t="s">
        <v>111</v>
      </c>
      <c r="B4588" s="24" t="s">
        <v>138</v>
      </c>
      <c r="C4588" s="32">
        <v>20.137</v>
      </c>
      <c r="D4588" s="28">
        <v>1.7361111111111112E-2</v>
      </c>
    </row>
    <row r="4589" spans="1:4" x14ac:dyDescent="0.25">
      <c r="A4589" s="24" t="s">
        <v>111</v>
      </c>
      <c r="B4589" s="24" t="s">
        <v>139</v>
      </c>
      <c r="C4589" s="32">
        <v>33.500999999999998</v>
      </c>
      <c r="D4589" s="28">
        <v>2.013888888888889E-2</v>
      </c>
    </row>
    <row r="4590" spans="1:4" x14ac:dyDescent="0.25">
      <c r="A4590" s="24" t="s">
        <v>111</v>
      </c>
      <c r="B4590" s="24" t="s">
        <v>140</v>
      </c>
      <c r="C4590" s="32">
        <v>26.077000000000002</v>
      </c>
      <c r="D4590" s="28">
        <v>2.361111111111111E-2</v>
      </c>
    </row>
    <row r="4591" spans="1:4" x14ac:dyDescent="0.25">
      <c r="A4591" s="24" t="s">
        <v>111</v>
      </c>
      <c r="B4591" s="24" t="s">
        <v>141</v>
      </c>
      <c r="C4591" s="32">
        <v>58.212000000000003</v>
      </c>
      <c r="D4591" s="28">
        <v>3.9583333333333331E-2</v>
      </c>
    </row>
    <row r="4592" spans="1:4" x14ac:dyDescent="0.25">
      <c r="A4592" s="24" t="s">
        <v>111</v>
      </c>
      <c r="B4592" s="24" t="s">
        <v>142</v>
      </c>
      <c r="C4592" s="32">
        <v>56.3</v>
      </c>
      <c r="D4592" s="28">
        <v>3.1944444444444449E-2</v>
      </c>
    </row>
    <row r="4593" spans="1:4" x14ac:dyDescent="0.25">
      <c r="A4593" s="24" t="s">
        <v>111</v>
      </c>
      <c r="B4593" s="24" t="s">
        <v>143</v>
      </c>
      <c r="C4593" s="32">
        <v>74.677999999999997</v>
      </c>
      <c r="D4593" s="28">
        <v>3.888888888888889E-2</v>
      </c>
    </row>
    <row r="4594" spans="1:4" x14ac:dyDescent="0.25">
      <c r="A4594" s="24" t="s">
        <v>111</v>
      </c>
      <c r="B4594" s="24" t="s">
        <v>144</v>
      </c>
      <c r="C4594" s="32">
        <v>93.793999999999997</v>
      </c>
      <c r="D4594" s="28">
        <v>4.9999999999999996E-2</v>
      </c>
    </row>
    <row r="4595" spans="1:4" x14ac:dyDescent="0.25">
      <c r="A4595" s="24" t="s">
        <v>111</v>
      </c>
      <c r="B4595" s="24" t="s">
        <v>145</v>
      </c>
      <c r="C4595" s="32">
        <v>38.308</v>
      </c>
      <c r="D4595" s="28">
        <v>2.4999999999999998E-2</v>
      </c>
    </row>
    <row r="4596" spans="1:4" x14ac:dyDescent="0.25">
      <c r="A4596" s="24" t="s">
        <v>111</v>
      </c>
      <c r="B4596" s="24" t="s">
        <v>146</v>
      </c>
      <c r="C4596" s="32">
        <v>53.767000000000003</v>
      </c>
      <c r="D4596" s="28">
        <v>3.2638888888888891E-2</v>
      </c>
    </row>
    <row r="4597" spans="1:4" x14ac:dyDescent="0.25">
      <c r="A4597" s="24" t="s">
        <v>111</v>
      </c>
      <c r="B4597" s="24" t="s">
        <v>147</v>
      </c>
      <c r="C4597" s="32">
        <v>5.133</v>
      </c>
      <c r="D4597" s="28">
        <v>4.1666666666666666E-3</v>
      </c>
    </row>
    <row r="4598" spans="1:4" x14ac:dyDescent="0.25">
      <c r="A4598" s="24" t="s">
        <v>111</v>
      </c>
      <c r="B4598" s="24" t="s">
        <v>148</v>
      </c>
      <c r="C4598" s="32">
        <v>8.2170000000000005</v>
      </c>
      <c r="D4598" s="28">
        <v>6.2499999999999995E-3</v>
      </c>
    </row>
    <row r="4599" spans="1:4" x14ac:dyDescent="0.25">
      <c r="A4599" s="24" t="s">
        <v>111</v>
      </c>
      <c r="B4599" s="24" t="s">
        <v>149</v>
      </c>
      <c r="C4599" s="32">
        <v>18.713000000000001</v>
      </c>
      <c r="D4599" s="28">
        <v>1.5972222222222224E-2</v>
      </c>
    </row>
    <row r="4600" spans="1:4" x14ac:dyDescent="0.25">
      <c r="A4600" s="24" t="s">
        <v>111</v>
      </c>
      <c r="B4600" s="24" t="s">
        <v>150</v>
      </c>
      <c r="C4600" s="32">
        <v>28.2</v>
      </c>
      <c r="D4600" s="28">
        <v>2.4999999999999998E-2</v>
      </c>
    </row>
    <row r="4601" spans="1:4" x14ac:dyDescent="0.25">
      <c r="A4601" s="24" t="s">
        <v>111</v>
      </c>
      <c r="B4601" s="24" t="s">
        <v>151</v>
      </c>
      <c r="C4601" s="32">
        <v>27.457999999999998</v>
      </c>
      <c r="D4601" s="28">
        <v>2.4999999999999998E-2</v>
      </c>
    </row>
    <row r="4602" spans="1:4" x14ac:dyDescent="0.25">
      <c r="A4602" s="24" t="s">
        <v>111</v>
      </c>
      <c r="B4602" s="24" t="s">
        <v>152</v>
      </c>
      <c r="C4602" s="32">
        <v>29.027000000000001</v>
      </c>
      <c r="D4602" s="28">
        <v>2.6388888888888889E-2</v>
      </c>
    </row>
    <row r="4603" spans="1:4" x14ac:dyDescent="0.25">
      <c r="A4603" s="24" t="s">
        <v>111</v>
      </c>
      <c r="B4603" s="24" t="s">
        <v>153</v>
      </c>
      <c r="C4603" s="32">
        <v>33.554000000000002</v>
      </c>
      <c r="D4603" s="28">
        <v>3.2638888888888891E-2</v>
      </c>
    </row>
    <row r="4604" spans="1:4" x14ac:dyDescent="0.25">
      <c r="A4604" s="24" t="s">
        <v>111</v>
      </c>
      <c r="B4604" s="24" t="s">
        <v>154</v>
      </c>
      <c r="C4604" s="32">
        <v>28.363</v>
      </c>
      <c r="D4604" s="28">
        <v>2.6388888888888889E-2</v>
      </c>
    </row>
    <row r="4605" spans="1:4" x14ac:dyDescent="0.25">
      <c r="A4605" s="24" t="s">
        <v>111</v>
      </c>
      <c r="B4605" s="24" t="s">
        <v>155</v>
      </c>
      <c r="C4605" s="32">
        <v>28.062000000000001</v>
      </c>
      <c r="D4605" s="28">
        <v>2.4999999999999998E-2</v>
      </c>
    </row>
    <row r="4606" spans="1:4" x14ac:dyDescent="0.25">
      <c r="A4606" s="24" t="s">
        <v>111</v>
      </c>
      <c r="B4606" s="24" t="s">
        <v>156</v>
      </c>
      <c r="C4606" s="32">
        <v>28.045999999999999</v>
      </c>
      <c r="D4606" s="28">
        <v>2.4999999999999998E-2</v>
      </c>
    </row>
    <row r="4607" spans="1:4" x14ac:dyDescent="0.25">
      <c r="A4607" s="24" t="s">
        <v>111</v>
      </c>
      <c r="B4607" s="24" t="s">
        <v>157</v>
      </c>
      <c r="C4607" s="32">
        <v>28.753</v>
      </c>
      <c r="D4607" s="28">
        <v>2.4999999999999998E-2</v>
      </c>
    </row>
    <row r="4608" spans="1:4" x14ac:dyDescent="0.25">
      <c r="A4608" s="24" t="s">
        <v>111</v>
      </c>
      <c r="B4608" s="24" t="s">
        <v>158</v>
      </c>
      <c r="C4608" s="32">
        <v>39.506999999999998</v>
      </c>
      <c r="D4608" s="28">
        <v>3.2638888888888891E-2</v>
      </c>
    </row>
    <row r="4609" spans="1:4" x14ac:dyDescent="0.25">
      <c r="A4609" s="24" t="s">
        <v>111</v>
      </c>
      <c r="B4609" s="24" t="s">
        <v>159</v>
      </c>
      <c r="C4609" s="32">
        <v>44.975999999999999</v>
      </c>
      <c r="D4609" s="28">
        <v>3.6111111111111115E-2</v>
      </c>
    </row>
    <row r="4610" spans="1:4" x14ac:dyDescent="0.25">
      <c r="A4610" s="24" t="s">
        <v>112</v>
      </c>
      <c r="B4610" s="24" t="s">
        <v>65</v>
      </c>
      <c r="C4610" s="32">
        <v>14.462</v>
      </c>
      <c r="D4610" s="28">
        <v>1.1805555555555555E-2</v>
      </c>
    </row>
    <row r="4611" spans="1:4" x14ac:dyDescent="0.25">
      <c r="A4611" s="24" t="s">
        <v>112</v>
      </c>
      <c r="B4611" s="24" t="s">
        <v>64</v>
      </c>
      <c r="C4611" s="32">
        <v>16.219000000000001</v>
      </c>
      <c r="D4611" s="28">
        <v>1.9444444444444445E-2</v>
      </c>
    </row>
    <row r="4612" spans="1:4" x14ac:dyDescent="0.25">
      <c r="A4612" s="24" t="s">
        <v>112</v>
      </c>
      <c r="B4612" s="24" t="s">
        <v>66</v>
      </c>
      <c r="C4612" s="32">
        <v>29.998000000000001</v>
      </c>
      <c r="D4612" s="28">
        <v>2.4999999999999998E-2</v>
      </c>
    </row>
    <row r="4613" spans="1:4" x14ac:dyDescent="0.25">
      <c r="A4613" s="24" t="s">
        <v>112</v>
      </c>
      <c r="B4613" s="24" t="s">
        <v>67</v>
      </c>
      <c r="C4613" s="32">
        <v>28.625</v>
      </c>
      <c r="D4613" s="28">
        <v>2.0833333333333332E-2</v>
      </c>
    </row>
    <row r="4614" spans="1:4" x14ac:dyDescent="0.25">
      <c r="A4614" s="24" t="s">
        <v>112</v>
      </c>
      <c r="B4614" s="24" t="s">
        <v>68</v>
      </c>
      <c r="C4614" s="32">
        <v>28.489000000000001</v>
      </c>
      <c r="D4614" s="28">
        <v>2.0833333333333332E-2</v>
      </c>
    </row>
    <row r="4615" spans="1:4" x14ac:dyDescent="0.25">
      <c r="A4615" s="24" t="s">
        <v>112</v>
      </c>
      <c r="B4615" s="24" t="s">
        <v>69</v>
      </c>
      <c r="C4615" s="32">
        <v>29.289000000000001</v>
      </c>
      <c r="D4615" s="28">
        <v>2.2222222222222223E-2</v>
      </c>
    </row>
    <row r="4616" spans="1:4" x14ac:dyDescent="0.25">
      <c r="A4616" s="24" t="s">
        <v>112</v>
      </c>
      <c r="B4616" s="24" t="s">
        <v>70</v>
      </c>
      <c r="C4616" s="32">
        <v>28.952999999999999</v>
      </c>
      <c r="D4616" s="28">
        <v>2.1527777777777781E-2</v>
      </c>
    </row>
    <row r="4617" spans="1:4" x14ac:dyDescent="0.25">
      <c r="A4617" s="24" t="s">
        <v>112</v>
      </c>
      <c r="B4617" s="24" t="s">
        <v>71</v>
      </c>
      <c r="C4617" s="32">
        <v>28.92</v>
      </c>
      <c r="D4617" s="28">
        <v>2.2222222222222223E-2</v>
      </c>
    </row>
    <row r="4618" spans="1:4" x14ac:dyDescent="0.25">
      <c r="A4618" s="24" t="s">
        <v>112</v>
      </c>
      <c r="B4618" s="24" t="s">
        <v>72</v>
      </c>
      <c r="C4618" s="32">
        <v>28.088999999999999</v>
      </c>
      <c r="D4618" s="28">
        <v>2.0833333333333332E-2</v>
      </c>
    </row>
    <row r="4619" spans="1:4" x14ac:dyDescent="0.25">
      <c r="A4619" s="24" t="s">
        <v>112</v>
      </c>
      <c r="B4619" s="24" t="s">
        <v>73</v>
      </c>
      <c r="C4619" s="32">
        <v>25.2</v>
      </c>
      <c r="D4619" s="28">
        <v>2.2222222222222223E-2</v>
      </c>
    </row>
    <row r="4620" spans="1:4" x14ac:dyDescent="0.25">
      <c r="A4620" s="24" t="s">
        <v>112</v>
      </c>
      <c r="B4620" s="24" t="s">
        <v>74</v>
      </c>
      <c r="C4620" s="32">
        <v>24.457000000000001</v>
      </c>
      <c r="D4620" s="28">
        <v>2.0833333333333332E-2</v>
      </c>
    </row>
    <row r="4621" spans="1:4" x14ac:dyDescent="0.25">
      <c r="A4621" s="24" t="s">
        <v>112</v>
      </c>
      <c r="B4621" s="24" t="s">
        <v>75</v>
      </c>
      <c r="C4621" s="32">
        <v>23.492999999999999</v>
      </c>
      <c r="D4621" s="28">
        <v>1.9444444444444445E-2</v>
      </c>
    </row>
    <row r="4622" spans="1:4" x14ac:dyDescent="0.25">
      <c r="A4622" s="24" t="s">
        <v>112</v>
      </c>
      <c r="B4622" s="24" t="s">
        <v>76</v>
      </c>
      <c r="C4622" s="32">
        <v>23.143000000000001</v>
      </c>
      <c r="D4622" s="28">
        <v>1.9444444444444445E-2</v>
      </c>
    </row>
    <row r="4623" spans="1:4" x14ac:dyDescent="0.25">
      <c r="A4623" s="24" t="s">
        <v>112</v>
      </c>
      <c r="B4623" s="24" t="s">
        <v>77</v>
      </c>
      <c r="C4623" s="32">
        <v>31.056999999999999</v>
      </c>
      <c r="D4623" s="28">
        <v>2.2222222222222223E-2</v>
      </c>
    </row>
    <row r="4624" spans="1:4" x14ac:dyDescent="0.25">
      <c r="A4624" s="24" t="s">
        <v>112</v>
      </c>
      <c r="B4624" s="24" t="s">
        <v>78</v>
      </c>
      <c r="C4624" s="32">
        <v>31.93</v>
      </c>
      <c r="D4624" s="28">
        <v>2.361111111111111E-2</v>
      </c>
    </row>
    <row r="4625" spans="1:4" x14ac:dyDescent="0.25">
      <c r="A4625" s="24" t="s">
        <v>112</v>
      </c>
      <c r="B4625" s="24" t="s">
        <v>79</v>
      </c>
      <c r="C4625" s="32">
        <v>42.784999999999997</v>
      </c>
      <c r="D4625" s="28">
        <v>3.4722222222222224E-2</v>
      </c>
    </row>
    <row r="4626" spans="1:4" x14ac:dyDescent="0.25">
      <c r="A4626" s="24" t="s">
        <v>112</v>
      </c>
      <c r="B4626" s="24" t="s">
        <v>80</v>
      </c>
      <c r="C4626" s="32">
        <v>17.776</v>
      </c>
      <c r="D4626" s="28">
        <v>1.4583333333333332E-2</v>
      </c>
    </row>
    <row r="4627" spans="1:4" x14ac:dyDescent="0.25">
      <c r="A4627" s="24" t="s">
        <v>112</v>
      </c>
      <c r="B4627" s="24" t="s">
        <v>81</v>
      </c>
      <c r="C4627" s="32">
        <v>16.966000000000001</v>
      </c>
      <c r="D4627" s="28">
        <v>1.5277777777777777E-2</v>
      </c>
    </row>
    <row r="4628" spans="1:4" x14ac:dyDescent="0.25">
      <c r="A4628" s="24" t="s">
        <v>112</v>
      </c>
      <c r="B4628" s="24" t="s">
        <v>82</v>
      </c>
      <c r="C4628" s="32">
        <v>17.018000000000001</v>
      </c>
      <c r="D4628" s="28">
        <v>1.5277777777777777E-2</v>
      </c>
    </row>
    <row r="4629" spans="1:4" x14ac:dyDescent="0.25">
      <c r="A4629" s="24" t="s">
        <v>112</v>
      </c>
      <c r="B4629" s="24" t="s">
        <v>83</v>
      </c>
      <c r="C4629" s="32">
        <v>11.763999999999999</v>
      </c>
      <c r="D4629" s="28">
        <v>1.5277777777777777E-2</v>
      </c>
    </row>
    <row r="4630" spans="1:4" x14ac:dyDescent="0.25">
      <c r="A4630" s="24" t="s">
        <v>112</v>
      </c>
      <c r="B4630" s="24" t="s">
        <v>84</v>
      </c>
      <c r="C4630" s="32">
        <v>21.384</v>
      </c>
      <c r="D4630" s="28">
        <v>1.6666666666666666E-2</v>
      </c>
    </row>
    <row r="4631" spans="1:4" x14ac:dyDescent="0.25">
      <c r="A4631" s="24" t="s">
        <v>112</v>
      </c>
      <c r="B4631" s="24" t="s">
        <v>85</v>
      </c>
      <c r="C4631" s="32">
        <v>21.018000000000001</v>
      </c>
      <c r="D4631" s="28">
        <v>1.6666666666666666E-2</v>
      </c>
    </row>
    <row r="4632" spans="1:4" x14ac:dyDescent="0.25">
      <c r="A4632" s="24" t="s">
        <v>112</v>
      </c>
      <c r="B4632" s="24" t="s">
        <v>86</v>
      </c>
      <c r="C4632" s="32">
        <v>11.598000000000001</v>
      </c>
      <c r="D4632" s="28">
        <v>1.5277777777777777E-2</v>
      </c>
    </row>
    <row r="4633" spans="1:4" x14ac:dyDescent="0.25">
      <c r="A4633" s="24" t="s">
        <v>112</v>
      </c>
      <c r="B4633" s="24" t="s">
        <v>87</v>
      </c>
      <c r="C4633" s="32">
        <v>11.375999999999999</v>
      </c>
      <c r="D4633" s="28">
        <v>1.5277777777777777E-2</v>
      </c>
    </row>
    <row r="4634" spans="1:4" x14ac:dyDescent="0.25">
      <c r="A4634" s="24" t="s">
        <v>112</v>
      </c>
      <c r="B4634" s="24" t="s">
        <v>88</v>
      </c>
      <c r="C4634" s="32">
        <v>10.372999999999999</v>
      </c>
      <c r="D4634" s="28">
        <v>1.4583333333333332E-2</v>
      </c>
    </row>
    <row r="4635" spans="1:4" x14ac:dyDescent="0.25">
      <c r="A4635" s="24" t="s">
        <v>112</v>
      </c>
      <c r="B4635" s="24" t="s">
        <v>89</v>
      </c>
      <c r="C4635" s="32">
        <v>9.1150000000000002</v>
      </c>
      <c r="D4635" s="28">
        <v>1.0416666666666666E-2</v>
      </c>
    </row>
    <row r="4636" spans="1:4" x14ac:dyDescent="0.25">
      <c r="A4636" s="24" t="s">
        <v>112</v>
      </c>
      <c r="B4636" s="24" t="s">
        <v>90</v>
      </c>
      <c r="C4636" s="32">
        <v>17.399000000000001</v>
      </c>
      <c r="D4636" s="28">
        <v>1.4583333333333332E-2</v>
      </c>
    </row>
    <row r="4637" spans="1:4" x14ac:dyDescent="0.25">
      <c r="A4637" s="24" t="s">
        <v>112</v>
      </c>
      <c r="B4637" s="24" t="s">
        <v>91</v>
      </c>
      <c r="C4637" s="32">
        <v>8.4410000000000007</v>
      </c>
      <c r="D4637" s="28">
        <v>1.1111111111111112E-2</v>
      </c>
    </row>
    <row r="4638" spans="1:4" x14ac:dyDescent="0.25">
      <c r="A4638" s="24" t="s">
        <v>112</v>
      </c>
      <c r="B4638" s="24" t="s">
        <v>92</v>
      </c>
      <c r="C4638" s="32">
        <v>15.848000000000001</v>
      </c>
      <c r="D4638" s="28">
        <v>1.3888888888888888E-2</v>
      </c>
    </row>
    <row r="4639" spans="1:4" x14ac:dyDescent="0.25">
      <c r="A4639" s="24" t="s">
        <v>112</v>
      </c>
      <c r="B4639" s="24" t="s">
        <v>93</v>
      </c>
      <c r="C4639" s="32">
        <v>39.579000000000001</v>
      </c>
      <c r="D4639" s="28">
        <v>2.7083333333333334E-2</v>
      </c>
    </row>
    <row r="4640" spans="1:4" x14ac:dyDescent="0.25">
      <c r="A4640" s="24" t="s">
        <v>112</v>
      </c>
      <c r="B4640" s="24" t="s">
        <v>94</v>
      </c>
      <c r="C4640" s="32">
        <v>40.207999999999998</v>
      </c>
      <c r="D4640" s="28">
        <v>2.7777777777777776E-2</v>
      </c>
    </row>
    <row r="4641" spans="1:4" x14ac:dyDescent="0.25">
      <c r="A4641" s="24" t="s">
        <v>112</v>
      </c>
      <c r="B4641" s="24" t="s">
        <v>95</v>
      </c>
      <c r="C4641" s="32">
        <v>17.305</v>
      </c>
      <c r="D4641" s="28">
        <v>1.5972222222222224E-2</v>
      </c>
    </row>
    <row r="4642" spans="1:4" x14ac:dyDescent="0.25">
      <c r="A4642" s="24" t="s">
        <v>112</v>
      </c>
      <c r="B4642" s="24" t="s">
        <v>96</v>
      </c>
      <c r="C4642" s="32">
        <v>24.666</v>
      </c>
      <c r="D4642" s="28">
        <v>2.2222222222222223E-2</v>
      </c>
    </row>
    <row r="4643" spans="1:4" x14ac:dyDescent="0.25">
      <c r="A4643" s="24" t="s">
        <v>112</v>
      </c>
      <c r="B4643" s="24" t="s">
        <v>97</v>
      </c>
      <c r="C4643" s="32">
        <v>33.036999999999999</v>
      </c>
      <c r="D4643" s="28">
        <v>2.7777777777777776E-2</v>
      </c>
    </row>
    <row r="4644" spans="1:4" x14ac:dyDescent="0.25">
      <c r="A4644" s="24" t="s">
        <v>112</v>
      </c>
      <c r="B4644" s="24" t="s">
        <v>98</v>
      </c>
      <c r="C4644" s="32">
        <v>24.977</v>
      </c>
      <c r="D4644" s="28">
        <v>2.0833333333333332E-2</v>
      </c>
    </row>
    <row r="4645" spans="1:4" x14ac:dyDescent="0.25">
      <c r="A4645" s="24" t="s">
        <v>112</v>
      </c>
      <c r="B4645" s="24" t="s">
        <v>99</v>
      </c>
      <c r="C4645" s="32">
        <v>29.396999999999998</v>
      </c>
      <c r="D4645" s="28">
        <v>2.361111111111111E-2</v>
      </c>
    </row>
    <row r="4646" spans="1:4" x14ac:dyDescent="0.25">
      <c r="A4646" s="24" t="s">
        <v>112</v>
      </c>
      <c r="B4646" s="24" t="s">
        <v>100</v>
      </c>
      <c r="C4646" s="32">
        <v>22.390999999999998</v>
      </c>
      <c r="D4646" s="28">
        <v>1.7361111111111112E-2</v>
      </c>
    </row>
    <row r="4647" spans="1:4" x14ac:dyDescent="0.25">
      <c r="A4647" s="24" t="s">
        <v>112</v>
      </c>
      <c r="B4647" s="24" t="s">
        <v>101</v>
      </c>
      <c r="C4647" s="32">
        <v>24.027999999999999</v>
      </c>
      <c r="D4647" s="28">
        <v>2.0833333333333332E-2</v>
      </c>
    </row>
    <row r="4648" spans="1:4" x14ac:dyDescent="0.25">
      <c r="A4648" s="24" t="s">
        <v>112</v>
      </c>
      <c r="B4648" s="24" t="s">
        <v>102</v>
      </c>
      <c r="C4648" s="32">
        <v>23.454999999999998</v>
      </c>
      <c r="D4648" s="28">
        <v>2.013888888888889E-2</v>
      </c>
    </row>
    <row r="4649" spans="1:4" x14ac:dyDescent="0.25">
      <c r="A4649" s="24" t="s">
        <v>112</v>
      </c>
      <c r="B4649" s="24" t="s">
        <v>103</v>
      </c>
      <c r="C4649" s="32">
        <v>11.587</v>
      </c>
      <c r="D4649" s="28">
        <v>1.1805555555555555E-2</v>
      </c>
    </row>
    <row r="4650" spans="1:4" x14ac:dyDescent="0.25">
      <c r="A4650" s="24" t="s">
        <v>112</v>
      </c>
      <c r="B4650" s="24" t="s">
        <v>104</v>
      </c>
      <c r="C4650" s="32">
        <v>13.07</v>
      </c>
      <c r="D4650" s="28">
        <v>1.1805555555555555E-2</v>
      </c>
    </row>
    <row r="4651" spans="1:4" x14ac:dyDescent="0.25">
      <c r="A4651" s="24" t="s">
        <v>112</v>
      </c>
      <c r="B4651" s="24" t="s">
        <v>105</v>
      </c>
      <c r="C4651" s="32">
        <v>10.417</v>
      </c>
      <c r="D4651" s="28">
        <v>1.4583333333333332E-2</v>
      </c>
    </row>
    <row r="4652" spans="1:4" x14ac:dyDescent="0.25">
      <c r="A4652" s="24" t="s">
        <v>112</v>
      </c>
      <c r="B4652" s="24" t="s">
        <v>106</v>
      </c>
      <c r="C4652" s="32">
        <v>13.506</v>
      </c>
      <c r="D4652" s="28">
        <v>1.3888888888888888E-2</v>
      </c>
    </row>
    <row r="4653" spans="1:4" x14ac:dyDescent="0.25">
      <c r="A4653" s="24" t="s">
        <v>112</v>
      </c>
      <c r="B4653" s="24" t="s">
        <v>107</v>
      </c>
      <c r="C4653" s="32">
        <v>5.4459999999999997</v>
      </c>
      <c r="D4653" s="28">
        <v>7.6388888888888886E-3</v>
      </c>
    </row>
    <row r="4654" spans="1:4" x14ac:dyDescent="0.25">
      <c r="A4654" s="24" t="s">
        <v>112</v>
      </c>
      <c r="B4654" s="24" t="s">
        <v>108</v>
      </c>
      <c r="C4654" s="32">
        <v>3.355</v>
      </c>
      <c r="D4654" s="28">
        <v>6.2499999999999995E-3</v>
      </c>
    </row>
    <row r="4655" spans="1:4" x14ac:dyDescent="0.25">
      <c r="A4655" s="24" t="s">
        <v>112</v>
      </c>
      <c r="B4655" s="24" t="s">
        <v>109</v>
      </c>
      <c r="C4655" s="32">
        <v>3.3250000000000002</v>
      </c>
      <c r="D4655" s="28">
        <v>6.2499999999999995E-3</v>
      </c>
    </row>
    <row r="4656" spans="1:4" x14ac:dyDescent="0.25">
      <c r="A4656" s="24" t="s">
        <v>112</v>
      </c>
      <c r="B4656" s="24" t="s">
        <v>110</v>
      </c>
      <c r="C4656" s="32">
        <v>15.036</v>
      </c>
      <c r="D4656" s="28">
        <v>1.5277777777777777E-2</v>
      </c>
    </row>
    <row r="4657" spans="1:4" x14ac:dyDescent="0.25">
      <c r="A4657" s="24" t="s">
        <v>112</v>
      </c>
      <c r="B4657" s="24" t="s">
        <v>111</v>
      </c>
      <c r="C4657" s="32">
        <v>13.563000000000001</v>
      </c>
      <c r="D4657" s="28">
        <v>1.1805555555555555E-2</v>
      </c>
    </row>
    <row r="4658" spans="1:4" x14ac:dyDescent="0.25">
      <c r="A4658" s="24" t="s">
        <v>112</v>
      </c>
      <c r="B4658" s="24" t="s">
        <v>112</v>
      </c>
      <c r="C4658" s="32">
        <v>0</v>
      </c>
      <c r="D4658" s="28">
        <v>0</v>
      </c>
    </row>
    <row r="4659" spans="1:4" x14ac:dyDescent="0.25">
      <c r="A4659" s="24" t="s">
        <v>112</v>
      </c>
      <c r="B4659" s="24" t="s">
        <v>113</v>
      </c>
      <c r="C4659" s="32">
        <v>8.7469999999999999</v>
      </c>
      <c r="D4659" s="28">
        <v>8.3333333333333332E-3</v>
      </c>
    </row>
    <row r="4660" spans="1:4" x14ac:dyDescent="0.25">
      <c r="A4660" s="24" t="s">
        <v>112</v>
      </c>
      <c r="B4660" s="24" t="s">
        <v>114</v>
      </c>
      <c r="C4660" s="32">
        <v>20.843</v>
      </c>
      <c r="D4660" s="28">
        <v>1.5972222222222224E-2</v>
      </c>
    </row>
    <row r="4661" spans="1:4" x14ac:dyDescent="0.25">
      <c r="A4661" s="24" t="s">
        <v>112</v>
      </c>
      <c r="B4661" s="24" t="s">
        <v>115</v>
      </c>
      <c r="C4661" s="32">
        <v>20.693999999999999</v>
      </c>
      <c r="D4661" s="28">
        <v>1.5972222222222224E-2</v>
      </c>
    </row>
    <row r="4662" spans="1:4" x14ac:dyDescent="0.25">
      <c r="A4662" s="24" t="s">
        <v>112</v>
      </c>
      <c r="B4662" s="24" t="s">
        <v>116</v>
      </c>
      <c r="C4662" s="32">
        <v>14.843999999999999</v>
      </c>
      <c r="D4662" s="28">
        <v>1.3194444444444444E-2</v>
      </c>
    </row>
    <row r="4663" spans="1:4" x14ac:dyDescent="0.25">
      <c r="A4663" s="24" t="s">
        <v>112</v>
      </c>
      <c r="B4663" s="24" t="s">
        <v>117</v>
      </c>
      <c r="C4663" s="32">
        <v>16.809000000000001</v>
      </c>
      <c r="D4663" s="28">
        <v>1.6666666666666666E-2</v>
      </c>
    </row>
    <row r="4664" spans="1:4" x14ac:dyDescent="0.25">
      <c r="A4664" s="24" t="s">
        <v>112</v>
      </c>
      <c r="B4664" s="24" t="s">
        <v>118</v>
      </c>
      <c r="C4664" s="32">
        <v>12.692</v>
      </c>
      <c r="D4664" s="28">
        <v>1.1111111111111112E-2</v>
      </c>
    </row>
    <row r="4665" spans="1:4" x14ac:dyDescent="0.25">
      <c r="A4665" s="24" t="s">
        <v>112</v>
      </c>
      <c r="B4665" s="24" t="s">
        <v>119</v>
      </c>
      <c r="C4665" s="32">
        <v>25.001000000000001</v>
      </c>
      <c r="D4665" s="28">
        <v>1.8055555555555557E-2</v>
      </c>
    </row>
    <row r="4666" spans="1:4" x14ac:dyDescent="0.25">
      <c r="A4666" s="24" t="s">
        <v>112</v>
      </c>
      <c r="B4666" s="24" t="s">
        <v>120</v>
      </c>
      <c r="C4666" s="32">
        <v>27.791</v>
      </c>
      <c r="D4666" s="28">
        <v>2.1527777777777781E-2</v>
      </c>
    </row>
    <row r="4667" spans="1:4" x14ac:dyDescent="0.25">
      <c r="A4667" s="24" t="s">
        <v>112</v>
      </c>
      <c r="B4667" s="24" t="s">
        <v>121</v>
      </c>
      <c r="C4667" s="32">
        <v>42.142000000000003</v>
      </c>
      <c r="D4667" s="28">
        <v>2.7777777777777776E-2</v>
      </c>
    </row>
    <row r="4668" spans="1:4" x14ac:dyDescent="0.25">
      <c r="A4668" s="24" t="s">
        <v>112</v>
      </c>
      <c r="B4668" s="24" t="s">
        <v>122</v>
      </c>
      <c r="C4668" s="32">
        <v>27.960999999999999</v>
      </c>
      <c r="D4668" s="28">
        <v>2.4999999999999998E-2</v>
      </c>
    </row>
    <row r="4669" spans="1:4" x14ac:dyDescent="0.25">
      <c r="A4669" s="24" t="s">
        <v>112</v>
      </c>
      <c r="B4669" s="24" t="s">
        <v>123</v>
      </c>
      <c r="C4669" s="32">
        <v>35.726999999999997</v>
      </c>
      <c r="D4669" s="28">
        <v>2.4305555555555556E-2</v>
      </c>
    </row>
    <row r="4670" spans="1:4" x14ac:dyDescent="0.25">
      <c r="A4670" s="24" t="s">
        <v>112</v>
      </c>
      <c r="B4670" s="24" t="s">
        <v>124</v>
      </c>
      <c r="C4670" s="32">
        <v>35.726999999999997</v>
      </c>
      <c r="D4670" s="28">
        <v>2.4305555555555556E-2</v>
      </c>
    </row>
    <row r="4671" spans="1:4" x14ac:dyDescent="0.25">
      <c r="A4671" s="24" t="s">
        <v>112</v>
      </c>
      <c r="B4671" s="24" t="s">
        <v>125</v>
      </c>
      <c r="C4671" s="32">
        <v>21.154</v>
      </c>
      <c r="D4671" s="28">
        <v>2.013888888888889E-2</v>
      </c>
    </row>
    <row r="4672" spans="1:4" x14ac:dyDescent="0.25">
      <c r="A4672" s="24" t="s">
        <v>112</v>
      </c>
      <c r="B4672" s="24" t="s">
        <v>126</v>
      </c>
      <c r="C4672" s="32">
        <v>20.891999999999999</v>
      </c>
      <c r="D4672" s="28">
        <v>1.9444444444444445E-2</v>
      </c>
    </row>
    <row r="4673" spans="1:4" x14ac:dyDescent="0.25">
      <c r="A4673" s="24" t="s">
        <v>112</v>
      </c>
      <c r="B4673" s="24" t="s">
        <v>127</v>
      </c>
      <c r="C4673" s="32">
        <v>19.885999999999999</v>
      </c>
      <c r="D4673" s="28">
        <v>1.8055555555555557E-2</v>
      </c>
    </row>
    <row r="4674" spans="1:4" x14ac:dyDescent="0.25">
      <c r="A4674" s="24" t="s">
        <v>112</v>
      </c>
      <c r="B4674" s="24" t="s">
        <v>128</v>
      </c>
      <c r="C4674" s="32">
        <v>20.835999999999999</v>
      </c>
      <c r="D4674" s="28">
        <v>1.8749999999999999E-2</v>
      </c>
    </row>
    <row r="4675" spans="1:4" x14ac:dyDescent="0.25">
      <c r="A4675" s="24" t="s">
        <v>112</v>
      </c>
      <c r="B4675" s="24" t="s">
        <v>129</v>
      </c>
      <c r="C4675" s="32">
        <v>20.835999999999999</v>
      </c>
      <c r="D4675" s="28">
        <v>1.8749999999999999E-2</v>
      </c>
    </row>
    <row r="4676" spans="1:4" x14ac:dyDescent="0.25">
      <c r="A4676" s="24" t="s">
        <v>112</v>
      </c>
      <c r="B4676" s="24" t="s">
        <v>130</v>
      </c>
      <c r="C4676" s="32">
        <v>20.215</v>
      </c>
      <c r="D4676" s="28">
        <v>2.0833333333333332E-2</v>
      </c>
    </row>
    <row r="4677" spans="1:4" x14ac:dyDescent="0.25">
      <c r="A4677" s="24" t="s">
        <v>112</v>
      </c>
      <c r="B4677" s="24" t="s">
        <v>131</v>
      </c>
      <c r="C4677" s="32">
        <v>18.878</v>
      </c>
      <c r="D4677" s="28">
        <v>1.8749999999999999E-2</v>
      </c>
    </row>
    <row r="4678" spans="1:4" x14ac:dyDescent="0.25">
      <c r="A4678" s="24" t="s">
        <v>112</v>
      </c>
      <c r="B4678" s="24" t="s">
        <v>132</v>
      </c>
      <c r="C4678" s="32">
        <v>27.132999999999999</v>
      </c>
      <c r="D4678" s="28">
        <v>2.4999999999999998E-2</v>
      </c>
    </row>
    <row r="4679" spans="1:4" x14ac:dyDescent="0.25">
      <c r="A4679" s="24" t="s">
        <v>112</v>
      </c>
      <c r="B4679" s="24" t="s">
        <v>133</v>
      </c>
      <c r="C4679" s="32">
        <v>18.821999999999999</v>
      </c>
      <c r="D4679" s="28">
        <v>1.6666666666666666E-2</v>
      </c>
    </row>
    <row r="4680" spans="1:4" x14ac:dyDescent="0.25">
      <c r="A4680" s="24" t="s">
        <v>112</v>
      </c>
      <c r="B4680" s="24" t="s">
        <v>134</v>
      </c>
      <c r="C4680" s="32">
        <v>18.356000000000002</v>
      </c>
      <c r="D4680" s="28">
        <v>1.5972222222222224E-2</v>
      </c>
    </row>
    <row r="4681" spans="1:4" x14ac:dyDescent="0.25">
      <c r="A4681" s="24" t="s">
        <v>112</v>
      </c>
      <c r="B4681" s="24" t="s">
        <v>135</v>
      </c>
      <c r="C4681" s="32">
        <v>19.777000000000001</v>
      </c>
      <c r="D4681" s="28">
        <v>1.5972222222222224E-2</v>
      </c>
    </row>
    <row r="4682" spans="1:4" x14ac:dyDescent="0.25">
      <c r="A4682" s="24" t="s">
        <v>112</v>
      </c>
      <c r="B4682" s="24" t="s">
        <v>136</v>
      </c>
      <c r="C4682" s="32">
        <v>19.777000000000001</v>
      </c>
      <c r="D4682" s="28">
        <v>1.5972222222222224E-2</v>
      </c>
    </row>
    <row r="4683" spans="1:4" x14ac:dyDescent="0.25">
      <c r="A4683" s="24" t="s">
        <v>112</v>
      </c>
      <c r="B4683" s="24" t="s">
        <v>137</v>
      </c>
      <c r="C4683" s="32">
        <v>21.452999999999999</v>
      </c>
      <c r="D4683" s="28">
        <v>1.7361111111111112E-2</v>
      </c>
    </row>
    <row r="4684" spans="1:4" x14ac:dyDescent="0.25">
      <c r="A4684" s="24" t="s">
        <v>112</v>
      </c>
      <c r="B4684" s="24" t="s">
        <v>138</v>
      </c>
      <c r="C4684" s="32">
        <v>16.521999999999998</v>
      </c>
      <c r="D4684" s="28">
        <v>1.3888888888888888E-2</v>
      </c>
    </row>
    <row r="4685" spans="1:4" x14ac:dyDescent="0.25">
      <c r="A4685" s="24" t="s">
        <v>112</v>
      </c>
      <c r="B4685" s="24" t="s">
        <v>139</v>
      </c>
      <c r="C4685" s="32">
        <v>24.962</v>
      </c>
      <c r="D4685" s="28">
        <v>1.5972222222222224E-2</v>
      </c>
    </row>
    <row r="4686" spans="1:4" x14ac:dyDescent="0.25">
      <c r="A4686" s="24" t="s">
        <v>112</v>
      </c>
      <c r="B4686" s="24" t="s">
        <v>140</v>
      </c>
      <c r="C4686" s="32">
        <v>25.274000000000001</v>
      </c>
      <c r="D4686" s="28">
        <v>1.8055555555555557E-2</v>
      </c>
    </row>
    <row r="4687" spans="1:4" x14ac:dyDescent="0.25">
      <c r="A4687" s="24" t="s">
        <v>112</v>
      </c>
      <c r="B4687" s="24" t="s">
        <v>141</v>
      </c>
      <c r="C4687" s="32">
        <v>49.673000000000002</v>
      </c>
      <c r="D4687" s="28">
        <v>3.4722222222222224E-2</v>
      </c>
    </row>
    <row r="4688" spans="1:4" x14ac:dyDescent="0.25">
      <c r="A4688" s="24" t="s">
        <v>112</v>
      </c>
      <c r="B4688" s="24" t="s">
        <v>142</v>
      </c>
      <c r="C4688" s="32">
        <v>47.761000000000003</v>
      </c>
      <c r="D4688" s="28">
        <v>2.7777777777777776E-2</v>
      </c>
    </row>
    <row r="4689" spans="1:4" x14ac:dyDescent="0.25">
      <c r="A4689" s="24" t="s">
        <v>112</v>
      </c>
      <c r="B4689" s="24" t="s">
        <v>143</v>
      </c>
      <c r="C4689" s="32">
        <v>66.138999999999996</v>
      </c>
      <c r="D4689" s="28">
        <v>3.4722222222222224E-2</v>
      </c>
    </row>
    <row r="4690" spans="1:4" x14ac:dyDescent="0.25">
      <c r="A4690" s="24" t="s">
        <v>112</v>
      </c>
      <c r="B4690" s="24" t="s">
        <v>144</v>
      </c>
      <c r="C4690" s="32">
        <v>85.254999999999995</v>
      </c>
      <c r="D4690" s="28">
        <v>4.5833333333333337E-2</v>
      </c>
    </row>
    <row r="4691" spans="1:4" x14ac:dyDescent="0.25">
      <c r="A4691" s="24" t="s">
        <v>112</v>
      </c>
      <c r="B4691" s="24" t="s">
        <v>145</v>
      </c>
      <c r="C4691" s="32">
        <v>29.768999999999998</v>
      </c>
      <c r="D4691" s="28">
        <v>2.013888888888889E-2</v>
      </c>
    </row>
    <row r="4692" spans="1:4" x14ac:dyDescent="0.25">
      <c r="A4692" s="24" t="s">
        <v>112</v>
      </c>
      <c r="B4692" s="24" t="s">
        <v>146</v>
      </c>
      <c r="C4692" s="32">
        <v>45.228000000000002</v>
      </c>
      <c r="D4692" s="28">
        <v>2.8472222222222222E-2</v>
      </c>
    </row>
    <row r="4693" spans="1:4" x14ac:dyDescent="0.25">
      <c r="A4693" s="24" t="s">
        <v>112</v>
      </c>
      <c r="B4693" s="24" t="s">
        <v>147</v>
      </c>
      <c r="C4693" s="32">
        <v>13.659000000000001</v>
      </c>
      <c r="D4693" s="28">
        <v>1.3194444444444444E-2</v>
      </c>
    </row>
    <row r="4694" spans="1:4" x14ac:dyDescent="0.25">
      <c r="A4694" s="24" t="s">
        <v>112</v>
      </c>
      <c r="B4694" s="24" t="s">
        <v>148</v>
      </c>
      <c r="C4694" s="32">
        <v>16.742999999999999</v>
      </c>
      <c r="D4694" s="28">
        <v>1.5277777777777777E-2</v>
      </c>
    </row>
    <row r="4695" spans="1:4" x14ac:dyDescent="0.25">
      <c r="A4695" s="24" t="s">
        <v>112</v>
      </c>
      <c r="B4695" s="24" t="s">
        <v>149</v>
      </c>
      <c r="C4695" s="32">
        <v>27.239000000000001</v>
      </c>
      <c r="D4695" s="28">
        <v>2.4999999999999998E-2</v>
      </c>
    </row>
    <row r="4696" spans="1:4" x14ac:dyDescent="0.25">
      <c r="A4696" s="24" t="s">
        <v>112</v>
      </c>
      <c r="B4696" s="24" t="s">
        <v>150</v>
      </c>
      <c r="C4696" s="32">
        <v>36.725999999999999</v>
      </c>
      <c r="D4696" s="28">
        <v>3.4027777777777775E-2</v>
      </c>
    </row>
    <row r="4697" spans="1:4" x14ac:dyDescent="0.25">
      <c r="A4697" s="24" t="s">
        <v>112</v>
      </c>
      <c r="B4697" s="24" t="s">
        <v>151</v>
      </c>
      <c r="C4697" s="32">
        <v>35.984000000000002</v>
      </c>
      <c r="D4697" s="28">
        <v>3.3333333333333333E-2</v>
      </c>
    </row>
    <row r="4698" spans="1:4" x14ac:dyDescent="0.25">
      <c r="A4698" s="24" t="s">
        <v>112</v>
      </c>
      <c r="B4698" s="24" t="s">
        <v>152</v>
      </c>
      <c r="C4698" s="32">
        <v>37.552999999999997</v>
      </c>
      <c r="D4698" s="28">
        <v>3.5416666666666666E-2</v>
      </c>
    </row>
    <row r="4699" spans="1:4" x14ac:dyDescent="0.25">
      <c r="A4699" s="24" t="s">
        <v>112</v>
      </c>
      <c r="B4699" s="24" t="s">
        <v>153</v>
      </c>
      <c r="C4699" s="32">
        <v>42.08</v>
      </c>
      <c r="D4699" s="28">
        <v>4.1666666666666664E-2</v>
      </c>
    </row>
    <row r="4700" spans="1:4" x14ac:dyDescent="0.25">
      <c r="A4700" s="24" t="s">
        <v>112</v>
      </c>
      <c r="B4700" s="24" t="s">
        <v>154</v>
      </c>
      <c r="C4700" s="32">
        <v>36.889000000000003</v>
      </c>
      <c r="D4700" s="28">
        <v>3.5416666666666666E-2</v>
      </c>
    </row>
    <row r="4701" spans="1:4" x14ac:dyDescent="0.25">
      <c r="A4701" s="24" t="s">
        <v>112</v>
      </c>
      <c r="B4701" s="24" t="s">
        <v>155</v>
      </c>
      <c r="C4701" s="32">
        <v>36.588000000000001</v>
      </c>
      <c r="D4701" s="28">
        <v>3.4027777777777775E-2</v>
      </c>
    </row>
    <row r="4702" spans="1:4" x14ac:dyDescent="0.25">
      <c r="A4702" s="24" t="s">
        <v>112</v>
      </c>
      <c r="B4702" s="24" t="s">
        <v>156</v>
      </c>
      <c r="C4702" s="32">
        <v>36.572000000000003</v>
      </c>
      <c r="D4702" s="28">
        <v>3.4027777777777775E-2</v>
      </c>
    </row>
    <row r="4703" spans="1:4" x14ac:dyDescent="0.25">
      <c r="A4703" s="24" t="s">
        <v>112</v>
      </c>
      <c r="B4703" s="24" t="s">
        <v>157</v>
      </c>
      <c r="C4703" s="32">
        <v>39.612000000000002</v>
      </c>
      <c r="D4703" s="28">
        <v>3.3333333333333333E-2</v>
      </c>
    </row>
    <row r="4704" spans="1:4" x14ac:dyDescent="0.25">
      <c r="A4704" s="24" t="s">
        <v>112</v>
      </c>
      <c r="B4704" s="24" t="s">
        <v>158</v>
      </c>
      <c r="C4704" s="32">
        <v>48.033000000000001</v>
      </c>
      <c r="D4704" s="28">
        <v>4.1666666666666664E-2</v>
      </c>
    </row>
    <row r="4705" spans="1:4" x14ac:dyDescent="0.25">
      <c r="A4705" s="24" t="s">
        <v>112</v>
      </c>
      <c r="B4705" s="24" t="s">
        <v>159</v>
      </c>
      <c r="C4705" s="32">
        <v>50.420999999999999</v>
      </c>
      <c r="D4705" s="28">
        <v>4.2361111111111106E-2</v>
      </c>
    </row>
    <row r="4706" spans="1:4" x14ac:dyDescent="0.25">
      <c r="A4706" s="24" t="s">
        <v>113</v>
      </c>
      <c r="B4706" s="24" t="s">
        <v>65</v>
      </c>
      <c r="C4706" s="32">
        <v>17.524999999999999</v>
      </c>
      <c r="D4706" s="28">
        <v>1.3194444444444444E-2</v>
      </c>
    </row>
    <row r="4707" spans="1:4" x14ac:dyDescent="0.25">
      <c r="A4707" s="24" t="s">
        <v>113</v>
      </c>
      <c r="B4707" s="24" t="s">
        <v>64</v>
      </c>
      <c r="C4707" s="32">
        <v>22.678000000000001</v>
      </c>
      <c r="D4707" s="28">
        <v>1.9444444444444445E-2</v>
      </c>
    </row>
    <row r="4708" spans="1:4" x14ac:dyDescent="0.25">
      <c r="A4708" s="24" t="s">
        <v>113</v>
      </c>
      <c r="B4708" s="24" t="s">
        <v>66</v>
      </c>
      <c r="C4708" s="32">
        <v>26.957999999999998</v>
      </c>
      <c r="D4708" s="28">
        <v>2.2916666666666669E-2</v>
      </c>
    </row>
    <row r="4709" spans="1:4" x14ac:dyDescent="0.25">
      <c r="A4709" s="24" t="s">
        <v>113</v>
      </c>
      <c r="B4709" s="24" t="s">
        <v>67</v>
      </c>
      <c r="C4709" s="32">
        <v>25.585000000000001</v>
      </c>
      <c r="D4709" s="28">
        <v>1.8749999999999999E-2</v>
      </c>
    </row>
    <row r="4710" spans="1:4" x14ac:dyDescent="0.25">
      <c r="A4710" s="24" t="s">
        <v>113</v>
      </c>
      <c r="B4710" s="24" t="s">
        <v>68</v>
      </c>
      <c r="C4710" s="32">
        <v>25.449000000000002</v>
      </c>
      <c r="D4710" s="28">
        <v>1.8749999999999999E-2</v>
      </c>
    </row>
    <row r="4711" spans="1:4" x14ac:dyDescent="0.25">
      <c r="A4711" s="24" t="s">
        <v>113</v>
      </c>
      <c r="B4711" s="24" t="s">
        <v>69</v>
      </c>
      <c r="C4711" s="32">
        <v>26.248999999999999</v>
      </c>
      <c r="D4711" s="28">
        <v>2.013888888888889E-2</v>
      </c>
    </row>
    <row r="4712" spans="1:4" x14ac:dyDescent="0.25">
      <c r="A4712" s="24" t="s">
        <v>113</v>
      </c>
      <c r="B4712" s="24" t="s">
        <v>70</v>
      </c>
      <c r="C4712" s="32">
        <v>25.913</v>
      </c>
      <c r="D4712" s="28">
        <v>1.9444444444444445E-2</v>
      </c>
    </row>
    <row r="4713" spans="1:4" x14ac:dyDescent="0.25">
      <c r="A4713" s="24" t="s">
        <v>113</v>
      </c>
      <c r="B4713" s="24" t="s">
        <v>71</v>
      </c>
      <c r="C4713" s="32">
        <v>25.88</v>
      </c>
      <c r="D4713" s="28">
        <v>2.013888888888889E-2</v>
      </c>
    </row>
    <row r="4714" spans="1:4" x14ac:dyDescent="0.25">
      <c r="A4714" s="24" t="s">
        <v>113</v>
      </c>
      <c r="B4714" s="24" t="s">
        <v>72</v>
      </c>
      <c r="C4714" s="32">
        <v>25.048999999999999</v>
      </c>
      <c r="D4714" s="28">
        <v>1.8749999999999999E-2</v>
      </c>
    </row>
    <row r="4715" spans="1:4" x14ac:dyDescent="0.25">
      <c r="A4715" s="24" t="s">
        <v>113</v>
      </c>
      <c r="B4715" s="24" t="s">
        <v>73</v>
      </c>
      <c r="C4715" s="32">
        <v>22.16</v>
      </c>
      <c r="D4715" s="28">
        <v>1.9444444444444445E-2</v>
      </c>
    </row>
    <row r="4716" spans="1:4" x14ac:dyDescent="0.25">
      <c r="A4716" s="24" t="s">
        <v>113</v>
      </c>
      <c r="B4716" s="24" t="s">
        <v>74</v>
      </c>
      <c r="C4716" s="32">
        <v>21.417000000000002</v>
      </c>
      <c r="D4716" s="28">
        <v>1.8749999999999999E-2</v>
      </c>
    </row>
    <row r="4717" spans="1:4" x14ac:dyDescent="0.25">
      <c r="A4717" s="24" t="s">
        <v>113</v>
      </c>
      <c r="B4717" s="24" t="s">
        <v>75</v>
      </c>
      <c r="C4717" s="32">
        <v>20.452999999999999</v>
      </c>
      <c r="D4717" s="28">
        <v>1.7361111111111112E-2</v>
      </c>
    </row>
    <row r="4718" spans="1:4" x14ac:dyDescent="0.25">
      <c r="A4718" s="24" t="s">
        <v>113</v>
      </c>
      <c r="B4718" s="24" t="s">
        <v>76</v>
      </c>
      <c r="C4718" s="32">
        <v>20.103000000000002</v>
      </c>
      <c r="D4718" s="28">
        <v>1.7361111111111112E-2</v>
      </c>
    </row>
    <row r="4719" spans="1:4" x14ac:dyDescent="0.25">
      <c r="A4719" s="24" t="s">
        <v>113</v>
      </c>
      <c r="B4719" s="24" t="s">
        <v>77</v>
      </c>
      <c r="C4719" s="32">
        <v>28.016999999999999</v>
      </c>
      <c r="D4719" s="28">
        <v>2.013888888888889E-2</v>
      </c>
    </row>
    <row r="4720" spans="1:4" x14ac:dyDescent="0.25">
      <c r="A4720" s="24" t="s">
        <v>113</v>
      </c>
      <c r="B4720" s="24" t="s">
        <v>78</v>
      </c>
      <c r="C4720" s="32">
        <v>28.89</v>
      </c>
      <c r="D4720" s="28">
        <v>2.1527777777777781E-2</v>
      </c>
    </row>
    <row r="4721" spans="1:4" x14ac:dyDescent="0.25">
      <c r="A4721" s="24" t="s">
        <v>113</v>
      </c>
      <c r="B4721" s="24" t="s">
        <v>79</v>
      </c>
      <c r="C4721" s="32">
        <v>39.744999999999997</v>
      </c>
      <c r="D4721" s="28">
        <v>3.2638888888888891E-2</v>
      </c>
    </row>
    <row r="4722" spans="1:4" x14ac:dyDescent="0.25">
      <c r="A4722" s="24" t="s">
        <v>113</v>
      </c>
      <c r="B4722" s="24" t="s">
        <v>80</v>
      </c>
      <c r="C4722" s="32">
        <v>20.838999999999999</v>
      </c>
      <c r="D4722" s="28">
        <v>1.5972222222222224E-2</v>
      </c>
    </row>
    <row r="4723" spans="1:4" x14ac:dyDescent="0.25">
      <c r="A4723" s="24" t="s">
        <v>113</v>
      </c>
      <c r="B4723" s="24" t="s">
        <v>81</v>
      </c>
      <c r="C4723" s="32">
        <v>20.029</v>
      </c>
      <c r="D4723" s="28">
        <v>1.6666666666666666E-2</v>
      </c>
    </row>
    <row r="4724" spans="1:4" x14ac:dyDescent="0.25">
      <c r="A4724" s="24" t="s">
        <v>113</v>
      </c>
      <c r="B4724" s="24" t="s">
        <v>82</v>
      </c>
      <c r="C4724" s="32">
        <v>20.081</v>
      </c>
      <c r="D4724" s="28">
        <v>1.6666666666666666E-2</v>
      </c>
    </row>
    <row r="4725" spans="1:4" x14ac:dyDescent="0.25">
      <c r="A4725" s="24" t="s">
        <v>113</v>
      </c>
      <c r="B4725" s="24" t="s">
        <v>83</v>
      </c>
      <c r="C4725" s="32">
        <v>14.827</v>
      </c>
      <c r="D4725" s="28">
        <v>1.6666666666666666E-2</v>
      </c>
    </row>
    <row r="4726" spans="1:4" x14ac:dyDescent="0.25">
      <c r="A4726" s="24" t="s">
        <v>113</v>
      </c>
      <c r="B4726" s="24" t="s">
        <v>84</v>
      </c>
      <c r="C4726" s="32">
        <v>18.344000000000001</v>
      </c>
      <c r="D4726" s="28">
        <v>1.3888888888888888E-2</v>
      </c>
    </row>
    <row r="4727" spans="1:4" x14ac:dyDescent="0.25">
      <c r="A4727" s="24" t="s">
        <v>113</v>
      </c>
      <c r="B4727" s="24" t="s">
        <v>85</v>
      </c>
      <c r="C4727" s="32">
        <v>17.978000000000002</v>
      </c>
      <c r="D4727" s="28">
        <v>1.4583333333333332E-2</v>
      </c>
    </row>
    <row r="4728" spans="1:4" x14ac:dyDescent="0.25">
      <c r="A4728" s="24" t="s">
        <v>113</v>
      </c>
      <c r="B4728" s="24" t="s">
        <v>86</v>
      </c>
      <c r="C4728" s="32">
        <v>17.917999999999999</v>
      </c>
      <c r="D4728" s="28">
        <v>1.5972222222222224E-2</v>
      </c>
    </row>
    <row r="4729" spans="1:4" x14ac:dyDescent="0.25">
      <c r="A4729" s="24" t="s">
        <v>113</v>
      </c>
      <c r="B4729" s="24" t="s">
        <v>87</v>
      </c>
      <c r="C4729" s="32">
        <v>17.696000000000002</v>
      </c>
      <c r="D4729" s="28">
        <v>1.5277777777777777E-2</v>
      </c>
    </row>
    <row r="4730" spans="1:4" x14ac:dyDescent="0.25">
      <c r="A4730" s="24" t="s">
        <v>113</v>
      </c>
      <c r="B4730" s="24" t="s">
        <v>88</v>
      </c>
      <c r="C4730" s="32">
        <v>13.436</v>
      </c>
      <c r="D4730" s="28">
        <v>1.5277777777777777E-2</v>
      </c>
    </row>
    <row r="4731" spans="1:4" x14ac:dyDescent="0.25">
      <c r="A4731" s="24" t="s">
        <v>113</v>
      </c>
      <c r="B4731" s="24" t="s">
        <v>89</v>
      </c>
      <c r="C4731" s="32">
        <v>12.178000000000001</v>
      </c>
      <c r="D4731" s="28">
        <v>1.1805555555555555E-2</v>
      </c>
    </row>
    <row r="4732" spans="1:4" x14ac:dyDescent="0.25">
      <c r="A4732" s="24" t="s">
        <v>113</v>
      </c>
      <c r="B4732" s="24" t="s">
        <v>90</v>
      </c>
      <c r="C4732" s="32">
        <v>20.462</v>
      </c>
      <c r="D4732" s="28">
        <v>1.5972222222222224E-2</v>
      </c>
    </row>
    <row r="4733" spans="1:4" x14ac:dyDescent="0.25">
      <c r="A4733" s="24" t="s">
        <v>113</v>
      </c>
      <c r="B4733" s="24" t="s">
        <v>91</v>
      </c>
      <c r="C4733" s="32">
        <v>11.504</v>
      </c>
      <c r="D4733" s="28">
        <v>1.2499999999999999E-2</v>
      </c>
    </row>
    <row r="4734" spans="1:4" x14ac:dyDescent="0.25">
      <c r="A4734" s="24" t="s">
        <v>113</v>
      </c>
      <c r="B4734" s="24" t="s">
        <v>92</v>
      </c>
      <c r="C4734" s="32">
        <v>18.911000000000001</v>
      </c>
      <c r="D4734" s="28">
        <v>1.5277777777777777E-2</v>
      </c>
    </row>
    <row r="4735" spans="1:4" x14ac:dyDescent="0.25">
      <c r="A4735" s="24" t="s">
        <v>113</v>
      </c>
      <c r="B4735" s="24" t="s">
        <v>93</v>
      </c>
      <c r="C4735" s="32">
        <v>42.642000000000003</v>
      </c>
      <c r="D4735" s="28">
        <v>2.8472222222222222E-2</v>
      </c>
    </row>
    <row r="4736" spans="1:4" x14ac:dyDescent="0.25">
      <c r="A4736" s="24" t="s">
        <v>113</v>
      </c>
      <c r="B4736" s="24" t="s">
        <v>94</v>
      </c>
      <c r="C4736" s="32">
        <v>43.271000000000001</v>
      </c>
      <c r="D4736" s="28">
        <v>2.9166666666666664E-2</v>
      </c>
    </row>
    <row r="4737" spans="1:4" x14ac:dyDescent="0.25">
      <c r="A4737" s="24" t="s">
        <v>113</v>
      </c>
      <c r="B4737" s="24" t="s">
        <v>95</v>
      </c>
      <c r="C4737" s="32">
        <v>20.367999999999999</v>
      </c>
      <c r="D4737" s="28">
        <v>1.7361111111111112E-2</v>
      </c>
    </row>
    <row r="4738" spans="1:4" x14ac:dyDescent="0.25">
      <c r="A4738" s="24" t="s">
        <v>113</v>
      </c>
      <c r="B4738" s="24" t="s">
        <v>96</v>
      </c>
      <c r="C4738" s="32">
        <v>27.728999999999999</v>
      </c>
      <c r="D4738" s="28">
        <v>2.361111111111111E-2</v>
      </c>
    </row>
    <row r="4739" spans="1:4" x14ac:dyDescent="0.25">
      <c r="A4739" s="24" t="s">
        <v>113</v>
      </c>
      <c r="B4739" s="24" t="s">
        <v>97</v>
      </c>
      <c r="C4739" s="32">
        <v>36.1</v>
      </c>
      <c r="D4739" s="28">
        <v>2.9166666666666664E-2</v>
      </c>
    </row>
    <row r="4740" spans="1:4" x14ac:dyDescent="0.25">
      <c r="A4740" s="24" t="s">
        <v>113</v>
      </c>
      <c r="B4740" s="24" t="s">
        <v>98</v>
      </c>
      <c r="C4740" s="32">
        <v>28.04</v>
      </c>
      <c r="D4740" s="28">
        <v>2.2222222222222223E-2</v>
      </c>
    </row>
    <row r="4741" spans="1:4" x14ac:dyDescent="0.25">
      <c r="A4741" s="24" t="s">
        <v>113</v>
      </c>
      <c r="B4741" s="24" t="s">
        <v>99</v>
      </c>
      <c r="C4741" s="32">
        <v>32.46</v>
      </c>
      <c r="D4741" s="28">
        <v>2.4999999999999998E-2</v>
      </c>
    </row>
    <row r="4742" spans="1:4" x14ac:dyDescent="0.25">
      <c r="A4742" s="24" t="s">
        <v>113</v>
      </c>
      <c r="B4742" s="24" t="s">
        <v>100</v>
      </c>
      <c r="C4742" s="32">
        <v>25.454000000000001</v>
      </c>
      <c r="D4742" s="28">
        <v>1.8749999999999999E-2</v>
      </c>
    </row>
    <row r="4743" spans="1:4" x14ac:dyDescent="0.25">
      <c r="A4743" s="24" t="s">
        <v>113</v>
      </c>
      <c r="B4743" s="24" t="s">
        <v>101</v>
      </c>
      <c r="C4743" s="32">
        <v>27.091000000000001</v>
      </c>
      <c r="D4743" s="28">
        <v>2.2222222222222223E-2</v>
      </c>
    </row>
    <row r="4744" spans="1:4" x14ac:dyDescent="0.25">
      <c r="A4744" s="24" t="s">
        <v>113</v>
      </c>
      <c r="B4744" s="24" t="s">
        <v>102</v>
      </c>
      <c r="C4744" s="32">
        <v>26.518000000000001</v>
      </c>
      <c r="D4744" s="28">
        <v>2.1527777777777781E-2</v>
      </c>
    </row>
    <row r="4745" spans="1:4" x14ac:dyDescent="0.25">
      <c r="A4745" s="24" t="s">
        <v>113</v>
      </c>
      <c r="B4745" s="24" t="s">
        <v>103</v>
      </c>
      <c r="C4745" s="32">
        <v>14.65</v>
      </c>
      <c r="D4745" s="28">
        <v>1.3194444444444444E-2</v>
      </c>
    </row>
    <row r="4746" spans="1:4" x14ac:dyDescent="0.25">
      <c r="A4746" s="24" t="s">
        <v>113</v>
      </c>
      <c r="B4746" s="24" t="s">
        <v>104</v>
      </c>
      <c r="C4746" s="32">
        <v>16.132999999999999</v>
      </c>
      <c r="D4746" s="28">
        <v>1.3194444444444444E-2</v>
      </c>
    </row>
    <row r="4747" spans="1:4" x14ac:dyDescent="0.25">
      <c r="A4747" s="24" t="s">
        <v>113</v>
      </c>
      <c r="B4747" s="24" t="s">
        <v>105</v>
      </c>
      <c r="C4747" s="32">
        <v>13.48</v>
      </c>
      <c r="D4747" s="28">
        <v>1.5972222222222224E-2</v>
      </c>
    </row>
    <row r="4748" spans="1:4" x14ac:dyDescent="0.25">
      <c r="A4748" s="24" t="s">
        <v>113</v>
      </c>
      <c r="B4748" s="24" t="s">
        <v>106</v>
      </c>
      <c r="C4748" s="32">
        <v>16.568999999999999</v>
      </c>
      <c r="D4748" s="28">
        <v>1.5277777777777777E-2</v>
      </c>
    </row>
    <row r="4749" spans="1:4" x14ac:dyDescent="0.25">
      <c r="A4749" s="24" t="s">
        <v>113</v>
      </c>
      <c r="B4749" s="24" t="s">
        <v>107</v>
      </c>
      <c r="C4749" s="32">
        <v>5.9249999999999998</v>
      </c>
      <c r="D4749" s="28">
        <v>9.0277777777777787E-3</v>
      </c>
    </row>
    <row r="4750" spans="1:4" x14ac:dyDescent="0.25">
      <c r="A4750" s="24" t="s">
        <v>113</v>
      </c>
      <c r="B4750" s="24" t="s">
        <v>108</v>
      </c>
      <c r="C4750" s="32">
        <v>5.4779999999999998</v>
      </c>
      <c r="D4750" s="28">
        <v>6.9444444444444441E-3</v>
      </c>
    </row>
    <row r="4751" spans="1:4" x14ac:dyDescent="0.25">
      <c r="A4751" s="24" t="s">
        <v>113</v>
      </c>
      <c r="B4751" s="24" t="s">
        <v>109</v>
      </c>
      <c r="C4751" s="32">
        <v>5.4480000000000004</v>
      </c>
      <c r="D4751" s="28">
        <v>6.9444444444444441E-3</v>
      </c>
    </row>
    <row r="4752" spans="1:4" x14ac:dyDescent="0.25">
      <c r="A4752" s="24" t="s">
        <v>113</v>
      </c>
      <c r="B4752" s="24" t="s">
        <v>110</v>
      </c>
      <c r="C4752" s="32">
        <v>18.099</v>
      </c>
      <c r="D4752" s="28">
        <v>1.6666666666666666E-2</v>
      </c>
    </row>
    <row r="4753" spans="1:4" x14ac:dyDescent="0.25">
      <c r="A4753" s="24" t="s">
        <v>113</v>
      </c>
      <c r="B4753" s="24" t="s">
        <v>111</v>
      </c>
      <c r="C4753" s="32">
        <v>16.626000000000001</v>
      </c>
      <c r="D4753" s="28">
        <v>1.3194444444444444E-2</v>
      </c>
    </row>
    <row r="4754" spans="1:4" x14ac:dyDescent="0.25">
      <c r="A4754" s="24" t="s">
        <v>113</v>
      </c>
      <c r="B4754" s="24" t="s">
        <v>112</v>
      </c>
      <c r="C4754" s="32">
        <v>4.5170000000000003</v>
      </c>
      <c r="D4754" s="28">
        <v>5.5555555555555558E-3</v>
      </c>
    </row>
    <row r="4755" spans="1:4" x14ac:dyDescent="0.25">
      <c r="A4755" s="24" t="s">
        <v>113</v>
      </c>
      <c r="B4755" s="24" t="s">
        <v>113</v>
      </c>
      <c r="C4755" s="32">
        <v>0</v>
      </c>
      <c r="D4755" s="28">
        <v>0</v>
      </c>
    </row>
    <row r="4756" spans="1:4" x14ac:dyDescent="0.25">
      <c r="A4756" s="24" t="s">
        <v>113</v>
      </c>
      <c r="B4756" s="24" t="s">
        <v>114</v>
      </c>
      <c r="C4756" s="32">
        <v>23.905999999999999</v>
      </c>
      <c r="D4756" s="28">
        <v>1.6666666666666666E-2</v>
      </c>
    </row>
    <row r="4757" spans="1:4" x14ac:dyDescent="0.25">
      <c r="A4757" s="24" t="s">
        <v>113</v>
      </c>
      <c r="B4757" s="24" t="s">
        <v>115</v>
      </c>
      <c r="C4757" s="32">
        <v>23.757000000000001</v>
      </c>
      <c r="D4757" s="28">
        <v>1.7361111111111112E-2</v>
      </c>
    </row>
    <row r="4758" spans="1:4" x14ac:dyDescent="0.25">
      <c r="A4758" s="24" t="s">
        <v>113</v>
      </c>
      <c r="B4758" s="24" t="s">
        <v>116</v>
      </c>
      <c r="C4758" s="32">
        <v>17.907</v>
      </c>
      <c r="D4758" s="28">
        <v>1.4583333333333332E-2</v>
      </c>
    </row>
    <row r="4759" spans="1:4" x14ac:dyDescent="0.25">
      <c r="A4759" s="24" t="s">
        <v>113</v>
      </c>
      <c r="B4759" s="24" t="s">
        <v>117</v>
      </c>
      <c r="C4759" s="32">
        <v>19.872</v>
      </c>
      <c r="D4759" s="28">
        <v>1.8055555555555557E-2</v>
      </c>
    </row>
    <row r="4760" spans="1:4" x14ac:dyDescent="0.25">
      <c r="A4760" s="24" t="s">
        <v>113</v>
      </c>
      <c r="B4760" s="24" t="s">
        <v>118</v>
      </c>
      <c r="C4760" s="32">
        <v>15.755000000000001</v>
      </c>
      <c r="D4760" s="28">
        <v>1.2499999999999999E-2</v>
      </c>
    </row>
    <row r="4761" spans="1:4" x14ac:dyDescent="0.25">
      <c r="A4761" s="24" t="s">
        <v>113</v>
      </c>
      <c r="B4761" s="24" t="s">
        <v>119</v>
      </c>
      <c r="C4761" s="32">
        <v>21.904</v>
      </c>
      <c r="D4761" s="28">
        <v>1.5972222222222224E-2</v>
      </c>
    </row>
    <row r="4762" spans="1:4" x14ac:dyDescent="0.25">
      <c r="A4762" s="24" t="s">
        <v>113</v>
      </c>
      <c r="B4762" s="24" t="s">
        <v>120</v>
      </c>
      <c r="C4762" s="32">
        <v>24.754000000000001</v>
      </c>
      <c r="D4762" s="28">
        <v>1.9444444444444445E-2</v>
      </c>
    </row>
    <row r="4763" spans="1:4" x14ac:dyDescent="0.25">
      <c r="A4763" s="24" t="s">
        <v>113</v>
      </c>
      <c r="B4763" s="24" t="s">
        <v>121</v>
      </c>
      <c r="C4763" s="32">
        <v>39.104999999999997</v>
      </c>
      <c r="D4763" s="28">
        <v>2.6388888888888889E-2</v>
      </c>
    </row>
    <row r="4764" spans="1:4" x14ac:dyDescent="0.25">
      <c r="A4764" s="24" t="s">
        <v>113</v>
      </c>
      <c r="B4764" s="24" t="s">
        <v>122</v>
      </c>
      <c r="C4764" s="32">
        <v>36.066000000000003</v>
      </c>
      <c r="D4764" s="28">
        <v>2.4999999999999998E-2</v>
      </c>
    </row>
    <row r="4765" spans="1:4" x14ac:dyDescent="0.25">
      <c r="A4765" s="24" t="s">
        <v>113</v>
      </c>
      <c r="B4765" s="24" t="s">
        <v>123</v>
      </c>
      <c r="C4765" s="32">
        <v>32.69</v>
      </c>
      <c r="D4765" s="28">
        <v>2.2916666666666669E-2</v>
      </c>
    </row>
    <row r="4766" spans="1:4" x14ac:dyDescent="0.25">
      <c r="A4766" s="24" t="s">
        <v>113</v>
      </c>
      <c r="B4766" s="24" t="s">
        <v>124</v>
      </c>
      <c r="C4766" s="32">
        <v>32.69</v>
      </c>
      <c r="D4766" s="28">
        <v>2.2916666666666669E-2</v>
      </c>
    </row>
    <row r="4767" spans="1:4" x14ac:dyDescent="0.25">
      <c r="A4767" s="24" t="s">
        <v>113</v>
      </c>
      <c r="B4767" s="24" t="s">
        <v>125</v>
      </c>
      <c r="C4767" s="32">
        <v>24.216999999999999</v>
      </c>
      <c r="D4767" s="28">
        <v>2.1527777777777781E-2</v>
      </c>
    </row>
    <row r="4768" spans="1:4" x14ac:dyDescent="0.25">
      <c r="A4768" s="24" t="s">
        <v>113</v>
      </c>
      <c r="B4768" s="24" t="s">
        <v>126</v>
      </c>
      <c r="C4768" s="32">
        <v>23.954999999999998</v>
      </c>
      <c r="D4768" s="28">
        <v>2.0833333333333332E-2</v>
      </c>
    </row>
    <row r="4769" spans="1:4" x14ac:dyDescent="0.25">
      <c r="A4769" s="24" t="s">
        <v>113</v>
      </c>
      <c r="B4769" s="24" t="s">
        <v>127</v>
      </c>
      <c r="C4769" s="32">
        <v>22.949000000000002</v>
      </c>
      <c r="D4769" s="28">
        <v>1.9444444444444445E-2</v>
      </c>
    </row>
    <row r="4770" spans="1:4" x14ac:dyDescent="0.25">
      <c r="A4770" s="24" t="s">
        <v>113</v>
      </c>
      <c r="B4770" s="24" t="s">
        <v>128</v>
      </c>
      <c r="C4770" s="32">
        <v>23.899000000000001</v>
      </c>
      <c r="D4770" s="28">
        <v>2.013888888888889E-2</v>
      </c>
    </row>
    <row r="4771" spans="1:4" x14ac:dyDescent="0.25">
      <c r="A4771" s="24" t="s">
        <v>113</v>
      </c>
      <c r="B4771" s="24" t="s">
        <v>129</v>
      </c>
      <c r="C4771" s="32">
        <v>23.899000000000001</v>
      </c>
      <c r="D4771" s="28">
        <v>2.013888888888889E-2</v>
      </c>
    </row>
    <row r="4772" spans="1:4" x14ac:dyDescent="0.25">
      <c r="A4772" s="24" t="s">
        <v>113</v>
      </c>
      <c r="B4772" s="24" t="s">
        <v>130</v>
      </c>
      <c r="C4772" s="32">
        <v>23.277999999999999</v>
      </c>
      <c r="D4772" s="28">
        <v>2.2222222222222223E-2</v>
      </c>
    </row>
    <row r="4773" spans="1:4" x14ac:dyDescent="0.25">
      <c r="A4773" s="24" t="s">
        <v>113</v>
      </c>
      <c r="B4773" s="24" t="s">
        <v>131</v>
      </c>
      <c r="C4773" s="32">
        <v>21.940999999999999</v>
      </c>
      <c r="D4773" s="28">
        <v>2.013888888888889E-2</v>
      </c>
    </row>
    <row r="4774" spans="1:4" x14ac:dyDescent="0.25">
      <c r="A4774" s="24" t="s">
        <v>113</v>
      </c>
      <c r="B4774" s="24" t="s">
        <v>132</v>
      </c>
      <c r="C4774" s="32">
        <v>30.196000000000002</v>
      </c>
      <c r="D4774" s="28">
        <v>2.6388888888888889E-2</v>
      </c>
    </row>
    <row r="4775" spans="1:4" x14ac:dyDescent="0.25">
      <c r="A4775" s="24" t="s">
        <v>113</v>
      </c>
      <c r="B4775" s="24" t="s">
        <v>133</v>
      </c>
      <c r="C4775" s="32">
        <v>15.782</v>
      </c>
      <c r="D4775" s="28">
        <v>1.4583333333333332E-2</v>
      </c>
    </row>
    <row r="4776" spans="1:4" x14ac:dyDescent="0.25">
      <c r="A4776" s="24" t="s">
        <v>113</v>
      </c>
      <c r="B4776" s="24" t="s">
        <v>134</v>
      </c>
      <c r="C4776" s="32">
        <v>15.316000000000001</v>
      </c>
      <c r="D4776" s="28">
        <v>1.3888888888888888E-2</v>
      </c>
    </row>
    <row r="4777" spans="1:4" x14ac:dyDescent="0.25">
      <c r="A4777" s="24" t="s">
        <v>113</v>
      </c>
      <c r="B4777" s="24" t="s">
        <v>135</v>
      </c>
      <c r="C4777" s="32">
        <v>16.736999999999998</v>
      </c>
      <c r="D4777" s="28">
        <v>1.3888888888888888E-2</v>
      </c>
    </row>
    <row r="4778" spans="1:4" x14ac:dyDescent="0.25">
      <c r="A4778" s="24" t="s">
        <v>113</v>
      </c>
      <c r="B4778" s="24" t="s">
        <v>136</v>
      </c>
      <c r="C4778" s="32">
        <v>16.736999999999998</v>
      </c>
      <c r="D4778" s="28">
        <v>1.3888888888888888E-2</v>
      </c>
    </row>
    <row r="4779" spans="1:4" x14ac:dyDescent="0.25">
      <c r="A4779" s="24" t="s">
        <v>113</v>
      </c>
      <c r="B4779" s="24" t="s">
        <v>137</v>
      </c>
      <c r="C4779" s="32">
        <v>18.413</v>
      </c>
      <c r="D4779" s="28">
        <v>1.5277777777777777E-2</v>
      </c>
    </row>
    <row r="4780" spans="1:4" x14ac:dyDescent="0.25">
      <c r="A4780" s="24" t="s">
        <v>113</v>
      </c>
      <c r="B4780" s="24" t="s">
        <v>138</v>
      </c>
      <c r="C4780" s="32">
        <v>13.481999999999999</v>
      </c>
      <c r="D4780" s="28">
        <v>1.1805555555555555E-2</v>
      </c>
    </row>
    <row r="4781" spans="1:4" x14ac:dyDescent="0.25">
      <c r="A4781" s="24" t="s">
        <v>113</v>
      </c>
      <c r="B4781" s="24" t="s">
        <v>139</v>
      </c>
      <c r="C4781" s="32">
        <v>21.925000000000001</v>
      </c>
      <c r="D4781" s="28">
        <v>1.3888888888888888E-2</v>
      </c>
    </row>
    <row r="4782" spans="1:4" x14ac:dyDescent="0.25">
      <c r="A4782" s="24" t="s">
        <v>113</v>
      </c>
      <c r="B4782" s="24" t="s">
        <v>140</v>
      </c>
      <c r="C4782" s="32">
        <v>22.234000000000002</v>
      </c>
      <c r="D4782" s="28">
        <v>1.5972222222222224E-2</v>
      </c>
    </row>
    <row r="4783" spans="1:4" x14ac:dyDescent="0.25">
      <c r="A4783" s="24" t="s">
        <v>113</v>
      </c>
      <c r="B4783" s="24" t="s">
        <v>141</v>
      </c>
      <c r="C4783" s="32">
        <v>46.636000000000003</v>
      </c>
      <c r="D4783" s="28">
        <v>3.3333333333333333E-2</v>
      </c>
    </row>
    <row r="4784" spans="1:4" x14ac:dyDescent="0.25">
      <c r="A4784" s="24" t="s">
        <v>113</v>
      </c>
      <c r="B4784" s="24" t="s">
        <v>142</v>
      </c>
      <c r="C4784" s="32">
        <v>44.723999999999997</v>
      </c>
      <c r="D4784" s="28">
        <v>2.5694444444444447E-2</v>
      </c>
    </row>
    <row r="4785" spans="1:4" x14ac:dyDescent="0.25">
      <c r="A4785" s="24" t="s">
        <v>113</v>
      </c>
      <c r="B4785" s="24" t="s">
        <v>143</v>
      </c>
      <c r="C4785" s="32">
        <v>63.101999999999997</v>
      </c>
      <c r="D4785" s="28">
        <v>3.3333333333333333E-2</v>
      </c>
    </row>
    <row r="4786" spans="1:4" x14ac:dyDescent="0.25">
      <c r="A4786" s="24" t="s">
        <v>113</v>
      </c>
      <c r="B4786" s="24" t="s">
        <v>144</v>
      </c>
      <c r="C4786" s="32">
        <v>82.218000000000004</v>
      </c>
      <c r="D4786" s="28">
        <v>4.3750000000000004E-2</v>
      </c>
    </row>
    <row r="4787" spans="1:4" x14ac:dyDescent="0.25">
      <c r="A4787" s="24" t="s">
        <v>113</v>
      </c>
      <c r="B4787" s="24" t="s">
        <v>145</v>
      </c>
      <c r="C4787" s="32">
        <v>26.731999999999999</v>
      </c>
      <c r="D4787" s="28">
        <v>1.8749999999999999E-2</v>
      </c>
    </row>
    <row r="4788" spans="1:4" x14ac:dyDescent="0.25">
      <c r="A4788" s="24" t="s">
        <v>113</v>
      </c>
      <c r="B4788" s="24" t="s">
        <v>146</v>
      </c>
      <c r="C4788" s="32">
        <v>42.191000000000003</v>
      </c>
      <c r="D4788" s="28">
        <v>2.6388888888888889E-2</v>
      </c>
    </row>
    <row r="4789" spans="1:4" x14ac:dyDescent="0.25">
      <c r="A4789" s="24" t="s">
        <v>113</v>
      </c>
      <c r="B4789" s="24" t="s">
        <v>147</v>
      </c>
      <c r="C4789" s="32">
        <v>16.722000000000001</v>
      </c>
      <c r="D4789" s="28">
        <v>1.4583333333333332E-2</v>
      </c>
    </row>
    <row r="4790" spans="1:4" x14ac:dyDescent="0.25">
      <c r="A4790" s="24" t="s">
        <v>113</v>
      </c>
      <c r="B4790" s="24" t="s">
        <v>148</v>
      </c>
      <c r="C4790" s="32">
        <v>19.806000000000001</v>
      </c>
      <c r="D4790" s="28">
        <v>1.6666666666666666E-2</v>
      </c>
    </row>
    <row r="4791" spans="1:4" x14ac:dyDescent="0.25">
      <c r="A4791" s="24" t="s">
        <v>113</v>
      </c>
      <c r="B4791" s="24" t="s">
        <v>149</v>
      </c>
      <c r="C4791" s="32">
        <v>30.302</v>
      </c>
      <c r="D4791" s="28">
        <v>2.6388888888888889E-2</v>
      </c>
    </row>
    <row r="4792" spans="1:4" x14ac:dyDescent="0.25">
      <c r="A4792" s="24" t="s">
        <v>113</v>
      </c>
      <c r="B4792" s="24" t="s">
        <v>150</v>
      </c>
      <c r="C4792" s="32">
        <v>40.463999999999999</v>
      </c>
      <c r="D4792" s="28">
        <v>3.4722222222222224E-2</v>
      </c>
    </row>
    <row r="4793" spans="1:4" x14ac:dyDescent="0.25">
      <c r="A4793" s="24" t="s">
        <v>113</v>
      </c>
      <c r="B4793" s="24" t="s">
        <v>151</v>
      </c>
      <c r="C4793" s="32">
        <v>41.094999999999999</v>
      </c>
      <c r="D4793" s="28">
        <v>3.4722222222222224E-2</v>
      </c>
    </row>
    <row r="4794" spans="1:4" x14ac:dyDescent="0.25">
      <c r="A4794" s="24" t="s">
        <v>113</v>
      </c>
      <c r="B4794" s="24" t="s">
        <v>152</v>
      </c>
      <c r="C4794" s="32">
        <v>40.616</v>
      </c>
      <c r="D4794" s="28">
        <v>3.6805555555555557E-2</v>
      </c>
    </row>
    <row r="4795" spans="1:4" x14ac:dyDescent="0.25">
      <c r="A4795" s="24" t="s">
        <v>113</v>
      </c>
      <c r="B4795" s="24" t="s">
        <v>153</v>
      </c>
      <c r="C4795" s="32">
        <v>49.320999999999998</v>
      </c>
      <c r="D4795" s="28">
        <v>4.3055555555555562E-2</v>
      </c>
    </row>
    <row r="4796" spans="1:4" x14ac:dyDescent="0.25">
      <c r="A4796" s="24" t="s">
        <v>113</v>
      </c>
      <c r="B4796" s="24" t="s">
        <v>154</v>
      </c>
      <c r="C4796" s="32">
        <v>44.139000000000003</v>
      </c>
      <c r="D4796" s="28">
        <v>3.7499999999999999E-2</v>
      </c>
    </row>
    <row r="4797" spans="1:4" x14ac:dyDescent="0.25">
      <c r="A4797" s="24" t="s">
        <v>113</v>
      </c>
      <c r="B4797" s="24" t="s">
        <v>155</v>
      </c>
      <c r="C4797" s="32">
        <v>41.695</v>
      </c>
      <c r="D4797" s="28">
        <v>3.4027777777777775E-2</v>
      </c>
    </row>
    <row r="4798" spans="1:4" x14ac:dyDescent="0.25">
      <c r="A4798" s="24" t="s">
        <v>113</v>
      </c>
      <c r="B4798" s="24" t="s">
        <v>156</v>
      </c>
      <c r="C4798" s="32">
        <v>41.679000000000002</v>
      </c>
      <c r="D4798" s="28">
        <v>3.4027777777777775E-2</v>
      </c>
    </row>
    <row r="4799" spans="1:4" x14ac:dyDescent="0.25">
      <c r="A4799" s="24" t="s">
        <v>113</v>
      </c>
      <c r="B4799" s="24" t="s">
        <v>157</v>
      </c>
      <c r="C4799" s="32">
        <v>42.238999999999997</v>
      </c>
      <c r="D4799" s="28">
        <v>3.4722222222222224E-2</v>
      </c>
    </row>
    <row r="4800" spans="1:4" x14ac:dyDescent="0.25">
      <c r="A4800" s="24" t="s">
        <v>113</v>
      </c>
      <c r="B4800" s="24" t="s">
        <v>158</v>
      </c>
      <c r="C4800" s="32">
        <v>52.633000000000003</v>
      </c>
      <c r="D4800" s="28">
        <v>4.3750000000000004E-2</v>
      </c>
    </row>
    <row r="4801" spans="1:4" x14ac:dyDescent="0.25">
      <c r="A4801" s="24" t="s">
        <v>113</v>
      </c>
      <c r="B4801" s="24" t="s">
        <v>159</v>
      </c>
      <c r="C4801" s="32">
        <v>53.484000000000002</v>
      </c>
      <c r="D4801" s="28">
        <v>4.3750000000000004E-2</v>
      </c>
    </row>
    <row r="4802" spans="1:4" x14ac:dyDescent="0.25">
      <c r="A4802" s="24" t="s">
        <v>114</v>
      </c>
      <c r="B4802" s="24" t="s">
        <v>65</v>
      </c>
      <c r="C4802" s="32">
        <v>10.84</v>
      </c>
      <c r="D4802" s="28">
        <v>6.9444444444444441E-3</v>
      </c>
    </row>
    <row r="4803" spans="1:4" x14ac:dyDescent="0.25">
      <c r="A4803" s="24" t="s">
        <v>114</v>
      </c>
      <c r="B4803" s="24" t="s">
        <v>64</v>
      </c>
      <c r="C4803" s="32">
        <v>14.75</v>
      </c>
      <c r="D4803" s="28">
        <v>1.1111111111111112E-2</v>
      </c>
    </row>
    <row r="4804" spans="1:4" x14ac:dyDescent="0.25">
      <c r="A4804" s="24" t="s">
        <v>114</v>
      </c>
      <c r="B4804" s="24" t="s">
        <v>66</v>
      </c>
      <c r="C4804" s="32">
        <v>21.097000000000001</v>
      </c>
      <c r="D4804" s="28">
        <v>1.8055555555555557E-2</v>
      </c>
    </row>
    <row r="4805" spans="1:4" x14ac:dyDescent="0.25">
      <c r="A4805" s="24" t="s">
        <v>114</v>
      </c>
      <c r="B4805" s="24" t="s">
        <v>67</v>
      </c>
      <c r="C4805" s="32">
        <v>18.341000000000001</v>
      </c>
      <c r="D4805" s="28">
        <v>1.8055555555555557E-2</v>
      </c>
    </row>
    <row r="4806" spans="1:4" x14ac:dyDescent="0.25">
      <c r="A4806" s="24" t="s">
        <v>114</v>
      </c>
      <c r="B4806" s="24" t="s">
        <v>68</v>
      </c>
      <c r="C4806" s="32">
        <v>18.454999999999998</v>
      </c>
      <c r="D4806" s="28">
        <v>1.8749999999999999E-2</v>
      </c>
    </row>
    <row r="4807" spans="1:4" x14ac:dyDescent="0.25">
      <c r="A4807" s="24" t="s">
        <v>114</v>
      </c>
      <c r="B4807" s="24" t="s">
        <v>69</v>
      </c>
      <c r="C4807" s="32">
        <v>18.311</v>
      </c>
      <c r="D4807" s="28">
        <v>1.8055555555555557E-2</v>
      </c>
    </row>
    <row r="4808" spans="1:4" x14ac:dyDescent="0.25">
      <c r="A4808" s="24" t="s">
        <v>114</v>
      </c>
      <c r="B4808" s="24" t="s">
        <v>70</v>
      </c>
      <c r="C4808" s="32">
        <v>20.038</v>
      </c>
      <c r="D4808" s="28">
        <v>1.8055555555555557E-2</v>
      </c>
    </row>
    <row r="4809" spans="1:4" x14ac:dyDescent="0.25">
      <c r="A4809" s="24" t="s">
        <v>114</v>
      </c>
      <c r="B4809" s="24" t="s">
        <v>71</v>
      </c>
      <c r="C4809" s="32">
        <v>18.04</v>
      </c>
      <c r="D4809" s="28">
        <v>1.8055555555555557E-2</v>
      </c>
    </row>
    <row r="4810" spans="1:4" x14ac:dyDescent="0.25">
      <c r="A4810" s="24" t="s">
        <v>114</v>
      </c>
      <c r="B4810" s="24" t="s">
        <v>72</v>
      </c>
      <c r="C4810" s="32">
        <v>19.574000000000002</v>
      </c>
      <c r="D4810" s="28">
        <v>2.013888888888889E-2</v>
      </c>
    </row>
    <row r="4811" spans="1:4" x14ac:dyDescent="0.25">
      <c r="A4811" s="24" t="s">
        <v>114</v>
      </c>
      <c r="B4811" s="24" t="s">
        <v>73</v>
      </c>
      <c r="C4811" s="32">
        <v>18.102</v>
      </c>
      <c r="D4811" s="28">
        <v>1.8055555555555557E-2</v>
      </c>
    </row>
    <row r="4812" spans="1:4" x14ac:dyDescent="0.25">
      <c r="A4812" s="24" t="s">
        <v>114</v>
      </c>
      <c r="B4812" s="24" t="s">
        <v>74</v>
      </c>
      <c r="C4812" s="32">
        <v>21.905000000000001</v>
      </c>
      <c r="D4812" s="28">
        <v>2.013888888888889E-2</v>
      </c>
    </row>
    <row r="4813" spans="1:4" x14ac:dyDescent="0.25">
      <c r="A4813" s="24" t="s">
        <v>114</v>
      </c>
      <c r="B4813" s="24" t="s">
        <v>75</v>
      </c>
      <c r="C4813" s="32">
        <v>20.940999999999999</v>
      </c>
      <c r="D4813" s="28">
        <v>1.8749999999999999E-2</v>
      </c>
    </row>
    <row r="4814" spans="1:4" x14ac:dyDescent="0.25">
      <c r="A4814" s="24" t="s">
        <v>114</v>
      </c>
      <c r="B4814" s="24" t="s">
        <v>76</v>
      </c>
      <c r="C4814" s="32">
        <v>24.01</v>
      </c>
      <c r="D4814" s="28">
        <v>2.4305555555555556E-2</v>
      </c>
    </row>
    <row r="4815" spans="1:4" x14ac:dyDescent="0.25">
      <c r="A4815" s="24" t="s">
        <v>114</v>
      </c>
      <c r="B4815" s="24" t="s">
        <v>77</v>
      </c>
      <c r="C4815" s="32">
        <v>28.518000000000001</v>
      </c>
      <c r="D4815" s="28">
        <v>2.4999999999999998E-2</v>
      </c>
    </row>
    <row r="4816" spans="1:4" x14ac:dyDescent="0.25">
      <c r="A4816" s="24" t="s">
        <v>114</v>
      </c>
      <c r="B4816" s="24" t="s">
        <v>78</v>
      </c>
      <c r="C4816" s="32">
        <v>24.094000000000001</v>
      </c>
      <c r="D4816" s="28">
        <v>2.0833333333333332E-2</v>
      </c>
    </row>
    <row r="4817" spans="1:4" x14ac:dyDescent="0.25">
      <c r="A4817" s="24" t="s">
        <v>114</v>
      </c>
      <c r="B4817" s="24" t="s">
        <v>79</v>
      </c>
      <c r="C4817" s="32">
        <v>42.593000000000004</v>
      </c>
      <c r="D4817" s="28">
        <v>3.7499999999999999E-2</v>
      </c>
    </row>
    <row r="4818" spans="1:4" x14ac:dyDescent="0.25">
      <c r="A4818" s="24" t="s">
        <v>114</v>
      </c>
      <c r="B4818" s="24" t="s">
        <v>80</v>
      </c>
      <c r="C4818" s="32">
        <v>14.064</v>
      </c>
      <c r="D4818" s="28">
        <v>9.0277777777777787E-3</v>
      </c>
    </row>
    <row r="4819" spans="1:4" x14ac:dyDescent="0.25">
      <c r="A4819" s="24" t="s">
        <v>114</v>
      </c>
      <c r="B4819" s="24" t="s">
        <v>81</v>
      </c>
      <c r="C4819" s="32">
        <v>18.585999999999999</v>
      </c>
      <c r="D4819" s="28">
        <v>1.1805555555555555E-2</v>
      </c>
    </row>
    <row r="4820" spans="1:4" x14ac:dyDescent="0.25">
      <c r="A4820" s="24" t="s">
        <v>114</v>
      </c>
      <c r="B4820" s="24" t="s">
        <v>82</v>
      </c>
      <c r="C4820" s="32">
        <v>18.638000000000002</v>
      </c>
      <c r="D4820" s="28">
        <v>1.1805555555555555E-2</v>
      </c>
    </row>
    <row r="4821" spans="1:4" x14ac:dyDescent="0.25">
      <c r="A4821" s="24" t="s">
        <v>114</v>
      </c>
      <c r="B4821" s="24" t="s">
        <v>83</v>
      </c>
      <c r="C4821" s="32">
        <v>12.528</v>
      </c>
      <c r="D4821" s="28">
        <v>9.7222222222222224E-3</v>
      </c>
    </row>
    <row r="4822" spans="1:4" x14ac:dyDescent="0.25">
      <c r="A4822" s="24" t="s">
        <v>114</v>
      </c>
      <c r="B4822" s="24" t="s">
        <v>84</v>
      </c>
      <c r="C4822" s="32">
        <v>19.11</v>
      </c>
      <c r="D4822" s="28">
        <v>1.5972222222222224E-2</v>
      </c>
    </row>
    <row r="4823" spans="1:4" x14ac:dyDescent="0.25">
      <c r="A4823" s="24" t="s">
        <v>114</v>
      </c>
      <c r="B4823" s="24" t="s">
        <v>85</v>
      </c>
      <c r="C4823" s="32">
        <v>19.126999999999999</v>
      </c>
      <c r="D4823" s="28">
        <v>1.5972222222222224E-2</v>
      </c>
    </row>
    <row r="4824" spans="1:4" x14ac:dyDescent="0.25">
      <c r="A4824" s="24" t="s">
        <v>114</v>
      </c>
      <c r="B4824" s="24" t="s">
        <v>86</v>
      </c>
      <c r="C4824" s="32">
        <v>16.753</v>
      </c>
      <c r="D4824" s="28">
        <v>1.3194444444444444E-2</v>
      </c>
    </row>
    <row r="4825" spans="1:4" x14ac:dyDescent="0.25">
      <c r="A4825" s="24" t="s">
        <v>114</v>
      </c>
      <c r="B4825" s="24" t="s">
        <v>87</v>
      </c>
      <c r="C4825" s="32">
        <v>15.117000000000001</v>
      </c>
      <c r="D4825" s="28">
        <v>1.2499999999999999E-2</v>
      </c>
    </row>
    <row r="4826" spans="1:4" x14ac:dyDescent="0.25">
      <c r="A4826" s="24" t="s">
        <v>114</v>
      </c>
      <c r="B4826" s="24" t="s">
        <v>88</v>
      </c>
      <c r="C4826" s="32">
        <v>14.27</v>
      </c>
      <c r="D4826" s="28">
        <v>1.1805555555555555E-2</v>
      </c>
    </row>
    <row r="4827" spans="1:4" x14ac:dyDescent="0.25">
      <c r="A4827" s="24" t="s">
        <v>114</v>
      </c>
      <c r="B4827" s="24" t="s">
        <v>89</v>
      </c>
      <c r="C4827" s="32">
        <v>9.5470000000000006</v>
      </c>
      <c r="D4827" s="28">
        <v>8.3333333333333332E-3</v>
      </c>
    </row>
    <row r="4828" spans="1:4" x14ac:dyDescent="0.25">
      <c r="A4828" s="24" t="s">
        <v>114</v>
      </c>
      <c r="B4828" s="24" t="s">
        <v>90</v>
      </c>
      <c r="C4828" s="32">
        <v>8.8529999999999998</v>
      </c>
      <c r="D4828" s="28">
        <v>6.2499999999999995E-3</v>
      </c>
    </row>
    <row r="4829" spans="1:4" x14ac:dyDescent="0.25">
      <c r="A4829" s="24" t="s">
        <v>114</v>
      </c>
      <c r="B4829" s="24" t="s">
        <v>91</v>
      </c>
      <c r="C4829" s="32">
        <v>11.991</v>
      </c>
      <c r="D4829" s="28">
        <v>1.1111111111111112E-2</v>
      </c>
    </row>
    <row r="4830" spans="1:4" x14ac:dyDescent="0.25">
      <c r="A4830" s="24" t="s">
        <v>114</v>
      </c>
      <c r="B4830" s="24" t="s">
        <v>92</v>
      </c>
      <c r="C4830" s="32">
        <v>12.14</v>
      </c>
      <c r="D4830" s="28">
        <v>8.3333333333333332E-3</v>
      </c>
    </row>
    <row r="4831" spans="1:4" x14ac:dyDescent="0.25">
      <c r="A4831" s="24" t="s">
        <v>114</v>
      </c>
      <c r="B4831" s="24" t="s">
        <v>93</v>
      </c>
      <c r="C4831" s="32">
        <v>35.862000000000002</v>
      </c>
      <c r="D4831" s="28">
        <v>2.1527777777777781E-2</v>
      </c>
    </row>
    <row r="4832" spans="1:4" x14ac:dyDescent="0.25">
      <c r="A4832" s="24" t="s">
        <v>114</v>
      </c>
      <c r="B4832" s="24" t="s">
        <v>94</v>
      </c>
      <c r="C4832" s="32">
        <v>36.491</v>
      </c>
      <c r="D4832" s="28">
        <v>2.2222222222222223E-2</v>
      </c>
    </row>
    <row r="4833" spans="1:4" x14ac:dyDescent="0.25">
      <c r="A4833" s="24" t="s">
        <v>114</v>
      </c>
      <c r="B4833" s="24" t="s">
        <v>95</v>
      </c>
      <c r="C4833" s="32">
        <v>18.922000000000001</v>
      </c>
      <c r="D4833" s="28">
        <v>1.2499999999999999E-2</v>
      </c>
    </row>
    <row r="4834" spans="1:4" x14ac:dyDescent="0.25">
      <c r="A4834" s="24" t="s">
        <v>114</v>
      </c>
      <c r="B4834" s="24" t="s">
        <v>96</v>
      </c>
      <c r="C4834" s="32">
        <v>18.972999999999999</v>
      </c>
      <c r="D4834" s="28">
        <v>1.4583333333333332E-2</v>
      </c>
    </row>
    <row r="4835" spans="1:4" x14ac:dyDescent="0.25">
      <c r="A4835" s="24" t="s">
        <v>114</v>
      </c>
      <c r="B4835" s="24" t="s">
        <v>97</v>
      </c>
      <c r="C4835" s="32">
        <v>24.491</v>
      </c>
      <c r="D4835" s="28">
        <v>1.9444444444444445E-2</v>
      </c>
    </row>
    <row r="4836" spans="1:4" x14ac:dyDescent="0.25">
      <c r="A4836" s="24" t="s">
        <v>114</v>
      </c>
      <c r="B4836" s="24" t="s">
        <v>98</v>
      </c>
      <c r="C4836" s="32">
        <v>16.431000000000001</v>
      </c>
      <c r="D4836" s="28">
        <v>1.2499999999999999E-2</v>
      </c>
    </row>
    <row r="4837" spans="1:4" x14ac:dyDescent="0.25">
      <c r="A4837" s="24" t="s">
        <v>114</v>
      </c>
      <c r="B4837" s="24" t="s">
        <v>99</v>
      </c>
      <c r="C4837" s="32">
        <v>20.850999999999999</v>
      </c>
      <c r="D4837" s="28">
        <v>1.5972222222222224E-2</v>
      </c>
    </row>
    <row r="4838" spans="1:4" x14ac:dyDescent="0.25">
      <c r="A4838" s="24" t="s">
        <v>114</v>
      </c>
      <c r="B4838" s="24" t="s">
        <v>100</v>
      </c>
      <c r="C4838" s="32">
        <v>13.845000000000001</v>
      </c>
      <c r="D4838" s="28">
        <v>9.7222222222222224E-3</v>
      </c>
    </row>
    <row r="4839" spans="1:4" x14ac:dyDescent="0.25">
      <c r="A4839" s="24" t="s">
        <v>114</v>
      </c>
      <c r="B4839" s="24" t="s">
        <v>101</v>
      </c>
      <c r="C4839" s="32">
        <v>15.481999999999999</v>
      </c>
      <c r="D4839" s="28">
        <v>1.2499999999999999E-2</v>
      </c>
    </row>
    <row r="4840" spans="1:4" x14ac:dyDescent="0.25">
      <c r="A4840" s="24" t="s">
        <v>114</v>
      </c>
      <c r="B4840" s="24" t="s">
        <v>102</v>
      </c>
      <c r="C4840" s="32">
        <v>14.909000000000001</v>
      </c>
      <c r="D4840" s="28">
        <v>1.1805555555555555E-2</v>
      </c>
    </row>
    <row r="4841" spans="1:4" x14ac:dyDescent="0.25">
      <c r="A4841" s="24" t="s">
        <v>114</v>
      </c>
      <c r="B4841" s="24" t="s">
        <v>103</v>
      </c>
      <c r="C4841" s="32">
        <v>5.8940000000000001</v>
      </c>
      <c r="D4841" s="28">
        <v>4.1666666666666666E-3</v>
      </c>
    </row>
    <row r="4842" spans="1:4" x14ac:dyDescent="0.25">
      <c r="A4842" s="24" t="s">
        <v>114</v>
      </c>
      <c r="B4842" s="24" t="s">
        <v>104</v>
      </c>
      <c r="C4842" s="32">
        <v>4.524</v>
      </c>
      <c r="D4842" s="28">
        <v>3.472222222222222E-3</v>
      </c>
    </row>
    <row r="4843" spans="1:4" x14ac:dyDescent="0.25">
      <c r="A4843" s="24" t="s">
        <v>114</v>
      </c>
      <c r="B4843" s="24" t="s">
        <v>105</v>
      </c>
      <c r="C4843" s="32">
        <v>9.1920000000000002</v>
      </c>
      <c r="D4843" s="28">
        <v>9.7222222222222224E-3</v>
      </c>
    </row>
    <row r="4844" spans="1:4" x14ac:dyDescent="0.25">
      <c r="A4844" s="24" t="s">
        <v>114</v>
      </c>
      <c r="B4844" s="24" t="s">
        <v>106</v>
      </c>
      <c r="C4844" s="32">
        <v>7.5730000000000004</v>
      </c>
      <c r="D4844" s="28">
        <v>4.8611111111111112E-3</v>
      </c>
    </row>
    <row r="4845" spans="1:4" x14ac:dyDescent="0.25">
      <c r="A4845" s="24" t="s">
        <v>114</v>
      </c>
      <c r="B4845" s="24" t="s">
        <v>107</v>
      </c>
      <c r="C4845" s="32">
        <v>18.396999999999998</v>
      </c>
      <c r="D4845" s="28">
        <v>1.4583333333333332E-2</v>
      </c>
    </row>
    <row r="4846" spans="1:4" x14ac:dyDescent="0.25">
      <c r="A4846" s="24" t="s">
        <v>114</v>
      </c>
      <c r="B4846" s="24" t="s">
        <v>108</v>
      </c>
      <c r="C4846" s="32">
        <v>18.994</v>
      </c>
      <c r="D4846" s="28">
        <v>1.3888888888888888E-2</v>
      </c>
    </row>
    <row r="4847" spans="1:4" x14ac:dyDescent="0.25">
      <c r="A4847" s="24" t="s">
        <v>114</v>
      </c>
      <c r="B4847" s="24" t="s">
        <v>109</v>
      </c>
      <c r="C4847" s="32">
        <v>18.963999999999999</v>
      </c>
      <c r="D4847" s="28">
        <v>1.3888888888888888E-2</v>
      </c>
    </row>
    <row r="4848" spans="1:4" x14ac:dyDescent="0.25">
      <c r="A4848" s="24" t="s">
        <v>114</v>
      </c>
      <c r="B4848" s="24" t="s">
        <v>110</v>
      </c>
      <c r="C4848" s="32">
        <v>10.132999999999999</v>
      </c>
      <c r="D4848" s="28">
        <v>8.3333333333333332E-3</v>
      </c>
    </row>
    <row r="4849" spans="1:4" x14ac:dyDescent="0.25">
      <c r="A4849" s="24" t="s">
        <v>114</v>
      </c>
      <c r="B4849" s="24" t="s">
        <v>111</v>
      </c>
      <c r="C4849" s="32">
        <v>7.6520000000000001</v>
      </c>
      <c r="D4849" s="28">
        <v>4.8611111111111112E-3</v>
      </c>
    </row>
    <row r="4850" spans="1:4" x14ac:dyDescent="0.25">
      <c r="A4850" s="24" t="s">
        <v>114</v>
      </c>
      <c r="B4850" s="24" t="s">
        <v>112</v>
      </c>
      <c r="C4850" s="32">
        <v>18.071000000000002</v>
      </c>
      <c r="D4850" s="28">
        <v>1.3194444444444444E-2</v>
      </c>
    </row>
    <row r="4851" spans="1:4" x14ac:dyDescent="0.25">
      <c r="A4851" s="24" t="s">
        <v>114</v>
      </c>
      <c r="B4851" s="24" t="s">
        <v>113</v>
      </c>
      <c r="C4851" s="32">
        <v>21.695</v>
      </c>
      <c r="D4851" s="28">
        <v>1.5277777777777777E-2</v>
      </c>
    </row>
    <row r="4852" spans="1:4" x14ac:dyDescent="0.25">
      <c r="A4852" s="24" t="s">
        <v>114</v>
      </c>
      <c r="B4852" s="24" t="s">
        <v>114</v>
      </c>
      <c r="C4852" s="32">
        <v>0</v>
      </c>
      <c r="D4852" s="28">
        <v>0</v>
      </c>
    </row>
    <row r="4853" spans="1:4" x14ac:dyDescent="0.25">
      <c r="A4853" s="24" t="s">
        <v>114</v>
      </c>
      <c r="B4853" s="24" t="s">
        <v>115</v>
      </c>
      <c r="C4853" s="32">
        <v>12.146000000000001</v>
      </c>
      <c r="D4853" s="28">
        <v>9.0277777777777787E-3</v>
      </c>
    </row>
    <row r="4854" spans="1:4" x14ac:dyDescent="0.25">
      <c r="A4854" s="24" t="s">
        <v>114</v>
      </c>
      <c r="B4854" s="24" t="s">
        <v>116</v>
      </c>
      <c r="C4854" s="32">
        <v>11.222</v>
      </c>
      <c r="D4854" s="28">
        <v>8.3333333333333332E-3</v>
      </c>
    </row>
    <row r="4855" spans="1:4" x14ac:dyDescent="0.25">
      <c r="A4855" s="24" t="s">
        <v>114</v>
      </c>
      <c r="B4855" s="24" t="s">
        <v>117</v>
      </c>
      <c r="C4855" s="32">
        <v>18.425999999999998</v>
      </c>
      <c r="D4855" s="28">
        <v>1.3888888888888888E-2</v>
      </c>
    </row>
    <row r="4856" spans="1:4" x14ac:dyDescent="0.25">
      <c r="A4856" s="24" t="s">
        <v>114</v>
      </c>
      <c r="B4856" s="24" t="s">
        <v>118</v>
      </c>
      <c r="C4856" s="32">
        <v>16.837</v>
      </c>
      <c r="D4856" s="28">
        <v>1.1805555555555555E-2</v>
      </c>
    </row>
    <row r="4857" spans="1:4" x14ac:dyDescent="0.25">
      <c r="A4857" s="24" t="s">
        <v>114</v>
      </c>
      <c r="B4857" s="24" t="s">
        <v>119</v>
      </c>
      <c r="C4857" s="32">
        <v>30.922000000000001</v>
      </c>
      <c r="D4857" s="28">
        <v>1.9444444444444445E-2</v>
      </c>
    </row>
    <row r="4858" spans="1:4" x14ac:dyDescent="0.25">
      <c r="A4858" s="24" t="s">
        <v>114</v>
      </c>
      <c r="B4858" s="24" t="s">
        <v>120</v>
      </c>
      <c r="C4858" s="32">
        <v>33.712000000000003</v>
      </c>
      <c r="D4858" s="28">
        <v>2.2222222222222223E-2</v>
      </c>
    </row>
    <row r="4859" spans="1:4" x14ac:dyDescent="0.25">
      <c r="A4859" s="24" t="s">
        <v>114</v>
      </c>
      <c r="B4859" s="24" t="s">
        <v>121</v>
      </c>
      <c r="C4859" s="32">
        <v>48.063000000000002</v>
      </c>
      <c r="D4859" s="28">
        <v>2.9166666666666664E-2</v>
      </c>
    </row>
    <row r="4860" spans="1:4" x14ac:dyDescent="0.25">
      <c r="A4860" s="24" t="s">
        <v>114</v>
      </c>
      <c r="B4860" s="24" t="s">
        <v>122</v>
      </c>
      <c r="C4860" s="32">
        <v>34.732999999999997</v>
      </c>
      <c r="D4860" s="28">
        <v>2.0833333333333332E-2</v>
      </c>
    </row>
    <row r="4861" spans="1:4" x14ac:dyDescent="0.25">
      <c r="A4861" s="24" t="s">
        <v>114</v>
      </c>
      <c r="B4861" s="24" t="s">
        <v>123</v>
      </c>
      <c r="C4861" s="32">
        <v>41.648000000000003</v>
      </c>
      <c r="D4861" s="28">
        <v>2.5694444444444447E-2</v>
      </c>
    </row>
    <row r="4862" spans="1:4" x14ac:dyDescent="0.25">
      <c r="A4862" s="24" t="s">
        <v>114</v>
      </c>
      <c r="B4862" s="24" t="s">
        <v>124</v>
      </c>
      <c r="C4862" s="32">
        <v>41.648000000000003</v>
      </c>
      <c r="D4862" s="28">
        <v>2.5694444444444447E-2</v>
      </c>
    </row>
    <row r="4863" spans="1:4" x14ac:dyDescent="0.25">
      <c r="A4863" s="24" t="s">
        <v>114</v>
      </c>
      <c r="B4863" s="24" t="s">
        <v>125</v>
      </c>
      <c r="C4863" s="32">
        <v>16.082000000000001</v>
      </c>
      <c r="D4863" s="28">
        <v>1.1805555555555555E-2</v>
      </c>
    </row>
    <row r="4864" spans="1:4" x14ac:dyDescent="0.25">
      <c r="A4864" s="24" t="s">
        <v>114</v>
      </c>
      <c r="B4864" s="24" t="s">
        <v>126</v>
      </c>
      <c r="C4864" s="32">
        <v>15.82</v>
      </c>
      <c r="D4864" s="28">
        <v>1.1111111111111112E-2</v>
      </c>
    </row>
    <row r="4865" spans="1:4" x14ac:dyDescent="0.25">
      <c r="A4865" s="24" t="s">
        <v>114</v>
      </c>
      <c r="B4865" s="24" t="s">
        <v>127</v>
      </c>
      <c r="C4865" s="32">
        <v>14.193</v>
      </c>
      <c r="D4865" s="28">
        <v>1.0416666666666666E-2</v>
      </c>
    </row>
    <row r="4866" spans="1:4" x14ac:dyDescent="0.25">
      <c r="A4866" s="24" t="s">
        <v>114</v>
      </c>
      <c r="B4866" s="24" t="s">
        <v>128</v>
      </c>
      <c r="C4866" s="32">
        <v>14.893000000000001</v>
      </c>
      <c r="D4866" s="28">
        <v>9.7222222222222224E-3</v>
      </c>
    </row>
    <row r="4867" spans="1:4" x14ac:dyDescent="0.25">
      <c r="A4867" s="24" t="s">
        <v>114</v>
      </c>
      <c r="B4867" s="24" t="s">
        <v>129</v>
      </c>
      <c r="C4867" s="32">
        <v>14.893000000000001</v>
      </c>
      <c r="D4867" s="28">
        <v>9.7222222222222224E-3</v>
      </c>
    </row>
    <row r="4868" spans="1:4" x14ac:dyDescent="0.25">
      <c r="A4868" s="24" t="s">
        <v>114</v>
      </c>
      <c r="B4868" s="24" t="s">
        <v>130</v>
      </c>
      <c r="C4868" s="32">
        <v>14.272</v>
      </c>
      <c r="D4868" s="28">
        <v>1.1805555555555555E-2</v>
      </c>
    </row>
    <row r="4869" spans="1:4" x14ac:dyDescent="0.25">
      <c r="A4869" s="24" t="s">
        <v>114</v>
      </c>
      <c r="B4869" s="24" t="s">
        <v>131</v>
      </c>
      <c r="C4869" s="32">
        <v>13.185</v>
      </c>
      <c r="D4869" s="28">
        <v>1.1111111111111112E-2</v>
      </c>
    </row>
    <row r="4870" spans="1:4" x14ac:dyDescent="0.25">
      <c r="A4870" s="24" t="s">
        <v>114</v>
      </c>
      <c r="B4870" s="24" t="s">
        <v>132</v>
      </c>
      <c r="C4870" s="32">
        <v>21.19</v>
      </c>
      <c r="D4870" s="28">
        <v>1.5277777777777777E-2</v>
      </c>
    </row>
    <row r="4871" spans="1:4" x14ac:dyDescent="0.25">
      <c r="A4871" s="24" t="s">
        <v>114</v>
      </c>
      <c r="B4871" s="24" t="s">
        <v>133</v>
      </c>
      <c r="C4871" s="32">
        <v>18.315999999999999</v>
      </c>
      <c r="D4871" s="28">
        <v>1.8055555555555557E-2</v>
      </c>
    </row>
    <row r="4872" spans="1:4" x14ac:dyDescent="0.25">
      <c r="A4872" s="24" t="s">
        <v>114</v>
      </c>
      <c r="B4872" s="24" t="s">
        <v>134</v>
      </c>
      <c r="C4872" s="32">
        <v>17.850000000000001</v>
      </c>
      <c r="D4872" s="28">
        <v>1.7361111111111112E-2</v>
      </c>
    </row>
    <row r="4873" spans="1:4" x14ac:dyDescent="0.25">
      <c r="A4873" s="24" t="s">
        <v>114</v>
      </c>
      <c r="B4873" s="24" t="s">
        <v>135</v>
      </c>
      <c r="C4873" s="32">
        <v>19.181000000000001</v>
      </c>
      <c r="D4873" s="28">
        <v>1.8749999999999999E-2</v>
      </c>
    </row>
    <row r="4874" spans="1:4" x14ac:dyDescent="0.25">
      <c r="A4874" s="24" t="s">
        <v>114</v>
      </c>
      <c r="B4874" s="24" t="s">
        <v>136</v>
      </c>
      <c r="C4874" s="32">
        <v>19.181000000000001</v>
      </c>
      <c r="D4874" s="28">
        <v>1.8749999999999999E-2</v>
      </c>
    </row>
    <row r="4875" spans="1:4" x14ac:dyDescent="0.25">
      <c r="A4875" s="24" t="s">
        <v>114</v>
      </c>
      <c r="B4875" s="24" t="s">
        <v>137</v>
      </c>
      <c r="C4875" s="32">
        <v>22.283000000000001</v>
      </c>
      <c r="D4875" s="28">
        <v>1.8749999999999999E-2</v>
      </c>
    </row>
    <row r="4876" spans="1:4" x14ac:dyDescent="0.25">
      <c r="A4876" s="24" t="s">
        <v>114</v>
      </c>
      <c r="B4876" s="24" t="s">
        <v>138</v>
      </c>
      <c r="C4876" s="32">
        <v>25.280999999999999</v>
      </c>
      <c r="D4876" s="28">
        <v>2.013888888888889E-2</v>
      </c>
    </row>
    <row r="4877" spans="1:4" x14ac:dyDescent="0.25">
      <c r="A4877" s="24" t="s">
        <v>114</v>
      </c>
      <c r="B4877" s="24" t="s">
        <v>139</v>
      </c>
      <c r="C4877" s="32">
        <v>37.909999999999997</v>
      </c>
      <c r="D4877" s="28">
        <v>2.2222222222222223E-2</v>
      </c>
    </row>
    <row r="4878" spans="1:4" x14ac:dyDescent="0.25">
      <c r="A4878" s="24" t="s">
        <v>114</v>
      </c>
      <c r="B4878" s="24" t="s">
        <v>140</v>
      </c>
      <c r="C4878" s="32">
        <v>38.222000000000001</v>
      </c>
      <c r="D4878" s="28">
        <v>2.4999999999999998E-2</v>
      </c>
    </row>
    <row r="4879" spans="1:4" x14ac:dyDescent="0.25">
      <c r="A4879" s="24" t="s">
        <v>114</v>
      </c>
      <c r="B4879" s="24" t="s">
        <v>141</v>
      </c>
      <c r="C4879" s="32">
        <v>62.621000000000002</v>
      </c>
      <c r="D4879" s="28">
        <v>4.1666666666666664E-2</v>
      </c>
    </row>
    <row r="4880" spans="1:4" x14ac:dyDescent="0.25">
      <c r="A4880" s="24" t="s">
        <v>114</v>
      </c>
      <c r="B4880" s="24" t="s">
        <v>142</v>
      </c>
      <c r="C4880" s="32">
        <v>60.709000000000003</v>
      </c>
      <c r="D4880" s="28">
        <v>3.4722222222222224E-2</v>
      </c>
    </row>
    <row r="4881" spans="1:4" x14ac:dyDescent="0.25">
      <c r="A4881" s="24" t="s">
        <v>114</v>
      </c>
      <c r="B4881" s="24" t="s">
        <v>143</v>
      </c>
      <c r="C4881" s="32">
        <v>79.087000000000003</v>
      </c>
      <c r="D4881" s="28">
        <v>4.1666666666666664E-2</v>
      </c>
    </row>
    <row r="4882" spans="1:4" x14ac:dyDescent="0.25">
      <c r="A4882" s="24" t="s">
        <v>114</v>
      </c>
      <c r="B4882" s="24" t="s">
        <v>144</v>
      </c>
      <c r="C4882" s="32">
        <v>98.203000000000003</v>
      </c>
      <c r="D4882" s="28">
        <v>5.2777777777777778E-2</v>
      </c>
    </row>
    <row r="4883" spans="1:4" x14ac:dyDescent="0.25">
      <c r="A4883" s="24" t="s">
        <v>114</v>
      </c>
      <c r="B4883" s="24" t="s">
        <v>145</v>
      </c>
      <c r="C4883" s="32">
        <v>42.716999999999999</v>
      </c>
      <c r="D4883" s="28">
        <v>2.7083333333333334E-2</v>
      </c>
    </row>
    <row r="4884" spans="1:4" x14ac:dyDescent="0.25">
      <c r="A4884" s="24" t="s">
        <v>114</v>
      </c>
      <c r="B4884" s="24" t="s">
        <v>146</v>
      </c>
      <c r="C4884" s="32">
        <v>58.176000000000002</v>
      </c>
      <c r="D4884" s="28">
        <v>3.4722222222222224E-2</v>
      </c>
    </row>
    <row r="4885" spans="1:4" x14ac:dyDescent="0.25">
      <c r="A4885" s="24" t="s">
        <v>114</v>
      </c>
      <c r="B4885" s="24" t="s">
        <v>147</v>
      </c>
      <c r="C4885" s="32">
        <v>7.726</v>
      </c>
      <c r="D4885" s="28">
        <v>4.1666666666666666E-3</v>
      </c>
    </row>
    <row r="4886" spans="1:4" x14ac:dyDescent="0.25">
      <c r="A4886" s="24" t="s">
        <v>114</v>
      </c>
      <c r="B4886" s="24" t="s">
        <v>148</v>
      </c>
      <c r="C4886" s="32">
        <v>10.8</v>
      </c>
      <c r="D4886" s="28">
        <v>6.2499999999999995E-3</v>
      </c>
    </row>
    <row r="4887" spans="1:4" x14ac:dyDescent="0.25">
      <c r="A4887" s="24" t="s">
        <v>114</v>
      </c>
      <c r="B4887" s="24" t="s">
        <v>149</v>
      </c>
      <c r="C4887" s="32">
        <v>21.295999999999999</v>
      </c>
      <c r="D4887" s="28">
        <v>1.5972222222222224E-2</v>
      </c>
    </row>
    <row r="4888" spans="1:4" x14ac:dyDescent="0.25">
      <c r="A4888" s="24" t="s">
        <v>114</v>
      </c>
      <c r="B4888" s="24" t="s">
        <v>150</v>
      </c>
      <c r="C4888" s="32">
        <v>30.783000000000001</v>
      </c>
      <c r="D4888" s="28">
        <v>2.4999999999999998E-2</v>
      </c>
    </row>
    <row r="4889" spans="1:4" x14ac:dyDescent="0.25">
      <c r="A4889" s="24" t="s">
        <v>114</v>
      </c>
      <c r="B4889" s="24" t="s">
        <v>151</v>
      </c>
      <c r="C4889" s="32">
        <v>30.041</v>
      </c>
      <c r="D4889" s="28">
        <v>2.4305555555555556E-2</v>
      </c>
    </row>
    <row r="4890" spans="1:4" x14ac:dyDescent="0.25">
      <c r="A4890" s="24" t="s">
        <v>114</v>
      </c>
      <c r="B4890" s="24" t="s">
        <v>152</v>
      </c>
      <c r="C4890" s="32">
        <v>31.86</v>
      </c>
      <c r="D4890" s="28">
        <v>2.7777777777777776E-2</v>
      </c>
    </row>
    <row r="4891" spans="1:4" x14ac:dyDescent="0.25">
      <c r="A4891" s="24" t="s">
        <v>114</v>
      </c>
      <c r="B4891" s="24" t="s">
        <v>153</v>
      </c>
      <c r="C4891" s="32">
        <v>36.387</v>
      </c>
      <c r="D4891" s="28">
        <v>3.4722222222222224E-2</v>
      </c>
    </row>
    <row r="4892" spans="1:4" x14ac:dyDescent="0.25">
      <c r="A4892" s="24" t="s">
        <v>114</v>
      </c>
      <c r="B4892" s="24" t="s">
        <v>154</v>
      </c>
      <c r="C4892" s="32">
        <v>31.196000000000002</v>
      </c>
      <c r="D4892" s="28">
        <v>2.7777777777777776E-2</v>
      </c>
    </row>
    <row r="4893" spans="1:4" x14ac:dyDescent="0.25">
      <c r="A4893" s="24" t="s">
        <v>114</v>
      </c>
      <c r="B4893" s="24" t="s">
        <v>155</v>
      </c>
      <c r="C4893" s="32">
        <v>30.645</v>
      </c>
      <c r="D4893" s="28">
        <v>2.4999999999999998E-2</v>
      </c>
    </row>
    <row r="4894" spans="1:4" x14ac:dyDescent="0.25">
      <c r="A4894" s="24" t="s">
        <v>114</v>
      </c>
      <c r="B4894" s="24" t="s">
        <v>156</v>
      </c>
      <c r="C4894" s="32">
        <v>30.629000000000001</v>
      </c>
      <c r="D4894" s="28">
        <v>2.4999999999999998E-2</v>
      </c>
    </row>
    <row r="4895" spans="1:4" x14ac:dyDescent="0.25">
      <c r="A4895" s="24" t="s">
        <v>114</v>
      </c>
      <c r="B4895" s="24" t="s">
        <v>157</v>
      </c>
      <c r="C4895" s="32">
        <v>31.065999999999999</v>
      </c>
      <c r="D4895" s="28">
        <v>2.4999999999999998E-2</v>
      </c>
    </row>
    <row r="4896" spans="1:4" x14ac:dyDescent="0.25">
      <c r="A4896" s="24" t="s">
        <v>114</v>
      </c>
      <c r="B4896" s="24" t="s">
        <v>158</v>
      </c>
      <c r="C4896" s="32">
        <v>41.82</v>
      </c>
      <c r="D4896" s="28">
        <v>3.2638888888888891E-2</v>
      </c>
    </row>
    <row r="4897" spans="1:4" x14ac:dyDescent="0.25">
      <c r="A4897" s="24" t="s">
        <v>114</v>
      </c>
      <c r="B4897" s="24" t="s">
        <v>159</v>
      </c>
      <c r="C4897" s="32">
        <v>41.875</v>
      </c>
      <c r="D4897" s="28">
        <v>3.4027777777777775E-2</v>
      </c>
    </row>
    <row r="4898" spans="1:4" x14ac:dyDescent="0.25">
      <c r="A4898" s="24" t="s">
        <v>115</v>
      </c>
      <c r="B4898" s="24" t="s">
        <v>65</v>
      </c>
      <c r="C4898" s="32">
        <v>4.742</v>
      </c>
      <c r="D4898" s="28">
        <v>3.472222222222222E-3</v>
      </c>
    </row>
    <row r="4899" spans="1:4" x14ac:dyDescent="0.25">
      <c r="A4899" s="24" t="s">
        <v>115</v>
      </c>
      <c r="B4899" s="24" t="s">
        <v>64</v>
      </c>
      <c r="C4899" s="32">
        <v>15.58</v>
      </c>
      <c r="D4899" s="28">
        <v>1.2499999999999999E-2</v>
      </c>
    </row>
    <row r="4900" spans="1:4" x14ac:dyDescent="0.25">
      <c r="A4900" s="24" t="s">
        <v>115</v>
      </c>
      <c r="B4900" s="24" t="s">
        <v>66</v>
      </c>
      <c r="C4900" s="32">
        <v>22.591999999999999</v>
      </c>
      <c r="D4900" s="28">
        <v>1.9444444444444445E-2</v>
      </c>
    </row>
    <row r="4901" spans="1:4" x14ac:dyDescent="0.25">
      <c r="A4901" s="24" t="s">
        <v>115</v>
      </c>
      <c r="B4901" s="24" t="s">
        <v>67</v>
      </c>
      <c r="C4901" s="32">
        <v>19.170999999999999</v>
      </c>
      <c r="D4901" s="28">
        <v>1.9444444444444445E-2</v>
      </c>
    </row>
    <row r="4902" spans="1:4" x14ac:dyDescent="0.25">
      <c r="A4902" s="24" t="s">
        <v>115</v>
      </c>
      <c r="B4902" s="24" t="s">
        <v>68</v>
      </c>
      <c r="C4902" s="32">
        <v>19.285</v>
      </c>
      <c r="D4902" s="28">
        <v>2.013888888888889E-2</v>
      </c>
    </row>
    <row r="4903" spans="1:4" x14ac:dyDescent="0.25">
      <c r="A4903" s="24" t="s">
        <v>115</v>
      </c>
      <c r="B4903" s="24" t="s">
        <v>69</v>
      </c>
      <c r="C4903" s="32">
        <v>20.484000000000002</v>
      </c>
      <c r="D4903" s="28">
        <v>1.8749999999999999E-2</v>
      </c>
    </row>
    <row r="4904" spans="1:4" x14ac:dyDescent="0.25">
      <c r="A4904" s="24" t="s">
        <v>115</v>
      </c>
      <c r="B4904" s="24" t="s">
        <v>70</v>
      </c>
      <c r="C4904" s="32">
        <v>19.524999999999999</v>
      </c>
      <c r="D4904" s="28">
        <v>1.9444444444444445E-2</v>
      </c>
    </row>
    <row r="4905" spans="1:4" x14ac:dyDescent="0.25">
      <c r="A4905" s="24" t="s">
        <v>115</v>
      </c>
      <c r="B4905" s="24" t="s">
        <v>71</v>
      </c>
      <c r="C4905" s="32">
        <v>18.87</v>
      </c>
      <c r="D4905" s="28">
        <v>1.9444444444444445E-2</v>
      </c>
    </row>
    <row r="4906" spans="1:4" x14ac:dyDescent="0.25">
      <c r="A4906" s="24" t="s">
        <v>115</v>
      </c>
      <c r="B4906" s="24" t="s">
        <v>72</v>
      </c>
      <c r="C4906" s="32">
        <v>20.404</v>
      </c>
      <c r="D4906" s="28">
        <v>2.1527777777777781E-2</v>
      </c>
    </row>
    <row r="4907" spans="1:4" x14ac:dyDescent="0.25">
      <c r="A4907" s="24" t="s">
        <v>115</v>
      </c>
      <c r="B4907" s="24" t="s">
        <v>73</v>
      </c>
      <c r="C4907" s="32">
        <v>18.931999999999999</v>
      </c>
      <c r="D4907" s="28">
        <v>1.9444444444444445E-2</v>
      </c>
    </row>
    <row r="4908" spans="1:4" x14ac:dyDescent="0.25">
      <c r="A4908" s="24" t="s">
        <v>115</v>
      </c>
      <c r="B4908" s="24" t="s">
        <v>74</v>
      </c>
      <c r="C4908" s="32">
        <v>22.734999999999999</v>
      </c>
      <c r="D4908" s="28">
        <v>2.1527777777777781E-2</v>
      </c>
    </row>
    <row r="4909" spans="1:4" x14ac:dyDescent="0.25">
      <c r="A4909" s="24" t="s">
        <v>115</v>
      </c>
      <c r="B4909" s="24" t="s">
        <v>75</v>
      </c>
      <c r="C4909" s="32">
        <v>21.771000000000001</v>
      </c>
      <c r="D4909" s="28">
        <v>2.013888888888889E-2</v>
      </c>
    </row>
    <row r="4910" spans="1:4" x14ac:dyDescent="0.25">
      <c r="A4910" s="24" t="s">
        <v>115</v>
      </c>
      <c r="B4910" s="24" t="s">
        <v>76</v>
      </c>
      <c r="C4910" s="32">
        <v>24.832999999999998</v>
      </c>
      <c r="D4910" s="28">
        <v>2.5694444444444447E-2</v>
      </c>
    </row>
    <row r="4911" spans="1:4" x14ac:dyDescent="0.25">
      <c r="A4911" s="24" t="s">
        <v>115</v>
      </c>
      <c r="B4911" s="24" t="s">
        <v>77</v>
      </c>
      <c r="C4911" s="32">
        <v>30.268000000000001</v>
      </c>
      <c r="D4911" s="28">
        <v>2.5694444444444447E-2</v>
      </c>
    </row>
    <row r="4912" spans="1:4" x14ac:dyDescent="0.25">
      <c r="A4912" s="24" t="s">
        <v>115</v>
      </c>
      <c r="B4912" s="24" t="s">
        <v>78</v>
      </c>
      <c r="C4912" s="32">
        <v>24.388999999999999</v>
      </c>
      <c r="D4912" s="28">
        <v>2.2916666666666669E-2</v>
      </c>
    </row>
    <row r="4913" spans="1:4" x14ac:dyDescent="0.25">
      <c r="A4913" s="24" t="s">
        <v>115</v>
      </c>
      <c r="B4913" s="24" t="s">
        <v>79</v>
      </c>
      <c r="C4913" s="32">
        <v>43.453000000000003</v>
      </c>
      <c r="D4913" s="28">
        <v>3.8194444444444441E-2</v>
      </c>
    </row>
    <row r="4914" spans="1:4" x14ac:dyDescent="0.25">
      <c r="A4914" s="24" t="s">
        <v>115</v>
      </c>
      <c r="B4914" s="24" t="s">
        <v>80</v>
      </c>
      <c r="C4914" s="32">
        <v>3.8759999999999999</v>
      </c>
      <c r="D4914" s="28">
        <v>4.1666666666666666E-3</v>
      </c>
    </row>
    <row r="4915" spans="1:4" x14ac:dyDescent="0.25">
      <c r="A4915" s="24" t="s">
        <v>115</v>
      </c>
      <c r="B4915" s="24" t="s">
        <v>81</v>
      </c>
      <c r="C4915" s="32">
        <v>8.3979999999999997</v>
      </c>
      <c r="D4915" s="28">
        <v>6.2499999999999995E-3</v>
      </c>
    </row>
    <row r="4916" spans="1:4" x14ac:dyDescent="0.25">
      <c r="A4916" s="24" t="s">
        <v>115</v>
      </c>
      <c r="B4916" s="24" t="s">
        <v>82</v>
      </c>
      <c r="C4916" s="32">
        <v>8.4499999999999993</v>
      </c>
      <c r="D4916" s="28">
        <v>6.2499999999999995E-3</v>
      </c>
    </row>
    <row r="4917" spans="1:4" x14ac:dyDescent="0.25">
      <c r="A4917" s="24" t="s">
        <v>115</v>
      </c>
      <c r="B4917" s="24" t="s">
        <v>83</v>
      </c>
      <c r="C4917" s="32">
        <v>13.358000000000001</v>
      </c>
      <c r="D4917" s="28">
        <v>1.1111111111111112E-2</v>
      </c>
    </row>
    <row r="4918" spans="1:4" x14ac:dyDescent="0.25">
      <c r="A4918" s="24" t="s">
        <v>115</v>
      </c>
      <c r="B4918" s="24" t="s">
        <v>84</v>
      </c>
      <c r="C4918" s="32">
        <v>19.940000000000001</v>
      </c>
      <c r="D4918" s="28">
        <v>1.7361111111111112E-2</v>
      </c>
    </row>
    <row r="4919" spans="1:4" x14ac:dyDescent="0.25">
      <c r="A4919" s="24" t="s">
        <v>115</v>
      </c>
      <c r="B4919" s="24" t="s">
        <v>85</v>
      </c>
      <c r="C4919" s="32">
        <v>19.957000000000001</v>
      </c>
      <c r="D4919" s="28">
        <v>1.6666666666666666E-2</v>
      </c>
    </row>
    <row r="4920" spans="1:4" x14ac:dyDescent="0.25">
      <c r="A4920" s="24" t="s">
        <v>115</v>
      </c>
      <c r="B4920" s="24" t="s">
        <v>86</v>
      </c>
      <c r="C4920" s="32">
        <v>17.582999999999998</v>
      </c>
      <c r="D4920" s="28">
        <v>1.3888888888888888E-2</v>
      </c>
    </row>
    <row r="4921" spans="1:4" x14ac:dyDescent="0.25">
      <c r="A4921" s="24" t="s">
        <v>115</v>
      </c>
      <c r="B4921" s="24" t="s">
        <v>87</v>
      </c>
      <c r="C4921" s="32">
        <v>15.946999999999999</v>
      </c>
      <c r="D4921" s="28">
        <v>1.3888888888888888E-2</v>
      </c>
    </row>
    <row r="4922" spans="1:4" x14ac:dyDescent="0.25">
      <c r="A4922" s="24" t="s">
        <v>115</v>
      </c>
      <c r="B4922" s="24" t="s">
        <v>88</v>
      </c>
      <c r="C4922" s="32">
        <v>15.1</v>
      </c>
      <c r="D4922" s="28">
        <v>1.3194444444444444E-2</v>
      </c>
    </row>
    <row r="4923" spans="1:4" x14ac:dyDescent="0.25">
      <c r="A4923" s="24" t="s">
        <v>115</v>
      </c>
      <c r="B4923" s="24" t="s">
        <v>89</v>
      </c>
      <c r="C4923" s="32">
        <v>10.37</v>
      </c>
      <c r="D4923" s="28">
        <v>9.7222222222222224E-3</v>
      </c>
    </row>
    <row r="4924" spans="1:4" x14ac:dyDescent="0.25">
      <c r="A4924" s="24" t="s">
        <v>115</v>
      </c>
      <c r="B4924" s="24" t="s">
        <v>90</v>
      </c>
      <c r="C4924" s="32">
        <v>6.83</v>
      </c>
      <c r="D4924" s="28">
        <v>5.5555555555555558E-3</v>
      </c>
    </row>
    <row r="4925" spans="1:4" x14ac:dyDescent="0.25">
      <c r="A4925" s="24" t="s">
        <v>115</v>
      </c>
      <c r="B4925" s="24" t="s">
        <v>91</v>
      </c>
      <c r="C4925" s="32">
        <v>12.814</v>
      </c>
      <c r="D4925" s="28">
        <v>1.1805555555555555E-2</v>
      </c>
    </row>
    <row r="4926" spans="1:4" x14ac:dyDescent="0.25">
      <c r="A4926" s="24" t="s">
        <v>115</v>
      </c>
      <c r="B4926" s="24" t="s">
        <v>92</v>
      </c>
      <c r="C4926" s="32">
        <v>7.391</v>
      </c>
      <c r="D4926" s="28">
        <v>6.2499999999999995E-3</v>
      </c>
    </row>
    <row r="4927" spans="1:4" x14ac:dyDescent="0.25">
      <c r="A4927" s="24" t="s">
        <v>115</v>
      </c>
      <c r="B4927" s="24" t="s">
        <v>93</v>
      </c>
      <c r="C4927" s="32">
        <v>26.585000000000001</v>
      </c>
      <c r="D4927" s="28">
        <v>1.6666666666666666E-2</v>
      </c>
    </row>
    <row r="4928" spans="1:4" x14ac:dyDescent="0.25">
      <c r="A4928" s="24" t="s">
        <v>115</v>
      </c>
      <c r="B4928" s="24" t="s">
        <v>94</v>
      </c>
      <c r="C4928" s="32">
        <v>27.213999999999999</v>
      </c>
      <c r="D4928" s="28">
        <v>1.7361111111111112E-2</v>
      </c>
    </row>
    <row r="4929" spans="1:4" x14ac:dyDescent="0.25">
      <c r="A4929" s="24" t="s">
        <v>115</v>
      </c>
      <c r="B4929" s="24" t="s">
        <v>95</v>
      </c>
      <c r="C4929" s="32">
        <v>8.734</v>
      </c>
      <c r="D4929" s="28">
        <v>7.6388888888888886E-3</v>
      </c>
    </row>
    <row r="4930" spans="1:4" x14ac:dyDescent="0.25">
      <c r="A4930" s="24" t="s">
        <v>115</v>
      </c>
      <c r="B4930" s="24" t="s">
        <v>96</v>
      </c>
      <c r="C4930" s="32">
        <v>19.795999999999999</v>
      </c>
      <c r="D4930" s="28">
        <v>1.5972222222222224E-2</v>
      </c>
    </row>
    <row r="4931" spans="1:4" x14ac:dyDescent="0.25">
      <c r="A4931" s="24" t="s">
        <v>115</v>
      </c>
      <c r="B4931" s="24" t="s">
        <v>97</v>
      </c>
      <c r="C4931" s="32">
        <v>22.457999999999998</v>
      </c>
      <c r="D4931" s="28">
        <v>1.8055555555555557E-2</v>
      </c>
    </row>
    <row r="4932" spans="1:4" x14ac:dyDescent="0.25">
      <c r="A4932" s="24" t="s">
        <v>115</v>
      </c>
      <c r="B4932" s="24" t="s">
        <v>98</v>
      </c>
      <c r="C4932" s="32">
        <v>12.32</v>
      </c>
      <c r="D4932" s="28">
        <v>9.7222222222222224E-3</v>
      </c>
    </row>
    <row r="4933" spans="1:4" x14ac:dyDescent="0.25">
      <c r="A4933" s="24" t="s">
        <v>115</v>
      </c>
      <c r="B4933" s="24" t="s">
        <v>99</v>
      </c>
      <c r="C4933" s="32">
        <v>18.818000000000001</v>
      </c>
      <c r="D4933" s="28">
        <v>1.4583333333333332E-2</v>
      </c>
    </row>
    <row r="4934" spans="1:4" x14ac:dyDescent="0.25">
      <c r="A4934" s="24" t="s">
        <v>115</v>
      </c>
      <c r="B4934" s="24" t="s">
        <v>100</v>
      </c>
      <c r="C4934" s="32">
        <v>8.3859999999999992</v>
      </c>
      <c r="D4934" s="28">
        <v>6.9444444444444441E-3</v>
      </c>
    </row>
    <row r="4935" spans="1:4" x14ac:dyDescent="0.25">
      <c r="A4935" s="24" t="s">
        <v>115</v>
      </c>
      <c r="B4935" s="24" t="s">
        <v>101</v>
      </c>
      <c r="C4935" s="32">
        <v>14.016</v>
      </c>
      <c r="D4935" s="28">
        <v>1.1805555555555555E-2</v>
      </c>
    </row>
    <row r="4936" spans="1:4" x14ac:dyDescent="0.25">
      <c r="A4936" s="24" t="s">
        <v>115</v>
      </c>
      <c r="B4936" s="24" t="s">
        <v>102</v>
      </c>
      <c r="C4936" s="32">
        <v>15.734</v>
      </c>
      <c r="D4936" s="28">
        <v>1.3194444444444444E-2</v>
      </c>
    </row>
    <row r="4937" spans="1:4" x14ac:dyDescent="0.25">
      <c r="A4937" s="24" t="s">
        <v>115</v>
      </c>
      <c r="B4937" s="24" t="s">
        <v>103</v>
      </c>
      <c r="C4937" s="32">
        <v>6.7169999999999996</v>
      </c>
      <c r="D4937" s="28">
        <v>5.5555555555555558E-3</v>
      </c>
    </row>
    <row r="4938" spans="1:4" x14ac:dyDescent="0.25">
      <c r="A4938" s="24" t="s">
        <v>115</v>
      </c>
      <c r="B4938" s="24" t="s">
        <v>104</v>
      </c>
      <c r="C4938" s="32">
        <v>3.7759999999999998</v>
      </c>
      <c r="D4938" s="28">
        <v>3.472222222222222E-3</v>
      </c>
    </row>
    <row r="4939" spans="1:4" x14ac:dyDescent="0.25">
      <c r="A4939" s="24" t="s">
        <v>115</v>
      </c>
      <c r="B4939" s="24" t="s">
        <v>105</v>
      </c>
      <c r="C4939" s="32">
        <v>10.015000000000001</v>
      </c>
      <c r="D4939" s="28">
        <v>1.1111111111111112E-2</v>
      </c>
    </row>
    <row r="4940" spans="1:4" x14ac:dyDescent="0.25">
      <c r="A4940" s="24" t="s">
        <v>115</v>
      </c>
      <c r="B4940" s="24" t="s">
        <v>106</v>
      </c>
      <c r="C4940" s="32">
        <v>8.4030000000000005</v>
      </c>
      <c r="D4940" s="28">
        <v>6.2499999999999995E-3</v>
      </c>
    </row>
    <row r="4941" spans="1:4" x14ac:dyDescent="0.25">
      <c r="A4941" s="24" t="s">
        <v>115</v>
      </c>
      <c r="B4941" s="24" t="s">
        <v>107</v>
      </c>
      <c r="C4941" s="32">
        <v>19.222000000000001</v>
      </c>
      <c r="D4941" s="28">
        <v>1.5972222222222224E-2</v>
      </c>
    </row>
    <row r="4942" spans="1:4" x14ac:dyDescent="0.25">
      <c r="A4942" s="24" t="s">
        <v>115</v>
      </c>
      <c r="B4942" s="24" t="s">
        <v>108</v>
      </c>
      <c r="C4942" s="32">
        <v>19.818999999999999</v>
      </c>
      <c r="D4942" s="28">
        <v>1.4583333333333332E-2</v>
      </c>
    </row>
    <row r="4943" spans="1:4" x14ac:dyDescent="0.25">
      <c r="A4943" s="24" t="s">
        <v>115</v>
      </c>
      <c r="B4943" s="24" t="s">
        <v>109</v>
      </c>
      <c r="C4943" s="32">
        <v>19.789000000000001</v>
      </c>
      <c r="D4943" s="28">
        <v>1.4583333333333332E-2</v>
      </c>
    </row>
    <row r="4944" spans="1:4" x14ac:dyDescent="0.25">
      <c r="A4944" s="24" t="s">
        <v>115</v>
      </c>
      <c r="B4944" s="24" t="s">
        <v>110</v>
      </c>
      <c r="C4944" s="32">
        <v>10.956</v>
      </c>
      <c r="D4944" s="28">
        <v>9.7222222222222224E-3</v>
      </c>
    </row>
    <row r="4945" spans="1:4" x14ac:dyDescent="0.25">
      <c r="A4945" s="24" t="s">
        <v>115</v>
      </c>
      <c r="B4945" s="24" t="s">
        <v>111</v>
      </c>
      <c r="C4945" s="32">
        <v>8.4819999999999993</v>
      </c>
      <c r="D4945" s="28">
        <v>6.2499999999999995E-3</v>
      </c>
    </row>
    <row r="4946" spans="1:4" x14ac:dyDescent="0.25">
      <c r="A4946" s="24" t="s">
        <v>115</v>
      </c>
      <c r="B4946" s="24" t="s">
        <v>112</v>
      </c>
      <c r="C4946" s="32">
        <v>18.896000000000001</v>
      </c>
      <c r="D4946" s="28">
        <v>1.4583333333333332E-2</v>
      </c>
    </row>
    <row r="4947" spans="1:4" x14ac:dyDescent="0.25">
      <c r="A4947" s="24" t="s">
        <v>115</v>
      </c>
      <c r="B4947" s="24" t="s">
        <v>113</v>
      </c>
      <c r="C4947" s="32">
        <v>22.52</v>
      </c>
      <c r="D4947" s="28">
        <v>1.6666666666666666E-2</v>
      </c>
    </row>
    <row r="4948" spans="1:4" x14ac:dyDescent="0.25">
      <c r="A4948" s="24" t="s">
        <v>115</v>
      </c>
      <c r="B4948" s="24" t="s">
        <v>114</v>
      </c>
      <c r="C4948" s="32">
        <v>3.7029999999999998</v>
      </c>
      <c r="D4948" s="28">
        <v>3.472222222222222E-3</v>
      </c>
    </row>
    <row r="4949" spans="1:4" x14ac:dyDescent="0.25">
      <c r="A4949" s="24" t="s">
        <v>115</v>
      </c>
      <c r="B4949" s="24" t="s">
        <v>115</v>
      </c>
      <c r="C4949" s="32">
        <v>0</v>
      </c>
      <c r="D4949" s="28">
        <v>0</v>
      </c>
    </row>
    <row r="4950" spans="1:4" x14ac:dyDescent="0.25">
      <c r="A4950" s="24" t="s">
        <v>115</v>
      </c>
      <c r="B4950" s="24" t="s">
        <v>116</v>
      </c>
      <c r="C4950" s="32">
        <v>5.8550000000000004</v>
      </c>
      <c r="D4950" s="28">
        <v>5.5555555555555558E-3</v>
      </c>
    </row>
    <row r="4951" spans="1:4" x14ac:dyDescent="0.25">
      <c r="A4951" s="24" t="s">
        <v>115</v>
      </c>
      <c r="B4951" s="24" t="s">
        <v>117</v>
      </c>
      <c r="C4951" s="32">
        <v>8.2379999999999995</v>
      </c>
      <c r="D4951" s="28">
        <v>8.3333333333333332E-3</v>
      </c>
    </row>
    <row r="4952" spans="1:4" x14ac:dyDescent="0.25">
      <c r="A4952" s="24" t="s">
        <v>115</v>
      </c>
      <c r="B4952" s="24" t="s">
        <v>118</v>
      </c>
      <c r="C4952" s="32">
        <v>17.661999999999999</v>
      </c>
      <c r="D4952" s="28">
        <v>1.3194444444444444E-2</v>
      </c>
    </row>
    <row r="4953" spans="1:4" x14ac:dyDescent="0.25">
      <c r="A4953" s="24" t="s">
        <v>115</v>
      </c>
      <c r="B4953" s="24" t="s">
        <v>119</v>
      </c>
      <c r="C4953" s="32">
        <v>22.812000000000001</v>
      </c>
      <c r="D4953" s="28">
        <v>1.5277777777777777E-2</v>
      </c>
    </row>
    <row r="4954" spans="1:4" x14ac:dyDescent="0.25">
      <c r="A4954" s="24" t="s">
        <v>115</v>
      </c>
      <c r="B4954" s="24" t="s">
        <v>120</v>
      </c>
      <c r="C4954" s="32">
        <v>27.773</v>
      </c>
      <c r="D4954" s="28">
        <v>2.0833333333333332E-2</v>
      </c>
    </row>
    <row r="4955" spans="1:4" x14ac:dyDescent="0.25">
      <c r="A4955" s="24" t="s">
        <v>115</v>
      </c>
      <c r="B4955" s="24" t="s">
        <v>121</v>
      </c>
      <c r="C4955" s="32">
        <v>41.039000000000001</v>
      </c>
      <c r="D4955" s="28">
        <v>2.8472222222222222E-2</v>
      </c>
    </row>
    <row r="4956" spans="1:4" x14ac:dyDescent="0.25">
      <c r="A4956" s="24" t="s">
        <v>115</v>
      </c>
      <c r="B4956" s="24" t="s">
        <v>122</v>
      </c>
      <c r="C4956" s="32">
        <v>25.456</v>
      </c>
      <c r="D4956" s="28">
        <v>1.5972222222222224E-2</v>
      </c>
    </row>
    <row r="4957" spans="1:4" x14ac:dyDescent="0.25">
      <c r="A4957" s="24" t="s">
        <v>115</v>
      </c>
      <c r="B4957" s="24" t="s">
        <v>123</v>
      </c>
      <c r="C4957" s="32">
        <v>34.624000000000002</v>
      </c>
      <c r="D4957" s="28">
        <v>2.4999999999999998E-2</v>
      </c>
    </row>
    <row r="4958" spans="1:4" x14ac:dyDescent="0.25">
      <c r="A4958" s="24" t="s">
        <v>115</v>
      </c>
      <c r="B4958" s="24" t="s">
        <v>124</v>
      </c>
      <c r="C4958" s="32">
        <v>34.624000000000002</v>
      </c>
      <c r="D4958" s="28">
        <v>2.4999999999999998E-2</v>
      </c>
    </row>
    <row r="4959" spans="1:4" x14ac:dyDescent="0.25">
      <c r="A4959" s="24" t="s">
        <v>115</v>
      </c>
      <c r="B4959" s="24" t="s">
        <v>125</v>
      </c>
      <c r="C4959" s="32">
        <v>16.911999999999999</v>
      </c>
      <c r="D4959" s="28">
        <v>1.3194444444444444E-2</v>
      </c>
    </row>
    <row r="4960" spans="1:4" x14ac:dyDescent="0.25">
      <c r="A4960" s="24" t="s">
        <v>115</v>
      </c>
      <c r="B4960" s="24" t="s">
        <v>126</v>
      </c>
      <c r="C4960" s="32">
        <v>16.649999999999999</v>
      </c>
      <c r="D4960" s="28">
        <v>1.1805555555555555E-2</v>
      </c>
    </row>
    <row r="4961" spans="1:4" x14ac:dyDescent="0.25">
      <c r="A4961" s="24" t="s">
        <v>115</v>
      </c>
      <c r="B4961" s="24" t="s">
        <v>127</v>
      </c>
      <c r="C4961" s="32">
        <v>15.016</v>
      </c>
      <c r="D4961" s="28">
        <v>1.1805555555555555E-2</v>
      </c>
    </row>
    <row r="4962" spans="1:4" x14ac:dyDescent="0.25">
      <c r="A4962" s="24" t="s">
        <v>115</v>
      </c>
      <c r="B4962" s="24" t="s">
        <v>128</v>
      </c>
      <c r="C4962" s="32">
        <v>15.723000000000001</v>
      </c>
      <c r="D4962" s="28">
        <v>1.1111111111111112E-2</v>
      </c>
    </row>
    <row r="4963" spans="1:4" x14ac:dyDescent="0.25">
      <c r="A4963" s="24" t="s">
        <v>115</v>
      </c>
      <c r="B4963" s="24" t="s">
        <v>129</v>
      </c>
      <c r="C4963" s="32">
        <v>15.723000000000001</v>
      </c>
      <c r="D4963" s="28">
        <v>1.1111111111111112E-2</v>
      </c>
    </row>
    <row r="4964" spans="1:4" x14ac:dyDescent="0.25">
      <c r="A4964" s="24" t="s">
        <v>115</v>
      </c>
      <c r="B4964" s="24" t="s">
        <v>130</v>
      </c>
      <c r="C4964" s="32">
        <v>15.102</v>
      </c>
      <c r="D4964" s="28">
        <v>1.2499999999999999E-2</v>
      </c>
    </row>
    <row r="4965" spans="1:4" x14ac:dyDescent="0.25">
      <c r="A4965" s="24" t="s">
        <v>115</v>
      </c>
      <c r="B4965" s="24" t="s">
        <v>131</v>
      </c>
      <c r="C4965" s="32">
        <v>14.007999999999999</v>
      </c>
      <c r="D4965" s="28">
        <v>1.2499999999999999E-2</v>
      </c>
    </row>
    <row r="4966" spans="1:4" x14ac:dyDescent="0.25">
      <c r="A4966" s="24" t="s">
        <v>115</v>
      </c>
      <c r="B4966" s="24" t="s">
        <v>132</v>
      </c>
      <c r="C4966" s="32">
        <v>22.02</v>
      </c>
      <c r="D4966" s="28">
        <v>1.6666666666666666E-2</v>
      </c>
    </row>
    <row r="4967" spans="1:4" x14ac:dyDescent="0.25">
      <c r="A4967" s="24" t="s">
        <v>115</v>
      </c>
      <c r="B4967" s="24" t="s">
        <v>133</v>
      </c>
      <c r="C4967" s="32">
        <v>19.138999999999999</v>
      </c>
      <c r="D4967" s="28">
        <v>1.9444444444444445E-2</v>
      </c>
    </row>
    <row r="4968" spans="1:4" x14ac:dyDescent="0.25">
      <c r="A4968" s="24" t="s">
        <v>115</v>
      </c>
      <c r="B4968" s="24" t="s">
        <v>134</v>
      </c>
      <c r="C4968" s="32">
        <v>18.672999999999998</v>
      </c>
      <c r="D4968" s="28">
        <v>1.8749999999999999E-2</v>
      </c>
    </row>
    <row r="4969" spans="1:4" x14ac:dyDescent="0.25">
      <c r="A4969" s="24" t="s">
        <v>115</v>
      </c>
      <c r="B4969" s="24" t="s">
        <v>135</v>
      </c>
      <c r="C4969" s="32">
        <v>20.004000000000001</v>
      </c>
      <c r="D4969" s="28">
        <v>2.013888888888889E-2</v>
      </c>
    </row>
    <row r="4970" spans="1:4" x14ac:dyDescent="0.25">
      <c r="A4970" s="24" t="s">
        <v>115</v>
      </c>
      <c r="B4970" s="24" t="s">
        <v>136</v>
      </c>
      <c r="C4970" s="32">
        <v>20.004000000000001</v>
      </c>
      <c r="D4970" s="28">
        <v>2.013888888888889E-2</v>
      </c>
    </row>
    <row r="4971" spans="1:4" x14ac:dyDescent="0.25">
      <c r="A4971" s="24" t="s">
        <v>115</v>
      </c>
      <c r="B4971" s="24" t="s">
        <v>137</v>
      </c>
      <c r="C4971" s="32">
        <v>20.216999999999999</v>
      </c>
      <c r="D4971" s="28">
        <v>2.013888888888889E-2</v>
      </c>
    </row>
    <row r="4972" spans="1:4" x14ac:dyDescent="0.25">
      <c r="A4972" s="24" t="s">
        <v>115</v>
      </c>
      <c r="B4972" s="24" t="s">
        <v>138</v>
      </c>
      <c r="C4972" s="32">
        <v>26.111000000000001</v>
      </c>
      <c r="D4972" s="28">
        <v>2.1527777777777781E-2</v>
      </c>
    </row>
    <row r="4973" spans="1:4" x14ac:dyDescent="0.25">
      <c r="A4973" s="24" t="s">
        <v>115</v>
      </c>
      <c r="B4973" s="24" t="s">
        <v>139</v>
      </c>
      <c r="C4973" s="32">
        <v>38.734999999999999</v>
      </c>
      <c r="D4973" s="28">
        <v>2.361111111111111E-2</v>
      </c>
    </row>
    <row r="4974" spans="1:4" x14ac:dyDescent="0.25">
      <c r="A4974" s="24" t="s">
        <v>115</v>
      </c>
      <c r="B4974" s="24" t="s">
        <v>140</v>
      </c>
      <c r="C4974" s="32">
        <v>39.046999999999997</v>
      </c>
      <c r="D4974" s="28">
        <v>2.6388888888888889E-2</v>
      </c>
    </row>
    <row r="4975" spans="1:4" x14ac:dyDescent="0.25">
      <c r="A4975" s="24" t="s">
        <v>115</v>
      </c>
      <c r="B4975" s="24" t="s">
        <v>141</v>
      </c>
      <c r="C4975" s="32">
        <v>63.445999999999998</v>
      </c>
      <c r="D4975" s="28">
        <v>4.3055555555555562E-2</v>
      </c>
    </row>
    <row r="4976" spans="1:4" x14ac:dyDescent="0.25">
      <c r="A4976" s="24" t="s">
        <v>115</v>
      </c>
      <c r="B4976" s="24" t="s">
        <v>142</v>
      </c>
      <c r="C4976" s="32">
        <v>61.533999999999999</v>
      </c>
      <c r="D4976" s="28">
        <v>3.5416666666666666E-2</v>
      </c>
    </row>
    <row r="4977" spans="1:4" x14ac:dyDescent="0.25">
      <c r="A4977" s="24" t="s">
        <v>115</v>
      </c>
      <c r="B4977" s="24" t="s">
        <v>143</v>
      </c>
      <c r="C4977" s="32">
        <v>79.912000000000006</v>
      </c>
      <c r="D4977" s="28">
        <v>4.3055555555555562E-2</v>
      </c>
    </row>
    <row r="4978" spans="1:4" x14ac:dyDescent="0.25">
      <c r="A4978" s="24" t="s">
        <v>115</v>
      </c>
      <c r="B4978" s="24" t="s">
        <v>144</v>
      </c>
      <c r="C4978" s="32">
        <v>99.028000000000006</v>
      </c>
      <c r="D4978" s="28">
        <v>5.347222222222222E-2</v>
      </c>
    </row>
    <row r="4979" spans="1:4" x14ac:dyDescent="0.25">
      <c r="A4979" s="24" t="s">
        <v>115</v>
      </c>
      <c r="B4979" s="24" t="s">
        <v>145</v>
      </c>
      <c r="C4979" s="32">
        <v>43.542000000000002</v>
      </c>
      <c r="D4979" s="28">
        <v>2.8472222222222222E-2</v>
      </c>
    </row>
    <row r="4980" spans="1:4" x14ac:dyDescent="0.25">
      <c r="A4980" s="24" t="s">
        <v>115</v>
      </c>
      <c r="B4980" s="24" t="s">
        <v>146</v>
      </c>
      <c r="C4980" s="32">
        <v>59.000999999999998</v>
      </c>
      <c r="D4980" s="28">
        <v>3.6111111111111115E-2</v>
      </c>
    </row>
    <row r="4981" spans="1:4" x14ac:dyDescent="0.25">
      <c r="A4981" s="24" t="s">
        <v>115</v>
      </c>
      <c r="B4981" s="24" t="s">
        <v>147</v>
      </c>
      <c r="C4981" s="32">
        <v>8.5559999999999992</v>
      </c>
      <c r="D4981" s="28">
        <v>5.5555555555555558E-3</v>
      </c>
    </row>
    <row r="4982" spans="1:4" x14ac:dyDescent="0.25">
      <c r="A4982" s="24" t="s">
        <v>115</v>
      </c>
      <c r="B4982" s="24" t="s">
        <v>148</v>
      </c>
      <c r="C4982" s="32">
        <v>11.63</v>
      </c>
      <c r="D4982" s="28">
        <v>7.6388888888888886E-3</v>
      </c>
    </row>
    <row r="4983" spans="1:4" x14ac:dyDescent="0.25">
      <c r="A4983" s="24" t="s">
        <v>115</v>
      </c>
      <c r="B4983" s="24" t="s">
        <v>149</v>
      </c>
      <c r="C4983" s="32">
        <v>22.126000000000001</v>
      </c>
      <c r="D4983" s="28">
        <v>1.7361111111111112E-2</v>
      </c>
    </row>
    <row r="4984" spans="1:4" x14ac:dyDescent="0.25">
      <c r="A4984" s="24" t="s">
        <v>115</v>
      </c>
      <c r="B4984" s="24" t="s">
        <v>150</v>
      </c>
      <c r="C4984" s="32">
        <v>31.613</v>
      </c>
      <c r="D4984" s="28">
        <v>2.6388888888888889E-2</v>
      </c>
    </row>
    <row r="4985" spans="1:4" x14ac:dyDescent="0.25">
      <c r="A4985" s="24" t="s">
        <v>115</v>
      </c>
      <c r="B4985" s="24" t="s">
        <v>151</v>
      </c>
      <c r="C4985" s="32">
        <v>30.870999999999999</v>
      </c>
      <c r="D4985" s="28">
        <v>2.5694444444444447E-2</v>
      </c>
    </row>
    <row r="4986" spans="1:4" x14ac:dyDescent="0.25">
      <c r="A4986" s="24" t="s">
        <v>115</v>
      </c>
      <c r="B4986" s="24" t="s">
        <v>152</v>
      </c>
      <c r="C4986" s="32">
        <v>32.683</v>
      </c>
      <c r="D4986" s="28">
        <v>2.9166666666666664E-2</v>
      </c>
    </row>
    <row r="4987" spans="1:4" x14ac:dyDescent="0.25">
      <c r="A4987" s="24" t="s">
        <v>115</v>
      </c>
      <c r="B4987" s="24" t="s">
        <v>153</v>
      </c>
      <c r="C4987" s="32">
        <v>37.21</v>
      </c>
      <c r="D4987" s="28">
        <v>3.6111111111111115E-2</v>
      </c>
    </row>
    <row r="4988" spans="1:4" x14ac:dyDescent="0.25">
      <c r="A4988" s="24" t="s">
        <v>115</v>
      </c>
      <c r="B4988" s="24" t="s">
        <v>154</v>
      </c>
      <c r="C4988" s="32">
        <v>32.018999999999998</v>
      </c>
      <c r="D4988" s="28">
        <v>2.9166666666666664E-2</v>
      </c>
    </row>
    <row r="4989" spans="1:4" x14ac:dyDescent="0.25">
      <c r="A4989" s="24" t="s">
        <v>115</v>
      </c>
      <c r="B4989" s="24" t="s">
        <v>155</v>
      </c>
      <c r="C4989" s="32">
        <v>31.475000000000001</v>
      </c>
      <c r="D4989" s="28">
        <v>2.6388888888888889E-2</v>
      </c>
    </row>
    <row r="4990" spans="1:4" x14ac:dyDescent="0.25">
      <c r="A4990" s="24" t="s">
        <v>115</v>
      </c>
      <c r="B4990" s="24" t="s">
        <v>156</v>
      </c>
      <c r="C4990" s="32">
        <v>31.459</v>
      </c>
      <c r="D4990" s="28">
        <v>2.6388888888888889E-2</v>
      </c>
    </row>
    <row r="4991" spans="1:4" x14ac:dyDescent="0.25">
      <c r="A4991" s="24" t="s">
        <v>115</v>
      </c>
      <c r="B4991" s="24" t="s">
        <v>157</v>
      </c>
      <c r="C4991" s="32">
        <v>28.597000000000001</v>
      </c>
      <c r="D4991" s="28">
        <v>2.361111111111111E-2</v>
      </c>
    </row>
    <row r="4992" spans="1:4" x14ac:dyDescent="0.25">
      <c r="A4992" s="24" t="s">
        <v>115</v>
      </c>
      <c r="B4992" s="24" t="s">
        <v>158</v>
      </c>
      <c r="C4992" s="32">
        <v>39.350999999999999</v>
      </c>
      <c r="D4992" s="28">
        <v>3.1944444444444449E-2</v>
      </c>
    </row>
    <row r="4993" spans="1:4" x14ac:dyDescent="0.25">
      <c r="A4993" s="24" t="s">
        <v>115</v>
      </c>
      <c r="B4993" s="24" t="s">
        <v>159</v>
      </c>
      <c r="C4993" s="32">
        <v>39.841999999999999</v>
      </c>
      <c r="D4993" s="28">
        <v>3.3333333333333333E-2</v>
      </c>
    </row>
    <row r="4994" spans="1:4" x14ac:dyDescent="0.25">
      <c r="A4994" s="24" t="s">
        <v>116</v>
      </c>
      <c r="B4994" s="24" t="s">
        <v>65</v>
      </c>
      <c r="C4994" s="32">
        <v>1.1120000000000001</v>
      </c>
      <c r="D4994" s="28">
        <v>1.3888888888888889E-3</v>
      </c>
    </row>
    <row r="4995" spans="1:4" x14ac:dyDescent="0.25">
      <c r="A4995" s="24" t="s">
        <v>116</v>
      </c>
      <c r="B4995" s="24" t="s">
        <v>64</v>
      </c>
      <c r="C4995" s="32">
        <v>18.472000000000001</v>
      </c>
      <c r="D4995" s="28">
        <v>1.5277777777777777E-2</v>
      </c>
    </row>
    <row r="4996" spans="1:4" x14ac:dyDescent="0.25">
      <c r="A4996" s="24" t="s">
        <v>116</v>
      </c>
      <c r="B4996" s="24" t="s">
        <v>66</v>
      </c>
      <c r="C4996" s="32">
        <v>25.484000000000002</v>
      </c>
      <c r="D4996" s="28">
        <v>2.2916666666666669E-2</v>
      </c>
    </row>
    <row r="4997" spans="1:4" x14ac:dyDescent="0.25">
      <c r="A4997" s="24" t="s">
        <v>116</v>
      </c>
      <c r="B4997" s="24" t="s">
        <v>67</v>
      </c>
      <c r="C4997" s="32">
        <v>22.062999999999999</v>
      </c>
      <c r="D4997" s="28">
        <v>2.2222222222222223E-2</v>
      </c>
    </row>
    <row r="4998" spans="1:4" x14ac:dyDescent="0.25">
      <c r="A4998" s="24" t="s">
        <v>116</v>
      </c>
      <c r="B4998" s="24" t="s">
        <v>68</v>
      </c>
      <c r="C4998" s="32">
        <v>22.177</v>
      </c>
      <c r="D4998" s="28">
        <v>2.361111111111111E-2</v>
      </c>
    </row>
    <row r="4999" spans="1:4" x14ac:dyDescent="0.25">
      <c r="A4999" s="24" t="s">
        <v>116</v>
      </c>
      <c r="B4999" s="24" t="s">
        <v>69</v>
      </c>
      <c r="C4999" s="32">
        <v>22.033000000000001</v>
      </c>
      <c r="D4999" s="28">
        <v>2.2222222222222223E-2</v>
      </c>
    </row>
    <row r="5000" spans="1:4" x14ac:dyDescent="0.25">
      <c r="A5000" s="24" t="s">
        <v>116</v>
      </c>
      <c r="B5000" s="24" t="s">
        <v>70</v>
      </c>
      <c r="C5000" s="32">
        <v>23.76</v>
      </c>
      <c r="D5000" s="28">
        <v>2.2222222222222223E-2</v>
      </c>
    </row>
    <row r="5001" spans="1:4" x14ac:dyDescent="0.25">
      <c r="A5001" s="24" t="s">
        <v>116</v>
      </c>
      <c r="B5001" s="24" t="s">
        <v>71</v>
      </c>
      <c r="C5001" s="32">
        <v>21.762</v>
      </c>
      <c r="D5001" s="28">
        <v>2.2916666666666669E-2</v>
      </c>
    </row>
    <row r="5002" spans="1:4" x14ac:dyDescent="0.25">
      <c r="A5002" s="24" t="s">
        <v>116</v>
      </c>
      <c r="B5002" s="24" t="s">
        <v>72</v>
      </c>
      <c r="C5002" s="32">
        <v>23.295999999999999</v>
      </c>
      <c r="D5002" s="28">
        <v>2.4999999999999998E-2</v>
      </c>
    </row>
    <row r="5003" spans="1:4" x14ac:dyDescent="0.25">
      <c r="A5003" s="24" t="s">
        <v>116</v>
      </c>
      <c r="B5003" s="24" t="s">
        <v>73</v>
      </c>
      <c r="C5003" s="32">
        <v>21.824000000000002</v>
      </c>
      <c r="D5003" s="28">
        <v>2.2222222222222223E-2</v>
      </c>
    </row>
    <row r="5004" spans="1:4" x14ac:dyDescent="0.25">
      <c r="A5004" s="24" t="s">
        <v>116</v>
      </c>
      <c r="B5004" s="24" t="s">
        <v>74</v>
      </c>
      <c r="C5004" s="32">
        <v>21.545999999999999</v>
      </c>
      <c r="D5004" s="28">
        <v>2.361111111111111E-2</v>
      </c>
    </row>
    <row r="5005" spans="1:4" x14ac:dyDescent="0.25">
      <c r="A5005" s="24" t="s">
        <v>116</v>
      </c>
      <c r="B5005" s="24" t="s">
        <v>75</v>
      </c>
      <c r="C5005" s="32">
        <v>20.66</v>
      </c>
      <c r="D5005" s="28">
        <v>2.2916666666666669E-2</v>
      </c>
    </row>
    <row r="5006" spans="1:4" x14ac:dyDescent="0.25">
      <c r="A5006" s="24" t="s">
        <v>116</v>
      </c>
      <c r="B5006" s="24" t="s">
        <v>76</v>
      </c>
      <c r="C5006" s="32">
        <v>23.922000000000001</v>
      </c>
      <c r="D5006" s="28">
        <v>2.7083333333333334E-2</v>
      </c>
    </row>
    <row r="5007" spans="1:4" x14ac:dyDescent="0.25">
      <c r="A5007" s="24" t="s">
        <v>116</v>
      </c>
      <c r="B5007" s="24" t="s">
        <v>77</v>
      </c>
      <c r="C5007" s="32">
        <v>33.159999999999997</v>
      </c>
      <c r="D5007" s="28">
        <v>2.9166666666666664E-2</v>
      </c>
    </row>
    <row r="5008" spans="1:4" x14ac:dyDescent="0.25">
      <c r="A5008" s="24" t="s">
        <v>116</v>
      </c>
      <c r="B5008" s="24" t="s">
        <v>78</v>
      </c>
      <c r="C5008" s="32">
        <v>27.280999999999999</v>
      </c>
      <c r="D5008" s="28">
        <v>2.6388888888888889E-2</v>
      </c>
    </row>
    <row r="5009" spans="1:4" x14ac:dyDescent="0.25">
      <c r="A5009" s="24" t="s">
        <v>116</v>
      </c>
      <c r="B5009" s="24" t="s">
        <v>79</v>
      </c>
      <c r="C5009" s="32">
        <v>42.341999999999999</v>
      </c>
      <c r="D5009" s="28">
        <v>4.0972222222222222E-2</v>
      </c>
    </row>
    <row r="5010" spans="1:4" x14ac:dyDescent="0.25">
      <c r="A5010" s="24" t="s">
        <v>116</v>
      </c>
      <c r="B5010" s="24" t="s">
        <v>80</v>
      </c>
      <c r="C5010" s="32">
        <v>4.3479999999999999</v>
      </c>
      <c r="D5010" s="28">
        <v>4.8611111111111112E-3</v>
      </c>
    </row>
    <row r="5011" spans="1:4" x14ac:dyDescent="0.25">
      <c r="A5011" s="24" t="s">
        <v>116</v>
      </c>
      <c r="B5011" s="24" t="s">
        <v>81</v>
      </c>
      <c r="C5011" s="32">
        <v>8.8699999999999992</v>
      </c>
      <c r="D5011" s="28">
        <v>6.9444444444444441E-3</v>
      </c>
    </row>
    <row r="5012" spans="1:4" x14ac:dyDescent="0.25">
      <c r="A5012" s="24" t="s">
        <v>116</v>
      </c>
      <c r="B5012" s="24" t="s">
        <v>82</v>
      </c>
      <c r="C5012" s="32">
        <v>8.9220000000000006</v>
      </c>
      <c r="D5012" s="28">
        <v>6.9444444444444441E-3</v>
      </c>
    </row>
    <row r="5013" spans="1:4" x14ac:dyDescent="0.25">
      <c r="A5013" s="24" t="s">
        <v>116</v>
      </c>
      <c r="B5013" s="24" t="s">
        <v>83</v>
      </c>
      <c r="C5013" s="32">
        <v>12.811</v>
      </c>
      <c r="D5013" s="28">
        <v>1.3194444444444444E-2</v>
      </c>
    </row>
    <row r="5014" spans="1:4" x14ac:dyDescent="0.25">
      <c r="A5014" s="24" t="s">
        <v>116</v>
      </c>
      <c r="B5014" s="24" t="s">
        <v>84</v>
      </c>
      <c r="C5014" s="32">
        <v>19.190999999999999</v>
      </c>
      <c r="D5014" s="28">
        <v>2.013888888888889E-2</v>
      </c>
    </row>
    <row r="5015" spans="1:4" x14ac:dyDescent="0.25">
      <c r="A5015" s="24" t="s">
        <v>116</v>
      </c>
      <c r="B5015" s="24" t="s">
        <v>85</v>
      </c>
      <c r="C5015" s="32">
        <v>18.152000000000001</v>
      </c>
      <c r="D5015" s="28">
        <v>1.9444444444444445E-2</v>
      </c>
    </row>
    <row r="5016" spans="1:4" x14ac:dyDescent="0.25">
      <c r="A5016" s="24" t="s">
        <v>116</v>
      </c>
      <c r="B5016" s="24" t="s">
        <v>86</v>
      </c>
      <c r="C5016" s="32">
        <v>15.778</v>
      </c>
      <c r="D5016" s="28">
        <v>1.5972222222222224E-2</v>
      </c>
    </row>
    <row r="5017" spans="1:4" x14ac:dyDescent="0.25">
      <c r="A5017" s="24" t="s">
        <v>116</v>
      </c>
      <c r="B5017" s="24" t="s">
        <v>87</v>
      </c>
      <c r="C5017" s="32">
        <v>15.4</v>
      </c>
      <c r="D5017" s="28">
        <v>1.5277777777777777E-2</v>
      </c>
    </row>
    <row r="5018" spans="1:4" x14ac:dyDescent="0.25">
      <c r="A5018" s="24" t="s">
        <v>116</v>
      </c>
      <c r="B5018" s="24" t="s">
        <v>88</v>
      </c>
      <c r="C5018" s="32">
        <v>14.553000000000001</v>
      </c>
      <c r="D5018" s="28">
        <v>1.5277777777777777E-2</v>
      </c>
    </row>
    <row r="5019" spans="1:4" x14ac:dyDescent="0.25">
      <c r="A5019" s="24" t="s">
        <v>116</v>
      </c>
      <c r="B5019" s="24" t="s">
        <v>89</v>
      </c>
      <c r="C5019" s="32">
        <v>9.4589999999999996</v>
      </c>
      <c r="D5019" s="28">
        <v>1.1111111111111112E-2</v>
      </c>
    </row>
    <row r="5020" spans="1:4" x14ac:dyDescent="0.25">
      <c r="A5020" s="24" t="s">
        <v>116</v>
      </c>
      <c r="B5020" s="24" t="s">
        <v>90</v>
      </c>
      <c r="C5020" s="32">
        <v>9.7219999999999995</v>
      </c>
      <c r="D5020" s="28">
        <v>8.3333333333333332E-3</v>
      </c>
    </row>
    <row r="5021" spans="1:4" x14ac:dyDescent="0.25">
      <c r="A5021" s="24" t="s">
        <v>116</v>
      </c>
      <c r="B5021" s="24" t="s">
        <v>91</v>
      </c>
      <c r="C5021" s="32">
        <v>11.903</v>
      </c>
      <c r="D5021" s="28">
        <v>1.3888888888888888E-2</v>
      </c>
    </row>
    <row r="5022" spans="1:4" x14ac:dyDescent="0.25">
      <c r="A5022" s="24" t="s">
        <v>116</v>
      </c>
      <c r="B5022" s="24" t="s">
        <v>92</v>
      </c>
      <c r="C5022" s="32">
        <v>3.03</v>
      </c>
      <c r="D5022" s="28">
        <v>4.8611111111111112E-3</v>
      </c>
    </row>
    <row r="5023" spans="1:4" x14ac:dyDescent="0.25">
      <c r="A5023" s="24" t="s">
        <v>116</v>
      </c>
      <c r="B5023" s="24" t="s">
        <v>93</v>
      </c>
      <c r="C5023" s="32">
        <v>26.798999999999999</v>
      </c>
      <c r="D5023" s="28">
        <v>1.8055555555555557E-2</v>
      </c>
    </row>
    <row r="5024" spans="1:4" x14ac:dyDescent="0.25">
      <c r="A5024" s="24" t="s">
        <v>116</v>
      </c>
      <c r="B5024" s="24" t="s">
        <v>94</v>
      </c>
      <c r="C5024" s="32">
        <v>27.428000000000001</v>
      </c>
      <c r="D5024" s="28">
        <v>1.8749999999999999E-2</v>
      </c>
    </row>
    <row r="5025" spans="1:4" x14ac:dyDescent="0.25">
      <c r="A5025" s="24" t="s">
        <v>116</v>
      </c>
      <c r="B5025" s="24" t="s">
        <v>95</v>
      </c>
      <c r="C5025" s="32">
        <v>9.2059999999999995</v>
      </c>
      <c r="D5025" s="28">
        <v>8.3333333333333332E-3</v>
      </c>
    </row>
    <row r="5026" spans="1:4" x14ac:dyDescent="0.25">
      <c r="A5026" s="24" t="s">
        <v>116</v>
      </c>
      <c r="B5026" s="24" t="s">
        <v>96</v>
      </c>
      <c r="C5026" s="32">
        <v>21.567</v>
      </c>
      <c r="D5026" s="28">
        <v>1.8749999999999999E-2</v>
      </c>
    </row>
    <row r="5027" spans="1:4" x14ac:dyDescent="0.25">
      <c r="A5027" s="24" t="s">
        <v>116</v>
      </c>
      <c r="B5027" s="24" t="s">
        <v>97</v>
      </c>
      <c r="C5027" s="32">
        <v>25.2</v>
      </c>
      <c r="D5027" s="28">
        <v>2.0833333333333332E-2</v>
      </c>
    </row>
    <row r="5028" spans="1:4" x14ac:dyDescent="0.25">
      <c r="A5028" s="24" t="s">
        <v>116</v>
      </c>
      <c r="B5028" s="24" t="s">
        <v>98</v>
      </c>
      <c r="C5028" s="32">
        <v>15.061999999999999</v>
      </c>
      <c r="D5028" s="28">
        <v>1.2499999999999999E-2</v>
      </c>
    </row>
    <row r="5029" spans="1:4" x14ac:dyDescent="0.25">
      <c r="A5029" s="24" t="s">
        <v>116</v>
      </c>
      <c r="B5029" s="24" t="s">
        <v>99</v>
      </c>
      <c r="C5029" s="32">
        <v>21.56</v>
      </c>
      <c r="D5029" s="28">
        <v>1.7361111111111112E-2</v>
      </c>
    </row>
    <row r="5030" spans="1:4" x14ac:dyDescent="0.25">
      <c r="A5030" s="24" t="s">
        <v>116</v>
      </c>
      <c r="B5030" s="24" t="s">
        <v>100</v>
      </c>
      <c r="C5030" s="32">
        <v>11.128</v>
      </c>
      <c r="D5030" s="28">
        <v>9.7222222222222224E-3</v>
      </c>
    </row>
    <row r="5031" spans="1:4" x14ac:dyDescent="0.25">
      <c r="A5031" s="24" t="s">
        <v>116</v>
      </c>
      <c r="B5031" s="24" t="s">
        <v>101</v>
      </c>
      <c r="C5031" s="32">
        <v>16.757999999999999</v>
      </c>
      <c r="D5031" s="28">
        <v>1.4583333333333332E-2</v>
      </c>
    </row>
    <row r="5032" spans="1:4" x14ac:dyDescent="0.25">
      <c r="A5032" s="24" t="s">
        <v>116</v>
      </c>
      <c r="B5032" s="24" t="s">
        <v>102</v>
      </c>
      <c r="C5032" s="32">
        <v>17.263000000000002</v>
      </c>
      <c r="D5032" s="28">
        <v>1.5972222222222224E-2</v>
      </c>
    </row>
    <row r="5033" spans="1:4" x14ac:dyDescent="0.25">
      <c r="A5033" s="24" t="s">
        <v>116</v>
      </c>
      <c r="B5033" s="24" t="s">
        <v>103</v>
      </c>
      <c r="C5033" s="32">
        <v>8.4879999999999995</v>
      </c>
      <c r="D5033" s="28">
        <v>8.3333333333333332E-3</v>
      </c>
    </row>
    <row r="5034" spans="1:4" x14ac:dyDescent="0.25">
      <c r="A5034" s="24" t="s">
        <v>116</v>
      </c>
      <c r="B5034" s="24" t="s">
        <v>104</v>
      </c>
      <c r="C5034" s="32">
        <v>6.6680000000000001</v>
      </c>
      <c r="D5034" s="28">
        <v>6.2499999999999995E-3</v>
      </c>
    </row>
    <row r="5035" spans="1:4" x14ac:dyDescent="0.25">
      <c r="A5035" s="24" t="s">
        <v>116</v>
      </c>
      <c r="B5035" s="24" t="s">
        <v>105</v>
      </c>
      <c r="C5035" s="32">
        <v>6.5350000000000001</v>
      </c>
      <c r="D5035" s="28">
        <v>9.7222222222222224E-3</v>
      </c>
    </row>
    <row r="5036" spans="1:4" x14ac:dyDescent="0.25">
      <c r="A5036" s="24" t="s">
        <v>116</v>
      </c>
      <c r="B5036" s="24" t="s">
        <v>106</v>
      </c>
      <c r="C5036" s="32">
        <v>11.295</v>
      </c>
      <c r="D5036" s="28">
        <v>9.7222222222222224E-3</v>
      </c>
    </row>
    <row r="5037" spans="1:4" x14ac:dyDescent="0.25">
      <c r="A5037" s="24" t="s">
        <v>116</v>
      </c>
      <c r="B5037" s="24" t="s">
        <v>107</v>
      </c>
      <c r="C5037" s="32">
        <v>15.295</v>
      </c>
      <c r="D5037" s="28">
        <v>1.4583333333333332E-2</v>
      </c>
    </row>
    <row r="5038" spans="1:4" x14ac:dyDescent="0.25">
      <c r="A5038" s="24" t="s">
        <v>116</v>
      </c>
      <c r="B5038" s="24" t="s">
        <v>108</v>
      </c>
      <c r="C5038" s="32">
        <v>15.891999999999999</v>
      </c>
      <c r="D5038" s="28">
        <v>1.3888888888888888E-2</v>
      </c>
    </row>
    <row r="5039" spans="1:4" x14ac:dyDescent="0.25">
      <c r="A5039" s="24" t="s">
        <v>116</v>
      </c>
      <c r="B5039" s="24" t="s">
        <v>109</v>
      </c>
      <c r="C5039" s="32">
        <v>15.862</v>
      </c>
      <c r="D5039" s="28">
        <v>1.3194444444444444E-2</v>
      </c>
    </row>
    <row r="5040" spans="1:4" x14ac:dyDescent="0.25">
      <c r="A5040" s="24" t="s">
        <v>116</v>
      </c>
      <c r="B5040" s="24" t="s">
        <v>110</v>
      </c>
      <c r="C5040" s="32">
        <v>9.0489999999999995</v>
      </c>
      <c r="D5040" s="28">
        <v>9.7222222222222224E-3</v>
      </c>
    </row>
    <row r="5041" spans="1:4" x14ac:dyDescent="0.25">
      <c r="A5041" s="24" t="s">
        <v>116</v>
      </c>
      <c r="B5041" s="24" t="s">
        <v>111</v>
      </c>
      <c r="C5041" s="32">
        <v>5.5030000000000001</v>
      </c>
      <c r="D5041" s="28">
        <v>5.5555555555555558E-3</v>
      </c>
    </row>
    <row r="5042" spans="1:4" x14ac:dyDescent="0.25">
      <c r="A5042" s="24" t="s">
        <v>116</v>
      </c>
      <c r="B5042" s="24" t="s">
        <v>112</v>
      </c>
      <c r="C5042" s="32">
        <v>14.968999999999999</v>
      </c>
      <c r="D5042" s="28">
        <v>1.3194444444444444E-2</v>
      </c>
    </row>
    <row r="5043" spans="1:4" x14ac:dyDescent="0.25">
      <c r="A5043" s="24" t="s">
        <v>116</v>
      </c>
      <c r="B5043" s="24" t="s">
        <v>113</v>
      </c>
      <c r="C5043" s="32">
        <v>18.593</v>
      </c>
      <c r="D5043" s="28">
        <v>1.5277777777777777E-2</v>
      </c>
    </row>
    <row r="5044" spans="1:4" x14ac:dyDescent="0.25">
      <c r="A5044" s="24" t="s">
        <v>116</v>
      </c>
      <c r="B5044" s="24" t="s">
        <v>114</v>
      </c>
      <c r="C5044" s="32">
        <v>8.0540000000000003</v>
      </c>
      <c r="D5044" s="28">
        <v>6.2499999999999995E-3</v>
      </c>
    </row>
    <row r="5045" spans="1:4" x14ac:dyDescent="0.25">
      <c r="A5045" s="24" t="s">
        <v>116</v>
      </c>
      <c r="B5045" s="24" t="s">
        <v>115</v>
      </c>
      <c r="C5045" s="32">
        <v>7.9050000000000002</v>
      </c>
      <c r="D5045" s="28">
        <v>6.9444444444444441E-3</v>
      </c>
    </row>
    <row r="5046" spans="1:4" x14ac:dyDescent="0.25">
      <c r="A5046" s="24" t="s">
        <v>116</v>
      </c>
      <c r="B5046" s="24" t="s">
        <v>116</v>
      </c>
      <c r="C5046" s="32">
        <v>0</v>
      </c>
      <c r="D5046" s="28">
        <v>0</v>
      </c>
    </row>
    <row r="5047" spans="1:4" x14ac:dyDescent="0.25">
      <c r="A5047" s="24" t="s">
        <v>116</v>
      </c>
      <c r="B5047" s="24" t="s">
        <v>117</v>
      </c>
      <c r="C5047" s="32">
        <v>8.7100000000000009</v>
      </c>
      <c r="D5047" s="28">
        <v>9.0277777777777787E-3</v>
      </c>
    </row>
    <row r="5048" spans="1:4" x14ac:dyDescent="0.25">
      <c r="A5048" s="24" t="s">
        <v>116</v>
      </c>
      <c r="B5048" s="24" t="s">
        <v>118</v>
      </c>
      <c r="C5048" s="32">
        <v>13.734999999999999</v>
      </c>
      <c r="D5048" s="28">
        <v>1.1805555555555555E-2</v>
      </c>
    </row>
    <row r="5049" spans="1:4" x14ac:dyDescent="0.25">
      <c r="A5049" s="24" t="s">
        <v>116</v>
      </c>
      <c r="B5049" s="24" t="s">
        <v>119</v>
      </c>
      <c r="C5049" s="32">
        <v>23.283999999999999</v>
      </c>
      <c r="D5049" s="28">
        <v>1.5972222222222224E-2</v>
      </c>
    </row>
    <row r="5050" spans="1:4" x14ac:dyDescent="0.25">
      <c r="A5050" s="24" t="s">
        <v>116</v>
      </c>
      <c r="B5050" s="24" t="s">
        <v>120</v>
      </c>
      <c r="C5050" s="32">
        <v>28.245000000000001</v>
      </c>
      <c r="D5050" s="28">
        <v>2.1527777777777781E-2</v>
      </c>
    </row>
    <row r="5051" spans="1:4" x14ac:dyDescent="0.25">
      <c r="A5051" s="24" t="s">
        <v>116</v>
      </c>
      <c r="B5051" s="24" t="s">
        <v>121</v>
      </c>
      <c r="C5051" s="32">
        <v>45.314999999999998</v>
      </c>
      <c r="D5051" s="28">
        <v>2.9166666666666664E-2</v>
      </c>
    </row>
    <row r="5052" spans="1:4" x14ac:dyDescent="0.25">
      <c r="A5052" s="24" t="s">
        <v>116</v>
      </c>
      <c r="B5052" s="24" t="s">
        <v>122</v>
      </c>
      <c r="C5052" s="32">
        <v>25.67</v>
      </c>
      <c r="D5052" s="28">
        <v>1.7361111111111112E-2</v>
      </c>
    </row>
    <row r="5053" spans="1:4" x14ac:dyDescent="0.25">
      <c r="A5053" s="24" t="s">
        <v>116</v>
      </c>
      <c r="B5053" s="24" t="s">
        <v>123</v>
      </c>
      <c r="C5053" s="32">
        <v>35.095999999999997</v>
      </c>
      <c r="D5053" s="28">
        <v>2.5694444444444447E-2</v>
      </c>
    </row>
    <row r="5054" spans="1:4" x14ac:dyDescent="0.25">
      <c r="A5054" s="24" t="s">
        <v>116</v>
      </c>
      <c r="B5054" s="24" t="s">
        <v>124</v>
      </c>
      <c r="C5054" s="32">
        <v>35.095999999999997</v>
      </c>
      <c r="D5054" s="28">
        <v>2.5694444444444447E-2</v>
      </c>
    </row>
    <row r="5055" spans="1:4" x14ac:dyDescent="0.25">
      <c r="A5055" s="24" t="s">
        <v>116</v>
      </c>
      <c r="B5055" s="24" t="s">
        <v>125</v>
      </c>
      <c r="C5055" s="32">
        <v>19.803999999999998</v>
      </c>
      <c r="D5055" s="28">
        <v>1.5972222222222224E-2</v>
      </c>
    </row>
    <row r="5056" spans="1:4" x14ac:dyDescent="0.25">
      <c r="A5056" s="24" t="s">
        <v>116</v>
      </c>
      <c r="B5056" s="24" t="s">
        <v>126</v>
      </c>
      <c r="C5056" s="32">
        <v>19.542000000000002</v>
      </c>
      <c r="D5056" s="28">
        <v>1.5277777777777777E-2</v>
      </c>
    </row>
    <row r="5057" spans="1:4" x14ac:dyDescent="0.25">
      <c r="A5057" s="24" t="s">
        <v>116</v>
      </c>
      <c r="B5057" s="24" t="s">
        <v>127</v>
      </c>
      <c r="C5057" s="32">
        <v>16.786999999999999</v>
      </c>
      <c r="D5057" s="28">
        <v>1.4583333333333332E-2</v>
      </c>
    </row>
    <row r="5058" spans="1:4" x14ac:dyDescent="0.25">
      <c r="A5058" s="24" t="s">
        <v>116</v>
      </c>
      <c r="B5058" s="24" t="s">
        <v>128</v>
      </c>
      <c r="C5058" s="32">
        <v>18.614999999999998</v>
      </c>
      <c r="D5058" s="28">
        <v>1.3888888888888888E-2</v>
      </c>
    </row>
    <row r="5059" spans="1:4" x14ac:dyDescent="0.25">
      <c r="A5059" s="24" t="s">
        <v>116</v>
      </c>
      <c r="B5059" s="24" t="s">
        <v>129</v>
      </c>
      <c r="C5059" s="32">
        <v>18.614999999999998</v>
      </c>
      <c r="D5059" s="28">
        <v>1.3888888888888888E-2</v>
      </c>
    </row>
    <row r="5060" spans="1:4" x14ac:dyDescent="0.25">
      <c r="A5060" s="24" t="s">
        <v>116</v>
      </c>
      <c r="B5060" s="24" t="s">
        <v>130</v>
      </c>
      <c r="C5060" s="32">
        <v>17.994</v>
      </c>
      <c r="D5060" s="28">
        <v>1.5972222222222224E-2</v>
      </c>
    </row>
    <row r="5061" spans="1:4" x14ac:dyDescent="0.25">
      <c r="A5061" s="24" t="s">
        <v>116</v>
      </c>
      <c r="B5061" s="24" t="s">
        <v>131</v>
      </c>
      <c r="C5061" s="32">
        <v>15.779</v>
      </c>
      <c r="D5061" s="28">
        <v>1.5277777777777777E-2</v>
      </c>
    </row>
    <row r="5062" spans="1:4" x14ac:dyDescent="0.25">
      <c r="A5062" s="24" t="s">
        <v>116</v>
      </c>
      <c r="B5062" s="24" t="s">
        <v>132</v>
      </c>
      <c r="C5062" s="32">
        <v>24.911999999999999</v>
      </c>
      <c r="D5062" s="28">
        <v>2.013888888888889E-2</v>
      </c>
    </row>
    <row r="5063" spans="1:4" x14ac:dyDescent="0.25">
      <c r="A5063" s="24" t="s">
        <v>116</v>
      </c>
      <c r="B5063" s="24" t="s">
        <v>133</v>
      </c>
      <c r="C5063" s="32">
        <v>18.228000000000002</v>
      </c>
      <c r="D5063" s="28">
        <v>2.0833333333333332E-2</v>
      </c>
    </row>
    <row r="5064" spans="1:4" x14ac:dyDescent="0.25">
      <c r="A5064" s="24" t="s">
        <v>116</v>
      </c>
      <c r="B5064" s="24" t="s">
        <v>134</v>
      </c>
      <c r="C5064" s="32">
        <v>17.762</v>
      </c>
      <c r="D5064" s="28">
        <v>2.013888888888889E-2</v>
      </c>
    </row>
    <row r="5065" spans="1:4" x14ac:dyDescent="0.25">
      <c r="A5065" s="24" t="s">
        <v>116</v>
      </c>
      <c r="B5065" s="24" t="s">
        <v>135</v>
      </c>
      <c r="C5065" s="32">
        <v>19.093</v>
      </c>
      <c r="D5065" s="28">
        <v>2.1527777777777781E-2</v>
      </c>
    </row>
    <row r="5066" spans="1:4" x14ac:dyDescent="0.25">
      <c r="A5066" s="24" t="s">
        <v>116</v>
      </c>
      <c r="B5066" s="24" t="s">
        <v>136</v>
      </c>
      <c r="C5066" s="32">
        <v>19.093</v>
      </c>
      <c r="D5066" s="28">
        <v>2.1527777777777781E-2</v>
      </c>
    </row>
    <row r="5067" spans="1:4" x14ac:dyDescent="0.25">
      <c r="A5067" s="24" t="s">
        <v>116</v>
      </c>
      <c r="B5067" s="24" t="s">
        <v>137</v>
      </c>
      <c r="C5067" s="32">
        <v>19.306000000000001</v>
      </c>
      <c r="D5067" s="28">
        <v>2.1527777777777781E-2</v>
      </c>
    </row>
    <row r="5068" spans="1:4" x14ac:dyDescent="0.25">
      <c r="A5068" s="24" t="s">
        <v>116</v>
      </c>
      <c r="B5068" s="24" t="s">
        <v>138</v>
      </c>
      <c r="C5068" s="32">
        <v>26.367999999999999</v>
      </c>
      <c r="D5068" s="28">
        <v>2.0833333333333332E-2</v>
      </c>
    </row>
    <row r="5069" spans="1:4" x14ac:dyDescent="0.25">
      <c r="A5069" s="24" t="s">
        <v>116</v>
      </c>
      <c r="B5069" s="24" t="s">
        <v>139</v>
      </c>
      <c r="C5069" s="32">
        <v>34.808</v>
      </c>
      <c r="D5069" s="28">
        <v>2.2222222222222223E-2</v>
      </c>
    </row>
    <row r="5070" spans="1:4" x14ac:dyDescent="0.25">
      <c r="A5070" s="24" t="s">
        <v>116</v>
      </c>
      <c r="B5070" s="24" t="s">
        <v>140</v>
      </c>
      <c r="C5070" s="32">
        <v>35.119999999999997</v>
      </c>
      <c r="D5070" s="28">
        <v>2.4999999999999998E-2</v>
      </c>
    </row>
    <row r="5071" spans="1:4" x14ac:dyDescent="0.25">
      <c r="A5071" s="24" t="s">
        <v>116</v>
      </c>
      <c r="B5071" s="24" t="s">
        <v>141</v>
      </c>
      <c r="C5071" s="32">
        <v>59.518999999999998</v>
      </c>
      <c r="D5071" s="28">
        <v>4.1666666666666664E-2</v>
      </c>
    </row>
    <row r="5072" spans="1:4" x14ac:dyDescent="0.25">
      <c r="A5072" s="24" t="s">
        <v>116</v>
      </c>
      <c r="B5072" s="24" t="s">
        <v>142</v>
      </c>
      <c r="C5072" s="32">
        <v>57.606999999999999</v>
      </c>
      <c r="D5072" s="28">
        <v>3.4027777777777775E-2</v>
      </c>
    </row>
    <row r="5073" spans="1:4" x14ac:dyDescent="0.25">
      <c r="A5073" s="24" t="s">
        <v>116</v>
      </c>
      <c r="B5073" s="24" t="s">
        <v>143</v>
      </c>
      <c r="C5073" s="32">
        <v>75.984999999999999</v>
      </c>
      <c r="D5073" s="28">
        <v>4.1666666666666664E-2</v>
      </c>
    </row>
    <row r="5074" spans="1:4" x14ac:dyDescent="0.25">
      <c r="A5074" s="24" t="s">
        <v>116</v>
      </c>
      <c r="B5074" s="24" t="s">
        <v>144</v>
      </c>
      <c r="C5074" s="32">
        <v>95.100999999999999</v>
      </c>
      <c r="D5074" s="28">
        <v>5.2777777777777778E-2</v>
      </c>
    </row>
    <row r="5075" spans="1:4" x14ac:dyDescent="0.25">
      <c r="A5075" s="24" t="s">
        <v>116</v>
      </c>
      <c r="B5075" s="24" t="s">
        <v>145</v>
      </c>
      <c r="C5075" s="32">
        <v>39.615000000000002</v>
      </c>
      <c r="D5075" s="28">
        <v>2.7083333333333334E-2</v>
      </c>
    </row>
    <row r="5076" spans="1:4" x14ac:dyDescent="0.25">
      <c r="A5076" s="24" t="s">
        <v>116</v>
      </c>
      <c r="B5076" s="24" t="s">
        <v>146</v>
      </c>
      <c r="C5076" s="32">
        <v>55.073999999999998</v>
      </c>
      <c r="D5076" s="28">
        <v>3.4722222222222224E-2</v>
      </c>
    </row>
    <row r="5077" spans="1:4" x14ac:dyDescent="0.25">
      <c r="A5077" s="24" t="s">
        <v>116</v>
      </c>
      <c r="B5077" s="24" t="s">
        <v>147</v>
      </c>
      <c r="C5077" s="32">
        <v>11.448</v>
      </c>
      <c r="D5077" s="28">
        <v>9.0277777777777787E-3</v>
      </c>
    </row>
    <row r="5078" spans="1:4" x14ac:dyDescent="0.25">
      <c r="A5078" s="24" t="s">
        <v>116</v>
      </c>
      <c r="B5078" s="24" t="s">
        <v>148</v>
      </c>
      <c r="C5078" s="32">
        <v>14.522</v>
      </c>
      <c r="D5078" s="28">
        <v>1.1111111111111112E-2</v>
      </c>
    </row>
    <row r="5079" spans="1:4" x14ac:dyDescent="0.25">
      <c r="A5079" s="24" t="s">
        <v>116</v>
      </c>
      <c r="B5079" s="24" t="s">
        <v>149</v>
      </c>
      <c r="C5079" s="32">
        <v>25.018000000000001</v>
      </c>
      <c r="D5079" s="28">
        <v>2.013888888888889E-2</v>
      </c>
    </row>
    <row r="5080" spans="1:4" x14ac:dyDescent="0.25">
      <c r="A5080" s="24" t="s">
        <v>116</v>
      </c>
      <c r="B5080" s="24" t="s">
        <v>150</v>
      </c>
      <c r="C5080" s="32">
        <v>34.505000000000003</v>
      </c>
      <c r="D5080" s="28">
        <v>2.9166666666666664E-2</v>
      </c>
    </row>
    <row r="5081" spans="1:4" x14ac:dyDescent="0.25">
      <c r="A5081" s="24" t="s">
        <v>116</v>
      </c>
      <c r="B5081" s="24" t="s">
        <v>151</v>
      </c>
      <c r="C5081" s="32">
        <v>33.762999999999998</v>
      </c>
      <c r="D5081" s="28">
        <v>2.9166666666666664E-2</v>
      </c>
    </row>
    <row r="5082" spans="1:4" x14ac:dyDescent="0.25">
      <c r="A5082" s="24" t="s">
        <v>116</v>
      </c>
      <c r="B5082" s="24" t="s">
        <v>152</v>
      </c>
      <c r="C5082" s="32">
        <v>34.454000000000001</v>
      </c>
      <c r="D5082" s="28">
        <v>3.1944444444444449E-2</v>
      </c>
    </row>
    <row r="5083" spans="1:4" x14ac:dyDescent="0.25">
      <c r="A5083" s="24" t="s">
        <v>116</v>
      </c>
      <c r="B5083" s="24" t="s">
        <v>153</v>
      </c>
      <c r="C5083" s="32">
        <v>38.981000000000002</v>
      </c>
      <c r="D5083" s="28">
        <v>3.8194444444444441E-2</v>
      </c>
    </row>
    <row r="5084" spans="1:4" x14ac:dyDescent="0.25">
      <c r="A5084" s="24" t="s">
        <v>116</v>
      </c>
      <c r="B5084" s="24" t="s">
        <v>154</v>
      </c>
      <c r="C5084" s="32">
        <v>33.79</v>
      </c>
      <c r="D5084" s="28">
        <v>3.1944444444444449E-2</v>
      </c>
    </row>
    <row r="5085" spans="1:4" x14ac:dyDescent="0.25">
      <c r="A5085" s="24" t="s">
        <v>116</v>
      </c>
      <c r="B5085" s="24" t="s">
        <v>155</v>
      </c>
      <c r="C5085" s="32">
        <v>34.366999999999997</v>
      </c>
      <c r="D5085" s="28">
        <v>2.9166666666666664E-2</v>
      </c>
    </row>
    <row r="5086" spans="1:4" x14ac:dyDescent="0.25">
      <c r="A5086" s="24" t="s">
        <v>116</v>
      </c>
      <c r="B5086" s="24" t="s">
        <v>156</v>
      </c>
      <c r="C5086" s="32">
        <v>34.350999999999999</v>
      </c>
      <c r="D5086" s="28">
        <v>2.9166666666666664E-2</v>
      </c>
    </row>
    <row r="5087" spans="1:4" x14ac:dyDescent="0.25">
      <c r="A5087" s="24" t="s">
        <v>116</v>
      </c>
      <c r="B5087" s="24" t="s">
        <v>157</v>
      </c>
      <c r="C5087" s="32">
        <v>31.338999999999999</v>
      </c>
      <c r="D5087" s="28">
        <v>2.6388888888888889E-2</v>
      </c>
    </row>
    <row r="5088" spans="1:4" x14ac:dyDescent="0.25">
      <c r="A5088" s="24" t="s">
        <v>116</v>
      </c>
      <c r="B5088" s="24" t="s">
        <v>158</v>
      </c>
      <c r="C5088" s="32">
        <v>42.093000000000004</v>
      </c>
      <c r="D5088" s="28">
        <v>3.4722222222222224E-2</v>
      </c>
    </row>
    <row r="5089" spans="1:4" x14ac:dyDescent="0.25">
      <c r="A5089" s="24" t="s">
        <v>116</v>
      </c>
      <c r="B5089" s="24" t="s">
        <v>159</v>
      </c>
      <c r="C5089" s="32">
        <v>42.584000000000003</v>
      </c>
      <c r="D5089" s="28">
        <v>3.6111111111111115E-2</v>
      </c>
    </row>
    <row r="5090" spans="1:4" x14ac:dyDescent="0.25">
      <c r="A5090" s="24" t="s">
        <v>117</v>
      </c>
      <c r="B5090" s="24" t="s">
        <v>65</v>
      </c>
      <c r="C5090" s="32">
        <v>7.2480000000000002</v>
      </c>
      <c r="D5090" s="28">
        <v>6.9444444444444441E-3</v>
      </c>
    </row>
    <row r="5091" spans="1:4" x14ac:dyDescent="0.25">
      <c r="A5091" s="24" t="s">
        <v>117</v>
      </c>
      <c r="B5091" s="24" t="s">
        <v>64</v>
      </c>
      <c r="C5091" s="32">
        <v>25.132999999999999</v>
      </c>
      <c r="D5091" s="28">
        <v>2.013888888888889E-2</v>
      </c>
    </row>
    <row r="5092" spans="1:4" x14ac:dyDescent="0.25">
      <c r="A5092" s="24" t="s">
        <v>117</v>
      </c>
      <c r="B5092" s="24" t="s">
        <v>66</v>
      </c>
      <c r="C5092" s="32">
        <v>31.48</v>
      </c>
      <c r="D5092" s="28">
        <v>2.7083333333333334E-2</v>
      </c>
    </row>
    <row r="5093" spans="1:4" x14ac:dyDescent="0.25">
      <c r="A5093" s="24" t="s">
        <v>117</v>
      </c>
      <c r="B5093" s="24" t="s">
        <v>67</v>
      </c>
      <c r="C5093" s="32">
        <v>28.724</v>
      </c>
      <c r="D5093" s="28">
        <v>2.7083333333333334E-2</v>
      </c>
    </row>
    <row r="5094" spans="1:4" x14ac:dyDescent="0.25">
      <c r="A5094" s="24" t="s">
        <v>117</v>
      </c>
      <c r="B5094" s="24" t="s">
        <v>68</v>
      </c>
      <c r="C5094" s="32">
        <v>31.029</v>
      </c>
      <c r="D5094" s="28">
        <v>2.7777777777777776E-2</v>
      </c>
    </row>
    <row r="5095" spans="1:4" x14ac:dyDescent="0.25">
      <c r="A5095" s="24" t="s">
        <v>117</v>
      </c>
      <c r="B5095" s="24" t="s">
        <v>69</v>
      </c>
      <c r="C5095" s="32">
        <v>29.282</v>
      </c>
      <c r="D5095" s="28">
        <v>2.6388888888888889E-2</v>
      </c>
    </row>
    <row r="5096" spans="1:4" x14ac:dyDescent="0.25">
      <c r="A5096" s="24" t="s">
        <v>117</v>
      </c>
      <c r="B5096" s="24" t="s">
        <v>70</v>
      </c>
      <c r="C5096" s="32">
        <v>30.420999999999999</v>
      </c>
      <c r="D5096" s="28">
        <v>2.6388888888888889E-2</v>
      </c>
    </row>
    <row r="5097" spans="1:4" x14ac:dyDescent="0.25">
      <c r="A5097" s="24" t="s">
        <v>117</v>
      </c>
      <c r="B5097" s="24" t="s">
        <v>71</v>
      </c>
      <c r="C5097" s="32">
        <v>29.859000000000002</v>
      </c>
      <c r="D5097" s="28">
        <v>2.7083333333333334E-2</v>
      </c>
    </row>
    <row r="5098" spans="1:4" x14ac:dyDescent="0.25">
      <c r="A5098" s="24" t="s">
        <v>117</v>
      </c>
      <c r="B5098" s="24" t="s">
        <v>72</v>
      </c>
      <c r="C5098" s="32">
        <v>29.957000000000001</v>
      </c>
      <c r="D5098" s="28">
        <v>2.9166666666666664E-2</v>
      </c>
    </row>
    <row r="5099" spans="1:4" x14ac:dyDescent="0.25">
      <c r="A5099" s="24" t="s">
        <v>117</v>
      </c>
      <c r="B5099" s="24" t="s">
        <v>73</v>
      </c>
      <c r="C5099" s="32">
        <v>28.484999999999999</v>
      </c>
      <c r="D5099" s="28">
        <v>2.6388888888888889E-2</v>
      </c>
    </row>
    <row r="5100" spans="1:4" x14ac:dyDescent="0.25">
      <c r="A5100" s="24" t="s">
        <v>117</v>
      </c>
      <c r="B5100" s="24" t="s">
        <v>74</v>
      </c>
      <c r="C5100" s="32">
        <v>32.287999999999997</v>
      </c>
      <c r="D5100" s="28">
        <v>2.9166666666666664E-2</v>
      </c>
    </row>
    <row r="5101" spans="1:4" x14ac:dyDescent="0.25">
      <c r="A5101" s="24" t="s">
        <v>117</v>
      </c>
      <c r="B5101" s="24" t="s">
        <v>75</v>
      </c>
      <c r="C5101" s="32">
        <v>31.324000000000002</v>
      </c>
      <c r="D5101" s="28">
        <v>2.7777777777777776E-2</v>
      </c>
    </row>
    <row r="5102" spans="1:4" x14ac:dyDescent="0.25">
      <c r="A5102" s="24" t="s">
        <v>117</v>
      </c>
      <c r="B5102" s="24" t="s">
        <v>76</v>
      </c>
      <c r="C5102" s="32">
        <v>35.045999999999999</v>
      </c>
      <c r="D5102" s="28">
        <v>2.9861111111111113E-2</v>
      </c>
    </row>
    <row r="5103" spans="1:4" x14ac:dyDescent="0.25">
      <c r="A5103" s="24" t="s">
        <v>117</v>
      </c>
      <c r="B5103" s="24" t="s">
        <v>77</v>
      </c>
      <c r="C5103" s="32">
        <v>35.637</v>
      </c>
      <c r="D5103" s="28">
        <v>3.3333333333333333E-2</v>
      </c>
    </row>
    <row r="5104" spans="1:4" x14ac:dyDescent="0.25">
      <c r="A5104" s="24" t="s">
        <v>117</v>
      </c>
      <c r="B5104" s="24" t="s">
        <v>78</v>
      </c>
      <c r="C5104" s="32">
        <v>34.476999999999997</v>
      </c>
      <c r="D5104" s="28">
        <v>2.9861111111111113E-2</v>
      </c>
    </row>
    <row r="5105" spans="1:4" x14ac:dyDescent="0.25">
      <c r="A5105" s="24" t="s">
        <v>117</v>
      </c>
      <c r="B5105" s="24" t="s">
        <v>79</v>
      </c>
      <c r="C5105" s="32">
        <v>47.365000000000002</v>
      </c>
      <c r="D5105" s="28">
        <v>4.5833333333333337E-2</v>
      </c>
    </row>
    <row r="5106" spans="1:4" x14ac:dyDescent="0.25">
      <c r="A5106" s="24" t="s">
        <v>117</v>
      </c>
      <c r="B5106" s="24" t="s">
        <v>80</v>
      </c>
      <c r="C5106" s="32">
        <v>5.2480000000000002</v>
      </c>
      <c r="D5106" s="28">
        <v>6.2499999999999995E-3</v>
      </c>
    </row>
    <row r="5107" spans="1:4" x14ac:dyDescent="0.25">
      <c r="A5107" s="24" t="s">
        <v>117</v>
      </c>
      <c r="B5107" s="24" t="s">
        <v>81</v>
      </c>
      <c r="C5107" s="32">
        <v>5.9779999999999998</v>
      </c>
      <c r="D5107" s="28">
        <v>6.2499999999999995E-3</v>
      </c>
    </row>
    <row r="5108" spans="1:4" x14ac:dyDescent="0.25">
      <c r="A5108" s="24" t="s">
        <v>117</v>
      </c>
      <c r="B5108" s="24" t="s">
        <v>82</v>
      </c>
      <c r="C5108" s="32">
        <v>6.03</v>
      </c>
      <c r="D5108" s="28">
        <v>6.9444444444444441E-3</v>
      </c>
    </row>
    <row r="5109" spans="1:4" x14ac:dyDescent="0.25">
      <c r="A5109" s="24" t="s">
        <v>117</v>
      </c>
      <c r="B5109" s="24" t="s">
        <v>83</v>
      </c>
      <c r="C5109" s="32">
        <v>22.911000000000001</v>
      </c>
      <c r="D5109" s="28">
        <v>1.8749999999999999E-2</v>
      </c>
    </row>
    <row r="5110" spans="1:4" x14ac:dyDescent="0.25">
      <c r="A5110" s="24" t="s">
        <v>117</v>
      </c>
      <c r="B5110" s="24" t="s">
        <v>84</v>
      </c>
      <c r="C5110" s="32">
        <v>21.585999999999999</v>
      </c>
      <c r="D5110" s="28">
        <v>2.4999999999999998E-2</v>
      </c>
    </row>
    <row r="5111" spans="1:4" x14ac:dyDescent="0.25">
      <c r="A5111" s="24" t="s">
        <v>117</v>
      </c>
      <c r="B5111" s="24" t="s">
        <v>85</v>
      </c>
      <c r="C5111" s="32">
        <v>20.547000000000001</v>
      </c>
      <c r="D5111" s="28">
        <v>2.4305555555555556E-2</v>
      </c>
    </row>
    <row r="5112" spans="1:4" x14ac:dyDescent="0.25">
      <c r="A5112" s="24" t="s">
        <v>117</v>
      </c>
      <c r="B5112" s="24" t="s">
        <v>86</v>
      </c>
      <c r="C5112" s="32">
        <v>18.172999999999998</v>
      </c>
      <c r="D5112" s="28">
        <v>2.1527777777777781E-2</v>
      </c>
    </row>
    <row r="5113" spans="1:4" x14ac:dyDescent="0.25">
      <c r="A5113" s="24" t="s">
        <v>117</v>
      </c>
      <c r="B5113" s="24" t="s">
        <v>87</v>
      </c>
      <c r="C5113" s="32">
        <v>17.951000000000001</v>
      </c>
      <c r="D5113" s="28">
        <v>2.0833333333333332E-2</v>
      </c>
    </row>
    <row r="5114" spans="1:4" x14ac:dyDescent="0.25">
      <c r="A5114" s="24" t="s">
        <v>117</v>
      </c>
      <c r="B5114" s="24" t="s">
        <v>88</v>
      </c>
      <c r="C5114" s="32">
        <v>16.948</v>
      </c>
      <c r="D5114" s="28">
        <v>2.013888888888889E-2</v>
      </c>
    </row>
    <row r="5115" spans="1:4" x14ac:dyDescent="0.25">
      <c r="A5115" s="24" t="s">
        <v>117</v>
      </c>
      <c r="B5115" s="24" t="s">
        <v>89</v>
      </c>
      <c r="C5115" s="32">
        <v>12.571999999999999</v>
      </c>
      <c r="D5115" s="28">
        <v>1.5277777777777777E-2</v>
      </c>
    </row>
    <row r="5116" spans="1:4" x14ac:dyDescent="0.25">
      <c r="A5116" s="24" t="s">
        <v>117</v>
      </c>
      <c r="B5116" s="24" t="s">
        <v>90</v>
      </c>
      <c r="C5116" s="32">
        <v>8.9499999999999993</v>
      </c>
      <c r="D5116" s="28">
        <v>9.7222222222222224E-3</v>
      </c>
    </row>
    <row r="5117" spans="1:4" x14ac:dyDescent="0.25">
      <c r="A5117" s="24" t="s">
        <v>117</v>
      </c>
      <c r="B5117" s="24" t="s">
        <v>91</v>
      </c>
      <c r="C5117" s="32">
        <v>15.016</v>
      </c>
      <c r="D5117" s="28">
        <v>1.7361111111111112E-2</v>
      </c>
    </row>
    <row r="5118" spans="1:4" x14ac:dyDescent="0.25">
      <c r="A5118" s="24" t="s">
        <v>117</v>
      </c>
      <c r="B5118" s="24" t="s">
        <v>92</v>
      </c>
      <c r="C5118" s="32">
        <v>7.6630000000000003</v>
      </c>
      <c r="D5118" s="28">
        <v>9.7222222222222224E-3</v>
      </c>
    </row>
    <row r="5119" spans="1:4" x14ac:dyDescent="0.25">
      <c r="A5119" s="24" t="s">
        <v>117</v>
      </c>
      <c r="B5119" s="24" t="s">
        <v>93</v>
      </c>
      <c r="C5119" s="32">
        <v>29.126999999999999</v>
      </c>
      <c r="D5119" s="28">
        <v>2.0833333333333332E-2</v>
      </c>
    </row>
    <row r="5120" spans="1:4" x14ac:dyDescent="0.25">
      <c r="A5120" s="24" t="s">
        <v>117</v>
      </c>
      <c r="B5120" s="24" t="s">
        <v>94</v>
      </c>
      <c r="C5120" s="32">
        <v>29.756</v>
      </c>
      <c r="D5120" s="28">
        <v>2.0833333333333332E-2</v>
      </c>
    </row>
    <row r="5121" spans="1:4" x14ac:dyDescent="0.25">
      <c r="A5121" s="24" t="s">
        <v>117</v>
      </c>
      <c r="B5121" s="24" t="s">
        <v>95</v>
      </c>
      <c r="C5121" s="32">
        <v>2.44</v>
      </c>
      <c r="D5121" s="28">
        <v>3.472222222222222E-3</v>
      </c>
    </row>
    <row r="5122" spans="1:4" x14ac:dyDescent="0.25">
      <c r="A5122" s="24" t="s">
        <v>117</v>
      </c>
      <c r="B5122" s="24" t="s">
        <v>96</v>
      </c>
      <c r="C5122" s="32">
        <v>27.2</v>
      </c>
      <c r="D5122" s="28">
        <v>2.1527777777777781E-2</v>
      </c>
    </row>
    <row r="5123" spans="1:4" x14ac:dyDescent="0.25">
      <c r="A5123" s="24" t="s">
        <v>117</v>
      </c>
      <c r="B5123" s="24" t="s">
        <v>97</v>
      </c>
      <c r="C5123" s="32">
        <v>26.117999999999999</v>
      </c>
      <c r="D5123" s="28">
        <v>2.2222222222222223E-2</v>
      </c>
    </row>
    <row r="5124" spans="1:4" x14ac:dyDescent="0.25">
      <c r="A5124" s="24" t="s">
        <v>117</v>
      </c>
      <c r="B5124" s="24" t="s">
        <v>98</v>
      </c>
      <c r="C5124" s="32">
        <v>15.98</v>
      </c>
      <c r="D5124" s="28">
        <v>1.3888888888888888E-2</v>
      </c>
    </row>
    <row r="5125" spans="1:4" x14ac:dyDescent="0.25">
      <c r="A5125" s="24" t="s">
        <v>117</v>
      </c>
      <c r="B5125" s="24" t="s">
        <v>99</v>
      </c>
      <c r="C5125" s="32">
        <v>22.478000000000002</v>
      </c>
      <c r="D5125" s="28">
        <v>1.8749999999999999E-2</v>
      </c>
    </row>
    <row r="5126" spans="1:4" x14ac:dyDescent="0.25">
      <c r="A5126" s="24" t="s">
        <v>117</v>
      </c>
      <c r="B5126" s="24" t="s">
        <v>100</v>
      </c>
      <c r="C5126" s="32">
        <v>12.045999999999999</v>
      </c>
      <c r="D5126" s="28">
        <v>1.1111111111111112E-2</v>
      </c>
    </row>
    <row r="5127" spans="1:4" x14ac:dyDescent="0.25">
      <c r="A5127" s="24" t="s">
        <v>117</v>
      </c>
      <c r="B5127" s="24" t="s">
        <v>101</v>
      </c>
      <c r="C5127" s="32">
        <v>17.675999999999998</v>
      </c>
      <c r="D5127" s="28">
        <v>1.5277777777777777E-2</v>
      </c>
    </row>
    <row r="5128" spans="1:4" x14ac:dyDescent="0.25">
      <c r="A5128" s="24" t="s">
        <v>117</v>
      </c>
      <c r="B5128" s="24" t="s">
        <v>102</v>
      </c>
      <c r="C5128" s="32">
        <v>18.181000000000001</v>
      </c>
      <c r="D5128" s="28">
        <v>1.7361111111111112E-2</v>
      </c>
    </row>
    <row r="5129" spans="1:4" x14ac:dyDescent="0.25">
      <c r="A5129" s="24" t="s">
        <v>117</v>
      </c>
      <c r="B5129" s="24" t="s">
        <v>103</v>
      </c>
      <c r="C5129" s="32">
        <v>16.277000000000001</v>
      </c>
      <c r="D5129" s="28">
        <v>1.3194444444444444E-2</v>
      </c>
    </row>
    <row r="5130" spans="1:4" x14ac:dyDescent="0.25">
      <c r="A5130" s="24" t="s">
        <v>117</v>
      </c>
      <c r="B5130" s="24" t="s">
        <v>104</v>
      </c>
      <c r="C5130" s="32">
        <v>13.337</v>
      </c>
      <c r="D5130" s="28">
        <v>1.1805555555555555E-2</v>
      </c>
    </row>
    <row r="5131" spans="1:4" x14ac:dyDescent="0.25">
      <c r="A5131" s="24" t="s">
        <v>117</v>
      </c>
      <c r="B5131" s="24" t="s">
        <v>105</v>
      </c>
      <c r="C5131" s="32">
        <v>12.217000000000001</v>
      </c>
      <c r="D5131" s="28">
        <v>1.6666666666666666E-2</v>
      </c>
    </row>
    <row r="5132" spans="1:4" x14ac:dyDescent="0.25">
      <c r="A5132" s="24" t="s">
        <v>117</v>
      </c>
      <c r="B5132" s="24" t="s">
        <v>106</v>
      </c>
      <c r="C5132" s="32">
        <v>17.956</v>
      </c>
      <c r="D5132" s="28">
        <v>1.3888888888888888E-2</v>
      </c>
    </row>
    <row r="5133" spans="1:4" x14ac:dyDescent="0.25">
      <c r="A5133" s="24" t="s">
        <v>117</v>
      </c>
      <c r="B5133" s="24" t="s">
        <v>107</v>
      </c>
      <c r="C5133" s="32">
        <v>17.352</v>
      </c>
      <c r="D5133" s="28">
        <v>1.8055555555555557E-2</v>
      </c>
    </row>
    <row r="5134" spans="1:4" x14ac:dyDescent="0.25">
      <c r="A5134" s="24" t="s">
        <v>117</v>
      </c>
      <c r="B5134" s="24" t="s">
        <v>108</v>
      </c>
      <c r="C5134" s="32">
        <v>17.949000000000002</v>
      </c>
      <c r="D5134" s="28">
        <v>1.7361111111111112E-2</v>
      </c>
    </row>
    <row r="5135" spans="1:4" x14ac:dyDescent="0.25">
      <c r="A5135" s="24" t="s">
        <v>117</v>
      </c>
      <c r="B5135" s="24" t="s">
        <v>109</v>
      </c>
      <c r="C5135" s="32">
        <v>17.919</v>
      </c>
      <c r="D5135" s="28">
        <v>1.7361111111111112E-2</v>
      </c>
    </row>
    <row r="5136" spans="1:4" x14ac:dyDescent="0.25">
      <c r="A5136" s="24" t="s">
        <v>117</v>
      </c>
      <c r="B5136" s="24" t="s">
        <v>110</v>
      </c>
      <c r="C5136" s="32">
        <v>15.916</v>
      </c>
      <c r="D5136" s="28">
        <v>1.5972222222222224E-2</v>
      </c>
    </row>
    <row r="5137" spans="1:4" x14ac:dyDescent="0.25">
      <c r="A5137" s="24" t="s">
        <v>117</v>
      </c>
      <c r="B5137" s="24" t="s">
        <v>111</v>
      </c>
      <c r="C5137" s="32">
        <v>12.37</v>
      </c>
      <c r="D5137" s="28">
        <v>1.1805555555555555E-2</v>
      </c>
    </row>
    <row r="5138" spans="1:4" x14ac:dyDescent="0.25">
      <c r="A5138" s="24" t="s">
        <v>117</v>
      </c>
      <c r="B5138" s="24" t="s">
        <v>112</v>
      </c>
      <c r="C5138" s="32">
        <v>17.026</v>
      </c>
      <c r="D5138" s="28">
        <v>1.6666666666666666E-2</v>
      </c>
    </row>
    <row r="5139" spans="1:4" x14ac:dyDescent="0.25">
      <c r="A5139" s="24" t="s">
        <v>117</v>
      </c>
      <c r="B5139" s="24" t="s">
        <v>113</v>
      </c>
      <c r="C5139" s="32">
        <v>20.65</v>
      </c>
      <c r="D5139" s="28">
        <v>1.9444444444444445E-2</v>
      </c>
    </row>
    <row r="5140" spans="1:4" x14ac:dyDescent="0.25">
      <c r="A5140" s="24" t="s">
        <v>117</v>
      </c>
      <c r="B5140" s="24" t="s">
        <v>114</v>
      </c>
      <c r="C5140" s="32">
        <v>10.382</v>
      </c>
      <c r="D5140" s="28">
        <v>9.0277777777777787E-3</v>
      </c>
    </row>
    <row r="5141" spans="1:4" x14ac:dyDescent="0.25">
      <c r="A5141" s="24" t="s">
        <v>117</v>
      </c>
      <c r="B5141" s="24" t="s">
        <v>115</v>
      </c>
      <c r="C5141" s="32">
        <v>10.233000000000001</v>
      </c>
      <c r="D5141" s="28">
        <v>9.7222222222222224E-3</v>
      </c>
    </row>
    <row r="5142" spans="1:4" x14ac:dyDescent="0.25">
      <c r="A5142" s="24" t="s">
        <v>117</v>
      </c>
      <c r="B5142" s="24" t="s">
        <v>116</v>
      </c>
      <c r="C5142" s="32">
        <v>8.3610000000000007</v>
      </c>
      <c r="D5142" s="28">
        <v>9.0277777777777787E-3</v>
      </c>
    </row>
    <row r="5143" spans="1:4" x14ac:dyDescent="0.25">
      <c r="A5143" s="24" t="s">
        <v>117</v>
      </c>
      <c r="B5143" s="24" t="s">
        <v>117</v>
      </c>
      <c r="C5143" s="32">
        <v>0</v>
      </c>
      <c r="D5143" s="28">
        <v>0</v>
      </c>
    </row>
    <row r="5144" spans="1:4" x14ac:dyDescent="0.25">
      <c r="A5144" s="24" t="s">
        <v>117</v>
      </c>
      <c r="B5144" s="24" t="s">
        <v>118</v>
      </c>
      <c r="C5144" s="32">
        <v>15.792</v>
      </c>
      <c r="D5144" s="28">
        <v>1.5277777777777777E-2</v>
      </c>
    </row>
    <row r="5145" spans="1:4" x14ac:dyDescent="0.25">
      <c r="A5145" s="24" t="s">
        <v>117</v>
      </c>
      <c r="B5145" s="24" t="s">
        <v>119</v>
      </c>
      <c r="C5145" s="32">
        <v>20.391999999999999</v>
      </c>
      <c r="D5145" s="28">
        <v>1.5277777777777777E-2</v>
      </c>
    </row>
    <row r="5146" spans="1:4" x14ac:dyDescent="0.25">
      <c r="A5146" s="24" t="s">
        <v>117</v>
      </c>
      <c r="B5146" s="24" t="s">
        <v>120</v>
      </c>
      <c r="C5146" s="32">
        <v>25.353000000000002</v>
      </c>
      <c r="D5146" s="28">
        <v>2.0833333333333332E-2</v>
      </c>
    </row>
    <row r="5147" spans="1:4" x14ac:dyDescent="0.25">
      <c r="A5147" s="24" t="s">
        <v>117</v>
      </c>
      <c r="B5147" s="24" t="s">
        <v>121</v>
      </c>
      <c r="C5147" s="32">
        <v>35.869</v>
      </c>
      <c r="D5147" s="28">
        <v>2.6388888888888889E-2</v>
      </c>
    </row>
    <row r="5148" spans="1:4" x14ac:dyDescent="0.25">
      <c r="A5148" s="24" t="s">
        <v>117</v>
      </c>
      <c r="B5148" s="24" t="s">
        <v>122</v>
      </c>
      <c r="C5148" s="32">
        <v>16.224</v>
      </c>
      <c r="D5148" s="28">
        <v>1.3888888888888888E-2</v>
      </c>
    </row>
    <row r="5149" spans="1:4" x14ac:dyDescent="0.25">
      <c r="A5149" s="24" t="s">
        <v>117</v>
      </c>
      <c r="B5149" s="24" t="s">
        <v>123</v>
      </c>
      <c r="C5149" s="32">
        <v>28.666</v>
      </c>
      <c r="D5149" s="28">
        <v>2.361111111111111E-2</v>
      </c>
    </row>
    <row r="5150" spans="1:4" x14ac:dyDescent="0.25">
      <c r="A5150" s="24" t="s">
        <v>117</v>
      </c>
      <c r="B5150" s="24" t="s">
        <v>124</v>
      </c>
      <c r="C5150" s="32">
        <v>28.666</v>
      </c>
      <c r="D5150" s="28">
        <v>2.361111111111111E-2</v>
      </c>
    </row>
    <row r="5151" spans="1:4" x14ac:dyDescent="0.25">
      <c r="A5151" s="24" t="s">
        <v>117</v>
      </c>
      <c r="B5151" s="24" t="s">
        <v>125</v>
      </c>
      <c r="C5151" s="32">
        <v>26.465</v>
      </c>
      <c r="D5151" s="28">
        <v>2.0833333333333332E-2</v>
      </c>
    </row>
    <row r="5152" spans="1:4" x14ac:dyDescent="0.25">
      <c r="A5152" s="24" t="s">
        <v>117</v>
      </c>
      <c r="B5152" s="24" t="s">
        <v>126</v>
      </c>
      <c r="C5152" s="32">
        <v>26.202999999999999</v>
      </c>
      <c r="D5152" s="28">
        <v>1.9444444444444445E-2</v>
      </c>
    </row>
    <row r="5153" spans="1:4" x14ac:dyDescent="0.25">
      <c r="A5153" s="24" t="s">
        <v>117</v>
      </c>
      <c r="B5153" s="24" t="s">
        <v>127</v>
      </c>
      <c r="C5153" s="32">
        <v>20.934999999999999</v>
      </c>
      <c r="D5153" s="28">
        <v>1.9444444444444445E-2</v>
      </c>
    </row>
    <row r="5154" spans="1:4" x14ac:dyDescent="0.25">
      <c r="A5154" s="24" t="s">
        <v>117</v>
      </c>
      <c r="B5154" s="24" t="s">
        <v>128</v>
      </c>
      <c r="C5154" s="32">
        <v>25.276</v>
      </c>
      <c r="D5154" s="28">
        <v>1.8749999999999999E-2</v>
      </c>
    </row>
    <row r="5155" spans="1:4" x14ac:dyDescent="0.25">
      <c r="A5155" s="24" t="s">
        <v>117</v>
      </c>
      <c r="B5155" s="24" t="s">
        <v>129</v>
      </c>
      <c r="C5155" s="32">
        <v>25.276</v>
      </c>
      <c r="D5155" s="28">
        <v>1.8749999999999999E-2</v>
      </c>
    </row>
    <row r="5156" spans="1:4" x14ac:dyDescent="0.25">
      <c r="A5156" s="24" t="s">
        <v>117</v>
      </c>
      <c r="B5156" s="24" t="s">
        <v>130</v>
      </c>
      <c r="C5156" s="32">
        <v>24.655000000000001</v>
      </c>
      <c r="D5156" s="28">
        <v>2.0833333333333332E-2</v>
      </c>
    </row>
    <row r="5157" spans="1:4" x14ac:dyDescent="0.25">
      <c r="A5157" s="24" t="s">
        <v>117</v>
      </c>
      <c r="B5157" s="24" t="s">
        <v>131</v>
      </c>
      <c r="C5157" s="32">
        <v>19.927</v>
      </c>
      <c r="D5157" s="28">
        <v>2.013888888888889E-2</v>
      </c>
    </row>
    <row r="5158" spans="1:4" x14ac:dyDescent="0.25">
      <c r="A5158" s="24" t="s">
        <v>117</v>
      </c>
      <c r="B5158" s="24" t="s">
        <v>132</v>
      </c>
      <c r="C5158" s="32">
        <v>28.876999999999999</v>
      </c>
      <c r="D5158" s="28">
        <v>2.361111111111111E-2</v>
      </c>
    </row>
    <row r="5159" spans="1:4" x14ac:dyDescent="0.25">
      <c r="A5159" s="24" t="s">
        <v>117</v>
      </c>
      <c r="B5159" s="24" t="s">
        <v>133</v>
      </c>
      <c r="C5159" s="32">
        <v>21.341000000000001</v>
      </c>
      <c r="D5159" s="28">
        <v>2.4999999999999998E-2</v>
      </c>
    </row>
    <row r="5160" spans="1:4" x14ac:dyDescent="0.25">
      <c r="A5160" s="24" t="s">
        <v>117</v>
      </c>
      <c r="B5160" s="24" t="s">
        <v>134</v>
      </c>
      <c r="C5160" s="32">
        <v>20.875</v>
      </c>
      <c r="D5160" s="28">
        <v>2.4305555555555556E-2</v>
      </c>
    </row>
    <row r="5161" spans="1:4" x14ac:dyDescent="0.25">
      <c r="A5161" s="24" t="s">
        <v>117</v>
      </c>
      <c r="B5161" s="24" t="s">
        <v>135</v>
      </c>
      <c r="C5161" s="32">
        <v>22.206</v>
      </c>
      <c r="D5161" s="28">
        <v>2.4999999999999998E-2</v>
      </c>
    </row>
    <row r="5162" spans="1:4" x14ac:dyDescent="0.25">
      <c r="A5162" s="24" t="s">
        <v>117</v>
      </c>
      <c r="B5162" s="24" t="s">
        <v>136</v>
      </c>
      <c r="C5162" s="32">
        <v>22.206</v>
      </c>
      <c r="D5162" s="28">
        <v>2.4999999999999998E-2</v>
      </c>
    </row>
    <row r="5163" spans="1:4" x14ac:dyDescent="0.25">
      <c r="A5163" s="24" t="s">
        <v>117</v>
      </c>
      <c r="B5163" s="24" t="s">
        <v>137</v>
      </c>
      <c r="C5163" s="32">
        <v>22.419</v>
      </c>
      <c r="D5163" s="28">
        <v>2.5694444444444447E-2</v>
      </c>
    </row>
    <row r="5164" spans="1:4" x14ac:dyDescent="0.25">
      <c r="A5164" s="24" t="s">
        <v>117</v>
      </c>
      <c r="B5164" s="24" t="s">
        <v>138</v>
      </c>
      <c r="C5164" s="32">
        <v>28.425000000000001</v>
      </c>
      <c r="D5164" s="28">
        <v>2.4305555555555556E-2</v>
      </c>
    </row>
    <row r="5165" spans="1:4" x14ac:dyDescent="0.25">
      <c r="A5165" s="24" t="s">
        <v>117</v>
      </c>
      <c r="B5165" s="24" t="s">
        <v>139</v>
      </c>
      <c r="C5165" s="32">
        <v>36.865000000000002</v>
      </c>
      <c r="D5165" s="28">
        <v>2.6388888888888889E-2</v>
      </c>
    </row>
    <row r="5166" spans="1:4" x14ac:dyDescent="0.25">
      <c r="A5166" s="24" t="s">
        <v>117</v>
      </c>
      <c r="B5166" s="24" t="s">
        <v>140</v>
      </c>
      <c r="C5166" s="32">
        <v>37.177</v>
      </c>
      <c r="D5166" s="28">
        <v>2.8472222222222222E-2</v>
      </c>
    </row>
    <row r="5167" spans="1:4" x14ac:dyDescent="0.25">
      <c r="A5167" s="24" t="s">
        <v>117</v>
      </c>
      <c r="B5167" s="24" t="s">
        <v>141</v>
      </c>
      <c r="C5167" s="32">
        <v>61.576000000000001</v>
      </c>
      <c r="D5167" s="28">
        <v>4.5833333333333337E-2</v>
      </c>
    </row>
    <row r="5168" spans="1:4" x14ac:dyDescent="0.25">
      <c r="A5168" s="24" t="s">
        <v>117</v>
      </c>
      <c r="B5168" s="24" t="s">
        <v>142</v>
      </c>
      <c r="C5168" s="32">
        <v>59.664000000000001</v>
      </c>
      <c r="D5168" s="28">
        <v>3.8194444444444441E-2</v>
      </c>
    </row>
    <row r="5169" spans="1:4" x14ac:dyDescent="0.25">
      <c r="A5169" s="24" t="s">
        <v>117</v>
      </c>
      <c r="B5169" s="24" t="s">
        <v>143</v>
      </c>
      <c r="C5169" s="32">
        <v>78.042000000000002</v>
      </c>
      <c r="D5169" s="28">
        <v>4.5138888888888888E-2</v>
      </c>
    </row>
    <row r="5170" spans="1:4" x14ac:dyDescent="0.25">
      <c r="A5170" s="24" t="s">
        <v>117</v>
      </c>
      <c r="B5170" s="24" t="s">
        <v>144</v>
      </c>
      <c r="C5170" s="32">
        <v>97.158000000000001</v>
      </c>
      <c r="D5170" s="28">
        <v>5.6250000000000001E-2</v>
      </c>
    </row>
    <row r="5171" spans="1:4" x14ac:dyDescent="0.25">
      <c r="A5171" s="24" t="s">
        <v>117</v>
      </c>
      <c r="B5171" s="24" t="s">
        <v>145</v>
      </c>
      <c r="C5171" s="32">
        <v>41.671999999999997</v>
      </c>
      <c r="D5171" s="28">
        <v>3.0555555555555555E-2</v>
      </c>
    </row>
    <row r="5172" spans="1:4" x14ac:dyDescent="0.25">
      <c r="A5172" s="24" t="s">
        <v>117</v>
      </c>
      <c r="B5172" s="24" t="s">
        <v>146</v>
      </c>
      <c r="C5172" s="32">
        <v>57.131</v>
      </c>
      <c r="D5172" s="28">
        <v>3.888888888888889E-2</v>
      </c>
    </row>
    <row r="5173" spans="1:4" x14ac:dyDescent="0.25">
      <c r="A5173" s="24" t="s">
        <v>117</v>
      </c>
      <c r="B5173" s="24" t="s">
        <v>147</v>
      </c>
      <c r="C5173" s="32">
        <v>18.109000000000002</v>
      </c>
      <c r="D5173" s="28">
        <v>1.3194444444444444E-2</v>
      </c>
    </row>
    <row r="5174" spans="1:4" x14ac:dyDescent="0.25">
      <c r="A5174" s="24" t="s">
        <v>117</v>
      </c>
      <c r="B5174" s="24" t="s">
        <v>148</v>
      </c>
      <c r="C5174" s="32">
        <v>21.183</v>
      </c>
      <c r="D5174" s="28">
        <v>1.5277777777777777E-2</v>
      </c>
    </row>
    <row r="5175" spans="1:4" x14ac:dyDescent="0.25">
      <c r="A5175" s="24" t="s">
        <v>117</v>
      </c>
      <c r="B5175" s="24" t="s">
        <v>149</v>
      </c>
      <c r="C5175" s="32">
        <v>28.983000000000001</v>
      </c>
      <c r="D5175" s="28">
        <v>2.361111111111111E-2</v>
      </c>
    </row>
    <row r="5176" spans="1:4" x14ac:dyDescent="0.25">
      <c r="A5176" s="24" t="s">
        <v>117</v>
      </c>
      <c r="B5176" s="24" t="s">
        <v>150</v>
      </c>
      <c r="C5176" s="32">
        <v>38.47</v>
      </c>
      <c r="D5176" s="28">
        <v>3.2638888888888891E-2</v>
      </c>
    </row>
    <row r="5177" spans="1:4" x14ac:dyDescent="0.25">
      <c r="A5177" s="24" t="s">
        <v>117</v>
      </c>
      <c r="B5177" s="24" t="s">
        <v>151</v>
      </c>
      <c r="C5177" s="32">
        <v>37.728000000000002</v>
      </c>
      <c r="D5177" s="28">
        <v>3.2638888888888891E-2</v>
      </c>
    </row>
    <row r="5178" spans="1:4" x14ac:dyDescent="0.25">
      <c r="A5178" s="24" t="s">
        <v>117</v>
      </c>
      <c r="B5178" s="24" t="s">
        <v>152</v>
      </c>
      <c r="C5178" s="32">
        <v>40.087000000000003</v>
      </c>
      <c r="D5178" s="28">
        <v>3.4722222222222224E-2</v>
      </c>
    </row>
    <row r="5179" spans="1:4" x14ac:dyDescent="0.25">
      <c r="A5179" s="24" t="s">
        <v>117</v>
      </c>
      <c r="B5179" s="24" t="s">
        <v>153</v>
      </c>
      <c r="C5179" s="32">
        <v>44.613999999999997</v>
      </c>
      <c r="D5179" s="28">
        <v>4.1666666666666664E-2</v>
      </c>
    </row>
    <row r="5180" spans="1:4" x14ac:dyDescent="0.25">
      <c r="A5180" s="24" t="s">
        <v>117</v>
      </c>
      <c r="B5180" s="24" t="s">
        <v>154</v>
      </c>
      <c r="C5180" s="32">
        <v>39.423000000000002</v>
      </c>
      <c r="D5180" s="28">
        <v>3.5416666666666666E-2</v>
      </c>
    </row>
    <row r="5181" spans="1:4" x14ac:dyDescent="0.25">
      <c r="A5181" s="24" t="s">
        <v>117</v>
      </c>
      <c r="B5181" s="24" t="s">
        <v>155</v>
      </c>
      <c r="C5181" s="32">
        <v>38.332000000000001</v>
      </c>
      <c r="D5181" s="28">
        <v>3.3333333333333333E-2</v>
      </c>
    </row>
    <row r="5182" spans="1:4" x14ac:dyDescent="0.25">
      <c r="A5182" s="24" t="s">
        <v>117</v>
      </c>
      <c r="B5182" s="24" t="s">
        <v>156</v>
      </c>
      <c r="C5182" s="32">
        <v>38.316000000000003</v>
      </c>
      <c r="D5182" s="28">
        <v>3.3333333333333333E-2</v>
      </c>
    </row>
    <row r="5183" spans="1:4" x14ac:dyDescent="0.25">
      <c r="A5183" s="24" t="s">
        <v>117</v>
      </c>
      <c r="B5183" s="24" t="s">
        <v>157</v>
      </c>
      <c r="C5183" s="32">
        <v>32.256999999999998</v>
      </c>
      <c r="D5183" s="28">
        <v>2.7777777777777776E-2</v>
      </c>
    </row>
    <row r="5184" spans="1:4" x14ac:dyDescent="0.25">
      <c r="A5184" s="24" t="s">
        <v>117</v>
      </c>
      <c r="B5184" s="24" t="s">
        <v>158</v>
      </c>
      <c r="C5184" s="32">
        <v>43.011000000000003</v>
      </c>
      <c r="D5184" s="28">
        <v>3.5416666666666666E-2</v>
      </c>
    </row>
    <row r="5185" spans="1:4" x14ac:dyDescent="0.25">
      <c r="A5185" s="24" t="s">
        <v>117</v>
      </c>
      <c r="B5185" s="24" t="s">
        <v>159</v>
      </c>
      <c r="C5185" s="32">
        <v>43.502000000000002</v>
      </c>
      <c r="D5185" s="28">
        <v>3.6805555555555557E-2</v>
      </c>
    </row>
    <row r="5186" spans="1:4" x14ac:dyDescent="0.25">
      <c r="A5186" s="24" t="s">
        <v>118</v>
      </c>
      <c r="B5186" s="24" t="s">
        <v>65</v>
      </c>
      <c r="C5186" s="32">
        <v>13.291</v>
      </c>
      <c r="D5186" s="28">
        <v>9.7222222222222224E-3</v>
      </c>
    </row>
    <row r="5187" spans="1:4" x14ac:dyDescent="0.25">
      <c r="A5187" s="24" t="s">
        <v>118</v>
      </c>
      <c r="B5187" s="24" t="s">
        <v>64</v>
      </c>
      <c r="C5187" s="32">
        <v>25.361000000000001</v>
      </c>
      <c r="D5187" s="28">
        <v>1.9444444444444445E-2</v>
      </c>
    </row>
    <row r="5188" spans="1:4" x14ac:dyDescent="0.25">
      <c r="A5188" s="24" t="s">
        <v>118</v>
      </c>
      <c r="B5188" s="24" t="s">
        <v>66</v>
      </c>
      <c r="C5188" s="32">
        <v>35.354999999999997</v>
      </c>
      <c r="D5188" s="28">
        <v>2.6388888888888889E-2</v>
      </c>
    </row>
    <row r="5189" spans="1:4" x14ac:dyDescent="0.25">
      <c r="A5189" s="24" t="s">
        <v>118</v>
      </c>
      <c r="B5189" s="24" t="s">
        <v>67</v>
      </c>
      <c r="C5189" s="32">
        <v>31.48</v>
      </c>
      <c r="D5189" s="28">
        <v>2.2222222222222223E-2</v>
      </c>
    </row>
    <row r="5190" spans="1:4" x14ac:dyDescent="0.25">
      <c r="A5190" s="24" t="s">
        <v>118</v>
      </c>
      <c r="B5190" s="24" t="s">
        <v>68</v>
      </c>
      <c r="C5190" s="32">
        <v>31.344000000000001</v>
      </c>
      <c r="D5190" s="28">
        <v>2.2222222222222223E-2</v>
      </c>
    </row>
    <row r="5191" spans="1:4" x14ac:dyDescent="0.25">
      <c r="A5191" s="24" t="s">
        <v>118</v>
      </c>
      <c r="B5191" s="24" t="s">
        <v>69</v>
      </c>
      <c r="C5191" s="32">
        <v>32.143999999999998</v>
      </c>
      <c r="D5191" s="28">
        <v>2.2916666666666669E-2</v>
      </c>
    </row>
    <row r="5192" spans="1:4" x14ac:dyDescent="0.25">
      <c r="A5192" s="24" t="s">
        <v>118</v>
      </c>
      <c r="B5192" s="24" t="s">
        <v>70</v>
      </c>
      <c r="C5192" s="32">
        <v>31.808</v>
      </c>
      <c r="D5192" s="28">
        <v>2.2222222222222223E-2</v>
      </c>
    </row>
    <row r="5193" spans="1:4" x14ac:dyDescent="0.25">
      <c r="A5193" s="24" t="s">
        <v>118</v>
      </c>
      <c r="B5193" s="24" t="s">
        <v>71</v>
      </c>
      <c r="C5193" s="32">
        <v>31.774999999999999</v>
      </c>
      <c r="D5193" s="28">
        <v>2.361111111111111E-2</v>
      </c>
    </row>
    <row r="5194" spans="1:4" x14ac:dyDescent="0.25">
      <c r="A5194" s="24" t="s">
        <v>118</v>
      </c>
      <c r="B5194" s="24" t="s">
        <v>72</v>
      </c>
      <c r="C5194" s="32">
        <v>30.943999999999999</v>
      </c>
      <c r="D5194" s="28">
        <v>2.1527777777777781E-2</v>
      </c>
    </row>
    <row r="5195" spans="1:4" x14ac:dyDescent="0.25">
      <c r="A5195" s="24" t="s">
        <v>118</v>
      </c>
      <c r="B5195" s="24" t="s">
        <v>73</v>
      </c>
      <c r="C5195" s="32">
        <v>28.055</v>
      </c>
      <c r="D5195" s="28">
        <v>2.2916666666666669E-2</v>
      </c>
    </row>
    <row r="5196" spans="1:4" x14ac:dyDescent="0.25">
      <c r="A5196" s="24" t="s">
        <v>118</v>
      </c>
      <c r="B5196" s="24" t="s">
        <v>74</v>
      </c>
      <c r="C5196" s="32">
        <v>27.312000000000001</v>
      </c>
      <c r="D5196" s="28">
        <v>2.2222222222222223E-2</v>
      </c>
    </row>
    <row r="5197" spans="1:4" x14ac:dyDescent="0.25">
      <c r="A5197" s="24" t="s">
        <v>118</v>
      </c>
      <c r="B5197" s="24" t="s">
        <v>75</v>
      </c>
      <c r="C5197" s="32">
        <v>26.347999999999999</v>
      </c>
      <c r="D5197" s="28">
        <v>2.013888888888889E-2</v>
      </c>
    </row>
    <row r="5198" spans="1:4" x14ac:dyDescent="0.25">
      <c r="A5198" s="24" t="s">
        <v>118</v>
      </c>
      <c r="B5198" s="24" t="s">
        <v>76</v>
      </c>
      <c r="C5198" s="32">
        <v>25.998000000000001</v>
      </c>
      <c r="D5198" s="28">
        <v>2.0833333333333332E-2</v>
      </c>
    </row>
    <row r="5199" spans="1:4" x14ac:dyDescent="0.25">
      <c r="A5199" s="24" t="s">
        <v>118</v>
      </c>
      <c r="B5199" s="24" t="s">
        <v>77</v>
      </c>
      <c r="C5199" s="32">
        <v>33.911999999999999</v>
      </c>
      <c r="D5199" s="28">
        <v>2.2916666666666669E-2</v>
      </c>
    </row>
    <row r="5200" spans="1:4" x14ac:dyDescent="0.25">
      <c r="A5200" s="24" t="s">
        <v>118</v>
      </c>
      <c r="B5200" s="24" t="s">
        <v>78</v>
      </c>
      <c r="C5200" s="32">
        <v>34.784999999999997</v>
      </c>
      <c r="D5200" s="28">
        <v>2.4999999999999998E-2</v>
      </c>
    </row>
    <row r="5201" spans="1:4" x14ac:dyDescent="0.25">
      <c r="A5201" s="24" t="s">
        <v>118</v>
      </c>
      <c r="B5201" s="24" t="s">
        <v>79</v>
      </c>
      <c r="C5201" s="32">
        <v>45.64</v>
      </c>
      <c r="D5201" s="28">
        <v>3.6111111111111115E-2</v>
      </c>
    </row>
    <row r="5202" spans="1:4" x14ac:dyDescent="0.25">
      <c r="A5202" s="24" t="s">
        <v>118</v>
      </c>
      <c r="B5202" s="24" t="s">
        <v>80</v>
      </c>
      <c r="C5202" s="32">
        <v>16.605</v>
      </c>
      <c r="D5202" s="28">
        <v>1.2499999999999999E-2</v>
      </c>
    </row>
    <row r="5203" spans="1:4" x14ac:dyDescent="0.25">
      <c r="A5203" s="24" t="s">
        <v>118</v>
      </c>
      <c r="B5203" s="24" t="s">
        <v>81</v>
      </c>
      <c r="C5203" s="32">
        <v>12.18</v>
      </c>
      <c r="D5203" s="28">
        <v>1.1111111111111112E-2</v>
      </c>
    </row>
    <row r="5204" spans="1:4" x14ac:dyDescent="0.25">
      <c r="A5204" s="24" t="s">
        <v>118</v>
      </c>
      <c r="B5204" s="24" t="s">
        <v>82</v>
      </c>
      <c r="C5204" s="32">
        <v>12.231999999999999</v>
      </c>
      <c r="D5204" s="28">
        <v>1.1111111111111112E-2</v>
      </c>
    </row>
    <row r="5205" spans="1:4" x14ac:dyDescent="0.25">
      <c r="A5205" s="24" t="s">
        <v>118</v>
      </c>
      <c r="B5205" s="24" t="s">
        <v>83</v>
      </c>
      <c r="C5205" s="32">
        <v>17.41</v>
      </c>
      <c r="D5205" s="28">
        <v>1.8055555555555557E-2</v>
      </c>
    </row>
    <row r="5206" spans="1:4" x14ac:dyDescent="0.25">
      <c r="A5206" s="24" t="s">
        <v>118</v>
      </c>
      <c r="B5206" s="24" t="s">
        <v>84</v>
      </c>
      <c r="C5206" s="32">
        <v>24.239000000000001</v>
      </c>
      <c r="D5206" s="28">
        <v>1.7361111111111112E-2</v>
      </c>
    </row>
    <row r="5207" spans="1:4" x14ac:dyDescent="0.25">
      <c r="A5207" s="24" t="s">
        <v>118</v>
      </c>
      <c r="B5207" s="24" t="s">
        <v>85</v>
      </c>
      <c r="C5207" s="32">
        <v>23.873000000000001</v>
      </c>
      <c r="D5207" s="28">
        <v>1.7361111111111112E-2</v>
      </c>
    </row>
    <row r="5208" spans="1:4" x14ac:dyDescent="0.25">
      <c r="A5208" s="24" t="s">
        <v>118</v>
      </c>
      <c r="B5208" s="24" t="s">
        <v>86</v>
      </c>
      <c r="C5208" s="32">
        <v>23.812999999999999</v>
      </c>
      <c r="D5208" s="28">
        <v>1.8749999999999999E-2</v>
      </c>
    </row>
    <row r="5209" spans="1:4" x14ac:dyDescent="0.25">
      <c r="A5209" s="24" t="s">
        <v>118</v>
      </c>
      <c r="B5209" s="24" t="s">
        <v>87</v>
      </c>
      <c r="C5209" s="32">
        <v>16.013999999999999</v>
      </c>
      <c r="D5209" s="28">
        <v>1.8749999999999999E-2</v>
      </c>
    </row>
    <row r="5210" spans="1:4" x14ac:dyDescent="0.25">
      <c r="A5210" s="24" t="s">
        <v>118</v>
      </c>
      <c r="B5210" s="24" t="s">
        <v>88</v>
      </c>
      <c r="C5210" s="32">
        <v>15.010999999999999</v>
      </c>
      <c r="D5210" s="28">
        <v>1.8055555555555557E-2</v>
      </c>
    </row>
    <row r="5211" spans="1:4" x14ac:dyDescent="0.25">
      <c r="A5211" s="24" t="s">
        <v>118</v>
      </c>
      <c r="B5211" s="24" t="s">
        <v>89</v>
      </c>
      <c r="C5211" s="32">
        <v>12.225</v>
      </c>
      <c r="D5211" s="28">
        <v>1.2499999999999999E-2</v>
      </c>
    </row>
    <row r="5212" spans="1:4" x14ac:dyDescent="0.25">
      <c r="A5212" s="24" t="s">
        <v>118</v>
      </c>
      <c r="B5212" s="24" t="s">
        <v>90</v>
      </c>
      <c r="C5212" s="32">
        <v>16.228000000000002</v>
      </c>
      <c r="D5212" s="28">
        <v>1.2499999999999999E-2</v>
      </c>
    </row>
    <row r="5213" spans="1:4" x14ac:dyDescent="0.25">
      <c r="A5213" s="24" t="s">
        <v>118</v>
      </c>
      <c r="B5213" s="24" t="s">
        <v>91</v>
      </c>
      <c r="C5213" s="32">
        <v>13.079000000000001</v>
      </c>
      <c r="D5213" s="28">
        <v>1.5277777777777777E-2</v>
      </c>
    </row>
    <row r="5214" spans="1:4" x14ac:dyDescent="0.25">
      <c r="A5214" s="24" t="s">
        <v>118</v>
      </c>
      <c r="B5214" s="24" t="s">
        <v>92</v>
      </c>
      <c r="C5214" s="32">
        <v>14.677</v>
      </c>
      <c r="D5214" s="28">
        <v>1.1805555555555555E-2</v>
      </c>
    </row>
    <row r="5215" spans="1:4" x14ac:dyDescent="0.25">
      <c r="A5215" s="24" t="s">
        <v>118</v>
      </c>
      <c r="B5215" s="24" t="s">
        <v>93</v>
      </c>
      <c r="C5215" s="32">
        <v>38.408000000000001</v>
      </c>
      <c r="D5215" s="28">
        <v>2.4999999999999998E-2</v>
      </c>
    </row>
    <row r="5216" spans="1:4" x14ac:dyDescent="0.25">
      <c r="A5216" s="24" t="s">
        <v>118</v>
      </c>
      <c r="B5216" s="24" t="s">
        <v>94</v>
      </c>
      <c r="C5216" s="32">
        <v>39.036999999999999</v>
      </c>
      <c r="D5216" s="28">
        <v>2.5694444444444447E-2</v>
      </c>
    </row>
    <row r="5217" spans="1:4" x14ac:dyDescent="0.25">
      <c r="A5217" s="24" t="s">
        <v>118</v>
      </c>
      <c r="B5217" s="24" t="s">
        <v>95</v>
      </c>
      <c r="C5217" s="32">
        <v>16.134</v>
      </c>
      <c r="D5217" s="28">
        <v>1.3888888888888888E-2</v>
      </c>
    </row>
    <row r="5218" spans="1:4" x14ac:dyDescent="0.25">
      <c r="A5218" s="24" t="s">
        <v>118</v>
      </c>
      <c r="B5218" s="24" t="s">
        <v>96</v>
      </c>
      <c r="C5218" s="32">
        <v>26.655999999999999</v>
      </c>
      <c r="D5218" s="28">
        <v>2.2222222222222223E-2</v>
      </c>
    </row>
    <row r="5219" spans="1:4" x14ac:dyDescent="0.25">
      <c r="A5219" s="24" t="s">
        <v>118</v>
      </c>
      <c r="B5219" s="24" t="s">
        <v>97</v>
      </c>
      <c r="C5219" s="32">
        <v>31.866</v>
      </c>
      <c r="D5219" s="28">
        <v>2.5694444444444447E-2</v>
      </c>
    </row>
    <row r="5220" spans="1:4" x14ac:dyDescent="0.25">
      <c r="A5220" s="24" t="s">
        <v>118</v>
      </c>
      <c r="B5220" s="24" t="s">
        <v>98</v>
      </c>
      <c r="C5220" s="32">
        <v>23.806000000000001</v>
      </c>
      <c r="D5220" s="28">
        <v>1.8749999999999999E-2</v>
      </c>
    </row>
    <row r="5221" spans="1:4" x14ac:dyDescent="0.25">
      <c r="A5221" s="24" t="s">
        <v>118</v>
      </c>
      <c r="B5221" s="24" t="s">
        <v>99</v>
      </c>
      <c r="C5221" s="32">
        <v>28.225999999999999</v>
      </c>
      <c r="D5221" s="28">
        <v>2.2222222222222223E-2</v>
      </c>
    </row>
    <row r="5222" spans="1:4" x14ac:dyDescent="0.25">
      <c r="A5222" s="24" t="s">
        <v>118</v>
      </c>
      <c r="B5222" s="24" t="s">
        <v>100</v>
      </c>
      <c r="C5222" s="32">
        <v>21.22</v>
      </c>
      <c r="D5222" s="28">
        <v>1.5277777777777777E-2</v>
      </c>
    </row>
    <row r="5223" spans="1:4" x14ac:dyDescent="0.25">
      <c r="A5223" s="24" t="s">
        <v>118</v>
      </c>
      <c r="B5223" s="24" t="s">
        <v>101</v>
      </c>
      <c r="C5223" s="32">
        <v>22.856999999999999</v>
      </c>
      <c r="D5223" s="28">
        <v>1.8749999999999999E-2</v>
      </c>
    </row>
    <row r="5224" spans="1:4" x14ac:dyDescent="0.25">
      <c r="A5224" s="24" t="s">
        <v>118</v>
      </c>
      <c r="B5224" s="24" t="s">
        <v>102</v>
      </c>
      <c r="C5224" s="32">
        <v>22.283999999999999</v>
      </c>
      <c r="D5224" s="28">
        <v>1.8055555555555557E-2</v>
      </c>
    </row>
    <row r="5225" spans="1:4" x14ac:dyDescent="0.25">
      <c r="A5225" s="24" t="s">
        <v>118</v>
      </c>
      <c r="B5225" s="24" t="s">
        <v>103</v>
      </c>
      <c r="C5225" s="32">
        <v>14.324</v>
      </c>
      <c r="D5225" s="28">
        <v>1.2499999999999999E-2</v>
      </c>
    </row>
    <row r="5226" spans="1:4" x14ac:dyDescent="0.25">
      <c r="A5226" s="24" t="s">
        <v>118</v>
      </c>
      <c r="B5226" s="24" t="s">
        <v>104</v>
      </c>
      <c r="C5226" s="32">
        <v>11.898999999999999</v>
      </c>
      <c r="D5226" s="28">
        <v>9.7222222222222224E-3</v>
      </c>
    </row>
    <row r="5227" spans="1:4" x14ac:dyDescent="0.25">
      <c r="A5227" s="24" t="s">
        <v>118</v>
      </c>
      <c r="B5227" s="24" t="s">
        <v>105</v>
      </c>
      <c r="C5227" s="32">
        <v>13.162000000000001</v>
      </c>
      <c r="D5227" s="28">
        <v>1.4583333333333332E-2</v>
      </c>
    </row>
    <row r="5228" spans="1:4" x14ac:dyDescent="0.25">
      <c r="A5228" s="24" t="s">
        <v>118</v>
      </c>
      <c r="B5228" s="24" t="s">
        <v>106</v>
      </c>
      <c r="C5228" s="32">
        <v>18.184000000000001</v>
      </c>
      <c r="D5228" s="28">
        <v>1.3888888888888888E-2</v>
      </c>
    </row>
    <row r="5229" spans="1:4" x14ac:dyDescent="0.25">
      <c r="A5229" s="24" t="s">
        <v>118</v>
      </c>
      <c r="B5229" s="24" t="s">
        <v>107</v>
      </c>
      <c r="C5229" s="32">
        <v>11.497999999999999</v>
      </c>
      <c r="D5229" s="28">
        <v>1.3194444444444444E-2</v>
      </c>
    </row>
    <row r="5230" spans="1:4" x14ac:dyDescent="0.25">
      <c r="A5230" s="24" t="s">
        <v>118</v>
      </c>
      <c r="B5230" s="24" t="s">
        <v>108</v>
      </c>
      <c r="C5230" s="32">
        <v>12.095000000000001</v>
      </c>
      <c r="D5230" s="28">
        <v>1.1805555555555555E-2</v>
      </c>
    </row>
    <row r="5231" spans="1:4" x14ac:dyDescent="0.25">
      <c r="A5231" s="24" t="s">
        <v>118</v>
      </c>
      <c r="B5231" s="24" t="s">
        <v>109</v>
      </c>
      <c r="C5231" s="32">
        <v>12.065</v>
      </c>
      <c r="D5231" s="28">
        <v>1.1805555555555555E-2</v>
      </c>
    </row>
    <row r="5232" spans="1:4" x14ac:dyDescent="0.25">
      <c r="A5232" s="24" t="s">
        <v>118</v>
      </c>
      <c r="B5232" s="24" t="s">
        <v>110</v>
      </c>
      <c r="C5232" s="32">
        <v>15.938000000000001</v>
      </c>
      <c r="D5232" s="28">
        <v>1.3888888888888888E-2</v>
      </c>
    </row>
    <row r="5233" spans="1:4" x14ac:dyDescent="0.25">
      <c r="A5233" s="24" t="s">
        <v>118</v>
      </c>
      <c r="B5233" s="24" t="s">
        <v>111</v>
      </c>
      <c r="C5233" s="32">
        <v>12.391999999999999</v>
      </c>
      <c r="D5233" s="28">
        <v>9.7222222222222224E-3</v>
      </c>
    </row>
    <row r="5234" spans="1:4" x14ac:dyDescent="0.25">
      <c r="A5234" s="24" t="s">
        <v>118</v>
      </c>
      <c r="B5234" s="24" t="s">
        <v>112</v>
      </c>
      <c r="C5234" s="32">
        <v>7.4269999999999996</v>
      </c>
      <c r="D5234" s="28">
        <v>1.0416666666666666E-2</v>
      </c>
    </row>
    <row r="5235" spans="1:4" x14ac:dyDescent="0.25">
      <c r="A5235" s="24" t="s">
        <v>118</v>
      </c>
      <c r="B5235" s="24" t="s">
        <v>113</v>
      </c>
      <c r="C5235" s="32">
        <v>11.58</v>
      </c>
      <c r="D5235" s="28">
        <v>1.0416666666666666E-2</v>
      </c>
    </row>
    <row r="5236" spans="1:4" x14ac:dyDescent="0.25">
      <c r="A5236" s="24" t="s">
        <v>118</v>
      </c>
      <c r="B5236" s="24" t="s">
        <v>114</v>
      </c>
      <c r="C5236" s="32">
        <v>19.672000000000001</v>
      </c>
      <c r="D5236" s="28">
        <v>1.3888888888888888E-2</v>
      </c>
    </row>
    <row r="5237" spans="1:4" x14ac:dyDescent="0.25">
      <c r="A5237" s="24" t="s">
        <v>118</v>
      </c>
      <c r="B5237" s="24" t="s">
        <v>115</v>
      </c>
      <c r="C5237" s="32">
        <v>19.523</v>
      </c>
      <c r="D5237" s="28">
        <v>1.3888888888888888E-2</v>
      </c>
    </row>
    <row r="5238" spans="1:4" x14ac:dyDescent="0.25">
      <c r="A5238" s="24" t="s">
        <v>118</v>
      </c>
      <c r="B5238" s="24" t="s">
        <v>116</v>
      </c>
      <c r="C5238" s="32">
        <v>13.673</v>
      </c>
      <c r="D5238" s="28">
        <v>1.1111111111111112E-2</v>
      </c>
    </row>
    <row r="5239" spans="1:4" x14ac:dyDescent="0.25">
      <c r="A5239" s="24" t="s">
        <v>118</v>
      </c>
      <c r="B5239" s="24" t="s">
        <v>117</v>
      </c>
      <c r="C5239" s="32">
        <v>14.093999999999999</v>
      </c>
      <c r="D5239" s="28">
        <v>1.3194444444444444E-2</v>
      </c>
    </row>
    <row r="5240" spans="1:4" x14ac:dyDescent="0.25">
      <c r="A5240" s="24" t="s">
        <v>118</v>
      </c>
      <c r="B5240" s="24" t="s">
        <v>118</v>
      </c>
      <c r="C5240" s="32">
        <v>0</v>
      </c>
      <c r="D5240" s="28">
        <v>0</v>
      </c>
    </row>
    <row r="5241" spans="1:4" x14ac:dyDescent="0.25">
      <c r="A5241" s="24" t="s">
        <v>118</v>
      </c>
      <c r="B5241" s="24" t="s">
        <v>119</v>
      </c>
      <c r="C5241" s="32">
        <v>16.681999999999999</v>
      </c>
      <c r="D5241" s="28">
        <v>1.2499999999999999E-2</v>
      </c>
    </row>
    <row r="5242" spans="1:4" x14ac:dyDescent="0.25">
      <c r="A5242" s="24" t="s">
        <v>118</v>
      </c>
      <c r="B5242" s="24" t="s">
        <v>120</v>
      </c>
      <c r="C5242" s="32">
        <v>19.472000000000001</v>
      </c>
      <c r="D5242" s="28">
        <v>1.5277777777777777E-2</v>
      </c>
    </row>
    <row r="5243" spans="1:4" x14ac:dyDescent="0.25">
      <c r="A5243" s="24" t="s">
        <v>118</v>
      </c>
      <c r="B5243" s="24" t="s">
        <v>121</v>
      </c>
      <c r="C5243" s="32">
        <v>33.823</v>
      </c>
      <c r="D5243" s="28">
        <v>2.2222222222222223E-2</v>
      </c>
    </row>
    <row r="5244" spans="1:4" x14ac:dyDescent="0.25">
      <c r="A5244" s="24" t="s">
        <v>118</v>
      </c>
      <c r="B5244" s="24" t="s">
        <v>122</v>
      </c>
      <c r="C5244" s="32">
        <v>22.815999999999999</v>
      </c>
      <c r="D5244" s="28">
        <v>1.9444444444444445E-2</v>
      </c>
    </row>
    <row r="5245" spans="1:4" x14ac:dyDescent="0.25">
      <c r="A5245" s="24" t="s">
        <v>118</v>
      </c>
      <c r="B5245" s="24" t="s">
        <v>123</v>
      </c>
      <c r="C5245" s="32">
        <v>27.408000000000001</v>
      </c>
      <c r="D5245" s="28">
        <v>1.8749999999999999E-2</v>
      </c>
    </row>
    <row r="5246" spans="1:4" x14ac:dyDescent="0.25">
      <c r="A5246" s="24" t="s">
        <v>118</v>
      </c>
      <c r="B5246" s="24" t="s">
        <v>124</v>
      </c>
      <c r="C5246" s="32">
        <v>27.408000000000001</v>
      </c>
      <c r="D5246" s="28">
        <v>1.8749999999999999E-2</v>
      </c>
    </row>
    <row r="5247" spans="1:4" x14ac:dyDescent="0.25">
      <c r="A5247" s="24" t="s">
        <v>118</v>
      </c>
      <c r="B5247" s="24" t="s">
        <v>125</v>
      </c>
      <c r="C5247" s="32">
        <v>23.143999999999998</v>
      </c>
      <c r="D5247" s="28">
        <v>1.9444444444444445E-2</v>
      </c>
    </row>
    <row r="5248" spans="1:4" x14ac:dyDescent="0.25">
      <c r="A5248" s="24" t="s">
        <v>118</v>
      </c>
      <c r="B5248" s="24" t="s">
        <v>126</v>
      </c>
      <c r="C5248" s="32">
        <v>22.882000000000001</v>
      </c>
      <c r="D5248" s="28">
        <v>1.8749999999999999E-2</v>
      </c>
    </row>
    <row r="5249" spans="1:4" x14ac:dyDescent="0.25">
      <c r="A5249" s="24" t="s">
        <v>118</v>
      </c>
      <c r="B5249" s="24" t="s">
        <v>127</v>
      </c>
      <c r="C5249" s="32">
        <v>21.876000000000001</v>
      </c>
      <c r="D5249" s="28">
        <v>1.7361111111111112E-2</v>
      </c>
    </row>
    <row r="5250" spans="1:4" x14ac:dyDescent="0.25">
      <c r="A5250" s="24" t="s">
        <v>118</v>
      </c>
      <c r="B5250" s="24" t="s">
        <v>128</v>
      </c>
      <c r="C5250" s="32">
        <v>25.504000000000001</v>
      </c>
      <c r="D5250" s="28">
        <v>1.8055555555555557E-2</v>
      </c>
    </row>
    <row r="5251" spans="1:4" x14ac:dyDescent="0.25">
      <c r="A5251" s="24" t="s">
        <v>118</v>
      </c>
      <c r="B5251" s="24" t="s">
        <v>129</v>
      </c>
      <c r="C5251" s="32">
        <v>25.504000000000001</v>
      </c>
      <c r="D5251" s="28">
        <v>1.8055555555555557E-2</v>
      </c>
    </row>
    <row r="5252" spans="1:4" x14ac:dyDescent="0.25">
      <c r="A5252" s="24" t="s">
        <v>118</v>
      </c>
      <c r="B5252" s="24" t="s">
        <v>130</v>
      </c>
      <c r="C5252" s="32">
        <v>24.882999999999999</v>
      </c>
      <c r="D5252" s="28">
        <v>2.013888888888889E-2</v>
      </c>
    </row>
    <row r="5253" spans="1:4" x14ac:dyDescent="0.25">
      <c r="A5253" s="24" t="s">
        <v>118</v>
      </c>
      <c r="B5253" s="24" t="s">
        <v>131</v>
      </c>
      <c r="C5253" s="32">
        <v>20.867999999999999</v>
      </c>
      <c r="D5253" s="28">
        <v>1.8749999999999999E-2</v>
      </c>
    </row>
    <row r="5254" spans="1:4" x14ac:dyDescent="0.25">
      <c r="A5254" s="24" t="s">
        <v>118</v>
      </c>
      <c r="B5254" s="24" t="s">
        <v>132</v>
      </c>
      <c r="C5254" s="32">
        <v>31.800999999999998</v>
      </c>
      <c r="D5254" s="28">
        <v>2.4305555555555556E-2</v>
      </c>
    </row>
    <row r="5255" spans="1:4" x14ac:dyDescent="0.25">
      <c r="A5255" s="24" t="s">
        <v>118</v>
      </c>
      <c r="B5255" s="24" t="s">
        <v>133</v>
      </c>
      <c r="C5255" s="32">
        <v>21.677</v>
      </c>
      <c r="D5255" s="28">
        <v>1.7361111111111112E-2</v>
      </c>
    </row>
    <row r="5256" spans="1:4" x14ac:dyDescent="0.25">
      <c r="A5256" s="24" t="s">
        <v>118</v>
      </c>
      <c r="B5256" s="24" t="s">
        <v>134</v>
      </c>
      <c r="C5256" s="32">
        <v>21.210999999999999</v>
      </c>
      <c r="D5256" s="28">
        <v>1.6666666666666666E-2</v>
      </c>
    </row>
    <row r="5257" spans="1:4" x14ac:dyDescent="0.25">
      <c r="A5257" s="24" t="s">
        <v>118</v>
      </c>
      <c r="B5257" s="24" t="s">
        <v>135</v>
      </c>
      <c r="C5257" s="32">
        <v>22.632000000000001</v>
      </c>
      <c r="D5257" s="28">
        <v>1.7361111111111112E-2</v>
      </c>
    </row>
    <row r="5258" spans="1:4" x14ac:dyDescent="0.25">
      <c r="A5258" s="24" t="s">
        <v>118</v>
      </c>
      <c r="B5258" s="24" t="s">
        <v>136</v>
      </c>
      <c r="C5258" s="32">
        <v>22.632000000000001</v>
      </c>
      <c r="D5258" s="28">
        <v>1.7361111111111112E-2</v>
      </c>
    </row>
    <row r="5259" spans="1:4" x14ac:dyDescent="0.25">
      <c r="A5259" s="24" t="s">
        <v>118</v>
      </c>
      <c r="B5259" s="24" t="s">
        <v>137</v>
      </c>
      <c r="C5259" s="32">
        <v>24.308</v>
      </c>
      <c r="D5259" s="28">
        <v>1.8055555555555557E-2</v>
      </c>
    </row>
    <row r="5260" spans="1:4" x14ac:dyDescent="0.25">
      <c r="A5260" s="24" t="s">
        <v>118</v>
      </c>
      <c r="B5260" s="24" t="s">
        <v>138</v>
      </c>
      <c r="C5260" s="32">
        <v>19.376999999999999</v>
      </c>
      <c r="D5260" s="28">
        <v>1.5277777777777777E-2</v>
      </c>
    </row>
    <row r="5261" spans="1:4" x14ac:dyDescent="0.25">
      <c r="A5261" s="24" t="s">
        <v>118</v>
      </c>
      <c r="B5261" s="24" t="s">
        <v>139</v>
      </c>
      <c r="C5261" s="32">
        <v>28.311</v>
      </c>
      <c r="D5261" s="28">
        <v>1.6666666666666666E-2</v>
      </c>
    </row>
    <row r="5262" spans="1:4" x14ac:dyDescent="0.25">
      <c r="A5262" s="24" t="s">
        <v>118</v>
      </c>
      <c r="B5262" s="24" t="s">
        <v>140</v>
      </c>
      <c r="C5262" s="32">
        <v>28.129000000000001</v>
      </c>
      <c r="D5262" s="28">
        <v>1.9444444444444445E-2</v>
      </c>
    </row>
    <row r="5263" spans="1:4" x14ac:dyDescent="0.25">
      <c r="A5263" s="24" t="s">
        <v>118</v>
      </c>
      <c r="B5263" s="24" t="s">
        <v>141</v>
      </c>
      <c r="C5263" s="32">
        <v>53.021999999999998</v>
      </c>
      <c r="D5263" s="28">
        <v>3.6111111111111115E-2</v>
      </c>
    </row>
    <row r="5264" spans="1:4" x14ac:dyDescent="0.25">
      <c r="A5264" s="24" t="s">
        <v>118</v>
      </c>
      <c r="B5264" s="24" t="s">
        <v>142</v>
      </c>
      <c r="C5264" s="32">
        <v>51.11</v>
      </c>
      <c r="D5264" s="28">
        <v>2.8472222222222222E-2</v>
      </c>
    </row>
    <row r="5265" spans="1:4" x14ac:dyDescent="0.25">
      <c r="A5265" s="24" t="s">
        <v>118</v>
      </c>
      <c r="B5265" s="24" t="s">
        <v>143</v>
      </c>
      <c r="C5265" s="32">
        <v>69.488</v>
      </c>
      <c r="D5265" s="28">
        <v>3.6111111111111115E-2</v>
      </c>
    </row>
    <row r="5266" spans="1:4" x14ac:dyDescent="0.25">
      <c r="A5266" s="24" t="s">
        <v>118</v>
      </c>
      <c r="B5266" s="24" t="s">
        <v>144</v>
      </c>
      <c r="C5266" s="32">
        <v>88.603999999999999</v>
      </c>
      <c r="D5266" s="28">
        <v>4.6527777777777779E-2</v>
      </c>
    </row>
    <row r="5267" spans="1:4" x14ac:dyDescent="0.25">
      <c r="A5267" s="24" t="s">
        <v>118</v>
      </c>
      <c r="B5267" s="24" t="s">
        <v>145</v>
      </c>
      <c r="C5267" s="32">
        <v>33.118000000000002</v>
      </c>
      <c r="D5267" s="28">
        <v>2.1527777777777781E-2</v>
      </c>
    </row>
    <row r="5268" spans="1:4" x14ac:dyDescent="0.25">
      <c r="A5268" s="24" t="s">
        <v>118</v>
      </c>
      <c r="B5268" s="24" t="s">
        <v>146</v>
      </c>
      <c r="C5268" s="32">
        <v>48.576999999999998</v>
      </c>
      <c r="D5268" s="28">
        <v>2.9166666666666664E-2</v>
      </c>
    </row>
    <row r="5269" spans="1:4" x14ac:dyDescent="0.25">
      <c r="A5269" s="24" t="s">
        <v>118</v>
      </c>
      <c r="B5269" s="24" t="s">
        <v>147</v>
      </c>
      <c r="C5269" s="32">
        <v>18.337</v>
      </c>
      <c r="D5269" s="28">
        <v>1.3194444444444444E-2</v>
      </c>
    </row>
    <row r="5270" spans="1:4" x14ac:dyDescent="0.25">
      <c r="A5270" s="24" t="s">
        <v>118</v>
      </c>
      <c r="B5270" s="24" t="s">
        <v>148</v>
      </c>
      <c r="C5270" s="32">
        <v>21.411000000000001</v>
      </c>
      <c r="D5270" s="28">
        <v>1.5277777777777777E-2</v>
      </c>
    </row>
    <row r="5271" spans="1:4" x14ac:dyDescent="0.25">
      <c r="A5271" s="24" t="s">
        <v>118</v>
      </c>
      <c r="B5271" s="24" t="s">
        <v>149</v>
      </c>
      <c r="C5271" s="32">
        <v>31.907</v>
      </c>
      <c r="D5271" s="28">
        <v>2.4999999999999998E-2</v>
      </c>
    </row>
    <row r="5272" spans="1:4" x14ac:dyDescent="0.25">
      <c r="A5272" s="24" t="s">
        <v>118</v>
      </c>
      <c r="B5272" s="24" t="s">
        <v>150</v>
      </c>
      <c r="C5272" s="32">
        <v>41.393999999999998</v>
      </c>
      <c r="D5272" s="28">
        <v>3.3333333333333333E-2</v>
      </c>
    </row>
    <row r="5273" spans="1:4" x14ac:dyDescent="0.25">
      <c r="A5273" s="24" t="s">
        <v>118</v>
      </c>
      <c r="B5273" s="24" t="s">
        <v>151</v>
      </c>
      <c r="C5273" s="32">
        <v>40.652000000000001</v>
      </c>
      <c r="D5273" s="28">
        <v>3.3333333333333333E-2</v>
      </c>
    </row>
    <row r="5274" spans="1:4" x14ac:dyDescent="0.25">
      <c r="A5274" s="24" t="s">
        <v>118</v>
      </c>
      <c r="B5274" s="24" t="s">
        <v>152</v>
      </c>
      <c r="C5274" s="32">
        <v>39.542999999999999</v>
      </c>
      <c r="D5274" s="28">
        <v>3.4722222222222224E-2</v>
      </c>
    </row>
    <row r="5275" spans="1:4" x14ac:dyDescent="0.25">
      <c r="A5275" s="24" t="s">
        <v>118</v>
      </c>
      <c r="B5275" s="24" t="s">
        <v>153</v>
      </c>
      <c r="C5275" s="32">
        <v>44.07</v>
      </c>
      <c r="D5275" s="28">
        <v>4.1666666666666664E-2</v>
      </c>
    </row>
    <row r="5276" spans="1:4" x14ac:dyDescent="0.25">
      <c r="A5276" s="24" t="s">
        <v>118</v>
      </c>
      <c r="B5276" s="24" t="s">
        <v>154</v>
      </c>
      <c r="C5276" s="32">
        <v>38.878999999999998</v>
      </c>
      <c r="D5276" s="28">
        <v>3.5416666666666666E-2</v>
      </c>
    </row>
    <row r="5277" spans="1:4" x14ac:dyDescent="0.25">
      <c r="A5277" s="24" t="s">
        <v>118</v>
      </c>
      <c r="B5277" s="24" t="s">
        <v>155</v>
      </c>
      <c r="C5277" s="32">
        <v>41.256</v>
      </c>
      <c r="D5277" s="28">
        <v>3.4027777777777775E-2</v>
      </c>
    </row>
    <row r="5278" spans="1:4" x14ac:dyDescent="0.25">
      <c r="A5278" s="24" t="s">
        <v>118</v>
      </c>
      <c r="B5278" s="24" t="s">
        <v>156</v>
      </c>
      <c r="C5278" s="32">
        <v>41.24</v>
      </c>
      <c r="D5278" s="28">
        <v>3.3333333333333333E-2</v>
      </c>
    </row>
    <row r="5279" spans="1:4" x14ac:dyDescent="0.25">
      <c r="A5279" s="24" t="s">
        <v>118</v>
      </c>
      <c r="B5279" s="24" t="s">
        <v>157</v>
      </c>
      <c r="C5279" s="32">
        <v>38.441000000000003</v>
      </c>
      <c r="D5279" s="28">
        <v>3.125E-2</v>
      </c>
    </row>
    <row r="5280" spans="1:4" x14ac:dyDescent="0.25">
      <c r="A5280" s="24" t="s">
        <v>118</v>
      </c>
      <c r="B5280" s="24" t="s">
        <v>158</v>
      </c>
      <c r="C5280" s="32">
        <v>49.195</v>
      </c>
      <c r="D5280" s="28">
        <v>3.888888888888889E-2</v>
      </c>
    </row>
    <row r="5281" spans="1:4" x14ac:dyDescent="0.25">
      <c r="A5281" s="24" t="s">
        <v>118</v>
      </c>
      <c r="B5281" s="24" t="s">
        <v>159</v>
      </c>
      <c r="C5281" s="32">
        <v>49.25</v>
      </c>
      <c r="D5281" s="28">
        <v>4.027777777777778E-2</v>
      </c>
    </row>
    <row r="5282" spans="1:4" x14ac:dyDescent="0.25">
      <c r="A5282" s="24" t="s">
        <v>119</v>
      </c>
      <c r="B5282" s="24" t="s">
        <v>65</v>
      </c>
      <c r="C5282" s="32">
        <v>23.481999999999999</v>
      </c>
      <c r="D5282" s="28">
        <v>1.7361111111111112E-2</v>
      </c>
    </row>
    <row r="5283" spans="1:4" x14ac:dyDescent="0.25">
      <c r="A5283" s="24" t="s">
        <v>119</v>
      </c>
      <c r="B5283" s="24" t="s">
        <v>64</v>
      </c>
      <c r="C5283" s="32">
        <v>37.49</v>
      </c>
      <c r="D5283" s="28">
        <v>2.7083333333333334E-2</v>
      </c>
    </row>
    <row r="5284" spans="1:4" x14ac:dyDescent="0.25">
      <c r="A5284" s="24" t="s">
        <v>119</v>
      </c>
      <c r="B5284" s="24" t="s">
        <v>66</v>
      </c>
      <c r="C5284" s="32">
        <v>41.88</v>
      </c>
      <c r="D5284" s="28">
        <v>3.0555555555555555E-2</v>
      </c>
    </row>
    <row r="5285" spans="1:4" x14ac:dyDescent="0.25">
      <c r="A5285" s="24" t="s">
        <v>119</v>
      </c>
      <c r="B5285" s="24" t="s">
        <v>67</v>
      </c>
      <c r="C5285" s="32">
        <v>40.207999999999998</v>
      </c>
      <c r="D5285" s="28">
        <v>2.7777777777777776E-2</v>
      </c>
    </row>
    <row r="5286" spans="1:4" x14ac:dyDescent="0.25">
      <c r="A5286" s="24" t="s">
        <v>119</v>
      </c>
      <c r="B5286" s="24" t="s">
        <v>68</v>
      </c>
      <c r="C5286" s="32">
        <v>40.072000000000003</v>
      </c>
      <c r="D5286" s="28">
        <v>2.7777777777777776E-2</v>
      </c>
    </row>
    <row r="5287" spans="1:4" x14ac:dyDescent="0.25">
      <c r="A5287" s="24" t="s">
        <v>119</v>
      </c>
      <c r="B5287" s="24" t="s">
        <v>69</v>
      </c>
      <c r="C5287" s="32">
        <v>40.872</v>
      </c>
      <c r="D5287" s="28">
        <v>2.9166666666666664E-2</v>
      </c>
    </row>
    <row r="5288" spans="1:4" x14ac:dyDescent="0.25">
      <c r="A5288" s="24" t="s">
        <v>119</v>
      </c>
      <c r="B5288" s="24" t="s">
        <v>70</v>
      </c>
      <c r="C5288" s="32">
        <v>40.536000000000001</v>
      </c>
      <c r="D5288" s="28">
        <v>2.8472222222222222E-2</v>
      </c>
    </row>
    <row r="5289" spans="1:4" x14ac:dyDescent="0.25">
      <c r="A5289" s="24" t="s">
        <v>119</v>
      </c>
      <c r="B5289" s="24" t="s">
        <v>71</v>
      </c>
      <c r="C5289" s="32">
        <v>40.503</v>
      </c>
      <c r="D5289" s="28">
        <v>2.9166666666666664E-2</v>
      </c>
    </row>
    <row r="5290" spans="1:4" x14ac:dyDescent="0.25">
      <c r="A5290" s="24" t="s">
        <v>119</v>
      </c>
      <c r="B5290" s="24" t="s">
        <v>72</v>
      </c>
      <c r="C5290" s="32">
        <v>39.671999999999997</v>
      </c>
      <c r="D5290" s="28">
        <v>2.7777777777777776E-2</v>
      </c>
    </row>
    <row r="5291" spans="1:4" x14ac:dyDescent="0.25">
      <c r="A5291" s="24" t="s">
        <v>119</v>
      </c>
      <c r="B5291" s="24" t="s">
        <v>73</v>
      </c>
      <c r="C5291" s="32">
        <v>36.966999999999999</v>
      </c>
      <c r="D5291" s="28">
        <v>2.7083333333333334E-2</v>
      </c>
    </row>
    <row r="5292" spans="1:4" x14ac:dyDescent="0.25">
      <c r="A5292" s="24" t="s">
        <v>119</v>
      </c>
      <c r="B5292" s="24" t="s">
        <v>74</v>
      </c>
      <c r="C5292" s="32">
        <v>36.223999999999997</v>
      </c>
      <c r="D5292" s="28">
        <v>2.6388888888888889E-2</v>
      </c>
    </row>
    <row r="5293" spans="1:4" x14ac:dyDescent="0.25">
      <c r="A5293" s="24" t="s">
        <v>119</v>
      </c>
      <c r="B5293" s="24" t="s">
        <v>75</v>
      </c>
      <c r="C5293" s="32">
        <v>35.26</v>
      </c>
      <c r="D5293" s="28">
        <v>2.4999999999999998E-2</v>
      </c>
    </row>
    <row r="5294" spans="1:4" x14ac:dyDescent="0.25">
      <c r="A5294" s="24" t="s">
        <v>119</v>
      </c>
      <c r="B5294" s="24" t="s">
        <v>76</v>
      </c>
      <c r="C5294" s="32">
        <v>34.725999999999999</v>
      </c>
      <c r="D5294" s="28">
        <v>2.6388888888888889E-2</v>
      </c>
    </row>
    <row r="5295" spans="1:4" x14ac:dyDescent="0.25">
      <c r="A5295" s="24" t="s">
        <v>119</v>
      </c>
      <c r="B5295" s="24" t="s">
        <v>77</v>
      </c>
      <c r="C5295" s="32">
        <v>42.64</v>
      </c>
      <c r="D5295" s="28">
        <v>2.9166666666666664E-2</v>
      </c>
    </row>
    <row r="5296" spans="1:4" x14ac:dyDescent="0.25">
      <c r="A5296" s="24" t="s">
        <v>119</v>
      </c>
      <c r="B5296" s="24" t="s">
        <v>78</v>
      </c>
      <c r="C5296" s="32">
        <v>43.512999999999998</v>
      </c>
      <c r="D5296" s="28">
        <v>3.0555555555555555E-2</v>
      </c>
    </row>
    <row r="5297" spans="1:4" x14ac:dyDescent="0.25">
      <c r="A5297" s="24" t="s">
        <v>119</v>
      </c>
      <c r="B5297" s="24" t="s">
        <v>79</v>
      </c>
      <c r="C5297" s="32">
        <v>62.473999999999997</v>
      </c>
      <c r="D5297" s="28">
        <v>4.0972222222222222E-2</v>
      </c>
    </row>
    <row r="5298" spans="1:4" x14ac:dyDescent="0.25">
      <c r="A5298" s="24" t="s">
        <v>119</v>
      </c>
      <c r="B5298" s="24" t="s">
        <v>80</v>
      </c>
      <c r="C5298" s="32">
        <v>21.481999999999999</v>
      </c>
      <c r="D5298" s="28">
        <v>1.5972222222222224E-2</v>
      </c>
    </row>
    <row r="5299" spans="1:4" x14ac:dyDescent="0.25">
      <c r="A5299" s="24" t="s">
        <v>119</v>
      </c>
      <c r="B5299" s="24" t="s">
        <v>81</v>
      </c>
      <c r="C5299" s="32">
        <v>17.768999999999998</v>
      </c>
      <c r="D5299" s="28">
        <v>1.3194444444444444E-2</v>
      </c>
    </row>
    <row r="5300" spans="1:4" x14ac:dyDescent="0.25">
      <c r="A5300" s="24" t="s">
        <v>119</v>
      </c>
      <c r="B5300" s="24" t="s">
        <v>82</v>
      </c>
      <c r="C5300" s="32">
        <v>17.821000000000002</v>
      </c>
      <c r="D5300" s="28">
        <v>1.3194444444444444E-2</v>
      </c>
    </row>
    <row r="5301" spans="1:4" x14ac:dyDescent="0.25">
      <c r="A5301" s="24" t="s">
        <v>119</v>
      </c>
      <c r="B5301" s="24" t="s">
        <v>83</v>
      </c>
      <c r="C5301" s="32">
        <v>35.683</v>
      </c>
      <c r="D5301" s="28">
        <v>2.5694444444444447E-2</v>
      </c>
    </row>
    <row r="5302" spans="1:4" x14ac:dyDescent="0.25">
      <c r="A5302" s="24" t="s">
        <v>119</v>
      </c>
      <c r="B5302" s="24" t="s">
        <v>84</v>
      </c>
      <c r="C5302" s="32">
        <v>33.155999999999999</v>
      </c>
      <c r="D5302" s="28">
        <v>2.1527777777777781E-2</v>
      </c>
    </row>
    <row r="5303" spans="1:4" x14ac:dyDescent="0.25">
      <c r="A5303" s="24" t="s">
        <v>119</v>
      </c>
      <c r="B5303" s="24" t="s">
        <v>85</v>
      </c>
      <c r="C5303" s="32">
        <v>32.784999999999997</v>
      </c>
      <c r="D5303" s="28">
        <v>2.1527777777777781E-2</v>
      </c>
    </row>
    <row r="5304" spans="1:4" x14ac:dyDescent="0.25">
      <c r="A5304" s="24" t="s">
        <v>119</v>
      </c>
      <c r="B5304" s="24" t="s">
        <v>86</v>
      </c>
      <c r="C5304" s="32">
        <v>32.729999999999997</v>
      </c>
      <c r="D5304" s="28">
        <v>2.2916666666666669E-2</v>
      </c>
    </row>
    <row r="5305" spans="1:4" x14ac:dyDescent="0.25">
      <c r="A5305" s="24" t="s">
        <v>119</v>
      </c>
      <c r="B5305" s="24" t="s">
        <v>87</v>
      </c>
      <c r="C5305" s="32">
        <v>32.508000000000003</v>
      </c>
      <c r="D5305" s="28">
        <v>2.2916666666666669E-2</v>
      </c>
    </row>
    <row r="5306" spans="1:4" x14ac:dyDescent="0.25">
      <c r="A5306" s="24" t="s">
        <v>119</v>
      </c>
      <c r="B5306" s="24" t="s">
        <v>88</v>
      </c>
      <c r="C5306" s="32">
        <v>33.587000000000003</v>
      </c>
      <c r="D5306" s="28">
        <v>2.361111111111111E-2</v>
      </c>
    </row>
    <row r="5307" spans="1:4" x14ac:dyDescent="0.25">
      <c r="A5307" s="24" t="s">
        <v>119</v>
      </c>
      <c r="B5307" s="24" t="s">
        <v>89</v>
      </c>
      <c r="C5307" s="32">
        <v>29.521999999999998</v>
      </c>
      <c r="D5307" s="28">
        <v>2.361111111111111E-2</v>
      </c>
    </row>
    <row r="5308" spans="1:4" x14ac:dyDescent="0.25">
      <c r="A5308" s="24" t="s">
        <v>119</v>
      </c>
      <c r="B5308" s="24" t="s">
        <v>90</v>
      </c>
      <c r="C5308" s="32">
        <v>25.184000000000001</v>
      </c>
      <c r="D5308" s="28">
        <v>1.9444444444444445E-2</v>
      </c>
    </row>
    <row r="5309" spans="1:4" x14ac:dyDescent="0.25">
      <c r="A5309" s="24" t="s">
        <v>119</v>
      </c>
      <c r="B5309" s="24" t="s">
        <v>91</v>
      </c>
      <c r="C5309" s="32">
        <v>31.443000000000001</v>
      </c>
      <c r="D5309" s="28">
        <v>2.4999999999999998E-2</v>
      </c>
    </row>
    <row r="5310" spans="1:4" x14ac:dyDescent="0.25">
      <c r="A5310" s="24" t="s">
        <v>119</v>
      </c>
      <c r="B5310" s="24" t="s">
        <v>92</v>
      </c>
      <c r="C5310" s="32">
        <v>23.898</v>
      </c>
      <c r="D5310" s="28">
        <v>1.9444444444444445E-2</v>
      </c>
    </row>
    <row r="5311" spans="1:4" x14ac:dyDescent="0.25">
      <c r="A5311" s="24" t="s">
        <v>119</v>
      </c>
      <c r="B5311" s="24" t="s">
        <v>93</v>
      </c>
      <c r="C5311" s="32">
        <v>38.414999999999999</v>
      </c>
      <c r="D5311" s="28">
        <v>2.9166666666666664E-2</v>
      </c>
    </row>
    <row r="5312" spans="1:4" x14ac:dyDescent="0.25">
      <c r="A5312" s="24" t="s">
        <v>119</v>
      </c>
      <c r="B5312" s="24" t="s">
        <v>94</v>
      </c>
      <c r="C5312" s="32">
        <v>39.043999999999997</v>
      </c>
      <c r="D5312" s="28">
        <v>2.9861111111111113E-2</v>
      </c>
    </row>
    <row r="5313" spans="1:4" x14ac:dyDescent="0.25">
      <c r="A5313" s="24" t="s">
        <v>119</v>
      </c>
      <c r="B5313" s="24" t="s">
        <v>95</v>
      </c>
      <c r="C5313" s="32">
        <v>21.777000000000001</v>
      </c>
      <c r="D5313" s="28">
        <v>1.6666666666666666E-2</v>
      </c>
    </row>
    <row r="5314" spans="1:4" x14ac:dyDescent="0.25">
      <c r="A5314" s="24" t="s">
        <v>119</v>
      </c>
      <c r="B5314" s="24" t="s">
        <v>96</v>
      </c>
      <c r="C5314" s="32">
        <v>43.433999999999997</v>
      </c>
      <c r="D5314" s="28">
        <v>3.1944444444444449E-2</v>
      </c>
    </row>
    <row r="5315" spans="1:4" x14ac:dyDescent="0.25">
      <c r="A5315" s="24" t="s">
        <v>119</v>
      </c>
      <c r="B5315" s="24" t="s">
        <v>97</v>
      </c>
      <c r="C5315" s="32">
        <v>42.351999999999997</v>
      </c>
      <c r="D5315" s="28">
        <v>3.1944444444444449E-2</v>
      </c>
    </row>
    <row r="5316" spans="1:4" x14ac:dyDescent="0.25">
      <c r="A5316" s="24" t="s">
        <v>119</v>
      </c>
      <c r="B5316" s="24" t="s">
        <v>98</v>
      </c>
      <c r="C5316" s="32">
        <v>32.213999999999999</v>
      </c>
      <c r="D5316" s="28">
        <v>2.361111111111111E-2</v>
      </c>
    </row>
    <row r="5317" spans="1:4" x14ac:dyDescent="0.25">
      <c r="A5317" s="24" t="s">
        <v>119</v>
      </c>
      <c r="B5317" s="24" t="s">
        <v>99</v>
      </c>
      <c r="C5317" s="32">
        <v>38.712000000000003</v>
      </c>
      <c r="D5317" s="28">
        <v>2.8472222222222222E-2</v>
      </c>
    </row>
    <row r="5318" spans="1:4" x14ac:dyDescent="0.25">
      <c r="A5318" s="24" t="s">
        <v>119</v>
      </c>
      <c r="B5318" s="24" t="s">
        <v>100</v>
      </c>
      <c r="C5318" s="32">
        <v>28.28</v>
      </c>
      <c r="D5318" s="28">
        <v>2.0833333333333332E-2</v>
      </c>
    </row>
    <row r="5319" spans="1:4" x14ac:dyDescent="0.25">
      <c r="A5319" s="24" t="s">
        <v>119</v>
      </c>
      <c r="B5319" s="24" t="s">
        <v>101</v>
      </c>
      <c r="C5319" s="32">
        <v>33.909999999999997</v>
      </c>
      <c r="D5319" s="28">
        <v>2.5694444444444447E-2</v>
      </c>
    </row>
    <row r="5320" spans="1:4" x14ac:dyDescent="0.25">
      <c r="A5320" s="24" t="s">
        <v>119</v>
      </c>
      <c r="B5320" s="24" t="s">
        <v>102</v>
      </c>
      <c r="C5320" s="32">
        <v>34.414999999999999</v>
      </c>
      <c r="D5320" s="28">
        <v>2.7083333333333334E-2</v>
      </c>
    </row>
    <row r="5321" spans="1:4" x14ac:dyDescent="0.25">
      <c r="A5321" s="24" t="s">
        <v>119</v>
      </c>
      <c r="B5321" s="24" t="s">
        <v>103</v>
      </c>
      <c r="C5321" s="32">
        <v>31.620999999999999</v>
      </c>
      <c r="D5321" s="28">
        <v>2.361111111111111E-2</v>
      </c>
    </row>
    <row r="5322" spans="1:4" x14ac:dyDescent="0.25">
      <c r="A5322" s="24" t="s">
        <v>119</v>
      </c>
      <c r="B5322" s="24" t="s">
        <v>104</v>
      </c>
      <c r="C5322" s="32">
        <v>29.196000000000002</v>
      </c>
      <c r="D5322" s="28">
        <v>2.0833333333333332E-2</v>
      </c>
    </row>
    <row r="5323" spans="1:4" x14ac:dyDescent="0.25">
      <c r="A5323" s="24" t="s">
        <v>119</v>
      </c>
      <c r="B5323" s="24" t="s">
        <v>105</v>
      </c>
      <c r="C5323" s="32">
        <v>30.459</v>
      </c>
      <c r="D5323" s="28">
        <v>2.5694444444444447E-2</v>
      </c>
    </row>
    <row r="5324" spans="1:4" x14ac:dyDescent="0.25">
      <c r="A5324" s="24" t="s">
        <v>119</v>
      </c>
      <c r="B5324" s="24" t="s">
        <v>106</v>
      </c>
      <c r="C5324" s="32">
        <v>34.936</v>
      </c>
      <c r="D5324" s="28">
        <v>2.4999999999999998E-2</v>
      </c>
    </row>
    <row r="5325" spans="1:4" x14ac:dyDescent="0.25">
      <c r="A5325" s="24" t="s">
        <v>119</v>
      </c>
      <c r="B5325" s="24" t="s">
        <v>107</v>
      </c>
      <c r="C5325" s="32">
        <v>25.864000000000001</v>
      </c>
      <c r="D5325" s="28">
        <v>2.1527777777777781E-2</v>
      </c>
    </row>
    <row r="5326" spans="1:4" x14ac:dyDescent="0.25">
      <c r="A5326" s="24" t="s">
        <v>119</v>
      </c>
      <c r="B5326" s="24" t="s">
        <v>108</v>
      </c>
      <c r="C5326" s="32">
        <v>25.417000000000002</v>
      </c>
      <c r="D5326" s="28">
        <v>1.9444444444444445E-2</v>
      </c>
    </row>
    <row r="5327" spans="1:4" x14ac:dyDescent="0.25">
      <c r="A5327" s="24" t="s">
        <v>119</v>
      </c>
      <c r="B5327" s="24" t="s">
        <v>109</v>
      </c>
      <c r="C5327" s="32">
        <v>25.387</v>
      </c>
      <c r="D5327" s="28">
        <v>1.9444444444444445E-2</v>
      </c>
    </row>
    <row r="5328" spans="1:4" x14ac:dyDescent="0.25">
      <c r="A5328" s="24" t="s">
        <v>119</v>
      </c>
      <c r="B5328" s="24" t="s">
        <v>110</v>
      </c>
      <c r="C5328" s="32">
        <v>33.234999999999999</v>
      </c>
      <c r="D5328" s="28">
        <v>2.4999999999999998E-2</v>
      </c>
    </row>
    <row r="5329" spans="1:4" x14ac:dyDescent="0.25">
      <c r="A5329" s="24" t="s">
        <v>119</v>
      </c>
      <c r="B5329" s="24" t="s">
        <v>111</v>
      </c>
      <c r="C5329" s="32">
        <v>29.689</v>
      </c>
      <c r="D5329" s="28">
        <v>2.0833333333333332E-2</v>
      </c>
    </row>
    <row r="5330" spans="1:4" x14ac:dyDescent="0.25">
      <c r="A5330" s="24" t="s">
        <v>119</v>
      </c>
      <c r="B5330" s="24" t="s">
        <v>112</v>
      </c>
      <c r="C5330" s="32">
        <v>24.456</v>
      </c>
      <c r="D5330" s="28">
        <v>1.8055555555555557E-2</v>
      </c>
    </row>
    <row r="5331" spans="1:4" x14ac:dyDescent="0.25">
      <c r="A5331" s="24" t="s">
        <v>119</v>
      </c>
      <c r="B5331" s="24" t="s">
        <v>113</v>
      </c>
      <c r="C5331" s="32">
        <v>19.911000000000001</v>
      </c>
      <c r="D5331" s="28">
        <v>1.7361111111111112E-2</v>
      </c>
    </row>
    <row r="5332" spans="1:4" x14ac:dyDescent="0.25">
      <c r="A5332" s="24" t="s">
        <v>119</v>
      </c>
      <c r="B5332" s="24" t="s">
        <v>114</v>
      </c>
      <c r="C5332" s="32">
        <v>26.616</v>
      </c>
      <c r="D5332" s="28">
        <v>1.8749999999999999E-2</v>
      </c>
    </row>
    <row r="5333" spans="1:4" x14ac:dyDescent="0.25">
      <c r="A5333" s="24" t="s">
        <v>119</v>
      </c>
      <c r="B5333" s="24" t="s">
        <v>115</v>
      </c>
      <c r="C5333" s="32">
        <v>26.466999999999999</v>
      </c>
      <c r="D5333" s="28">
        <v>1.9444444444444445E-2</v>
      </c>
    </row>
    <row r="5334" spans="1:4" x14ac:dyDescent="0.25">
      <c r="A5334" s="24" t="s">
        <v>119</v>
      </c>
      <c r="B5334" s="24" t="s">
        <v>116</v>
      </c>
      <c r="C5334" s="32">
        <v>24.594999999999999</v>
      </c>
      <c r="D5334" s="28">
        <v>1.9444444444444445E-2</v>
      </c>
    </row>
    <row r="5335" spans="1:4" x14ac:dyDescent="0.25">
      <c r="A5335" s="24" t="s">
        <v>119</v>
      </c>
      <c r="B5335" s="24" t="s">
        <v>117</v>
      </c>
      <c r="C5335" s="32">
        <v>19.683</v>
      </c>
      <c r="D5335" s="28">
        <v>1.5972222222222224E-2</v>
      </c>
    </row>
    <row r="5336" spans="1:4" x14ac:dyDescent="0.25">
      <c r="A5336" s="24" t="s">
        <v>119</v>
      </c>
      <c r="B5336" s="24" t="s">
        <v>118</v>
      </c>
      <c r="C5336" s="32">
        <v>19.797000000000001</v>
      </c>
      <c r="D5336" s="28">
        <v>1.5277777777777777E-2</v>
      </c>
    </row>
    <row r="5337" spans="1:4" x14ac:dyDescent="0.25">
      <c r="A5337" s="24" t="s">
        <v>119</v>
      </c>
      <c r="B5337" s="24" t="s">
        <v>119</v>
      </c>
      <c r="C5337" s="32">
        <v>0</v>
      </c>
      <c r="D5337" s="28">
        <v>0</v>
      </c>
    </row>
    <row r="5338" spans="1:4" x14ac:dyDescent="0.25">
      <c r="A5338" s="24" t="s">
        <v>119</v>
      </c>
      <c r="B5338" s="24" t="s">
        <v>120</v>
      </c>
      <c r="C5338" s="32">
        <v>5.7530000000000001</v>
      </c>
      <c r="D5338" s="28">
        <v>7.6388888888888886E-3</v>
      </c>
    </row>
    <row r="5339" spans="1:4" x14ac:dyDescent="0.25">
      <c r="A5339" s="24" t="s">
        <v>119</v>
      </c>
      <c r="B5339" s="24" t="s">
        <v>121</v>
      </c>
      <c r="C5339" s="32">
        <v>20.507999999999999</v>
      </c>
      <c r="D5339" s="28">
        <v>1.6666666666666666E-2</v>
      </c>
    </row>
    <row r="5340" spans="1:4" x14ac:dyDescent="0.25">
      <c r="A5340" s="24" t="s">
        <v>119</v>
      </c>
      <c r="B5340" s="24" t="s">
        <v>122</v>
      </c>
      <c r="C5340" s="32">
        <v>26.494</v>
      </c>
      <c r="D5340" s="28">
        <v>2.013888888888889E-2</v>
      </c>
    </row>
    <row r="5341" spans="1:4" x14ac:dyDescent="0.25">
      <c r="A5341" s="24" t="s">
        <v>119</v>
      </c>
      <c r="B5341" s="24" t="s">
        <v>123</v>
      </c>
      <c r="C5341" s="32">
        <v>14.093</v>
      </c>
      <c r="D5341" s="28">
        <v>1.2499999999999999E-2</v>
      </c>
    </row>
    <row r="5342" spans="1:4" x14ac:dyDescent="0.25">
      <c r="A5342" s="24" t="s">
        <v>119</v>
      </c>
      <c r="B5342" s="24" t="s">
        <v>124</v>
      </c>
      <c r="C5342" s="32">
        <v>14.093</v>
      </c>
      <c r="D5342" s="28">
        <v>1.2499999999999999E-2</v>
      </c>
    </row>
    <row r="5343" spans="1:4" x14ac:dyDescent="0.25">
      <c r="A5343" s="24" t="s">
        <v>119</v>
      </c>
      <c r="B5343" s="24" t="s">
        <v>125</v>
      </c>
      <c r="C5343" s="32">
        <v>40.441000000000003</v>
      </c>
      <c r="D5343" s="28">
        <v>3.0555555555555555E-2</v>
      </c>
    </row>
    <row r="5344" spans="1:4" x14ac:dyDescent="0.25">
      <c r="A5344" s="24" t="s">
        <v>119</v>
      </c>
      <c r="B5344" s="24" t="s">
        <v>126</v>
      </c>
      <c r="C5344" s="32">
        <v>40.179000000000002</v>
      </c>
      <c r="D5344" s="28">
        <v>2.9861111111111113E-2</v>
      </c>
    </row>
    <row r="5345" spans="1:4" x14ac:dyDescent="0.25">
      <c r="A5345" s="24" t="s">
        <v>119</v>
      </c>
      <c r="B5345" s="24" t="s">
        <v>127</v>
      </c>
      <c r="C5345" s="32">
        <v>39.173000000000002</v>
      </c>
      <c r="D5345" s="28">
        <v>2.8472222222222222E-2</v>
      </c>
    </row>
    <row r="5346" spans="1:4" x14ac:dyDescent="0.25">
      <c r="A5346" s="24" t="s">
        <v>119</v>
      </c>
      <c r="B5346" s="24" t="s">
        <v>128</v>
      </c>
      <c r="C5346" s="32">
        <v>42.801000000000002</v>
      </c>
      <c r="D5346" s="28">
        <v>2.9166666666666664E-2</v>
      </c>
    </row>
    <row r="5347" spans="1:4" x14ac:dyDescent="0.25">
      <c r="A5347" s="24" t="s">
        <v>119</v>
      </c>
      <c r="B5347" s="24" t="s">
        <v>129</v>
      </c>
      <c r="C5347" s="32">
        <v>42.801000000000002</v>
      </c>
      <c r="D5347" s="28">
        <v>2.9166666666666664E-2</v>
      </c>
    </row>
    <row r="5348" spans="1:4" x14ac:dyDescent="0.25">
      <c r="A5348" s="24" t="s">
        <v>119</v>
      </c>
      <c r="B5348" s="24" t="s">
        <v>130</v>
      </c>
      <c r="C5348" s="32">
        <v>42.18</v>
      </c>
      <c r="D5348" s="28">
        <v>3.125E-2</v>
      </c>
    </row>
    <row r="5349" spans="1:4" x14ac:dyDescent="0.25">
      <c r="A5349" s="24" t="s">
        <v>119</v>
      </c>
      <c r="B5349" s="24" t="s">
        <v>131</v>
      </c>
      <c r="C5349" s="32">
        <v>38.164999999999999</v>
      </c>
      <c r="D5349" s="28">
        <v>2.9861111111111113E-2</v>
      </c>
    </row>
    <row r="5350" spans="1:4" x14ac:dyDescent="0.25">
      <c r="A5350" s="24" t="s">
        <v>119</v>
      </c>
      <c r="B5350" s="24" t="s">
        <v>132</v>
      </c>
      <c r="C5350" s="32">
        <v>44.271000000000001</v>
      </c>
      <c r="D5350" s="28">
        <v>3.4027777777777775E-2</v>
      </c>
    </row>
    <row r="5351" spans="1:4" x14ac:dyDescent="0.25">
      <c r="A5351" s="24" t="s">
        <v>119</v>
      </c>
      <c r="B5351" s="24" t="s">
        <v>133</v>
      </c>
      <c r="C5351" s="32">
        <v>30.591999999999999</v>
      </c>
      <c r="D5351" s="28">
        <v>2.2222222222222223E-2</v>
      </c>
    </row>
    <row r="5352" spans="1:4" x14ac:dyDescent="0.25">
      <c r="A5352" s="24" t="s">
        <v>119</v>
      </c>
      <c r="B5352" s="24" t="s">
        <v>134</v>
      </c>
      <c r="C5352" s="32">
        <v>30.126000000000001</v>
      </c>
      <c r="D5352" s="28">
        <v>2.1527777777777781E-2</v>
      </c>
    </row>
    <row r="5353" spans="1:4" x14ac:dyDescent="0.25">
      <c r="A5353" s="24" t="s">
        <v>119</v>
      </c>
      <c r="B5353" s="24" t="s">
        <v>135</v>
      </c>
      <c r="C5353" s="32">
        <v>32.332999999999998</v>
      </c>
      <c r="D5353" s="28">
        <v>2.2916666666666669E-2</v>
      </c>
    </row>
    <row r="5354" spans="1:4" x14ac:dyDescent="0.25">
      <c r="A5354" s="24" t="s">
        <v>119</v>
      </c>
      <c r="B5354" s="24" t="s">
        <v>136</v>
      </c>
      <c r="C5354" s="32">
        <v>32.332999999999998</v>
      </c>
      <c r="D5354" s="28">
        <v>2.2916666666666669E-2</v>
      </c>
    </row>
    <row r="5355" spans="1:4" x14ac:dyDescent="0.25">
      <c r="A5355" s="24" t="s">
        <v>119</v>
      </c>
      <c r="B5355" s="24" t="s">
        <v>137</v>
      </c>
      <c r="C5355" s="32">
        <v>33.22</v>
      </c>
      <c r="D5355" s="28">
        <v>2.2222222222222223E-2</v>
      </c>
    </row>
    <row r="5356" spans="1:4" x14ac:dyDescent="0.25">
      <c r="A5356" s="24" t="s">
        <v>119</v>
      </c>
      <c r="B5356" s="24" t="s">
        <v>138</v>
      </c>
      <c r="C5356" s="32">
        <v>26.954000000000001</v>
      </c>
      <c r="D5356" s="28">
        <v>1.9444444444444445E-2</v>
      </c>
    </row>
    <row r="5357" spans="1:4" x14ac:dyDescent="0.25">
      <c r="A5357" s="24" t="s">
        <v>119</v>
      </c>
      <c r="B5357" s="24" t="s">
        <v>139</v>
      </c>
      <c r="C5357" s="32">
        <v>29.988</v>
      </c>
      <c r="D5357" s="28">
        <v>1.8749999999999999E-2</v>
      </c>
    </row>
    <row r="5358" spans="1:4" x14ac:dyDescent="0.25">
      <c r="A5358" s="24" t="s">
        <v>119</v>
      </c>
      <c r="B5358" s="24" t="s">
        <v>140</v>
      </c>
      <c r="C5358" s="32">
        <v>36.628</v>
      </c>
      <c r="D5358" s="28">
        <v>2.1527777777777781E-2</v>
      </c>
    </row>
    <row r="5359" spans="1:4" x14ac:dyDescent="0.25">
      <c r="A5359" s="24" t="s">
        <v>119</v>
      </c>
      <c r="B5359" s="24" t="s">
        <v>141</v>
      </c>
      <c r="C5359" s="32">
        <v>54.698999999999998</v>
      </c>
      <c r="D5359" s="28">
        <v>3.7499999999999999E-2</v>
      </c>
    </row>
    <row r="5360" spans="1:4" x14ac:dyDescent="0.25">
      <c r="A5360" s="24" t="s">
        <v>119</v>
      </c>
      <c r="B5360" s="24" t="s">
        <v>142</v>
      </c>
      <c r="C5360" s="32">
        <v>52.786999999999999</v>
      </c>
      <c r="D5360" s="28">
        <v>3.0555555555555555E-2</v>
      </c>
    </row>
    <row r="5361" spans="1:4" x14ac:dyDescent="0.25">
      <c r="A5361" s="24" t="s">
        <v>119</v>
      </c>
      <c r="B5361" s="24" t="s">
        <v>143</v>
      </c>
      <c r="C5361" s="32">
        <v>71.165000000000006</v>
      </c>
      <c r="D5361" s="28">
        <v>3.7499999999999999E-2</v>
      </c>
    </row>
    <row r="5362" spans="1:4" x14ac:dyDescent="0.25">
      <c r="A5362" s="24" t="s">
        <v>119</v>
      </c>
      <c r="B5362" s="24" t="s">
        <v>144</v>
      </c>
      <c r="C5362" s="32">
        <v>90.281000000000006</v>
      </c>
      <c r="D5362" s="28">
        <v>4.8611111111111112E-2</v>
      </c>
    </row>
    <row r="5363" spans="1:4" x14ac:dyDescent="0.25">
      <c r="A5363" s="24" t="s">
        <v>119</v>
      </c>
      <c r="B5363" s="24" t="s">
        <v>145</v>
      </c>
      <c r="C5363" s="32">
        <v>34.795000000000002</v>
      </c>
      <c r="D5363" s="28">
        <v>2.361111111111111E-2</v>
      </c>
    </row>
    <row r="5364" spans="1:4" x14ac:dyDescent="0.25">
      <c r="A5364" s="24" t="s">
        <v>119</v>
      </c>
      <c r="B5364" s="24" t="s">
        <v>146</v>
      </c>
      <c r="C5364" s="32">
        <v>50.253999999999998</v>
      </c>
      <c r="D5364" s="28">
        <v>3.125E-2</v>
      </c>
    </row>
    <row r="5365" spans="1:4" x14ac:dyDescent="0.25">
      <c r="A5365" s="24" t="s">
        <v>119</v>
      </c>
      <c r="B5365" s="24" t="s">
        <v>147</v>
      </c>
      <c r="C5365" s="32">
        <v>35.634</v>
      </c>
      <c r="D5365" s="28">
        <v>2.4305555555555556E-2</v>
      </c>
    </row>
    <row r="5366" spans="1:4" x14ac:dyDescent="0.25">
      <c r="A5366" s="24" t="s">
        <v>119</v>
      </c>
      <c r="B5366" s="24" t="s">
        <v>148</v>
      </c>
      <c r="C5366" s="32">
        <v>38.707999999999998</v>
      </c>
      <c r="D5366" s="28">
        <v>2.6388888888888889E-2</v>
      </c>
    </row>
    <row r="5367" spans="1:4" x14ac:dyDescent="0.25">
      <c r="A5367" s="24" t="s">
        <v>119</v>
      </c>
      <c r="B5367" s="24" t="s">
        <v>149</v>
      </c>
      <c r="C5367" s="32">
        <v>44.798000000000002</v>
      </c>
      <c r="D5367" s="28">
        <v>3.4027777777777775E-2</v>
      </c>
    </row>
    <row r="5368" spans="1:4" x14ac:dyDescent="0.25">
      <c r="A5368" s="24" t="s">
        <v>119</v>
      </c>
      <c r="B5368" s="24" t="s">
        <v>150</v>
      </c>
      <c r="C5368" s="32">
        <v>52.718000000000004</v>
      </c>
      <c r="D5368" s="28">
        <v>4.2361111111111106E-2</v>
      </c>
    </row>
    <row r="5369" spans="1:4" x14ac:dyDescent="0.25">
      <c r="A5369" s="24" t="s">
        <v>119</v>
      </c>
      <c r="B5369" s="24" t="s">
        <v>151</v>
      </c>
      <c r="C5369" s="32">
        <v>51.975999999999999</v>
      </c>
      <c r="D5369" s="28">
        <v>4.1666666666666664E-2</v>
      </c>
    </row>
    <row r="5370" spans="1:4" x14ac:dyDescent="0.25">
      <c r="A5370" s="24" t="s">
        <v>119</v>
      </c>
      <c r="B5370" s="24" t="s">
        <v>152</v>
      </c>
      <c r="C5370" s="32">
        <v>58.920999999999999</v>
      </c>
      <c r="D5370" s="28">
        <v>4.5833333333333337E-2</v>
      </c>
    </row>
    <row r="5371" spans="1:4" x14ac:dyDescent="0.25">
      <c r="A5371" s="24" t="s">
        <v>119</v>
      </c>
      <c r="B5371" s="24" t="s">
        <v>153</v>
      </c>
      <c r="C5371" s="32">
        <v>61.575000000000003</v>
      </c>
      <c r="D5371" s="28">
        <v>5.0694444444444452E-2</v>
      </c>
    </row>
    <row r="5372" spans="1:4" x14ac:dyDescent="0.25">
      <c r="A5372" s="24" t="s">
        <v>119</v>
      </c>
      <c r="B5372" s="24" t="s">
        <v>154</v>
      </c>
      <c r="C5372" s="32">
        <v>56.393000000000001</v>
      </c>
      <c r="D5372" s="28">
        <v>4.4444444444444446E-2</v>
      </c>
    </row>
    <row r="5373" spans="1:4" x14ac:dyDescent="0.25">
      <c r="A5373" s="24" t="s">
        <v>119</v>
      </c>
      <c r="B5373" s="24" t="s">
        <v>155</v>
      </c>
      <c r="C5373" s="32">
        <v>51.911000000000001</v>
      </c>
      <c r="D5373" s="28">
        <v>4.1666666666666664E-2</v>
      </c>
    </row>
    <row r="5374" spans="1:4" x14ac:dyDescent="0.25">
      <c r="A5374" s="24" t="s">
        <v>119</v>
      </c>
      <c r="B5374" s="24" t="s">
        <v>156</v>
      </c>
      <c r="C5374" s="32">
        <v>51.895000000000003</v>
      </c>
      <c r="D5374" s="28">
        <v>4.1666666666666664E-2</v>
      </c>
    </row>
    <row r="5375" spans="1:4" x14ac:dyDescent="0.25">
      <c r="A5375" s="24" t="s">
        <v>119</v>
      </c>
      <c r="B5375" s="24" t="s">
        <v>157</v>
      </c>
      <c r="C5375" s="32">
        <v>48.491</v>
      </c>
      <c r="D5375" s="28">
        <v>3.8194444444444441E-2</v>
      </c>
    </row>
    <row r="5376" spans="1:4" x14ac:dyDescent="0.25">
      <c r="A5376" s="24" t="s">
        <v>119</v>
      </c>
      <c r="B5376" s="24" t="s">
        <v>158</v>
      </c>
      <c r="C5376" s="32">
        <v>63.061999999999998</v>
      </c>
      <c r="D5376" s="28">
        <v>4.7916666666666663E-2</v>
      </c>
    </row>
    <row r="5377" spans="1:4" x14ac:dyDescent="0.25">
      <c r="A5377" s="24" t="s">
        <v>119</v>
      </c>
      <c r="B5377" s="24" t="s">
        <v>159</v>
      </c>
      <c r="C5377" s="32">
        <v>59.735999999999997</v>
      </c>
      <c r="D5377" s="28">
        <v>4.7222222222222221E-2</v>
      </c>
    </row>
    <row r="5378" spans="1:4" x14ac:dyDescent="0.25">
      <c r="A5378" s="24" t="s">
        <v>120</v>
      </c>
      <c r="B5378" s="24" t="s">
        <v>65</v>
      </c>
      <c r="C5378" s="32">
        <v>30.152999999999999</v>
      </c>
      <c r="D5378" s="28">
        <v>2.1527777777777781E-2</v>
      </c>
    </row>
    <row r="5379" spans="1:4" x14ac:dyDescent="0.25">
      <c r="A5379" s="24" t="s">
        <v>120</v>
      </c>
      <c r="B5379" s="24" t="s">
        <v>64</v>
      </c>
      <c r="C5379" s="32">
        <v>37.055</v>
      </c>
      <c r="D5379" s="28">
        <v>2.7083333333333334E-2</v>
      </c>
    </row>
    <row r="5380" spans="1:4" x14ac:dyDescent="0.25">
      <c r="A5380" s="24" t="s">
        <v>120</v>
      </c>
      <c r="B5380" s="24" t="s">
        <v>66</v>
      </c>
      <c r="C5380" s="32">
        <v>41.335000000000001</v>
      </c>
      <c r="D5380" s="28">
        <v>3.0555555555555555E-2</v>
      </c>
    </row>
    <row r="5381" spans="1:4" x14ac:dyDescent="0.25">
      <c r="A5381" s="24" t="s">
        <v>120</v>
      </c>
      <c r="B5381" s="24" t="s">
        <v>67</v>
      </c>
      <c r="C5381" s="32">
        <v>39.773000000000003</v>
      </c>
      <c r="D5381" s="28">
        <v>2.7777777777777776E-2</v>
      </c>
    </row>
    <row r="5382" spans="1:4" x14ac:dyDescent="0.25">
      <c r="A5382" s="24" t="s">
        <v>120</v>
      </c>
      <c r="B5382" s="24" t="s">
        <v>68</v>
      </c>
      <c r="C5382" s="32">
        <v>39.637</v>
      </c>
      <c r="D5382" s="28">
        <v>2.7777777777777776E-2</v>
      </c>
    </row>
    <row r="5383" spans="1:4" x14ac:dyDescent="0.25">
      <c r="A5383" s="24" t="s">
        <v>120</v>
      </c>
      <c r="B5383" s="24" t="s">
        <v>69</v>
      </c>
      <c r="C5383" s="32">
        <v>40.436999999999998</v>
      </c>
      <c r="D5383" s="28">
        <v>2.9166666666666664E-2</v>
      </c>
    </row>
    <row r="5384" spans="1:4" x14ac:dyDescent="0.25">
      <c r="A5384" s="24" t="s">
        <v>120</v>
      </c>
      <c r="B5384" s="24" t="s">
        <v>70</v>
      </c>
      <c r="C5384" s="32">
        <v>40.100999999999999</v>
      </c>
      <c r="D5384" s="28">
        <v>2.8472222222222222E-2</v>
      </c>
    </row>
    <row r="5385" spans="1:4" x14ac:dyDescent="0.25">
      <c r="A5385" s="24" t="s">
        <v>120</v>
      </c>
      <c r="B5385" s="24" t="s">
        <v>71</v>
      </c>
      <c r="C5385" s="32">
        <v>40.067999999999998</v>
      </c>
      <c r="D5385" s="28">
        <v>2.9166666666666664E-2</v>
      </c>
    </row>
    <row r="5386" spans="1:4" x14ac:dyDescent="0.25">
      <c r="A5386" s="24" t="s">
        <v>120</v>
      </c>
      <c r="B5386" s="24" t="s">
        <v>72</v>
      </c>
      <c r="C5386" s="32">
        <v>39.237000000000002</v>
      </c>
      <c r="D5386" s="28">
        <v>2.7777777777777776E-2</v>
      </c>
    </row>
    <row r="5387" spans="1:4" x14ac:dyDescent="0.25">
      <c r="A5387" s="24" t="s">
        <v>120</v>
      </c>
      <c r="B5387" s="24" t="s">
        <v>73</v>
      </c>
      <c r="C5387" s="32">
        <v>36.819000000000003</v>
      </c>
      <c r="D5387" s="28">
        <v>2.7777777777777776E-2</v>
      </c>
    </row>
    <row r="5388" spans="1:4" x14ac:dyDescent="0.25">
      <c r="A5388" s="24" t="s">
        <v>120</v>
      </c>
      <c r="B5388" s="24" t="s">
        <v>74</v>
      </c>
      <c r="C5388" s="32">
        <v>35.789000000000001</v>
      </c>
      <c r="D5388" s="28">
        <v>2.6388888888888889E-2</v>
      </c>
    </row>
    <row r="5389" spans="1:4" x14ac:dyDescent="0.25">
      <c r="A5389" s="24" t="s">
        <v>120</v>
      </c>
      <c r="B5389" s="24" t="s">
        <v>75</v>
      </c>
      <c r="C5389" s="32">
        <v>34.825000000000003</v>
      </c>
      <c r="D5389" s="28">
        <v>2.4999999999999998E-2</v>
      </c>
    </row>
    <row r="5390" spans="1:4" x14ac:dyDescent="0.25">
      <c r="A5390" s="24" t="s">
        <v>120</v>
      </c>
      <c r="B5390" s="24" t="s">
        <v>76</v>
      </c>
      <c r="C5390" s="32">
        <v>34.295999999999999</v>
      </c>
      <c r="D5390" s="28">
        <v>2.6388888888888889E-2</v>
      </c>
    </row>
    <row r="5391" spans="1:4" x14ac:dyDescent="0.25">
      <c r="A5391" s="24" t="s">
        <v>120</v>
      </c>
      <c r="B5391" s="24" t="s">
        <v>77</v>
      </c>
      <c r="C5391" s="32">
        <v>42.204999999999998</v>
      </c>
      <c r="D5391" s="28">
        <v>2.9166666666666664E-2</v>
      </c>
    </row>
    <row r="5392" spans="1:4" x14ac:dyDescent="0.25">
      <c r="A5392" s="24" t="s">
        <v>120</v>
      </c>
      <c r="B5392" s="24" t="s">
        <v>78</v>
      </c>
      <c r="C5392" s="32">
        <v>43.078000000000003</v>
      </c>
      <c r="D5392" s="28">
        <v>3.0555555555555555E-2</v>
      </c>
    </row>
    <row r="5393" spans="1:4" x14ac:dyDescent="0.25">
      <c r="A5393" s="24" t="s">
        <v>120</v>
      </c>
      <c r="B5393" s="24" t="s">
        <v>79</v>
      </c>
      <c r="C5393" s="32">
        <v>53.938000000000002</v>
      </c>
      <c r="D5393" s="28">
        <v>4.1666666666666664E-2</v>
      </c>
    </row>
    <row r="5394" spans="1:4" x14ac:dyDescent="0.25">
      <c r="A5394" s="24" t="s">
        <v>120</v>
      </c>
      <c r="B5394" s="24" t="s">
        <v>80</v>
      </c>
      <c r="C5394" s="32">
        <v>26.766999999999999</v>
      </c>
      <c r="D5394" s="28">
        <v>2.1527777777777781E-2</v>
      </c>
    </row>
    <row r="5395" spans="1:4" x14ac:dyDescent="0.25">
      <c r="A5395" s="24" t="s">
        <v>120</v>
      </c>
      <c r="B5395" s="24" t="s">
        <v>81</v>
      </c>
      <c r="C5395" s="32">
        <v>23.053999999999998</v>
      </c>
      <c r="D5395" s="28">
        <v>1.8749999999999999E-2</v>
      </c>
    </row>
    <row r="5396" spans="1:4" x14ac:dyDescent="0.25">
      <c r="A5396" s="24" t="s">
        <v>120</v>
      </c>
      <c r="B5396" s="24" t="s">
        <v>82</v>
      </c>
      <c r="C5396" s="32">
        <v>23.106000000000002</v>
      </c>
      <c r="D5396" s="28">
        <v>1.8749999999999999E-2</v>
      </c>
    </row>
    <row r="5397" spans="1:4" x14ac:dyDescent="0.25">
      <c r="A5397" s="24" t="s">
        <v>120</v>
      </c>
      <c r="B5397" s="24" t="s">
        <v>83</v>
      </c>
      <c r="C5397" s="32">
        <v>35.247999999999998</v>
      </c>
      <c r="D5397" s="28">
        <v>2.6388888888888889E-2</v>
      </c>
    </row>
    <row r="5398" spans="1:4" x14ac:dyDescent="0.25">
      <c r="A5398" s="24" t="s">
        <v>120</v>
      </c>
      <c r="B5398" s="24" t="s">
        <v>84</v>
      </c>
      <c r="C5398" s="32">
        <v>32.720999999999997</v>
      </c>
      <c r="D5398" s="28">
        <v>2.2222222222222223E-2</v>
      </c>
    </row>
    <row r="5399" spans="1:4" x14ac:dyDescent="0.25">
      <c r="A5399" s="24" t="s">
        <v>120</v>
      </c>
      <c r="B5399" s="24" t="s">
        <v>85</v>
      </c>
      <c r="C5399" s="32">
        <v>32.354999999999997</v>
      </c>
      <c r="D5399" s="28">
        <v>2.2222222222222223E-2</v>
      </c>
    </row>
    <row r="5400" spans="1:4" x14ac:dyDescent="0.25">
      <c r="A5400" s="24" t="s">
        <v>120</v>
      </c>
      <c r="B5400" s="24" t="s">
        <v>86</v>
      </c>
      <c r="C5400" s="32">
        <v>32.295000000000002</v>
      </c>
      <c r="D5400" s="28">
        <v>2.361111111111111E-2</v>
      </c>
    </row>
    <row r="5401" spans="1:4" x14ac:dyDescent="0.25">
      <c r="A5401" s="24" t="s">
        <v>120</v>
      </c>
      <c r="B5401" s="24" t="s">
        <v>87</v>
      </c>
      <c r="C5401" s="32">
        <v>32.073</v>
      </c>
      <c r="D5401" s="28">
        <v>2.2916666666666669E-2</v>
      </c>
    </row>
    <row r="5402" spans="1:4" x14ac:dyDescent="0.25">
      <c r="A5402" s="24" t="s">
        <v>120</v>
      </c>
      <c r="B5402" s="24" t="s">
        <v>88</v>
      </c>
      <c r="C5402" s="32">
        <v>33.152000000000001</v>
      </c>
      <c r="D5402" s="28">
        <v>2.361111111111111E-2</v>
      </c>
    </row>
    <row r="5403" spans="1:4" x14ac:dyDescent="0.25">
      <c r="A5403" s="24" t="s">
        <v>120</v>
      </c>
      <c r="B5403" s="24" t="s">
        <v>89</v>
      </c>
      <c r="C5403" s="32">
        <v>29.087</v>
      </c>
      <c r="D5403" s="28">
        <v>2.4305555555555556E-2</v>
      </c>
    </row>
    <row r="5404" spans="1:4" x14ac:dyDescent="0.25">
      <c r="A5404" s="24" t="s">
        <v>120</v>
      </c>
      <c r="B5404" s="24" t="s">
        <v>90</v>
      </c>
      <c r="C5404" s="32">
        <v>33.090000000000003</v>
      </c>
      <c r="D5404" s="28">
        <v>2.361111111111111E-2</v>
      </c>
    </row>
    <row r="5405" spans="1:4" x14ac:dyDescent="0.25">
      <c r="A5405" s="24" t="s">
        <v>120</v>
      </c>
      <c r="B5405" s="24" t="s">
        <v>91</v>
      </c>
      <c r="C5405" s="32">
        <v>31.007999999999999</v>
      </c>
      <c r="D5405" s="28">
        <v>2.5694444444444447E-2</v>
      </c>
    </row>
    <row r="5406" spans="1:4" x14ac:dyDescent="0.25">
      <c r="A5406" s="24" t="s">
        <v>120</v>
      </c>
      <c r="B5406" s="24" t="s">
        <v>92</v>
      </c>
      <c r="C5406" s="32">
        <v>31.539000000000001</v>
      </c>
      <c r="D5406" s="28">
        <v>2.2916666666666669E-2</v>
      </c>
    </row>
    <row r="5407" spans="1:4" x14ac:dyDescent="0.25">
      <c r="A5407" s="24" t="s">
        <v>120</v>
      </c>
      <c r="B5407" s="24" t="s">
        <v>93</v>
      </c>
      <c r="C5407" s="32">
        <v>43.817</v>
      </c>
      <c r="D5407" s="28">
        <v>3.3333333333333333E-2</v>
      </c>
    </row>
    <row r="5408" spans="1:4" x14ac:dyDescent="0.25">
      <c r="A5408" s="24" t="s">
        <v>120</v>
      </c>
      <c r="B5408" s="24" t="s">
        <v>94</v>
      </c>
      <c r="C5408" s="32">
        <v>44.445999999999998</v>
      </c>
      <c r="D5408" s="28">
        <v>3.4027777777777775E-2</v>
      </c>
    </row>
    <row r="5409" spans="1:4" x14ac:dyDescent="0.25">
      <c r="A5409" s="24" t="s">
        <v>120</v>
      </c>
      <c r="B5409" s="24" t="s">
        <v>95</v>
      </c>
      <c r="C5409" s="32">
        <v>27.059000000000001</v>
      </c>
      <c r="D5409" s="28">
        <v>2.1527777777777781E-2</v>
      </c>
    </row>
    <row r="5410" spans="1:4" x14ac:dyDescent="0.25">
      <c r="A5410" s="24" t="s">
        <v>120</v>
      </c>
      <c r="B5410" s="24" t="s">
        <v>96</v>
      </c>
      <c r="C5410" s="32">
        <v>43.518000000000001</v>
      </c>
      <c r="D5410" s="28">
        <v>3.3333333333333333E-2</v>
      </c>
    </row>
    <row r="5411" spans="1:4" x14ac:dyDescent="0.25">
      <c r="A5411" s="24" t="s">
        <v>120</v>
      </c>
      <c r="B5411" s="24" t="s">
        <v>97</v>
      </c>
      <c r="C5411" s="32">
        <v>48.728000000000002</v>
      </c>
      <c r="D5411" s="28">
        <v>3.7499999999999999E-2</v>
      </c>
    </row>
    <row r="5412" spans="1:4" x14ac:dyDescent="0.25">
      <c r="A5412" s="24" t="s">
        <v>120</v>
      </c>
      <c r="B5412" s="24" t="s">
        <v>98</v>
      </c>
      <c r="C5412" s="32">
        <v>37.496000000000002</v>
      </c>
      <c r="D5412" s="28">
        <v>2.9166666666666664E-2</v>
      </c>
    </row>
    <row r="5413" spans="1:4" x14ac:dyDescent="0.25">
      <c r="A5413" s="24" t="s">
        <v>120</v>
      </c>
      <c r="B5413" s="24" t="s">
        <v>99</v>
      </c>
      <c r="C5413" s="32">
        <v>45.088000000000001</v>
      </c>
      <c r="D5413" s="28">
        <v>3.3333333333333333E-2</v>
      </c>
    </row>
    <row r="5414" spans="1:4" x14ac:dyDescent="0.25">
      <c r="A5414" s="24" t="s">
        <v>120</v>
      </c>
      <c r="B5414" s="24" t="s">
        <v>100</v>
      </c>
      <c r="C5414" s="32">
        <v>33.564999999999998</v>
      </c>
      <c r="D5414" s="28">
        <v>2.6388888888888889E-2</v>
      </c>
    </row>
    <row r="5415" spans="1:4" x14ac:dyDescent="0.25">
      <c r="A5415" s="24" t="s">
        <v>120</v>
      </c>
      <c r="B5415" s="24" t="s">
        <v>101</v>
      </c>
      <c r="C5415" s="32">
        <v>39.719000000000001</v>
      </c>
      <c r="D5415" s="28">
        <v>2.9861111111111113E-2</v>
      </c>
    </row>
    <row r="5416" spans="1:4" x14ac:dyDescent="0.25">
      <c r="A5416" s="24" t="s">
        <v>120</v>
      </c>
      <c r="B5416" s="24" t="s">
        <v>102</v>
      </c>
      <c r="C5416" s="32">
        <v>39.146000000000001</v>
      </c>
      <c r="D5416" s="28">
        <v>2.9861111111111113E-2</v>
      </c>
    </row>
    <row r="5417" spans="1:4" x14ac:dyDescent="0.25">
      <c r="A5417" s="24" t="s">
        <v>120</v>
      </c>
      <c r="B5417" s="24" t="s">
        <v>103</v>
      </c>
      <c r="C5417" s="32">
        <v>31.186</v>
      </c>
      <c r="D5417" s="28">
        <v>2.361111111111111E-2</v>
      </c>
    </row>
    <row r="5418" spans="1:4" x14ac:dyDescent="0.25">
      <c r="A5418" s="24" t="s">
        <v>120</v>
      </c>
      <c r="B5418" s="24" t="s">
        <v>104</v>
      </c>
      <c r="C5418" s="32">
        <v>28.760999999999999</v>
      </c>
      <c r="D5418" s="28">
        <v>2.1527777777777781E-2</v>
      </c>
    </row>
    <row r="5419" spans="1:4" x14ac:dyDescent="0.25">
      <c r="A5419" s="24" t="s">
        <v>120</v>
      </c>
      <c r="B5419" s="24" t="s">
        <v>105</v>
      </c>
      <c r="C5419" s="32">
        <v>30.024000000000001</v>
      </c>
      <c r="D5419" s="28">
        <v>2.6388888888888889E-2</v>
      </c>
    </row>
    <row r="5420" spans="1:4" x14ac:dyDescent="0.25">
      <c r="A5420" s="24" t="s">
        <v>120</v>
      </c>
      <c r="B5420" s="24" t="s">
        <v>106</v>
      </c>
      <c r="C5420" s="32">
        <v>34.500999999999998</v>
      </c>
      <c r="D5420" s="28">
        <v>2.4999999999999998E-2</v>
      </c>
    </row>
    <row r="5421" spans="1:4" x14ac:dyDescent="0.25">
      <c r="A5421" s="24" t="s">
        <v>120</v>
      </c>
      <c r="B5421" s="24" t="s">
        <v>107</v>
      </c>
      <c r="C5421" s="32">
        <v>25.428999999999998</v>
      </c>
      <c r="D5421" s="28">
        <v>2.1527777777777781E-2</v>
      </c>
    </row>
    <row r="5422" spans="1:4" x14ac:dyDescent="0.25">
      <c r="A5422" s="24" t="s">
        <v>120</v>
      </c>
      <c r="B5422" s="24" t="s">
        <v>108</v>
      </c>
      <c r="C5422" s="32">
        <v>24.981999999999999</v>
      </c>
      <c r="D5422" s="28">
        <v>1.9444444444444445E-2</v>
      </c>
    </row>
    <row r="5423" spans="1:4" x14ac:dyDescent="0.25">
      <c r="A5423" s="24" t="s">
        <v>120</v>
      </c>
      <c r="B5423" s="24" t="s">
        <v>109</v>
      </c>
      <c r="C5423" s="32">
        <v>24.952000000000002</v>
      </c>
      <c r="D5423" s="28">
        <v>1.9444444444444445E-2</v>
      </c>
    </row>
    <row r="5424" spans="1:4" x14ac:dyDescent="0.25">
      <c r="A5424" s="24" t="s">
        <v>120</v>
      </c>
      <c r="B5424" s="24" t="s">
        <v>110</v>
      </c>
      <c r="C5424" s="32">
        <v>32.799999999999997</v>
      </c>
      <c r="D5424" s="28">
        <v>2.5694444444444447E-2</v>
      </c>
    </row>
    <row r="5425" spans="1:4" x14ac:dyDescent="0.25">
      <c r="A5425" s="24" t="s">
        <v>120</v>
      </c>
      <c r="B5425" s="24" t="s">
        <v>111</v>
      </c>
      <c r="C5425" s="32">
        <v>29.254000000000001</v>
      </c>
      <c r="D5425" s="28">
        <v>2.1527777777777781E-2</v>
      </c>
    </row>
    <row r="5426" spans="1:4" x14ac:dyDescent="0.25">
      <c r="A5426" s="24" t="s">
        <v>120</v>
      </c>
      <c r="B5426" s="24" t="s">
        <v>112</v>
      </c>
      <c r="C5426" s="32">
        <v>24.021000000000001</v>
      </c>
      <c r="D5426" s="28">
        <v>1.8749999999999999E-2</v>
      </c>
    </row>
    <row r="5427" spans="1:4" x14ac:dyDescent="0.25">
      <c r="A5427" s="24" t="s">
        <v>120</v>
      </c>
      <c r="B5427" s="24" t="s">
        <v>113</v>
      </c>
      <c r="C5427" s="32">
        <v>21.178999999999998</v>
      </c>
      <c r="D5427" s="28">
        <v>1.8055555555555557E-2</v>
      </c>
    </row>
    <row r="5428" spans="1:4" x14ac:dyDescent="0.25">
      <c r="A5428" s="24" t="s">
        <v>120</v>
      </c>
      <c r="B5428" s="24" t="s">
        <v>114</v>
      </c>
      <c r="C5428" s="32">
        <v>31.898</v>
      </c>
      <c r="D5428" s="28">
        <v>2.4305555555555556E-2</v>
      </c>
    </row>
    <row r="5429" spans="1:4" x14ac:dyDescent="0.25">
      <c r="A5429" s="24" t="s">
        <v>120</v>
      </c>
      <c r="B5429" s="24" t="s">
        <v>115</v>
      </c>
      <c r="C5429" s="32">
        <v>31.748999999999999</v>
      </c>
      <c r="D5429" s="28">
        <v>2.4305555555555556E-2</v>
      </c>
    </row>
    <row r="5430" spans="1:4" x14ac:dyDescent="0.25">
      <c r="A5430" s="24" t="s">
        <v>120</v>
      </c>
      <c r="B5430" s="24" t="s">
        <v>116</v>
      </c>
      <c r="C5430" s="32">
        <v>30.535</v>
      </c>
      <c r="D5430" s="28">
        <v>2.2916666666666669E-2</v>
      </c>
    </row>
    <row r="5431" spans="1:4" x14ac:dyDescent="0.25">
      <c r="A5431" s="24" t="s">
        <v>120</v>
      </c>
      <c r="B5431" s="24" t="s">
        <v>117</v>
      </c>
      <c r="C5431" s="32">
        <v>24.968</v>
      </c>
      <c r="D5431" s="28">
        <v>2.0833333333333332E-2</v>
      </c>
    </row>
    <row r="5432" spans="1:4" x14ac:dyDescent="0.25">
      <c r="A5432" s="24" t="s">
        <v>120</v>
      </c>
      <c r="B5432" s="24" t="s">
        <v>118</v>
      </c>
      <c r="C5432" s="32">
        <v>19.361999999999998</v>
      </c>
      <c r="D5432" s="28">
        <v>1.5972222222222224E-2</v>
      </c>
    </row>
    <row r="5433" spans="1:4" x14ac:dyDescent="0.25">
      <c r="A5433" s="24" t="s">
        <v>120</v>
      </c>
      <c r="B5433" s="24" t="s">
        <v>119</v>
      </c>
      <c r="C5433" s="32">
        <v>7.45</v>
      </c>
      <c r="D5433" s="28">
        <v>8.3333333333333332E-3</v>
      </c>
    </row>
    <row r="5434" spans="1:4" x14ac:dyDescent="0.25">
      <c r="A5434" s="24" t="s">
        <v>120</v>
      </c>
      <c r="B5434" s="24" t="s">
        <v>120</v>
      </c>
      <c r="C5434" s="32">
        <v>0</v>
      </c>
      <c r="D5434" s="28">
        <v>0</v>
      </c>
    </row>
    <row r="5435" spans="1:4" x14ac:dyDescent="0.25">
      <c r="A5435" s="24" t="s">
        <v>120</v>
      </c>
      <c r="B5435" s="24" t="s">
        <v>121</v>
      </c>
      <c r="C5435" s="32">
        <v>24.588000000000001</v>
      </c>
      <c r="D5435" s="28">
        <v>1.9444444444444445E-2</v>
      </c>
    </row>
    <row r="5436" spans="1:4" x14ac:dyDescent="0.25">
      <c r="A5436" s="24" t="s">
        <v>120</v>
      </c>
      <c r="B5436" s="24" t="s">
        <v>122</v>
      </c>
      <c r="C5436" s="32">
        <v>36.405999999999999</v>
      </c>
      <c r="D5436" s="28">
        <v>2.361111111111111E-2</v>
      </c>
    </row>
    <row r="5437" spans="1:4" x14ac:dyDescent="0.25">
      <c r="A5437" s="24" t="s">
        <v>120</v>
      </c>
      <c r="B5437" s="24" t="s">
        <v>123</v>
      </c>
      <c r="C5437" s="32">
        <v>18.172999999999998</v>
      </c>
      <c r="D5437" s="28">
        <v>1.5972222222222224E-2</v>
      </c>
    </row>
    <row r="5438" spans="1:4" x14ac:dyDescent="0.25">
      <c r="A5438" s="24" t="s">
        <v>120</v>
      </c>
      <c r="B5438" s="24" t="s">
        <v>124</v>
      </c>
      <c r="C5438" s="32">
        <v>18.172999999999998</v>
      </c>
      <c r="D5438" s="28">
        <v>1.5972222222222224E-2</v>
      </c>
    </row>
    <row r="5439" spans="1:4" x14ac:dyDescent="0.25">
      <c r="A5439" s="24" t="s">
        <v>120</v>
      </c>
      <c r="B5439" s="24" t="s">
        <v>125</v>
      </c>
      <c r="C5439" s="32">
        <v>40.006</v>
      </c>
      <c r="D5439" s="28">
        <v>3.125E-2</v>
      </c>
    </row>
    <row r="5440" spans="1:4" x14ac:dyDescent="0.25">
      <c r="A5440" s="24" t="s">
        <v>120</v>
      </c>
      <c r="B5440" s="24" t="s">
        <v>126</v>
      </c>
      <c r="C5440" s="32">
        <v>39.744</v>
      </c>
      <c r="D5440" s="28">
        <v>2.9861111111111113E-2</v>
      </c>
    </row>
    <row r="5441" spans="1:4" x14ac:dyDescent="0.25">
      <c r="A5441" s="24" t="s">
        <v>120</v>
      </c>
      <c r="B5441" s="24" t="s">
        <v>127</v>
      </c>
      <c r="C5441" s="32">
        <v>38.738</v>
      </c>
      <c r="D5441" s="28">
        <v>2.9166666666666664E-2</v>
      </c>
    </row>
    <row r="5442" spans="1:4" x14ac:dyDescent="0.25">
      <c r="A5442" s="24" t="s">
        <v>120</v>
      </c>
      <c r="B5442" s="24" t="s">
        <v>128</v>
      </c>
      <c r="C5442" s="32">
        <v>42.366</v>
      </c>
      <c r="D5442" s="28">
        <v>2.9861111111111113E-2</v>
      </c>
    </row>
    <row r="5443" spans="1:4" x14ac:dyDescent="0.25">
      <c r="A5443" s="24" t="s">
        <v>120</v>
      </c>
      <c r="B5443" s="24" t="s">
        <v>129</v>
      </c>
      <c r="C5443" s="32">
        <v>42.366</v>
      </c>
      <c r="D5443" s="28">
        <v>2.9861111111111113E-2</v>
      </c>
    </row>
    <row r="5444" spans="1:4" x14ac:dyDescent="0.25">
      <c r="A5444" s="24" t="s">
        <v>120</v>
      </c>
      <c r="B5444" s="24" t="s">
        <v>130</v>
      </c>
      <c r="C5444" s="32">
        <v>41.744999999999997</v>
      </c>
      <c r="D5444" s="28">
        <v>3.1944444444444449E-2</v>
      </c>
    </row>
    <row r="5445" spans="1:4" x14ac:dyDescent="0.25">
      <c r="A5445" s="24" t="s">
        <v>120</v>
      </c>
      <c r="B5445" s="24" t="s">
        <v>131</v>
      </c>
      <c r="C5445" s="32">
        <v>37.729999999999997</v>
      </c>
      <c r="D5445" s="28">
        <v>2.9861111111111113E-2</v>
      </c>
    </row>
    <row r="5446" spans="1:4" x14ac:dyDescent="0.25">
      <c r="A5446" s="24" t="s">
        <v>120</v>
      </c>
      <c r="B5446" s="24" t="s">
        <v>132</v>
      </c>
      <c r="C5446" s="32">
        <v>43.835999999999999</v>
      </c>
      <c r="D5446" s="28">
        <v>3.4722222222222224E-2</v>
      </c>
    </row>
    <row r="5447" spans="1:4" x14ac:dyDescent="0.25">
      <c r="A5447" s="24" t="s">
        <v>120</v>
      </c>
      <c r="B5447" s="24" t="s">
        <v>133</v>
      </c>
      <c r="C5447" s="32">
        <v>30.157</v>
      </c>
      <c r="D5447" s="28">
        <v>2.2222222222222223E-2</v>
      </c>
    </row>
    <row r="5448" spans="1:4" x14ac:dyDescent="0.25">
      <c r="A5448" s="24" t="s">
        <v>120</v>
      </c>
      <c r="B5448" s="24" t="s">
        <v>134</v>
      </c>
      <c r="C5448" s="32">
        <v>29.690999999999999</v>
      </c>
      <c r="D5448" s="28">
        <v>2.1527777777777781E-2</v>
      </c>
    </row>
    <row r="5449" spans="1:4" x14ac:dyDescent="0.25">
      <c r="A5449" s="24" t="s">
        <v>120</v>
      </c>
      <c r="B5449" s="24" t="s">
        <v>135</v>
      </c>
      <c r="C5449" s="32">
        <v>31.898</v>
      </c>
      <c r="D5449" s="28">
        <v>2.2916666666666669E-2</v>
      </c>
    </row>
    <row r="5450" spans="1:4" x14ac:dyDescent="0.25">
      <c r="A5450" s="24" t="s">
        <v>120</v>
      </c>
      <c r="B5450" s="24" t="s">
        <v>136</v>
      </c>
      <c r="C5450" s="32">
        <v>31.898</v>
      </c>
      <c r="D5450" s="28">
        <v>2.2916666666666669E-2</v>
      </c>
    </row>
    <row r="5451" spans="1:4" x14ac:dyDescent="0.25">
      <c r="A5451" s="24" t="s">
        <v>120</v>
      </c>
      <c r="B5451" s="24" t="s">
        <v>137</v>
      </c>
      <c r="C5451" s="32">
        <v>32.784999999999997</v>
      </c>
      <c r="D5451" s="28">
        <v>2.2916666666666669E-2</v>
      </c>
    </row>
    <row r="5452" spans="1:4" x14ac:dyDescent="0.25">
      <c r="A5452" s="24" t="s">
        <v>120</v>
      </c>
      <c r="B5452" s="24" t="s">
        <v>138</v>
      </c>
      <c r="C5452" s="32">
        <v>26.518999999999998</v>
      </c>
      <c r="D5452" s="28">
        <v>1.9444444444444445E-2</v>
      </c>
    </row>
    <row r="5453" spans="1:4" x14ac:dyDescent="0.25">
      <c r="A5453" s="24" t="s">
        <v>120</v>
      </c>
      <c r="B5453" s="24" t="s">
        <v>139</v>
      </c>
      <c r="C5453" s="32">
        <v>29.553000000000001</v>
      </c>
      <c r="D5453" s="28">
        <v>1.8749999999999999E-2</v>
      </c>
    </row>
    <row r="5454" spans="1:4" x14ac:dyDescent="0.25">
      <c r="A5454" s="24" t="s">
        <v>120</v>
      </c>
      <c r="B5454" s="24" t="s">
        <v>140</v>
      </c>
      <c r="C5454" s="32">
        <v>36.192999999999998</v>
      </c>
      <c r="D5454" s="28">
        <v>2.1527777777777781E-2</v>
      </c>
    </row>
    <row r="5455" spans="1:4" x14ac:dyDescent="0.25">
      <c r="A5455" s="24" t="s">
        <v>120</v>
      </c>
      <c r="B5455" s="24" t="s">
        <v>141</v>
      </c>
      <c r="C5455" s="32">
        <v>55.12</v>
      </c>
      <c r="D5455" s="28">
        <v>4.0972222222222222E-2</v>
      </c>
    </row>
    <row r="5456" spans="1:4" x14ac:dyDescent="0.25">
      <c r="A5456" s="24" t="s">
        <v>120</v>
      </c>
      <c r="B5456" s="24" t="s">
        <v>142</v>
      </c>
      <c r="C5456" s="32">
        <v>52.351999999999997</v>
      </c>
      <c r="D5456" s="28">
        <v>3.0555555555555555E-2</v>
      </c>
    </row>
    <row r="5457" spans="1:4" x14ac:dyDescent="0.25">
      <c r="A5457" s="24" t="s">
        <v>120</v>
      </c>
      <c r="B5457" s="24" t="s">
        <v>143</v>
      </c>
      <c r="C5457" s="32">
        <v>70.73</v>
      </c>
      <c r="D5457" s="28">
        <v>3.8194444444444441E-2</v>
      </c>
    </row>
    <row r="5458" spans="1:4" x14ac:dyDescent="0.25">
      <c r="A5458" s="24" t="s">
        <v>120</v>
      </c>
      <c r="B5458" s="24" t="s">
        <v>144</v>
      </c>
      <c r="C5458" s="32">
        <v>89.846000000000004</v>
      </c>
      <c r="D5458" s="28">
        <v>4.8611111111111112E-2</v>
      </c>
    </row>
    <row r="5459" spans="1:4" x14ac:dyDescent="0.25">
      <c r="A5459" s="24" t="s">
        <v>120</v>
      </c>
      <c r="B5459" s="24" t="s">
        <v>145</v>
      </c>
      <c r="C5459" s="32">
        <v>34.36</v>
      </c>
      <c r="D5459" s="28">
        <v>2.361111111111111E-2</v>
      </c>
    </row>
    <row r="5460" spans="1:4" x14ac:dyDescent="0.25">
      <c r="A5460" s="24" t="s">
        <v>120</v>
      </c>
      <c r="B5460" s="24" t="s">
        <v>146</v>
      </c>
      <c r="C5460" s="32">
        <v>49.819000000000003</v>
      </c>
      <c r="D5460" s="28">
        <v>3.125E-2</v>
      </c>
    </row>
    <row r="5461" spans="1:4" x14ac:dyDescent="0.25">
      <c r="A5461" s="24" t="s">
        <v>120</v>
      </c>
      <c r="B5461" s="24" t="s">
        <v>147</v>
      </c>
      <c r="C5461" s="32">
        <v>35.198999999999998</v>
      </c>
      <c r="D5461" s="28">
        <v>2.4999999999999998E-2</v>
      </c>
    </row>
    <row r="5462" spans="1:4" x14ac:dyDescent="0.25">
      <c r="A5462" s="24" t="s">
        <v>120</v>
      </c>
      <c r="B5462" s="24" t="s">
        <v>148</v>
      </c>
      <c r="C5462" s="32">
        <v>38.273000000000003</v>
      </c>
      <c r="D5462" s="28">
        <v>2.6388888888888889E-2</v>
      </c>
    </row>
    <row r="5463" spans="1:4" x14ac:dyDescent="0.25">
      <c r="A5463" s="24" t="s">
        <v>120</v>
      </c>
      <c r="B5463" s="24" t="s">
        <v>149</v>
      </c>
      <c r="C5463" s="32">
        <v>44.363</v>
      </c>
      <c r="D5463" s="28">
        <v>3.4722222222222224E-2</v>
      </c>
    </row>
    <row r="5464" spans="1:4" x14ac:dyDescent="0.25">
      <c r="A5464" s="24" t="s">
        <v>120</v>
      </c>
      <c r="B5464" s="24" t="s">
        <v>150</v>
      </c>
      <c r="C5464" s="32">
        <v>52.156999999999996</v>
      </c>
      <c r="D5464" s="28">
        <v>4.3055555555555562E-2</v>
      </c>
    </row>
    <row r="5465" spans="1:4" x14ac:dyDescent="0.25">
      <c r="A5465" s="24" t="s">
        <v>120</v>
      </c>
      <c r="B5465" s="24" t="s">
        <v>151</v>
      </c>
      <c r="C5465" s="32">
        <v>51.540999999999997</v>
      </c>
      <c r="D5465" s="28">
        <v>4.2361111111111106E-2</v>
      </c>
    </row>
    <row r="5466" spans="1:4" x14ac:dyDescent="0.25">
      <c r="A5466" s="24" t="s">
        <v>120</v>
      </c>
      <c r="B5466" s="24" t="s">
        <v>152</v>
      </c>
      <c r="C5466" s="32">
        <v>58.485999999999997</v>
      </c>
      <c r="D5466" s="28">
        <v>4.6527777777777779E-2</v>
      </c>
    </row>
    <row r="5467" spans="1:4" x14ac:dyDescent="0.25">
      <c r="A5467" s="24" t="s">
        <v>120</v>
      </c>
      <c r="B5467" s="24" t="s">
        <v>153</v>
      </c>
      <c r="C5467" s="32">
        <v>61.301000000000002</v>
      </c>
      <c r="D5467" s="28">
        <v>5.1388888888888894E-2</v>
      </c>
    </row>
    <row r="5468" spans="1:4" x14ac:dyDescent="0.25">
      <c r="A5468" s="24" t="s">
        <v>120</v>
      </c>
      <c r="B5468" s="24" t="s">
        <v>154</v>
      </c>
      <c r="C5468" s="32">
        <v>56.119</v>
      </c>
      <c r="D5468" s="28">
        <v>4.5833333333333337E-2</v>
      </c>
    </row>
    <row r="5469" spans="1:4" x14ac:dyDescent="0.25">
      <c r="A5469" s="24" t="s">
        <v>120</v>
      </c>
      <c r="B5469" s="24" t="s">
        <v>155</v>
      </c>
      <c r="C5469" s="32">
        <v>51.475999999999999</v>
      </c>
      <c r="D5469" s="28">
        <v>4.2361111111111106E-2</v>
      </c>
    </row>
    <row r="5470" spans="1:4" x14ac:dyDescent="0.25">
      <c r="A5470" s="24" t="s">
        <v>120</v>
      </c>
      <c r="B5470" s="24" t="s">
        <v>156</v>
      </c>
      <c r="C5470" s="32">
        <v>51.46</v>
      </c>
      <c r="D5470" s="28">
        <v>4.2361111111111106E-2</v>
      </c>
    </row>
    <row r="5471" spans="1:4" x14ac:dyDescent="0.25">
      <c r="A5471" s="24" t="s">
        <v>120</v>
      </c>
      <c r="B5471" s="24" t="s">
        <v>157</v>
      </c>
      <c r="C5471" s="32">
        <v>55.302999999999997</v>
      </c>
      <c r="D5471" s="28">
        <v>4.2361111111111106E-2</v>
      </c>
    </row>
    <row r="5472" spans="1:4" x14ac:dyDescent="0.25">
      <c r="A5472" s="24" t="s">
        <v>120</v>
      </c>
      <c r="B5472" s="24" t="s">
        <v>158</v>
      </c>
      <c r="C5472" s="32">
        <v>66.884</v>
      </c>
      <c r="D5472" s="28">
        <v>5.0694444444444452E-2</v>
      </c>
    </row>
    <row r="5473" spans="1:4" x14ac:dyDescent="0.25">
      <c r="A5473" s="24" t="s">
        <v>120</v>
      </c>
      <c r="B5473" s="24" t="s">
        <v>159</v>
      </c>
      <c r="C5473" s="32">
        <v>66.111999999999995</v>
      </c>
      <c r="D5473" s="28">
        <v>5.2083333333333336E-2</v>
      </c>
    </row>
    <row r="5474" spans="1:4" x14ac:dyDescent="0.25">
      <c r="A5474" s="24" t="s">
        <v>121</v>
      </c>
      <c r="B5474" s="24" t="s">
        <v>65</v>
      </c>
      <c r="C5474" s="32">
        <v>40.393999999999998</v>
      </c>
      <c r="D5474" s="28">
        <v>2.4999999999999998E-2</v>
      </c>
    </row>
    <row r="5475" spans="1:4" x14ac:dyDescent="0.25">
      <c r="A5475" s="24" t="s">
        <v>121</v>
      </c>
      <c r="B5475" s="24" t="s">
        <v>64</v>
      </c>
      <c r="C5475" s="32">
        <v>53.732999999999997</v>
      </c>
      <c r="D5475" s="28">
        <v>3.1944444444444449E-2</v>
      </c>
    </row>
    <row r="5476" spans="1:4" x14ac:dyDescent="0.25">
      <c r="A5476" s="24" t="s">
        <v>121</v>
      </c>
      <c r="B5476" s="24" t="s">
        <v>66</v>
      </c>
      <c r="C5476" s="32">
        <v>58.128</v>
      </c>
      <c r="D5476" s="28">
        <v>3.6111111111111115E-2</v>
      </c>
    </row>
    <row r="5477" spans="1:4" x14ac:dyDescent="0.25">
      <c r="A5477" s="24" t="s">
        <v>121</v>
      </c>
      <c r="B5477" s="24" t="s">
        <v>67</v>
      </c>
      <c r="C5477" s="32">
        <v>56.456000000000003</v>
      </c>
      <c r="D5477" s="28">
        <v>3.2638888888888891E-2</v>
      </c>
    </row>
    <row r="5478" spans="1:4" x14ac:dyDescent="0.25">
      <c r="A5478" s="24" t="s">
        <v>121</v>
      </c>
      <c r="B5478" s="24" t="s">
        <v>68</v>
      </c>
      <c r="C5478" s="32">
        <v>56.32</v>
      </c>
      <c r="D5478" s="28">
        <v>3.3333333333333333E-2</v>
      </c>
    </row>
    <row r="5479" spans="1:4" x14ac:dyDescent="0.25">
      <c r="A5479" s="24" t="s">
        <v>121</v>
      </c>
      <c r="B5479" s="24" t="s">
        <v>69</v>
      </c>
      <c r="C5479" s="32">
        <v>57.12</v>
      </c>
      <c r="D5479" s="28">
        <v>3.4027777777777775E-2</v>
      </c>
    </row>
    <row r="5480" spans="1:4" x14ac:dyDescent="0.25">
      <c r="A5480" s="24" t="s">
        <v>121</v>
      </c>
      <c r="B5480" s="24" t="s">
        <v>70</v>
      </c>
      <c r="C5480" s="32">
        <v>56.783999999999999</v>
      </c>
      <c r="D5480" s="28">
        <v>3.3333333333333333E-2</v>
      </c>
    </row>
    <row r="5481" spans="1:4" x14ac:dyDescent="0.25">
      <c r="A5481" s="24" t="s">
        <v>121</v>
      </c>
      <c r="B5481" s="24" t="s">
        <v>71</v>
      </c>
      <c r="C5481" s="32">
        <v>54.953000000000003</v>
      </c>
      <c r="D5481" s="28">
        <v>3.5416666666666666E-2</v>
      </c>
    </row>
    <row r="5482" spans="1:4" x14ac:dyDescent="0.25">
      <c r="A5482" s="24" t="s">
        <v>121</v>
      </c>
      <c r="B5482" s="24" t="s">
        <v>72</v>
      </c>
      <c r="C5482" s="32">
        <v>55.92</v>
      </c>
      <c r="D5482" s="28">
        <v>3.2638888888888891E-2</v>
      </c>
    </row>
    <row r="5483" spans="1:4" x14ac:dyDescent="0.25">
      <c r="A5483" s="24" t="s">
        <v>121</v>
      </c>
      <c r="B5483" s="24" t="s">
        <v>73</v>
      </c>
      <c r="C5483" s="32">
        <v>53.215000000000003</v>
      </c>
      <c r="D5483" s="28">
        <v>3.2638888888888891E-2</v>
      </c>
    </row>
    <row r="5484" spans="1:4" x14ac:dyDescent="0.25">
      <c r="A5484" s="24" t="s">
        <v>121</v>
      </c>
      <c r="B5484" s="24" t="s">
        <v>74</v>
      </c>
      <c r="C5484" s="32">
        <v>52.472000000000001</v>
      </c>
      <c r="D5484" s="28">
        <v>3.125E-2</v>
      </c>
    </row>
    <row r="5485" spans="1:4" x14ac:dyDescent="0.25">
      <c r="A5485" s="24" t="s">
        <v>121</v>
      </c>
      <c r="B5485" s="24" t="s">
        <v>75</v>
      </c>
      <c r="C5485" s="32">
        <v>51.508000000000003</v>
      </c>
      <c r="D5485" s="28">
        <v>2.9861111111111113E-2</v>
      </c>
    </row>
    <row r="5486" spans="1:4" x14ac:dyDescent="0.25">
      <c r="A5486" s="24" t="s">
        <v>121</v>
      </c>
      <c r="B5486" s="24" t="s">
        <v>76</v>
      </c>
      <c r="C5486" s="32">
        <v>50.973999999999997</v>
      </c>
      <c r="D5486" s="28">
        <v>3.1944444444444449E-2</v>
      </c>
    </row>
    <row r="5487" spans="1:4" x14ac:dyDescent="0.25">
      <c r="A5487" s="24" t="s">
        <v>121</v>
      </c>
      <c r="B5487" s="24" t="s">
        <v>77</v>
      </c>
      <c r="C5487" s="32">
        <v>58.887999999999998</v>
      </c>
      <c r="D5487" s="28">
        <v>3.4027777777777775E-2</v>
      </c>
    </row>
    <row r="5488" spans="1:4" x14ac:dyDescent="0.25">
      <c r="A5488" s="24" t="s">
        <v>121</v>
      </c>
      <c r="B5488" s="24" t="s">
        <v>78</v>
      </c>
      <c r="C5488" s="32">
        <v>59.761000000000003</v>
      </c>
      <c r="D5488" s="28">
        <v>3.6111111111111115E-2</v>
      </c>
    </row>
    <row r="5489" spans="1:4" x14ac:dyDescent="0.25">
      <c r="A5489" s="24" t="s">
        <v>121</v>
      </c>
      <c r="B5489" s="24" t="s">
        <v>79</v>
      </c>
      <c r="C5489" s="32">
        <v>78.721999999999994</v>
      </c>
      <c r="D5489" s="28">
        <v>4.5833333333333337E-2</v>
      </c>
    </row>
    <row r="5490" spans="1:4" x14ac:dyDescent="0.25">
      <c r="A5490" s="24" t="s">
        <v>121</v>
      </c>
      <c r="B5490" s="24" t="s">
        <v>80</v>
      </c>
      <c r="C5490" s="32">
        <v>40.21</v>
      </c>
      <c r="D5490" s="28">
        <v>2.4305555555555556E-2</v>
      </c>
    </row>
    <row r="5491" spans="1:4" x14ac:dyDescent="0.25">
      <c r="A5491" s="24" t="s">
        <v>121</v>
      </c>
      <c r="B5491" s="24" t="s">
        <v>81</v>
      </c>
      <c r="C5491" s="32">
        <v>36.497</v>
      </c>
      <c r="D5491" s="28">
        <v>2.1527777777777781E-2</v>
      </c>
    </row>
    <row r="5492" spans="1:4" x14ac:dyDescent="0.25">
      <c r="A5492" s="24" t="s">
        <v>121</v>
      </c>
      <c r="B5492" s="24" t="s">
        <v>82</v>
      </c>
      <c r="C5492" s="32">
        <v>36.548999999999999</v>
      </c>
      <c r="D5492" s="28">
        <v>2.1527777777777781E-2</v>
      </c>
    </row>
    <row r="5493" spans="1:4" x14ac:dyDescent="0.25">
      <c r="A5493" s="24" t="s">
        <v>121</v>
      </c>
      <c r="B5493" s="24" t="s">
        <v>83</v>
      </c>
      <c r="C5493" s="32">
        <v>51.930999999999997</v>
      </c>
      <c r="D5493" s="28">
        <v>3.125E-2</v>
      </c>
    </row>
    <row r="5494" spans="1:4" x14ac:dyDescent="0.25">
      <c r="A5494" s="24" t="s">
        <v>121</v>
      </c>
      <c r="B5494" s="24" t="s">
        <v>84</v>
      </c>
      <c r="C5494" s="32">
        <v>49.399000000000001</v>
      </c>
      <c r="D5494" s="28">
        <v>2.7083333333333334E-2</v>
      </c>
    </row>
    <row r="5495" spans="1:4" x14ac:dyDescent="0.25">
      <c r="A5495" s="24" t="s">
        <v>121</v>
      </c>
      <c r="B5495" s="24" t="s">
        <v>85</v>
      </c>
      <c r="C5495" s="32">
        <v>49.033000000000001</v>
      </c>
      <c r="D5495" s="28">
        <v>2.7083333333333334E-2</v>
      </c>
    </row>
    <row r="5496" spans="1:4" x14ac:dyDescent="0.25">
      <c r="A5496" s="24" t="s">
        <v>121</v>
      </c>
      <c r="B5496" s="24" t="s">
        <v>86</v>
      </c>
      <c r="C5496" s="32">
        <v>48.978000000000002</v>
      </c>
      <c r="D5496" s="28">
        <v>2.8472222222222222E-2</v>
      </c>
    </row>
    <row r="5497" spans="1:4" x14ac:dyDescent="0.25">
      <c r="A5497" s="24" t="s">
        <v>121</v>
      </c>
      <c r="B5497" s="24" t="s">
        <v>87</v>
      </c>
      <c r="C5497" s="32">
        <v>48.756</v>
      </c>
      <c r="D5497" s="28">
        <v>2.7777777777777776E-2</v>
      </c>
    </row>
    <row r="5498" spans="1:4" x14ac:dyDescent="0.25">
      <c r="A5498" s="24" t="s">
        <v>121</v>
      </c>
      <c r="B5498" s="24" t="s">
        <v>88</v>
      </c>
      <c r="C5498" s="32">
        <v>49.835000000000001</v>
      </c>
      <c r="D5498" s="28">
        <v>2.8472222222222222E-2</v>
      </c>
    </row>
    <row r="5499" spans="1:4" x14ac:dyDescent="0.25">
      <c r="A5499" s="24" t="s">
        <v>121</v>
      </c>
      <c r="B5499" s="24" t="s">
        <v>89</v>
      </c>
      <c r="C5499" s="32">
        <v>45.77</v>
      </c>
      <c r="D5499" s="28">
        <v>2.9166666666666664E-2</v>
      </c>
    </row>
    <row r="5500" spans="1:4" x14ac:dyDescent="0.25">
      <c r="A5500" s="24" t="s">
        <v>121</v>
      </c>
      <c r="B5500" s="24" t="s">
        <v>90</v>
      </c>
      <c r="C5500" s="32">
        <v>40.307000000000002</v>
      </c>
      <c r="D5500" s="28">
        <v>2.5694444444444447E-2</v>
      </c>
    </row>
    <row r="5501" spans="1:4" x14ac:dyDescent="0.25">
      <c r="A5501" s="24" t="s">
        <v>121</v>
      </c>
      <c r="B5501" s="24" t="s">
        <v>91</v>
      </c>
      <c r="C5501" s="32">
        <v>47.691000000000003</v>
      </c>
      <c r="D5501" s="28">
        <v>3.0555555555555555E-2</v>
      </c>
    </row>
    <row r="5502" spans="1:4" x14ac:dyDescent="0.25">
      <c r="A5502" s="24" t="s">
        <v>121</v>
      </c>
      <c r="B5502" s="24" t="s">
        <v>92</v>
      </c>
      <c r="C5502" s="32">
        <v>42.622999999999998</v>
      </c>
      <c r="D5502" s="28">
        <v>2.7777777777777776E-2</v>
      </c>
    </row>
    <row r="5503" spans="1:4" x14ac:dyDescent="0.25">
      <c r="A5503" s="24" t="s">
        <v>121</v>
      </c>
      <c r="B5503" s="24" t="s">
        <v>93</v>
      </c>
      <c r="C5503" s="32">
        <v>34.773000000000003</v>
      </c>
      <c r="D5503" s="28">
        <v>2.2916666666666669E-2</v>
      </c>
    </row>
    <row r="5504" spans="1:4" x14ac:dyDescent="0.25">
      <c r="A5504" s="24" t="s">
        <v>121</v>
      </c>
      <c r="B5504" s="24" t="s">
        <v>94</v>
      </c>
      <c r="C5504" s="32">
        <v>29.619</v>
      </c>
      <c r="D5504" s="28">
        <v>2.2222222222222223E-2</v>
      </c>
    </row>
    <row r="5505" spans="1:4" x14ac:dyDescent="0.25">
      <c r="A5505" s="24" t="s">
        <v>121</v>
      </c>
      <c r="B5505" s="24" t="s">
        <v>95</v>
      </c>
      <c r="C5505" s="32">
        <v>29.384</v>
      </c>
      <c r="D5505" s="28">
        <v>2.013888888888889E-2</v>
      </c>
    </row>
    <row r="5506" spans="1:4" x14ac:dyDescent="0.25">
      <c r="A5506" s="24" t="s">
        <v>121</v>
      </c>
      <c r="B5506" s="24" t="s">
        <v>96</v>
      </c>
      <c r="C5506" s="32">
        <v>57.677</v>
      </c>
      <c r="D5506" s="28">
        <v>3.7499999999999999E-2</v>
      </c>
    </row>
    <row r="5507" spans="1:4" x14ac:dyDescent="0.25">
      <c r="A5507" s="24" t="s">
        <v>121</v>
      </c>
      <c r="B5507" s="24" t="s">
        <v>97</v>
      </c>
      <c r="C5507" s="32">
        <v>57.475000000000001</v>
      </c>
      <c r="D5507" s="28">
        <v>3.8194444444444441E-2</v>
      </c>
    </row>
    <row r="5508" spans="1:4" x14ac:dyDescent="0.25">
      <c r="A5508" s="24" t="s">
        <v>121</v>
      </c>
      <c r="B5508" s="24" t="s">
        <v>98</v>
      </c>
      <c r="C5508" s="32">
        <v>47.337000000000003</v>
      </c>
      <c r="D5508" s="28">
        <v>2.9861111111111113E-2</v>
      </c>
    </row>
    <row r="5509" spans="1:4" x14ac:dyDescent="0.25">
      <c r="A5509" s="24" t="s">
        <v>121</v>
      </c>
      <c r="B5509" s="24" t="s">
        <v>99</v>
      </c>
      <c r="C5509" s="32">
        <v>53.835000000000001</v>
      </c>
      <c r="D5509" s="28">
        <v>3.4722222222222224E-2</v>
      </c>
    </row>
    <row r="5510" spans="1:4" x14ac:dyDescent="0.25">
      <c r="A5510" s="24" t="s">
        <v>121</v>
      </c>
      <c r="B5510" s="24" t="s">
        <v>100</v>
      </c>
      <c r="C5510" s="32">
        <v>33.72</v>
      </c>
      <c r="D5510" s="28">
        <v>2.2222222222222223E-2</v>
      </c>
    </row>
    <row r="5511" spans="1:4" x14ac:dyDescent="0.25">
      <c r="A5511" s="24" t="s">
        <v>121</v>
      </c>
      <c r="B5511" s="24" t="s">
        <v>101</v>
      </c>
      <c r="C5511" s="32">
        <v>49.033000000000001</v>
      </c>
      <c r="D5511" s="28">
        <v>3.125E-2</v>
      </c>
    </row>
    <row r="5512" spans="1:4" x14ac:dyDescent="0.25">
      <c r="A5512" s="24" t="s">
        <v>121</v>
      </c>
      <c r="B5512" s="24" t="s">
        <v>102</v>
      </c>
      <c r="C5512" s="32">
        <v>49.537999999999997</v>
      </c>
      <c r="D5512" s="28">
        <v>3.3333333333333333E-2</v>
      </c>
    </row>
    <row r="5513" spans="1:4" x14ac:dyDescent="0.25">
      <c r="A5513" s="24" t="s">
        <v>121</v>
      </c>
      <c r="B5513" s="24" t="s">
        <v>103</v>
      </c>
      <c r="C5513" s="32">
        <v>44.597999999999999</v>
      </c>
      <c r="D5513" s="28">
        <v>2.7083333333333334E-2</v>
      </c>
    </row>
    <row r="5514" spans="1:4" x14ac:dyDescent="0.25">
      <c r="A5514" s="24" t="s">
        <v>121</v>
      </c>
      <c r="B5514" s="24" t="s">
        <v>104</v>
      </c>
      <c r="C5514" s="32">
        <v>41.658000000000001</v>
      </c>
      <c r="D5514" s="28">
        <v>2.5694444444444447E-2</v>
      </c>
    </row>
    <row r="5515" spans="1:4" x14ac:dyDescent="0.25">
      <c r="A5515" s="24" t="s">
        <v>121</v>
      </c>
      <c r="B5515" s="24" t="s">
        <v>105</v>
      </c>
      <c r="C5515" s="32">
        <v>46.707000000000001</v>
      </c>
      <c r="D5515" s="28">
        <v>3.125E-2</v>
      </c>
    </row>
    <row r="5516" spans="1:4" x14ac:dyDescent="0.25">
      <c r="A5516" s="24" t="s">
        <v>121</v>
      </c>
      <c r="B5516" s="24" t="s">
        <v>106</v>
      </c>
      <c r="C5516" s="32">
        <v>46.277000000000001</v>
      </c>
      <c r="D5516" s="28">
        <v>2.7777777777777776E-2</v>
      </c>
    </row>
    <row r="5517" spans="1:4" x14ac:dyDescent="0.25">
      <c r="A5517" s="24" t="s">
        <v>121</v>
      </c>
      <c r="B5517" s="24" t="s">
        <v>107</v>
      </c>
      <c r="C5517" s="32">
        <v>42.112000000000002</v>
      </c>
      <c r="D5517" s="28">
        <v>2.6388888888888889E-2</v>
      </c>
    </row>
    <row r="5518" spans="1:4" x14ac:dyDescent="0.25">
      <c r="A5518" s="24" t="s">
        <v>121</v>
      </c>
      <c r="B5518" s="24" t="s">
        <v>108</v>
      </c>
      <c r="C5518" s="32">
        <v>41.664999999999999</v>
      </c>
      <c r="D5518" s="28">
        <v>2.4305555555555556E-2</v>
      </c>
    </row>
    <row r="5519" spans="1:4" x14ac:dyDescent="0.25">
      <c r="A5519" s="24" t="s">
        <v>121</v>
      </c>
      <c r="B5519" s="24" t="s">
        <v>109</v>
      </c>
      <c r="C5519" s="32">
        <v>41.634999999999998</v>
      </c>
      <c r="D5519" s="28">
        <v>2.4305555555555556E-2</v>
      </c>
    </row>
    <row r="5520" spans="1:4" x14ac:dyDescent="0.25">
      <c r="A5520" s="24" t="s">
        <v>121</v>
      </c>
      <c r="B5520" s="24" t="s">
        <v>110</v>
      </c>
      <c r="C5520" s="32">
        <v>49.482999999999997</v>
      </c>
      <c r="D5520" s="28">
        <v>3.0555555555555555E-2</v>
      </c>
    </row>
    <row r="5521" spans="1:4" x14ac:dyDescent="0.25">
      <c r="A5521" s="24" t="s">
        <v>121</v>
      </c>
      <c r="B5521" s="24" t="s">
        <v>111</v>
      </c>
      <c r="C5521" s="32">
        <v>45.936999999999998</v>
      </c>
      <c r="D5521" s="28">
        <v>2.6388888888888889E-2</v>
      </c>
    </row>
    <row r="5522" spans="1:4" x14ac:dyDescent="0.25">
      <c r="A5522" s="24" t="s">
        <v>121</v>
      </c>
      <c r="B5522" s="24" t="s">
        <v>112</v>
      </c>
      <c r="C5522" s="32">
        <v>40.704000000000001</v>
      </c>
      <c r="D5522" s="28">
        <v>2.361111111111111E-2</v>
      </c>
    </row>
    <row r="5523" spans="1:4" x14ac:dyDescent="0.25">
      <c r="A5523" s="24" t="s">
        <v>121</v>
      </c>
      <c r="B5523" s="24" t="s">
        <v>113</v>
      </c>
      <c r="C5523" s="32">
        <v>37.862000000000002</v>
      </c>
      <c r="D5523" s="28">
        <v>2.2222222222222223E-2</v>
      </c>
    </row>
    <row r="5524" spans="1:4" x14ac:dyDescent="0.25">
      <c r="A5524" s="24" t="s">
        <v>121</v>
      </c>
      <c r="B5524" s="24" t="s">
        <v>114</v>
      </c>
      <c r="C5524" s="32">
        <v>38.703000000000003</v>
      </c>
      <c r="D5524" s="28">
        <v>2.2916666666666669E-2</v>
      </c>
    </row>
    <row r="5525" spans="1:4" x14ac:dyDescent="0.25">
      <c r="A5525" s="24" t="s">
        <v>121</v>
      </c>
      <c r="B5525" s="24" t="s">
        <v>115</v>
      </c>
      <c r="C5525" s="32">
        <v>38.57</v>
      </c>
      <c r="D5525" s="28">
        <v>2.361111111111111E-2</v>
      </c>
    </row>
    <row r="5526" spans="1:4" x14ac:dyDescent="0.25">
      <c r="A5526" s="24" t="s">
        <v>121</v>
      </c>
      <c r="B5526" s="24" t="s">
        <v>116</v>
      </c>
      <c r="C5526" s="32">
        <v>41.506999999999998</v>
      </c>
      <c r="D5526" s="28">
        <v>2.7083333333333334E-2</v>
      </c>
    </row>
    <row r="5527" spans="1:4" x14ac:dyDescent="0.25">
      <c r="A5527" s="24" t="s">
        <v>121</v>
      </c>
      <c r="B5527" s="24" t="s">
        <v>117</v>
      </c>
      <c r="C5527" s="32">
        <v>28.872</v>
      </c>
      <c r="D5527" s="28">
        <v>2.2222222222222223E-2</v>
      </c>
    </row>
    <row r="5528" spans="1:4" x14ac:dyDescent="0.25">
      <c r="A5528" s="24" t="s">
        <v>121</v>
      </c>
      <c r="B5528" s="24" t="s">
        <v>118</v>
      </c>
      <c r="C5528" s="32">
        <v>36.045000000000002</v>
      </c>
      <c r="D5528" s="28">
        <v>2.0833333333333332E-2</v>
      </c>
    </row>
    <row r="5529" spans="1:4" x14ac:dyDescent="0.25">
      <c r="A5529" s="24" t="s">
        <v>121</v>
      </c>
      <c r="B5529" s="24" t="s">
        <v>119</v>
      </c>
      <c r="C5529" s="32">
        <v>23.507999999999999</v>
      </c>
      <c r="D5529" s="28">
        <v>1.5972222222222224E-2</v>
      </c>
    </row>
    <row r="5530" spans="1:4" x14ac:dyDescent="0.25">
      <c r="A5530" s="24" t="s">
        <v>121</v>
      </c>
      <c r="B5530" s="24" t="s">
        <v>120</v>
      </c>
      <c r="C5530" s="32">
        <v>19.82</v>
      </c>
      <c r="D5530" s="28">
        <v>2.0833333333333332E-2</v>
      </c>
    </row>
    <row r="5531" spans="1:4" x14ac:dyDescent="0.25">
      <c r="A5531" s="24" t="s">
        <v>121</v>
      </c>
      <c r="B5531" s="24" t="s">
        <v>121</v>
      </c>
      <c r="C5531" s="32">
        <v>0</v>
      </c>
      <c r="D5531" s="28">
        <v>0</v>
      </c>
    </row>
    <row r="5532" spans="1:4" x14ac:dyDescent="0.25">
      <c r="A5532" s="24" t="s">
        <v>121</v>
      </c>
      <c r="B5532" s="24" t="s">
        <v>122</v>
      </c>
      <c r="C5532" s="32">
        <v>18.71</v>
      </c>
      <c r="D5532" s="28">
        <v>1.1111111111111112E-2</v>
      </c>
    </row>
    <row r="5533" spans="1:4" x14ac:dyDescent="0.25">
      <c r="A5533" s="24" t="s">
        <v>121</v>
      </c>
      <c r="B5533" s="24" t="s">
        <v>123</v>
      </c>
      <c r="C5533" s="32">
        <v>5.4279999999999999</v>
      </c>
      <c r="D5533" s="28">
        <v>7.6388888888888886E-3</v>
      </c>
    </row>
    <row r="5534" spans="1:4" x14ac:dyDescent="0.25">
      <c r="A5534" s="24" t="s">
        <v>121</v>
      </c>
      <c r="B5534" s="24" t="s">
        <v>124</v>
      </c>
      <c r="C5534" s="32">
        <v>5.4279999999999999</v>
      </c>
      <c r="D5534" s="28">
        <v>7.6388888888888886E-3</v>
      </c>
    </row>
    <row r="5535" spans="1:4" x14ac:dyDescent="0.25">
      <c r="A5535" s="24" t="s">
        <v>121</v>
      </c>
      <c r="B5535" s="24" t="s">
        <v>125</v>
      </c>
      <c r="C5535" s="32">
        <v>54.786000000000001</v>
      </c>
      <c r="D5535" s="28">
        <v>3.4722222222222224E-2</v>
      </c>
    </row>
    <row r="5536" spans="1:4" x14ac:dyDescent="0.25">
      <c r="A5536" s="24" t="s">
        <v>121</v>
      </c>
      <c r="B5536" s="24" t="s">
        <v>126</v>
      </c>
      <c r="C5536" s="32">
        <v>54.524000000000001</v>
      </c>
      <c r="D5536" s="28">
        <v>3.3333333333333333E-2</v>
      </c>
    </row>
    <row r="5537" spans="1:4" x14ac:dyDescent="0.25">
      <c r="A5537" s="24" t="s">
        <v>121</v>
      </c>
      <c r="B5537" s="24" t="s">
        <v>127</v>
      </c>
      <c r="C5537" s="32">
        <v>52.896999999999998</v>
      </c>
      <c r="D5537" s="28">
        <v>3.3333333333333333E-2</v>
      </c>
    </row>
    <row r="5538" spans="1:4" x14ac:dyDescent="0.25">
      <c r="A5538" s="24" t="s">
        <v>121</v>
      </c>
      <c r="B5538" s="24" t="s">
        <v>128</v>
      </c>
      <c r="C5538" s="32">
        <v>53.597000000000001</v>
      </c>
      <c r="D5538" s="28">
        <v>3.1944444444444449E-2</v>
      </c>
    </row>
    <row r="5539" spans="1:4" x14ac:dyDescent="0.25">
      <c r="A5539" s="24" t="s">
        <v>121</v>
      </c>
      <c r="B5539" s="24" t="s">
        <v>129</v>
      </c>
      <c r="C5539" s="32">
        <v>53.597000000000001</v>
      </c>
      <c r="D5539" s="28">
        <v>3.1944444444444449E-2</v>
      </c>
    </row>
    <row r="5540" spans="1:4" x14ac:dyDescent="0.25">
      <c r="A5540" s="24" t="s">
        <v>121</v>
      </c>
      <c r="B5540" s="24" t="s">
        <v>130</v>
      </c>
      <c r="C5540" s="32">
        <v>52.975999999999999</v>
      </c>
      <c r="D5540" s="28">
        <v>3.4027777777777775E-2</v>
      </c>
    </row>
    <row r="5541" spans="1:4" x14ac:dyDescent="0.25">
      <c r="A5541" s="24" t="s">
        <v>121</v>
      </c>
      <c r="B5541" s="24" t="s">
        <v>131</v>
      </c>
      <c r="C5541" s="32">
        <v>51.889000000000003</v>
      </c>
      <c r="D5541" s="28">
        <v>3.4027777777777775E-2</v>
      </c>
    </row>
    <row r="5542" spans="1:4" x14ac:dyDescent="0.25">
      <c r="A5542" s="24" t="s">
        <v>121</v>
      </c>
      <c r="B5542" s="24" t="s">
        <v>132</v>
      </c>
      <c r="C5542" s="32">
        <v>59.893999999999998</v>
      </c>
      <c r="D5542" s="28">
        <v>3.8194444444444441E-2</v>
      </c>
    </row>
    <row r="5543" spans="1:4" x14ac:dyDescent="0.25">
      <c r="A5543" s="24" t="s">
        <v>121</v>
      </c>
      <c r="B5543" s="24" t="s">
        <v>133</v>
      </c>
      <c r="C5543" s="32">
        <v>46.84</v>
      </c>
      <c r="D5543" s="28">
        <v>2.7777777777777776E-2</v>
      </c>
    </row>
    <row r="5544" spans="1:4" x14ac:dyDescent="0.25">
      <c r="A5544" s="24" t="s">
        <v>121</v>
      </c>
      <c r="B5544" s="24" t="s">
        <v>134</v>
      </c>
      <c r="C5544" s="32">
        <v>46.374000000000002</v>
      </c>
      <c r="D5544" s="28">
        <v>2.6388888888888889E-2</v>
      </c>
    </row>
    <row r="5545" spans="1:4" x14ac:dyDescent="0.25">
      <c r="A5545" s="24" t="s">
        <v>121</v>
      </c>
      <c r="B5545" s="24" t="s">
        <v>135</v>
      </c>
      <c r="C5545" s="32">
        <v>48.581000000000003</v>
      </c>
      <c r="D5545" s="28">
        <v>2.7777777777777776E-2</v>
      </c>
    </row>
    <row r="5546" spans="1:4" x14ac:dyDescent="0.25">
      <c r="A5546" s="24" t="s">
        <v>121</v>
      </c>
      <c r="B5546" s="24" t="s">
        <v>136</v>
      </c>
      <c r="C5546" s="32">
        <v>48.581000000000003</v>
      </c>
      <c r="D5546" s="28">
        <v>2.7777777777777776E-2</v>
      </c>
    </row>
    <row r="5547" spans="1:4" x14ac:dyDescent="0.25">
      <c r="A5547" s="24" t="s">
        <v>121</v>
      </c>
      <c r="B5547" s="24" t="s">
        <v>137</v>
      </c>
      <c r="C5547" s="32">
        <v>49.468000000000004</v>
      </c>
      <c r="D5547" s="28">
        <v>2.7777777777777776E-2</v>
      </c>
    </row>
    <row r="5548" spans="1:4" x14ac:dyDescent="0.25">
      <c r="A5548" s="24" t="s">
        <v>121</v>
      </c>
      <c r="B5548" s="24" t="s">
        <v>138</v>
      </c>
      <c r="C5548" s="32">
        <v>43.201999999999998</v>
      </c>
      <c r="D5548" s="28">
        <v>2.4999999999999998E-2</v>
      </c>
    </row>
    <row r="5549" spans="1:4" x14ac:dyDescent="0.25">
      <c r="A5549" s="24" t="s">
        <v>121</v>
      </c>
      <c r="B5549" s="24" t="s">
        <v>139</v>
      </c>
      <c r="C5549" s="32">
        <v>46.235999999999997</v>
      </c>
      <c r="D5549" s="28">
        <v>2.361111111111111E-2</v>
      </c>
    </row>
    <row r="5550" spans="1:4" x14ac:dyDescent="0.25">
      <c r="A5550" s="24" t="s">
        <v>121</v>
      </c>
      <c r="B5550" s="24" t="s">
        <v>140</v>
      </c>
      <c r="C5550" s="32">
        <v>52.875999999999998</v>
      </c>
      <c r="D5550" s="28">
        <v>2.6388888888888889E-2</v>
      </c>
    </row>
    <row r="5551" spans="1:4" x14ac:dyDescent="0.25">
      <c r="A5551" s="24" t="s">
        <v>121</v>
      </c>
      <c r="B5551" s="24" t="s">
        <v>141</v>
      </c>
      <c r="C5551" s="32">
        <v>70.947000000000003</v>
      </c>
      <c r="D5551" s="28">
        <v>4.3055555555555562E-2</v>
      </c>
    </row>
    <row r="5552" spans="1:4" x14ac:dyDescent="0.25">
      <c r="A5552" s="24" t="s">
        <v>121</v>
      </c>
      <c r="B5552" s="24" t="s">
        <v>142</v>
      </c>
      <c r="C5552" s="32">
        <v>69.034999999999997</v>
      </c>
      <c r="D5552" s="28">
        <v>3.5416666666666666E-2</v>
      </c>
    </row>
    <row r="5553" spans="1:4" x14ac:dyDescent="0.25">
      <c r="A5553" s="24" t="s">
        <v>121</v>
      </c>
      <c r="B5553" s="24" t="s">
        <v>143</v>
      </c>
      <c r="C5553" s="32">
        <v>87.412999999999997</v>
      </c>
      <c r="D5553" s="28">
        <v>4.3055555555555562E-2</v>
      </c>
    </row>
    <row r="5554" spans="1:4" x14ac:dyDescent="0.25">
      <c r="A5554" s="24" t="s">
        <v>121</v>
      </c>
      <c r="B5554" s="24" t="s">
        <v>144</v>
      </c>
      <c r="C5554" s="32">
        <v>106.529</v>
      </c>
      <c r="D5554" s="28">
        <v>5.4166666666666669E-2</v>
      </c>
    </row>
    <row r="5555" spans="1:4" x14ac:dyDescent="0.25">
      <c r="A5555" s="24" t="s">
        <v>121</v>
      </c>
      <c r="B5555" s="24" t="s">
        <v>145</v>
      </c>
      <c r="C5555" s="32">
        <v>51.042999999999999</v>
      </c>
      <c r="D5555" s="28">
        <v>2.8472222222222222E-2</v>
      </c>
    </row>
    <row r="5556" spans="1:4" x14ac:dyDescent="0.25">
      <c r="A5556" s="24" t="s">
        <v>121</v>
      </c>
      <c r="B5556" s="24" t="s">
        <v>146</v>
      </c>
      <c r="C5556" s="32">
        <v>66.501999999999995</v>
      </c>
      <c r="D5556" s="28">
        <v>3.6111111111111115E-2</v>
      </c>
    </row>
    <row r="5557" spans="1:4" x14ac:dyDescent="0.25">
      <c r="A5557" s="24" t="s">
        <v>121</v>
      </c>
      <c r="B5557" s="24" t="s">
        <v>147</v>
      </c>
      <c r="C5557" s="32">
        <v>46.43</v>
      </c>
      <c r="D5557" s="28">
        <v>2.7083333333333334E-2</v>
      </c>
    </row>
    <row r="5558" spans="1:4" x14ac:dyDescent="0.25">
      <c r="A5558" s="24" t="s">
        <v>121</v>
      </c>
      <c r="B5558" s="24" t="s">
        <v>148</v>
      </c>
      <c r="C5558" s="32">
        <v>49.503999999999998</v>
      </c>
      <c r="D5558" s="28">
        <v>2.9166666666666664E-2</v>
      </c>
    </row>
    <row r="5559" spans="1:4" x14ac:dyDescent="0.25">
      <c r="A5559" s="24" t="s">
        <v>121</v>
      </c>
      <c r="B5559" s="24" t="s">
        <v>149</v>
      </c>
      <c r="C5559" s="32">
        <v>60</v>
      </c>
      <c r="D5559" s="28">
        <v>3.888888888888889E-2</v>
      </c>
    </row>
    <row r="5560" spans="1:4" x14ac:dyDescent="0.25">
      <c r="A5560" s="24" t="s">
        <v>121</v>
      </c>
      <c r="B5560" s="24" t="s">
        <v>150</v>
      </c>
      <c r="C5560" s="32">
        <v>69.486999999999995</v>
      </c>
      <c r="D5560" s="28">
        <v>4.7222222222222221E-2</v>
      </c>
    </row>
    <row r="5561" spans="1:4" x14ac:dyDescent="0.25">
      <c r="A5561" s="24" t="s">
        <v>121</v>
      </c>
      <c r="B5561" s="24" t="s">
        <v>151</v>
      </c>
      <c r="C5561" s="32">
        <v>68.745000000000005</v>
      </c>
      <c r="D5561" s="28">
        <v>4.7222222222222221E-2</v>
      </c>
    </row>
    <row r="5562" spans="1:4" x14ac:dyDescent="0.25">
      <c r="A5562" s="24" t="s">
        <v>121</v>
      </c>
      <c r="B5562" s="24" t="s">
        <v>152</v>
      </c>
      <c r="C5562" s="32">
        <v>70.563999999999993</v>
      </c>
      <c r="D5562" s="28">
        <v>5.0694444444444452E-2</v>
      </c>
    </row>
    <row r="5563" spans="1:4" x14ac:dyDescent="0.25">
      <c r="A5563" s="24" t="s">
        <v>121</v>
      </c>
      <c r="B5563" s="24" t="s">
        <v>153</v>
      </c>
      <c r="C5563" s="32">
        <v>78.343999999999994</v>
      </c>
      <c r="D5563" s="28">
        <v>5.6250000000000001E-2</v>
      </c>
    </row>
    <row r="5564" spans="1:4" x14ac:dyDescent="0.25">
      <c r="A5564" s="24" t="s">
        <v>121</v>
      </c>
      <c r="B5564" s="24" t="s">
        <v>154</v>
      </c>
      <c r="C5564" s="32">
        <v>73.162000000000006</v>
      </c>
      <c r="D5564" s="28">
        <v>4.9999999999999996E-2</v>
      </c>
    </row>
    <row r="5565" spans="1:4" x14ac:dyDescent="0.25">
      <c r="A5565" s="24" t="s">
        <v>121</v>
      </c>
      <c r="B5565" s="24" t="s">
        <v>155</v>
      </c>
      <c r="C5565" s="32">
        <v>68.159000000000006</v>
      </c>
      <c r="D5565" s="28">
        <v>4.7222222222222221E-2</v>
      </c>
    </row>
    <row r="5566" spans="1:4" x14ac:dyDescent="0.25">
      <c r="A5566" s="24" t="s">
        <v>121</v>
      </c>
      <c r="B5566" s="24" t="s">
        <v>156</v>
      </c>
      <c r="C5566" s="32">
        <v>68.143000000000001</v>
      </c>
      <c r="D5566" s="28">
        <v>4.7222222222222221E-2</v>
      </c>
    </row>
    <row r="5567" spans="1:4" x14ac:dyDescent="0.25">
      <c r="A5567" s="24" t="s">
        <v>121</v>
      </c>
      <c r="B5567" s="24" t="s">
        <v>157</v>
      </c>
      <c r="C5567" s="32">
        <v>63.613999999999997</v>
      </c>
      <c r="D5567" s="28">
        <v>4.3750000000000004E-2</v>
      </c>
    </row>
    <row r="5568" spans="1:4" x14ac:dyDescent="0.25">
      <c r="A5568" s="24" t="s">
        <v>121</v>
      </c>
      <c r="B5568" s="24" t="s">
        <v>158</v>
      </c>
      <c r="C5568" s="32">
        <v>74.367999999999995</v>
      </c>
      <c r="D5568" s="28">
        <v>5.1388888888888894E-2</v>
      </c>
    </row>
    <row r="5569" spans="1:4" x14ac:dyDescent="0.25">
      <c r="A5569" s="24" t="s">
        <v>121</v>
      </c>
      <c r="B5569" s="24" t="s">
        <v>159</v>
      </c>
      <c r="C5569" s="32">
        <v>69.655000000000001</v>
      </c>
      <c r="D5569" s="28">
        <v>5.2777777777777778E-2</v>
      </c>
    </row>
    <row r="5570" spans="1:4" x14ac:dyDescent="0.25">
      <c r="A5570" s="24" t="s">
        <v>122</v>
      </c>
      <c r="B5570" s="24" t="s">
        <v>65</v>
      </c>
      <c r="C5570" s="32">
        <v>23.367999999999999</v>
      </c>
      <c r="D5570" s="28">
        <v>1.8055555555555557E-2</v>
      </c>
    </row>
    <row r="5571" spans="1:4" x14ac:dyDescent="0.25">
      <c r="A5571" s="24" t="s">
        <v>122</v>
      </c>
      <c r="B5571" s="24" t="s">
        <v>64</v>
      </c>
      <c r="C5571" s="32">
        <v>40.392000000000003</v>
      </c>
      <c r="D5571" s="28">
        <v>2.7083333333333334E-2</v>
      </c>
    </row>
    <row r="5572" spans="1:4" x14ac:dyDescent="0.25">
      <c r="A5572" s="24" t="s">
        <v>122</v>
      </c>
      <c r="B5572" s="24" t="s">
        <v>66</v>
      </c>
      <c r="C5572" s="32">
        <v>46.738999999999997</v>
      </c>
      <c r="D5572" s="28">
        <v>3.4027777777777775E-2</v>
      </c>
    </row>
    <row r="5573" spans="1:4" x14ac:dyDescent="0.25">
      <c r="A5573" s="24" t="s">
        <v>122</v>
      </c>
      <c r="B5573" s="24" t="s">
        <v>67</v>
      </c>
      <c r="C5573" s="32">
        <v>43.982999999999997</v>
      </c>
      <c r="D5573" s="28">
        <v>3.4027777777777775E-2</v>
      </c>
    </row>
    <row r="5574" spans="1:4" x14ac:dyDescent="0.25">
      <c r="A5574" s="24" t="s">
        <v>122</v>
      </c>
      <c r="B5574" s="24" t="s">
        <v>68</v>
      </c>
      <c r="C5574" s="32">
        <v>44.097000000000001</v>
      </c>
      <c r="D5574" s="28">
        <v>3.4722222222222224E-2</v>
      </c>
    </row>
    <row r="5575" spans="1:4" x14ac:dyDescent="0.25">
      <c r="A5575" s="24" t="s">
        <v>122</v>
      </c>
      <c r="B5575" s="24" t="s">
        <v>69</v>
      </c>
      <c r="C5575" s="32">
        <v>44.540999999999997</v>
      </c>
      <c r="D5575" s="28">
        <v>3.3333333333333333E-2</v>
      </c>
    </row>
    <row r="5576" spans="1:4" x14ac:dyDescent="0.25">
      <c r="A5576" s="24" t="s">
        <v>122</v>
      </c>
      <c r="B5576" s="24" t="s">
        <v>70</v>
      </c>
      <c r="C5576" s="32">
        <v>44.337000000000003</v>
      </c>
      <c r="D5576" s="28">
        <v>3.4722222222222224E-2</v>
      </c>
    </row>
    <row r="5577" spans="1:4" x14ac:dyDescent="0.25">
      <c r="A5577" s="24" t="s">
        <v>122</v>
      </c>
      <c r="B5577" s="24" t="s">
        <v>71</v>
      </c>
      <c r="C5577" s="32">
        <v>45.118000000000002</v>
      </c>
      <c r="D5577" s="28">
        <v>3.4027777777777775E-2</v>
      </c>
    </row>
    <row r="5578" spans="1:4" x14ac:dyDescent="0.25">
      <c r="A5578" s="24" t="s">
        <v>122</v>
      </c>
      <c r="B5578" s="24" t="s">
        <v>72</v>
      </c>
      <c r="C5578" s="32">
        <v>53.249000000000002</v>
      </c>
      <c r="D5578" s="28">
        <v>3.4722222222222224E-2</v>
      </c>
    </row>
    <row r="5579" spans="1:4" x14ac:dyDescent="0.25">
      <c r="A5579" s="24" t="s">
        <v>122</v>
      </c>
      <c r="B5579" s="24" t="s">
        <v>73</v>
      </c>
      <c r="C5579" s="32">
        <v>43.744</v>
      </c>
      <c r="D5579" s="28">
        <v>3.4027777777777775E-2</v>
      </c>
    </row>
    <row r="5580" spans="1:4" x14ac:dyDescent="0.25">
      <c r="A5580" s="24" t="s">
        <v>122</v>
      </c>
      <c r="B5580" s="24" t="s">
        <v>74</v>
      </c>
      <c r="C5580" s="32">
        <v>56.322000000000003</v>
      </c>
      <c r="D5580" s="28">
        <v>3.3333333333333333E-2</v>
      </c>
    </row>
    <row r="5581" spans="1:4" x14ac:dyDescent="0.25">
      <c r="A5581" s="24" t="s">
        <v>122</v>
      </c>
      <c r="B5581" s="24" t="s">
        <v>75</v>
      </c>
      <c r="C5581" s="32">
        <v>55.357999999999997</v>
      </c>
      <c r="D5581" s="28">
        <v>3.1944444444444449E-2</v>
      </c>
    </row>
    <row r="5582" spans="1:4" x14ac:dyDescent="0.25">
      <c r="A5582" s="24" t="s">
        <v>122</v>
      </c>
      <c r="B5582" s="24" t="s">
        <v>76</v>
      </c>
      <c r="C5582" s="32">
        <v>54.823999999999998</v>
      </c>
      <c r="D5582" s="28">
        <v>3.3333333333333333E-2</v>
      </c>
    </row>
    <row r="5583" spans="1:4" x14ac:dyDescent="0.25">
      <c r="A5583" s="24" t="s">
        <v>122</v>
      </c>
      <c r="B5583" s="24" t="s">
        <v>77</v>
      </c>
      <c r="C5583" s="32">
        <v>62.738</v>
      </c>
      <c r="D5583" s="28">
        <v>3.6111111111111115E-2</v>
      </c>
    </row>
    <row r="5584" spans="1:4" x14ac:dyDescent="0.25">
      <c r="A5584" s="24" t="s">
        <v>122</v>
      </c>
      <c r="B5584" s="24" t="s">
        <v>78</v>
      </c>
      <c r="C5584" s="32">
        <v>49.201000000000001</v>
      </c>
      <c r="D5584" s="28">
        <v>3.7499999999999999E-2</v>
      </c>
    </row>
    <row r="5585" spans="1:4" x14ac:dyDescent="0.25">
      <c r="A5585" s="24" t="s">
        <v>122</v>
      </c>
      <c r="B5585" s="24" t="s">
        <v>79</v>
      </c>
      <c r="C5585" s="32">
        <v>74.465999999999994</v>
      </c>
      <c r="D5585" s="28">
        <v>4.8611111111111112E-2</v>
      </c>
    </row>
    <row r="5586" spans="1:4" x14ac:dyDescent="0.25">
      <c r="A5586" s="24" t="s">
        <v>122</v>
      </c>
      <c r="B5586" s="24" t="s">
        <v>80</v>
      </c>
      <c r="C5586" s="32">
        <v>21.526</v>
      </c>
      <c r="D5586" s="28">
        <v>1.8055555555555557E-2</v>
      </c>
    </row>
    <row r="5587" spans="1:4" x14ac:dyDescent="0.25">
      <c r="A5587" s="24" t="s">
        <v>122</v>
      </c>
      <c r="B5587" s="24" t="s">
        <v>81</v>
      </c>
      <c r="C5587" s="32">
        <v>19.689</v>
      </c>
      <c r="D5587" s="28">
        <v>1.7361111111111112E-2</v>
      </c>
    </row>
    <row r="5588" spans="1:4" x14ac:dyDescent="0.25">
      <c r="A5588" s="24" t="s">
        <v>122</v>
      </c>
      <c r="B5588" s="24" t="s">
        <v>82</v>
      </c>
      <c r="C5588" s="32">
        <v>19.741</v>
      </c>
      <c r="D5588" s="28">
        <v>1.7361111111111112E-2</v>
      </c>
    </row>
    <row r="5589" spans="1:4" x14ac:dyDescent="0.25">
      <c r="A5589" s="24" t="s">
        <v>122</v>
      </c>
      <c r="B5589" s="24" t="s">
        <v>83</v>
      </c>
      <c r="C5589" s="32">
        <v>38.17</v>
      </c>
      <c r="D5589" s="28">
        <v>2.5694444444444447E-2</v>
      </c>
    </row>
    <row r="5590" spans="1:4" x14ac:dyDescent="0.25">
      <c r="A5590" s="24" t="s">
        <v>122</v>
      </c>
      <c r="B5590" s="24" t="s">
        <v>84</v>
      </c>
      <c r="C5590" s="32">
        <v>53.249000000000002</v>
      </c>
      <c r="D5590" s="28">
        <v>2.8472222222222222E-2</v>
      </c>
    </row>
    <row r="5591" spans="1:4" x14ac:dyDescent="0.25">
      <c r="A5591" s="24" t="s">
        <v>122</v>
      </c>
      <c r="B5591" s="24" t="s">
        <v>85</v>
      </c>
      <c r="C5591" s="32">
        <v>52.883000000000003</v>
      </c>
      <c r="D5591" s="28">
        <v>2.8472222222222222E-2</v>
      </c>
    </row>
    <row r="5592" spans="1:4" x14ac:dyDescent="0.25">
      <c r="A5592" s="24" t="s">
        <v>122</v>
      </c>
      <c r="B5592" s="24" t="s">
        <v>86</v>
      </c>
      <c r="C5592" s="32">
        <v>42.395000000000003</v>
      </c>
      <c r="D5592" s="28">
        <v>2.9166666666666664E-2</v>
      </c>
    </row>
    <row r="5593" spans="1:4" x14ac:dyDescent="0.25">
      <c r="A5593" s="24" t="s">
        <v>122</v>
      </c>
      <c r="B5593" s="24" t="s">
        <v>87</v>
      </c>
      <c r="C5593" s="32">
        <v>40.759</v>
      </c>
      <c r="D5593" s="28">
        <v>2.8472222222222222E-2</v>
      </c>
    </row>
    <row r="5594" spans="1:4" x14ac:dyDescent="0.25">
      <c r="A5594" s="24" t="s">
        <v>122</v>
      </c>
      <c r="B5594" s="24" t="s">
        <v>88</v>
      </c>
      <c r="C5594" s="32">
        <v>39.911999999999999</v>
      </c>
      <c r="D5594" s="28">
        <v>2.7777777777777776E-2</v>
      </c>
    </row>
    <row r="5595" spans="1:4" x14ac:dyDescent="0.25">
      <c r="A5595" s="24" t="s">
        <v>122</v>
      </c>
      <c r="B5595" s="24" t="s">
        <v>89</v>
      </c>
      <c r="C5595" s="32">
        <v>35.189</v>
      </c>
      <c r="D5595" s="28">
        <v>2.4305555555555556E-2</v>
      </c>
    </row>
    <row r="5596" spans="1:4" x14ac:dyDescent="0.25">
      <c r="A5596" s="24" t="s">
        <v>122</v>
      </c>
      <c r="B5596" s="24" t="s">
        <v>90</v>
      </c>
      <c r="C5596" s="32">
        <v>27.245000000000001</v>
      </c>
      <c r="D5596" s="28">
        <v>1.8749999999999999E-2</v>
      </c>
    </row>
    <row r="5597" spans="1:4" x14ac:dyDescent="0.25">
      <c r="A5597" s="24" t="s">
        <v>122</v>
      </c>
      <c r="B5597" s="24" t="s">
        <v>91</v>
      </c>
      <c r="C5597" s="32">
        <v>37.633000000000003</v>
      </c>
      <c r="D5597" s="28">
        <v>2.6388888888888889E-2</v>
      </c>
    </row>
    <row r="5598" spans="1:4" x14ac:dyDescent="0.25">
      <c r="A5598" s="24" t="s">
        <v>122</v>
      </c>
      <c r="B5598" s="24" t="s">
        <v>92</v>
      </c>
      <c r="C5598" s="32">
        <v>23.940999999999999</v>
      </c>
      <c r="D5598" s="28">
        <v>2.0833333333333332E-2</v>
      </c>
    </row>
    <row r="5599" spans="1:4" x14ac:dyDescent="0.25">
      <c r="A5599" s="24" t="s">
        <v>122</v>
      </c>
      <c r="B5599" s="24" t="s">
        <v>93</v>
      </c>
      <c r="C5599" s="32">
        <v>21.710999999999999</v>
      </c>
      <c r="D5599" s="28">
        <v>1.5972222222222224E-2</v>
      </c>
    </row>
    <row r="5600" spans="1:4" x14ac:dyDescent="0.25">
      <c r="A5600" s="24" t="s">
        <v>122</v>
      </c>
      <c r="B5600" s="24" t="s">
        <v>94</v>
      </c>
      <c r="C5600" s="32">
        <v>16.556999999999999</v>
      </c>
      <c r="D5600" s="28">
        <v>1.5277777777777777E-2</v>
      </c>
    </row>
    <row r="5601" spans="1:4" x14ac:dyDescent="0.25">
      <c r="A5601" s="24" t="s">
        <v>122</v>
      </c>
      <c r="B5601" s="24" t="s">
        <v>95</v>
      </c>
      <c r="C5601" s="32">
        <v>16.321999999999999</v>
      </c>
      <c r="D5601" s="28">
        <v>1.3888888888888888E-2</v>
      </c>
    </row>
    <row r="5602" spans="1:4" x14ac:dyDescent="0.25">
      <c r="A5602" s="24" t="s">
        <v>122</v>
      </c>
      <c r="B5602" s="24" t="s">
        <v>96</v>
      </c>
      <c r="C5602" s="32">
        <v>44.615000000000002</v>
      </c>
      <c r="D5602" s="28">
        <v>3.0555555555555555E-2</v>
      </c>
    </row>
    <row r="5603" spans="1:4" x14ac:dyDescent="0.25">
      <c r="A5603" s="24" t="s">
        <v>122</v>
      </c>
      <c r="B5603" s="24" t="s">
        <v>97</v>
      </c>
      <c r="C5603" s="32">
        <v>44.412999999999997</v>
      </c>
      <c r="D5603" s="28">
        <v>3.125E-2</v>
      </c>
    </row>
    <row r="5604" spans="1:4" x14ac:dyDescent="0.25">
      <c r="A5604" s="24" t="s">
        <v>122</v>
      </c>
      <c r="B5604" s="24" t="s">
        <v>98</v>
      </c>
      <c r="C5604" s="32">
        <v>34.274999999999999</v>
      </c>
      <c r="D5604" s="28">
        <v>2.2916666666666669E-2</v>
      </c>
    </row>
    <row r="5605" spans="1:4" x14ac:dyDescent="0.25">
      <c r="A5605" s="24" t="s">
        <v>122</v>
      </c>
      <c r="B5605" s="24" t="s">
        <v>99</v>
      </c>
      <c r="C5605" s="32">
        <v>40.773000000000003</v>
      </c>
      <c r="D5605" s="28">
        <v>2.7777777777777776E-2</v>
      </c>
    </row>
    <row r="5606" spans="1:4" x14ac:dyDescent="0.25">
      <c r="A5606" s="24" t="s">
        <v>122</v>
      </c>
      <c r="B5606" s="24" t="s">
        <v>100</v>
      </c>
      <c r="C5606" s="32">
        <v>20.658000000000001</v>
      </c>
      <c r="D5606" s="28">
        <v>1.5277777777777777E-2</v>
      </c>
    </row>
    <row r="5607" spans="1:4" x14ac:dyDescent="0.25">
      <c r="A5607" s="24" t="s">
        <v>122</v>
      </c>
      <c r="B5607" s="24" t="s">
        <v>101</v>
      </c>
      <c r="C5607" s="32">
        <v>35.970999999999997</v>
      </c>
      <c r="D5607" s="28">
        <v>2.4305555555555556E-2</v>
      </c>
    </row>
    <row r="5608" spans="1:4" x14ac:dyDescent="0.25">
      <c r="A5608" s="24" t="s">
        <v>122</v>
      </c>
      <c r="B5608" s="24" t="s">
        <v>102</v>
      </c>
      <c r="C5608" s="32">
        <v>36.475999999999999</v>
      </c>
      <c r="D5608" s="28">
        <v>2.6388888888888889E-2</v>
      </c>
    </row>
    <row r="5609" spans="1:4" x14ac:dyDescent="0.25">
      <c r="A5609" s="24" t="s">
        <v>122</v>
      </c>
      <c r="B5609" s="24" t="s">
        <v>103</v>
      </c>
      <c r="C5609" s="32">
        <v>31.536000000000001</v>
      </c>
      <c r="D5609" s="28">
        <v>2.013888888888889E-2</v>
      </c>
    </row>
    <row r="5610" spans="1:4" x14ac:dyDescent="0.25">
      <c r="A5610" s="24" t="s">
        <v>122</v>
      </c>
      <c r="B5610" s="24" t="s">
        <v>104</v>
      </c>
      <c r="C5610" s="32">
        <v>28.596</v>
      </c>
      <c r="D5610" s="28">
        <v>1.8749999999999999E-2</v>
      </c>
    </row>
    <row r="5611" spans="1:4" x14ac:dyDescent="0.25">
      <c r="A5611" s="24" t="s">
        <v>122</v>
      </c>
      <c r="B5611" s="24" t="s">
        <v>105</v>
      </c>
      <c r="C5611" s="32">
        <v>34.834000000000003</v>
      </c>
      <c r="D5611" s="28">
        <v>2.5694444444444447E-2</v>
      </c>
    </row>
    <row r="5612" spans="1:4" x14ac:dyDescent="0.25">
      <c r="A5612" s="24" t="s">
        <v>122</v>
      </c>
      <c r="B5612" s="24" t="s">
        <v>106</v>
      </c>
      <c r="C5612" s="32">
        <v>33.215000000000003</v>
      </c>
      <c r="D5612" s="28">
        <v>2.0833333333333332E-2</v>
      </c>
    </row>
    <row r="5613" spans="1:4" x14ac:dyDescent="0.25">
      <c r="A5613" s="24" t="s">
        <v>122</v>
      </c>
      <c r="B5613" s="24" t="s">
        <v>107</v>
      </c>
      <c r="C5613" s="32">
        <v>29.846</v>
      </c>
      <c r="D5613" s="28">
        <v>2.7777777777777776E-2</v>
      </c>
    </row>
    <row r="5614" spans="1:4" x14ac:dyDescent="0.25">
      <c r="A5614" s="24" t="s">
        <v>122</v>
      </c>
      <c r="B5614" s="24" t="s">
        <v>108</v>
      </c>
      <c r="C5614" s="32">
        <v>37.713000000000001</v>
      </c>
      <c r="D5614" s="28">
        <v>2.6388888888888889E-2</v>
      </c>
    </row>
    <row r="5615" spans="1:4" x14ac:dyDescent="0.25">
      <c r="A5615" s="24" t="s">
        <v>122</v>
      </c>
      <c r="B5615" s="24" t="s">
        <v>109</v>
      </c>
      <c r="C5615" s="32">
        <v>37.683</v>
      </c>
      <c r="D5615" s="28">
        <v>2.6388888888888889E-2</v>
      </c>
    </row>
    <row r="5616" spans="1:4" x14ac:dyDescent="0.25">
      <c r="A5616" s="24" t="s">
        <v>122</v>
      </c>
      <c r="B5616" s="24" t="s">
        <v>110</v>
      </c>
      <c r="C5616" s="32">
        <v>35.774999999999999</v>
      </c>
      <c r="D5616" s="28">
        <v>2.4305555555555556E-2</v>
      </c>
    </row>
    <row r="5617" spans="1:4" x14ac:dyDescent="0.25">
      <c r="A5617" s="24" t="s">
        <v>122</v>
      </c>
      <c r="B5617" s="24" t="s">
        <v>111</v>
      </c>
      <c r="C5617" s="32">
        <v>33.293999999999997</v>
      </c>
      <c r="D5617" s="28">
        <v>2.0833333333333332E-2</v>
      </c>
    </row>
    <row r="5618" spans="1:4" x14ac:dyDescent="0.25">
      <c r="A5618" s="24" t="s">
        <v>122</v>
      </c>
      <c r="B5618" s="24" t="s">
        <v>112</v>
      </c>
      <c r="C5618" s="32">
        <v>44.548999999999999</v>
      </c>
      <c r="D5618" s="28">
        <v>2.4999999999999998E-2</v>
      </c>
    </row>
    <row r="5619" spans="1:4" x14ac:dyDescent="0.25">
      <c r="A5619" s="24" t="s">
        <v>122</v>
      </c>
      <c r="B5619" s="24" t="s">
        <v>113</v>
      </c>
      <c r="C5619" s="32">
        <v>33.884999999999998</v>
      </c>
      <c r="D5619" s="28">
        <v>2.361111111111111E-2</v>
      </c>
    </row>
    <row r="5620" spans="1:4" x14ac:dyDescent="0.25">
      <c r="A5620" s="24" t="s">
        <v>122</v>
      </c>
      <c r="B5620" s="24" t="s">
        <v>114</v>
      </c>
      <c r="C5620" s="32">
        <v>25.640999999999998</v>
      </c>
      <c r="D5620" s="28">
        <v>1.5972222222222224E-2</v>
      </c>
    </row>
    <row r="5621" spans="1:4" x14ac:dyDescent="0.25">
      <c r="A5621" s="24" t="s">
        <v>122</v>
      </c>
      <c r="B5621" s="24" t="s">
        <v>115</v>
      </c>
      <c r="C5621" s="32">
        <v>25.507999999999999</v>
      </c>
      <c r="D5621" s="28">
        <v>1.6666666666666666E-2</v>
      </c>
    </row>
    <row r="5622" spans="1:4" x14ac:dyDescent="0.25">
      <c r="A5622" s="24" t="s">
        <v>122</v>
      </c>
      <c r="B5622" s="24" t="s">
        <v>116</v>
      </c>
      <c r="C5622" s="32">
        <v>24.481000000000002</v>
      </c>
      <c r="D5622" s="28">
        <v>2.013888888888889E-2</v>
      </c>
    </row>
    <row r="5623" spans="1:4" x14ac:dyDescent="0.25">
      <c r="A5623" s="24" t="s">
        <v>122</v>
      </c>
      <c r="B5623" s="24" t="s">
        <v>117</v>
      </c>
      <c r="C5623" s="32">
        <v>15.81</v>
      </c>
      <c r="D5623" s="28">
        <v>1.5277777777777777E-2</v>
      </c>
    </row>
    <row r="5624" spans="1:4" x14ac:dyDescent="0.25">
      <c r="A5624" s="24" t="s">
        <v>122</v>
      </c>
      <c r="B5624" s="24" t="s">
        <v>118</v>
      </c>
      <c r="C5624" s="32">
        <v>31.466999999999999</v>
      </c>
      <c r="D5624" s="28">
        <v>2.2222222222222223E-2</v>
      </c>
    </row>
    <row r="5625" spans="1:4" x14ac:dyDescent="0.25">
      <c r="A5625" s="24" t="s">
        <v>122</v>
      </c>
      <c r="B5625" s="24" t="s">
        <v>119</v>
      </c>
      <c r="C5625" s="32">
        <v>27.353000000000002</v>
      </c>
      <c r="D5625" s="28">
        <v>1.7361111111111112E-2</v>
      </c>
    </row>
    <row r="5626" spans="1:4" x14ac:dyDescent="0.25">
      <c r="A5626" s="24" t="s">
        <v>122</v>
      </c>
      <c r="B5626" s="24" t="s">
        <v>120</v>
      </c>
      <c r="C5626" s="32">
        <v>32.314</v>
      </c>
      <c r="D5626" s="28">
        <v>2.2916666666666669E-2</v>
      </c>
    </row>
    <row r="5627" spans="1:4" x14ac:dyDescent="0.25">
      <c r="A5627" s="24" t="s">
        <v>122</v>
      </c>
      <c r="B5627" s="24" t="s">
        <v>121</v>
      </c>
      <c r="C5627" s="32">
        <v>19.643999999999998</v>
      </c>
      <c r="D5627" s="28">
        <v>1.1805555555555555E-2</v>
      </c>
    </row>
    <row r="5628" spans="1:4" x14ac:dyDescent="0.25">
      <c r="A5628" s="24" t="s">
        <v>122</v>
      </c>
      <c r="B5628" s="24" t="s">
        <v>122</v>
      </c>
      <c r="C5628" s="32">
        <v>0</v>
      </c>
      <c r="D5628" s="28">
        <v>0</v>
      </c>
    </row>
    <row r="5629" spans="1:4" x14ac:dyDescent="0.25">
      <c r="A5629" s="24" t="s">
        <v>122</v>
      </c>
      <c r="B5629" s="24" t="s">
        <v>123</v>
      </c>
      <c r="C5629" s="32">
        <v>16.395</v>
      </c>
      <c r="D5629" s="28">
        <v>1.2499999999999999E-2</v>
      </c>
    </row>
    <row r="5630" spans="1:4" x14ac:dyDescent="0.25">
      <c r="A5630" s="24" t="s">
        <v>122</v>
      </c>
      <c r="B5630" s="24" t="s">
        <v>124</v>
      </c>
      <c r="C5630" s="32">
        <v>16.395</v>
      </c>
      <c r="D5630" s="28">
        <v>1.2499999999999999E-2</v>
      </c>
    </row>
    <row r="5631" spans="1:4" x14ac:dyDescent="0.25">
      <c r="A5631" s="24" t="s">
        <v>122</v>
      </c>
      <c r="B5631" s="24" t="s">
        <v>125</v>
      </c>
      <c r="C5631" s="32">
        <v>41.723999999999997</v>
      </c>
      <c r="D5631" s="28">
        <v>2.7777777777777776E-2</v>
      </c>
    </row>
    <row r="5632" spans="1:4" x14ac:dyDescent="0.25">
      <c r="A5632" s="24" t="s">
        <v>122</v>
      </c>
      <c r="B5632" s="24" t="s">
        <v>126</v>
      </c>
      <c r="C5632" s="32">
        <v>41.462000000000003</v>
      </c>
      <c r="D5632" s="28">
        <v>2.6388888888888889E-2</v>
      </c>
    </row>
    <row r="5633" spans="1:4" x14ac:dyDescent="0.25">
      <c r="A5633" s="24" t="s">
        <v>122</v>
      </c>
      <c r="B5633" s="24" t="s">
        <v>127</v>
      </c>
      <c r="C5633" s="32">
        <v>39.835000000000001</v>
      </c>
      <c r="D5633" s="28">
        <v>2.6388888888888889E-2</v>
      </c>
    </row>
    <row r="5634" spans="1:4" x14ac:dyDescent="0.25">
      <c r="A5634" s="24" t="s">
        <v>122</v>
      </c>
      <c r="B5634" s="24" t="s">
        <v>128</v>
      </c>
      <c r="C5634" s="32">
        <v>40.534999999999997</v>
      </c>
      <c r="D5634" s="28">
        <v>2.5694444444444447E-2</v>
      </c>
    </row>
    <row r="5635" spans="1:4" x14ac:dyDescent="0.25">
      <c r="A5635" s="24" t="s">
        <v>122</v>
      </c>
      <c r="B5635" s="24" t="s">
        <v>129</v>
      </c>
      <c r="C5635" s="32">
        <v>40.534999999999997</v>
      </c>
      <c r="D5635" s="28">
        <v>2.5694444444444447E-2</v>
      </c>
    </row>
    <row r="5636" spans="1:4" x14ac:dyDescent="0.25">
      <c r="A5636" s="24" t="s">
        <v>122</v>
      </c>
      <c r="B5636" s="24" t="s">
        <v>130</v>
      </c>
      <c r="C5636" s="32">
        <v>39.914000000000001</v>
      </c>
      <c r="D5636" s="28">
        <v>2.7777777777777776E-2</v>
      </c>
    </row>
    <row r="5637" spans="1:4" x14ac:dyDescent="0.25">
      <c r="A5637" s="24" t="s">
        <v>122</v>
      </c>
      <c r="B5637" s="24" t="s">
        <v>131</v>
      </c>
      <c r="C5637" s="32">
        <v>38.826999999999998</v>
      </c>
      <c r="D5637" s="28">
        <v>2.7777777777777776E-2</v>
      </c>
    </row>
    <row r="5638" spans="1:4" x14ac:dyDescent="0.25">
      <c r="A5638" s="24" t="s">
        <v>122</v>
      </c>
      <c r="B5638" s="24" t="s">
        <v>132</v>
      </c>
      <c r="C5638" s="32">
        <v>46.832000000000001</v>
      </c>
      <c r="D5638" s="28">
        <v>3.125E-2</v>
      </c>
    </row>
    <row r="5639" spans="1:4" x14ac:dyDescent="0.25">
      <c r="A5639" s="24" t="s">
        <v>122</v>
      </c>
      <c r="B5639" s="24" t="s">
        <v>133</v>
      </c>
      <c r="C5639" s="32">
        <v>50.69</v>
      </c>
      <c r="D5639" s="28">
        <v>2.9166666666666664E-2</v>
      </c>
    </row>
    <row r="5640" spans="1:4" x14ac:dyDescent="0.25">
      <c r="A5640" s="24" t="s">
        <v>122</v>
      </c>
      <c r="B5640" s="24" t="s">
        <v>134</v>
      </c>
      <c r="C5640" s="32">
        <v>50.223999999999997</v>
      </c>
      <c r="D5640" s="28">
        <v>2.8472222222222222E-2</v>
      </c>
    </row>
    <row r="5641" spans="1:4" x14ac:dyDescent="0.25">
      <c r="A5641" s="24" t="s">
        <v>122</v>
      </c>
      <c r="B5641" s="24" t="s">
        <v>135</v>
      </c>
      <c r="C5641" s="32">
        <v>53.709000000000003</v>
      </c>
      <c r="D5641" s="28">
        <v>2.9861111111111113E-2</v>
      </c>
    </row>
    <row r="5642" spans="1:4" x14ac:dyDescent="0.25">
      <c r="A5642" s="24" t="s">
        <v>122</v>
      </c>
      <c r="B5642" s="24" t="s">
        <v>136</v>
      </c>
      <c r="C5642" s="32">
        <v>53.709000000000003</v>
      </c>
      <c r="D5642" s="28">
        <v>2.9861111111111113E-2</v>
      </c>
    </row>
    <row r="5643" spans="1:4" x14ac:dyDescent="0.25">
      <c r="A5643" s="24" t="s">
        <v>122</v>
      </c>
      <c r="B5643" s="24" t="s">
        <v>137</v>
      </c>
      <c r="C5643" s="32">
        <v>53.317999999999998</v>
      </c>
      <c r="D5643" s="28">
        <v>2.9166666666666664E-2</v>
      </c>
    </row>
    <row r="5644" spans="1:4" x14ac:dyDescent="0.25">
      <c r="A5644" s="24" t="s">
        <v>122</v>
      </c>
      <c r="B5644" s="24" t="s">
        <v>138</v>
      </c>
      <c r="C5644" s="32">
        <v>47.046999999999997</v>
      </c>
      <c r="D5644" s="28">
        <v>2.6388888888888889E-2</v>
      </c>
    </row>
    <row r="5645" spans="1:4" x14ac:dyDescent="0.25">
      <c r="A5645" s="24" t="s">
        <v>122</v>
      </c>
      <c r="B5645" s="24" t="s">
        <v>139</v>
      </c>
      <c r="C5645" s="32">
        <v>50.081000000000003</v>
      </c>
      <c r="D5645" s="28">
        <v>2.5694444444444447E-2</v>
      </c>
    </row>
    <row r="5646" spans="1:4" x14ac:dyDescent="0.25">
      <c r="A5646" s="24" t="s">
        <v>122</v>
      </c>
      <c r="B5646" s="24" t="s">
        <v>140</v>
      </c>
      <c r="C5646" s="32">
        <v>56.720999999999997</v>
      </c>
      <c r="D5646" s="28">
        <v>2.8472222222222222E-2</v>
      </c>
    </row>
    <row r="5647" spans="1:4" x14ac:dyDescent="0.25">
      <c r="A5647" s="24" t="s">
        <v>122</v>
      </c>
      <c r="B5647" s="24" t="s">
        <v>141</v>
      </c>
      <c r="C5647" s="32">
        <v>74.792000000000002</v>
      </c>
      <c r="D5647" s="28">
        <v>4.5138888888888888E-2</v>
      </c>
    </row>
    <row r="5648" spans="1:4" x14ac:dyDescent="0.25">
      <c r="A5648" s="24" t="s">
        <v>122</v>
      </c>
      <c r="B5648" s="24" t="s">
        <v>142</v>
      </c>
      <c r="C5648" s="32">
        <v>72.88</v>
      </c>
      <c r="D5648" s="28">
        <v>3.7499999999999999E-2</v>
      </c>
    </row>
    <row r="5649" spans="1:4" x14ac:dyDescent="0.25">
      <c r="A5649" s="24" t="s">
        <v>122</v>
      </c>
      <c r="B5649" s="24" t="s">
        <v>143</v>
      </c>
      <c r="C5649" s="32">
        <v>91.257999999999996</v>
      </c>
      <c r="D5649" s="28">
        <v>4.4444444444444446E-2</v>
      </c>
    </row>
    <row r="5650" spans="1:4" x14ac:dyDescent="0.25">
      <c r="A5650" s="24" t="s">
        <v>122</v>
      </c>
      <c r="B5650" s="24" t="s">
        <v>144</v>
      </c>
      <c r="C5650" s="32">
        <v>110.374</v>
      </c>
      <c r="D5650" s="28">
        <v>5.5555555555555552E-2</v>
      </c>
    </row>
    <row r="5651" spans="1:4" x14ac:dyDescent="0.25">
      <c r="A5651" s="24" t="s">
        <v>122</v>
      </c>
      <c r="B5651" s="24" t="s">
        <v>145</v>
      </c>
      <c r="C5651" s="32">
        <v>54.887999999999998</v>
      </c>
      <c r="D5651" s="28">
        <v>3.0555555555555555E-2</v>
      </c>
    </row>
    <row r="5652" spans="1:4" x14ac:dyDescent="0.25">
      <c r="A5652" s="24" t="s">
        <v>122</v>
      </c>
      <c r="B5652" s="24" t="s">
        <v>146</v>
      </c>
      <c r="C5652" s="32">
        <v>70.346999999999994</v>
      </c>
      <c r="D5652" s="28">
        <v>3.8194444444444441E-2</v>
      </c>
    </row>
    <row r="5653" spans="1:4" x14ac:dyDescent="0.25">
      <c r="A5653" s="24" t="s">
        <v>122</v>
      </c>
      <c r="B5653" s="24" t="s">
        <v>147</v>
      </c>
      <c r="C5653" s="32">
        <v>33.368000000000002</v>
      </c>
      <c r="D5653" s="28">
        <v>2.013888888888889E-2</v>
      </c>
    </row>
    <row r="5654" spans="1:4" x14ac:dyDescent="0.25">
      <c r="A5654" s="24" t="s">
        <v>122</v>
      </c>
      <c r="B5654" s="24" t="s">
        <v>148</v>
      </c>
      <c r="C5654" s="32">
        <v>36.442</v>
      </c>
      <c r="D5654" s="28">
        <v>2.2222222222222223E-2</v>
      </c>
    </row>
    <row r="5655" spans="1:4" x14ac:dyDescent="0.25">
      <c r="A5655" s="24" t="s">
        <v>122</v>
      </c>
      <c r="B5655" s="24" t="s">
        <v>149</v>
      </c>
      <c r="C5655" s="32">
        <v>46.938000000000002</v>
      </c>
      <c r="D5655" s="28">
        <v>3.1944444444444449E-2</v>
      </c>
    </row>
    <row r="5656" spans="1:4" x14ac:dyDescent="0.25">
      <c r="A5656" s="24" t="s">
        <v>122</v>
      </c>
      <c r="B5656" s="24" t="s">
        <v>150</v>
      </c>
      <c r="C5656" s="32">
        <v>56.424999999999997</v>
      </c>
      <c r="D5656" s="28">
        <v>4.0972222222222222E-2</v>
      </c>
    </row>
    <row r="5657" spans="1:4" x14ac:dyDescent="0.25">
      <c r="A5657" s="24" t="s">
        <v>122</v>
      </c>
      <c r="B5657" s="24" t="s">
        <v>151</v>
      </c>
      <c r="C5657" s="32">
        <v>55.683</v>
      </c>
      <c r="D5657" s="28">
        <v>4.027777777777778E-2</v>
      </c>
    </row>
    <row r="5658" spans="1:4" x14ac:dyDescent="0.25">
      <c r="A5658" s="24" t="s">
        <v>122</v>
      </c>
      <c r="B5658" s="24" t="s">
        <v>152</v>
      </c>
      <c r="C5658" s="32">
        <v>57.502000000000002</v>
      </c>
      <c r="D5658" s="28">
        <v>4.3750000000000004E-2</v>
      </c>
    </row>
    <row r="5659" spans="1:4" x14ac:dyDescent="0.25">
      <c r="A5659" s="24" t="s">
        <v>122</v>
      </c>
      <c r="B5659" s="24" t="s">
        <v>153</v>
      </c>
      <c r="C5659" s="32">
        <v>62.029000000000003</v>
      </c>
      <c r="D5659" s="28">
        <v>5.0694444444444452E-2</v>
      </c>
    </row>
    <row r="5660" spans="1:4" x14ac:dyDescent="0.25">
      <c r="A5660" s="24" t="s">
        <v>122</v>
      </c>
      <c r="B5660" s="24" t="s">
        <v>154</v>
      </c>
      <c r="C5660" s="32">
        <v>60.1</v>
      </c>
      <c r="D5660" s="28">
        <v>4.3055555555555562E-2</v>
      </c>
    </row>
    <row r="5661" spans="1:4" x14ac:dyDescent="0.25">
      <c r="A5661" s="24" t="s">
        <v>122</v>
      </c>
      <c r="B5661" s="24" t="s">
        <v>155</v>
      </c>
      <c r="C5661" s="32">
        <v>56.286999999999999</v>
      </c>
      <c r="D5661" s="28">
        <v>4.0972222222222222E-2</v>
      </c>
    </row>
    <row r="5662" spans="1:4" x14ac:dyDescent="0.25">
      <c r="A5662" s="24" t="s">
        <v>122</v>
      </c>
      <c r="B5662" s="24" t="s">
        <v>156</v>
      </c>
      <c r="C5662" s="32">
        <v>56.271000000000001</v>
      </c>
      <c r="D5662" s="28">
        <v>4.0972222222222222E-2</v>
      </c>
    </row>
    <row r="5663" spans="1:4" x14ac:dyDescent="0.25">
      <c r="A5663" s="24" t="s">
        <v>122</v>
      </c>
      <c r="B5663" s="24" t="s">
        <v>157</v>
      </c>
      <c r="C5663" s="32">
        <v>50.552</v>
      </c>
      <c r="D5663" s="28">
        <v>3.6805555555555557E-2</v>
      </c>
    </row>
    <row r="5664" spans="1:4" x14ac:dyDescent="0.25">
      <c r="A5664" s="24" t="s">
        <v>122</v>
      </c>
      <c r="B5664" s="24" t="s">
        <v>158</v>
      </c>
      <c r="C5664" s="32">
        <v>61.305999999999997</v>
      </c>
      <c r="D5664" s="28">
        <v>4.4444444444444446E-2</v>
      </c>
    </row>
    <row r="5665" spans="1:4" x14ac:dyDescent="0.25">
      <c r="A5665" s="24" t="s">
        <v>122</v>
      </c>
      <c r="B5665" s="24" t="s">
        <v>159</v>
      </c>
      <c r="C5665" s="32">
        <v>54.112000000000002</v>
      </c>
      <c r="D5665" s="28">
        <v>4.5833333333333337E-2</v>
      </c>
    </row>
    <row r="5666" spans="1:4" x14ac:dyDescent="0.25">
      <c r="A5666" s="24" t="s">
        <v>123</v>
      </c>
      <c r="B5666" s="24" t="s">
        <v>65</v>
      </c>
      <c r="C5666" s="32">
        <v>33.356000000000002</v>
      </c>
      <c r="D5666" s="28">
        <v>2.2916666666666669E-2</v>
      </c>
    </row>
    <row r="5667" spans="1:4" x14ac:dyDescent="0.25">
      <c r="A5667" s="24" t="s">
        <v>123</v>
      </c>
      <c r="B5667" s="24" t="s">
        <v>64</v>
      </c>
      <c r="C5667" s="32">
        <v>44.878999999999998</v>
      </c>
      <c r="D5667" s="28">
        <v>2.9861111111111113E-2</v>
      </c>
    </row>
    <row r="5668" spans="1:4" x14ac:dyDescent="0.25">
      <c r="A5668" s="24" t="s">
        <v>123</v>
      </c>
      <c r="B5668" s="24" t="s">
        <v>66</v>
      </c>
      <c r="C5668" s="32">
        <v>49.268999999999998</v>
      </c>
      <c r="D5668" s="28">
        <v>3.3333333333333333E-2</v>
      </c>
    </row>
    <row r="5669" spans="1:4" x14ac:dyDescent="0.25">
      <c r="A5669" s="24" t="s">
        <v>123</v>
      </c>
      <c r="B5669" s="24" t="s">
        <v>67</v>
      </c>
      <c r="C5669" s="32">
        <v>45.441000000000003</v>
      </c>
      <c r="D5669" s="28">
        <v>3.1944444444444449E-2</v>
      </c>
    </row>
    <row r="5670" spans="1:4" x14ac:dyDescent="0.25">
      <c r="A5670" s="24" t="s">
        <v>123</v>
      </c>
      <c r="B5670" s="24" t="s">
        <v>68</v>
      </c>
      <c r="C5670" s="32">
        <v>48.753</v>
      </c>
      <c r="D5670" s="28">
        <v>3.2638888888888891E-2</v>
      </c>
    </row>
    <row r="5671" spans="1:4" x14ac:dyDescent="0.25">
      <c r="A5671" s="24" t="s">
        <v>123</v>
      </c>
      <c r="B5671" s="24" t="s">
        <v>69</v>
      </c>
      <c r="C5671" s="32">
        <v>49.552999999999997</v>
      </c>
      <c r="D5671" s="28">
        <v>3.3333333333333333E-2</v>
      </c>
    </row>
    <row r="5672" spans="1:4" x14ac:dyDescent="0.25">
      <c r="A5672" s="24" t="s">
        <v>123</v>
      </c>
      <c r="B5672" s="24" t="s">
        <v>70</v>
      </c>
      <c r="C5672" s="32">
        <v>49.216999999999999</v>
      </c>
      <c r="D5672" s="28">
        <v>3.2638888888888891E-2</v>
      </c>
    </row>
    <row r="5673" spans="1:4" x14ac:dyDescent="0.25">
      <c r="A5673" s="24" t="s">
        <v>123</v>
      </c>
      <c r="B5673" s="24" t="s">
        <v>71</v>
      </c>
      <c r="C5673" s="32">
        <v>45.811999999999998</v>
      </c>
      <c r="D5673" s="28">
        <v>3.2638888888888891E-2</v>
      </c>
    </row>
    <row r="5674" spans="1:4" x14ac:dyDescent="0.25">
      <c r="A5674" s="24" t="s">
        <v>123</v>
      </c>
      <c r="B5674" s="24" t="s">
        <v>72</v>
      </c>
      <c r="C5674" s="32">
        <v>47.066000000000003</v>
      </c>
      <c r="D5674" s="28">
        <v>3.0555555555555555E-2</v>
      </c>
    </row>
    <row r="5675" spans="1:4" x14ac:dyDescent="0.25">
      <c r="A5675" s="24" t="s">
        <v>123</v>
      </c>
      <c r="B5675" s="24" t="s">
        <v>73</v>
      </c>
      <c r="C5675" s="32">
        <v>44.360999999999997</v>
      </c>
      <c r="D5675" s="28">
        <v>2.9861111111111113E-2</v>
      </c>
    </row>
    <row r="5676" spans="1:4" x14ac:dyDescent="0.25">
      <c r="A5676" s="24" t="s">
        <v>123</v>
      </c>
      <c r="B5676" s="24" t="s">
        <v>74</v>
      </c>
      <c r="C5676" s="32">
        <v>43.618000000000002</v>
      </c>
      <c r="D5676" s="28">
        <v>2.9166666666666664E-2</v>
      </c>
    </row>
    <row r="5677" spans="1:4" x14ac:dyDescent="0.25">
      <c r="A5677" s="24" t="s">
        <v>123</v>
      </c>
      <c r="B5677" s="24" t="s">
        <v>75</v>
      </c>
      <c r="C5677" s="32">
        <v>42.654000000000003</v>
      </c>
      <c r="D5677" s="28">
        <v>2.7777777777777776E-2</v>
      </c>
    </row>
    <row r="5678" spans="1:4" x14ac:dyDescent="0.25">
      <c r="A5678" s="24" t="s">
        <v>123</v>
      </c>
      <c r="B5678" s="24" t="s">
        <v>76</v>
      </c>
      <c r="C5678" s="32">
        <v>42.12</v>
      </c>
      <c r="D5678" s="28">
        <v>2.9166666666666664E-2</v>
      </c>
    </row>
    <row r="5679" spans="1:4" x14ac:dyDescent="0.25">
      <c r="A5679" s="24" t="s">
        <v>123</v>
      </c>
      <c r="B5679" s="24" t="s">
        <v>77</v>
      </c>
      <c r="C5679" s="32">
        <v>50.033999999999999</v>
      </c>
      <c r="D5679" s="28">
        <v>3.1944444444444449E-2</v>
      </c>
    </row>
    <row r="5680" spans="1:4" x14ac:dyDescent="0.25">
      <c r="A5680" s="24" t="s">
        <v>123</v>
      </c>
      <c r="B5680" s="24" t="s">
        <v>78</v>
      </c>
      <c r="C5680" s="32">
        <v>50.906999999999996</v>
      </c>
      <c r="D5680" s="28">
        <v>3.3333333333333333E-2</v>
      </c>
    </row>
    <row r="5681" spans="1:4" x14ac:dyDescent="0.25">
      <c r="A5681" s="24" t="s">
        <v>123</v>
      </c>
      <c r="B5681" s="24" t="s">
        <v>79</v>
      </c>
      <c r="C5681" s="32">
        <v>69.867999999999995</v>
      </c>
      <c r="D5681" s="28">
        <v>4.3750000000000004E-2</v>
      </c>
    </row>
    <row r="5682" spans="1:4" x14ac:dyDescent="0.25">
      <c r="A5682" s="24" t="s">
        <v>123</v>
      </c>
      <c r="B5682" s="24" t="s">
        <v>80</v>
      </c>
      <c r="C5682" s="32">
        <v>31.356000000000002</v>
      </c>
      <c r="D5682" s="28">
        <v>2.2222222222222223E-2</v>
      </c>
    </row>
    <row r="5683" spans="1:4" x14ac:dyDescent="0.25">
      <c r="A5683" s="24" t="s">
        <v>123</v>
      </c>
      <c r="B5683" s="24" t="s">
        <v>81</v>
      </c>
      <c r="C5683" s="32">
        <v>27.643000000000001</v>
      </c>
      <c r="D5683" s="28">
        <v>1.9444444444444445E-2</v>
      </c>
    </row>
    <row r="5684" spans="1:4" x14ac:dyDescent="0.25">
      <c r="A5684" s="24" t="s">
        <v>123</v>
      </c>
      <c r="B5684" s="24" t="s">
        <v>82</v>
      </c>
      <c r="C5684" s="32">
        <v>27.695</v>
      </c>
      <c r="D5684" s="28">
        <v>1.9444444444444445E-2</v>
      </c>
    </row>
    <row r="5685" spans="1:4" x14ac:dyDescent="0.25">
      <c r="A5685" s="24" t="s">
        <v>123</v>
      </c>
      <c r="B5685" s="24" t="s">
        <v>83</v>
      </c>
      <c r="C5685" s="32">
        <v>43.072000000000003</v>
      </c>
      <c r="D5685" s="28">
        <v>2.8472222222222222E-2</v>
      </c>
    </row>
    <row r="5686" spans="1:4" x14ac:dyDescent="0.25">
      <c r="A5686" s="24" t="s">
        <v>123</v>
      </c>
      <c r="B5686" s="24" t="s">
        <v>84</v>
      </c>
      <c r="C5686" s="32">
        <v>40.545000000000002</v>
      </c>
      <c r="D5686" s="28">
        <v>2.4305555555555556E-2</v>
      </c>
    </row>
    <row r="5687" spans="1:4" x14ac:dyDescent="0.25">
      <c r="A5687" s="24" t="s">
        <v>123</v>
      </c>
      <c r="B5687" s="24" t="s">
        <v>85</v>
      </c>
      <c r="C5687" s="32">
        <v>40.179000000000002</v>
      </c>
      <c r="D5687" s="28">
        <v>2.4999999999999998E-2</v>
      </c>
    </row>
    <row r="5688" spans="1:4" x14ac:dyDescent="0.25">
      <c r="A5688" s="24" t="s">
        <v>123</v>
      </c>
      <c r="B5688" s="24" t="s">
        <v>86</v>
      </c>
      <c r="C5688" s="32">
        <v>40.119</v>
      </c>
      <c r="D5688" s="28">
        <v>2.6388888888888889E-2</v>
      </c>
    </row>
    <row r="5689" spans="1:4" x14ac:dyDescent="0.25">
      <c r="A5689" s="24" t="s">
        <v>123</v>
      </c>
      <c r="B5689" s="24" t="s">
        <v>87</v>
      </c>
      <c r="C5689" s="32">
        <v>39.896999999999998</v>
      </c>
      <c r="D5689" s="28">
        <v>2.5694444444444447E-2</v>
      </c>
    </row>
    <row r="5690" spans="1:4" x14ac:dyDescent="0.25">
      <c r="A5690" s="24" t="s">
        <v>123</v>
      </c>
      <c r="B5690" s="24" t="s">
        <v>88</v>
      </c>
      <c r="C5690" s="32">
        <v>40.981000000000002</v>
      </c>
      <c r="D5690" s="28">
        <v>2.6388888888888889E-2</v>
      </c>
    </row>
    <row r="5691" spans="1:4" x14ac:dyDescent="0.25">
      <c r="A5691" s="24" t="s">
        <v>123</v>
      </c>
      <c r="B5691" s="24" t="s">
        <v>89</v>
      </c>
      <c r="C5691" s="32">
        <v>36.915999999999997</v>
      </c>
      <c r="D5691" s="28">
        <v>2.6388888888888889E-2</v>
      </c>
    </row>
    <row r="5692" spans="1:4" x14ac:dyDescent="0.25">
      <c r="A5692" s="24" t="s">
        <v>123</v>
      </c>
      <c r="B5692" s="24" t="s">
        <v>90</v>
      </c>
      <c r="C5692" s="32">
        <v>35.058</v>
      </c>
      <c r="D5692" s="28">
        <v>2.5694444444444447E-2</v>
      </c>
    </row>
    <row r="5693" spans="1:4" x14ac:dyDescent="0.25">
      <c r="A5693" s="24" t="s">
        <v>123</v>
      </c>
      <c r="B5693" s="24" t="s">
        <v>91</v>
      </c>
      <c r="C5693" s="32">
        <v>38.837000000000003</v>
      </c>
      <c r="D5693" s="28">
        <v>2.8472222222222222E-2</v>
      </c>
    </row>
    <row r="5694" spans="1:4" x14ac:dyDescent="0.25">
      <c r="A5694" s="24" t="s">
        <v>123</v>
      </c>
      <c r="B5694" s="24" t="s">
        <v>92</v>
      </c>
      <c r="C5694" s="32">
        <v>33.771999999999998</v>
      </c>
      <c r="D5694" s="28">
        <v>2.5694444444444447E-2</v>
      </c>
    </row>
    <row r="5695" spans="1:4" x14ac:dyDescent="0.25">
      <c r="A5695" s="24" t="s">
        <v>123</v>
      </c>
      <c r="B5695" s="24" t="s">
        <v>93</v>
      </c>
      <c r="C5695" s="32">
        <v>37.259</v>
      </c>
      <c r="D5695" s="28">
        <v>2.7083333333333334E-2</v>
      </c>
    </row>
    <row r="5696" spans="1:4" x14ac:dyDescent="0.25">
      <c r="A5696" s="24" t="s">
        <v>123</v>
      </c>
      <c r="B5696" s="24" t="s">
        <v>94</v>
      </c>
      <c r="C5696" s="32">
        <v>32.104999999999997</v>
      </c>
      <c r="D5696" s="28">
        <v>2.6388888888888889E-2</v>
      </c>
    </row>
    <row r="5697" spans="1:4" x14ac:dyDescent="0.25">
      <c r="A5697" s="24" t="s">
        <v>123</v>
      </c>
      <c r="B5697" s="24" t="s">
        <v>95</v>
      </c>
      <c r="C5697" s="32">
        <v>29.742999999999999</v>
      </c>
      <c r="D5697" s="28">
        <v>2.1527777777777781E-2</v>
      </c>
    </row>
    <row r="5698" spans="1:4" x14ac:dyDescent="0.25">
      <c r="A5698" s="24" t="s">
        <v>123</v>
      </c>
      <c r="B5698" s="24" t="s">
        <v>96</v>
      </c>
      <c r="C5698" s="32">
        <v>51.347000000000001</v>
      </c>
      <c r="D5698" s="28">
        <v>3.6111111111111115E-2</v>
      </c>
    </row>
    <row r="5699" spans="1:4" x14ac:dyDescent="0.25">
      <c r="A5699" s="24" t="s">
        <v>123</v>
      </c>
      <c r="B5699" s="24" t="s">
        <v>97</v>
      </c>
      <c r="C5699" s="32">
        <v>52.225999999999999</v>
      </c>
      <c r="D5699" s="28">
        <v>3.8194444444444441E-2</v>
      </c>
    </row>
    <row r="5700" spans="1:4" x14ac:dyDescent="0.25">
      <c r="A5700" s="24" t="s">
        <v>123</v>
      </c>
      <c r="B5700" s="24" t="s">
        <v>98</v>
      </c>
      <c r="C5700" s="32">
        <v>42.088000000000001</v>
      </c>
      <c r="D5700" s="28">
        <v>2.9861111111111113E-2</v>
      </c>
    </row>
    <row r="5701" spans="1:4" x14ac:dyDescent="0.25">
      <c r="A5701" s="24" t="s">
        <v>123</v>
      </c>
      <c r="B5701" s="24" t="s">
        <v>99</v>
      </c>
      <c r="C5701" s="32">
        <v>48.585999999999999</v>
      </c>
      <c r="D5701" s="28">
        <v>3.4722222222222224E-2</v>
      </c>
    </row>
    <row r="5702" spans="1:4" x14ac:dyDescent="0.25">
      <c r="A5702" s="24" t="s">
        <v>123</v>
      </c>
      <c r="B5702" s="24" t="s">
        <v>100</v>
      </c>
      <c r="C5702" s="32">
        <v>36.206000000000003</v>
      </c>
      <c r="D5702" s="28">
        <v>2.6388888888888889E-2</v>
      </c>
    </row>
    <row r="5703" spans="1:4" x14ac:dyDescent="0.25">
      <c r="A5703" s="24" t="s">
        <v>123</v>
      </c>
      <c r="B5703" s="24" t="s">
        <v>101</v>
      </c>
      <c r="C5703" s="32">
        <v>43.783999999999999</v>
      </c>
      <c r="D5703" s="28">
        <v>3.125E-2</v>
      </c>
    </row>
    <row r="5704" spans="1:4" x14ac:dyDescent="0.25">
      <c r="A5704" s="24" t="s">
        <v>123</v>
      </c>
      <c r="B5704" s="24" t="s">
        <v>102</v>
      </c>
      <c r="C5704" s="32">
        <v>46.975000000000001</v>
      </c>
      <c r="D5704" s="28">
        <v>3.1944444444444449E-2</v>
      </c>
    </row>
    <row r="5705" spans="1:4" x14ac:dyDescent="0.25">
      <c r="A5705" s="24" t="s">
        <v>123</v>
      </c>
      <c r="B5705" s="24" t="s">
        <v>103</v>
      </c>
      <c r="C5705" s="32">
        <v>39.015000000000001</v>
      </c>
      <c r="D5705" s="28">
        <v>2.6388888888888889E-2</v>
      </c>
    </row>
    <row r="5706" spans="1:4" x14ac:dyDescent="0.25">
      <c r="A5706" s="24" t="s">
        <v>123</v>
      </c>
      <c r="B5706" s="24" t="s">
        <v>104</v>
      </c>
      <c r="C5706" s="32">
        <v>36.590000000000003</v>
      </c>
      <c r="D5706" s="28">
        <v>2.361111111111111E-2</v>
      </c>
    </row>
    <row r="5707" spans="1:4" x14ac:dyDescent="0.25">
      <c r="A5707" s="24" t="s">
        <v>123</v>
      </c>
      <c r="B5707" s="24" t="s">
        <v>105</v>
      </c>
      <c r="C5707" s="32">
        <v>37.853000000000002</v>
      </c>
      <c r="D5707" s="28">
        <v>2.9166666666666664E-2</v>
      </c>
    </row>
    <row r="5708" spans="1:4" x14ac:dyDescent="0.25">
      <c r="A5708" s="24" t="s">
        <v>123</v>
      </c>
      <c r="B5708" s="24" t="s">
        <v>106</v>
      </c>
      <c r="C5708" s="32">
        <v>42.33</v>
      </c>
      <c r="D5708" s="28">
        <v>2.7777777777777776E-2</v>
      </c>
    </row>
    <row r="5709" spans="1:4" x14ac:dyDescent="0.25">
      <c r="A5709" s="24" t="s">
        <v>123</v>
      </c>
      <c r="B5709" s="24" t="s">
        <v>107</v>
      </c>
      <c r="C5709" s="32">
        <v>33.258000000000003</v>
      </c>
      <c r="D5709" s="28">
        <v>2.4305555555555556E-2</v>
      </c>
    </row>
    <row r="5710" spans="1:4" x14ac:dyDescent="0.25">
      <c r="A5710" s="24" t="s">
        <v>123</v>
      </c>
      <c r="B5710" s="24" t="s">
        <v>108</v>
      </c>
      <c r="C5710" s="32">
        <v>32.811</v>
      </c>
      <c r="D5710" s="28">
        <v>2.2222222222222223E-2</v>
      </c>
    </row>
    <row r="5711" spans="1:4" x14ac:dyDescent="0.25">
      <c r="A5711" s="24" t="s">
        <v>123</v>
      </c>
      <c r="B5711" s="24" t="s">
        <v>109</v>
      </c>
      <c r="C5711" s="32">
        <v>32.780999999999999</v>
      </c>
      <c r="D5711" s="28">
        <v>2.2222222222222223E-2</v>
      </c>
    </row>
    <row r="5712" spans="1:4" x14ac:dyDescent="0.25">
      <c r="A5712" s="24" t="s">
        <v>123</v>
      </c>
      <c r="B5712" s="24" t="s">
        <v>110</v>
      </c>
      <c r="C5712" s="32">
        <v>40.628999999999998</v>
      </c>
      <c r="D5712" s="28">
        <v>2.8472222222222222E-2</v>
      </c>
    </row>
    <row r="5713" spans="1:4" x14ac:dyDescent="0.25">
      <c r="A5713" s="24" t="s">
        <v>123</v>
      </c>
      <c r="B5713" s="24" t="s">
        <v>111</v>
      </c>
      <c r="C5713" s="32">
        <v>37.082999999999998</v>
      </c>
      <c r="D5713" s="28">
        <v>2.4305555555555556E-2</v>
      </c>
    </row>
    <row r="5714" spans="1:4" x14ac:dyDescent="0.25">
      <c r="A5714" s="24" t="s">
        <v>123</v>
      </c>
      <c r="B5714" s="24" t="s">
        <v>112</v>
      </c>
      <c r="C5714" s="32">
        <v>31.85</v>
      </c>
      <c r="D5714" s="28">
        <v>2.0833333333333332E-2</v>
      </c>
    </row>
    <row r="5715" spans="1:4" x14ac:dyDescent="0.25">
      <c r="A5715" s="24" t="s">
        <v>123</v>
      </c>
      <c r="B5715" s="24" t="s">
        <v>113</v>
      </c>
      <c r="C5715" s="32">
        <v>29.007999999999999</v>
      </c>
      <c r="D5715" s="28">
        <v>2.013888888888889E-2</v>
      </c>
    </row>
    <row r="5716" spans="1:4" x14ac:dyDescent="0.25">
      <c r="A5716" s="24" t="s">
        <v>123</v>
      </c>
      <c r="B5716" s="24" t="s">
        <v>114</v>
      </c>
      <c r="C5716" s="32">
        <v>36.49</v>
      </c>
      <c r="D5716" s="28">
        <v>2.4999999999999998E-2</v>
      </c>
    </row>
    <row r="5717" spans="1:4" x14ac:dyDescent="0.25">
      <c r="A5717" s="24" t="s">
        <v>123</v>
      </c>
      <c r="B5717" s="24" t="s">
        <v>115</v>
      </c>
      <c r="C5717" s="32">
        <v>36.341000000000001</v>
      </c>
      <c r="D5717" s="28">
        <v>2.4999999999999998E-2</v>
      </c>
    </row>
    <row r="5718" spans="1:4" x14ac:dyDescent="0.25">
      <c r="A5718" s="24" t="s">
        <v>123</v>
      </c>
      <c r="B5718" s="24" t="s">
        <v>116</v>
      </c>
      <c r="C5718" s="32">
        <v>34.469000000000001</v>
      </c>
      <c r="D5718" s="28">
        <v>2.4999999999999998E-2</v>
      </c>
    </row>
    <row r="5719" spans="1:4" x14ac:dyDescent="0.25">
      <c r="A5719" s="24" t="s">
        <v>123</v>
      </c>
      <c r="B5719" s="24" t="s">
        <v>117</v>
      </c>
      <c r="C5719" s="32">
        <v>29.556999999999999</v>
      </c>
      <c r="D5719" s="28">
        <v>2.1527777777777781E-2</v>
      </c>
    </row>
    <row r="5720" spans="1:4" x14ac:dyDescent="0.25">
      <c r="A5720" s="24" t="s">
        <v>123</v>
      </c>
      <c r="B5720" s="24" t="s">
        <v>118</v>
      </c>
      <c r="C5720" s="32">
        <v>27.190999999999999</v>
      </c>
      <c r="D5720" s="28">
        <v>1.8055555555555557E-2</v>
      </c>
    </row>
    <row r="5721" spans="1:4" x14ac:dyDescent="0.25">
      <c r="A5721" s="24" t="s">
        <v>123</v>
      </c>
      <c r="B5721" s="24" t="s">
        <v>119</v>
      </c>
      <c r="C5721" s="32">
        <v>14.654</v>
      </c>
      <c r="D5721" s="28">
        <v>1.3194444444444444E-2</v>
      </c>
    </row>
    <row r="5722" spans="1:4" x14ac:dyDescent="0.25">
      <c r="A5722" s="24" t="s">
        <v>123</v>
      </c>
      <c r="B5722" s="24" t="s">
        <v>120</v>
      </c>
      <c r="C5722" s="32">
        <v>19.614999999999998</v>
      </c>
      <c r="D5722" s="28">
        <v>1.8749999999999999E-2</v>
      </c>
    </row>
    <row r="5723" spans="1:4" x14ac:dyDescent="0.25">
      <c r="A5723" s="24" t="s">
        <v>123</v>
      </c>
      <c r="B5723" s="24" t="s">
        <v>121</v>
      </c>
      <c r="C5723" s="32">
        <v>7.7590000000000003</v>
      </c>
      <c r="D5723" s="28">
        <v>9.0277777777777787E-3</v>
      </c>
    </row>
    <row r="5724" spans="1:4" x14ac:dyDescent="0.25">
      <c r="A5724" s="24" t="s">
        <v>123</v>
      </c>
      <c r="B5724" s="24" t="s">
        <v>122</v>
      </c>
      <c r="C5724" s="32">
        <v>21.196000000000002</v>
      </c>
      <c r="D5724" s="28">
        <v>1.5277777777777777E-2</v>
      </c>
    </row>
    <row r="5725" spans="1:4" x14ac:dyDescent="0.25">
      <c r="A5725" s="24" t="s">
        <v>123</v>
      </c>
      <c r="B5725" s="24" t="s">
        <v>123</v>
      </c>
      <c r="C5725" s="32">
        <v>0</v>
      </c>
      <c r="D5725" s="28">
        <v>0</v>
      </c>
    </row>
    <row r="5726" spans="1:4" x14ac:dyDescent="0.25">
      <c r="A5726" s="24" t="s">
        <v>123</v>
      </c>
      <c r="B5726" s="24" t="s">
        <v>124</v>
      </c>
      <c r="C5726" s="32">
        <v>0</v>
      </c>
      <c r="D5726" s="28">
        <v>0</v>
      </c>
    </row>
    <row r="5727" spans="1:4" x14ac:dyDescent="0.25">
      <c r="A5727" s="24" t="s">
        <v>123</v>
      </c>
      <c r="B5727" s="24" t="s">
        <v>125</v>
      </c>
      <c r="C5727" s="32">
        <v>47.835000000000001</v>
      </c>
      <c r="D5727" s="28">
        <v>3.3333333333333333E-2</v>
      </c>
    </row>
    <row r="5728" spans="1:4" x14ac:dyDescent="0.25">
      <c r="A5728" s="24" t="s">
        <v>123</v>
      </c>
      <c r="B5728" s="24" t="s">
        <v>126</v>
      </c>
      <c r="C5728" s="32">
        <v>47.573</v>
      </c>
      <c r="D5728" s="28">
        <v>3.2638888888888891E-2</v>
      </c>
    </row>
    <row r="5729" spans="1:4" x14ac:dyDescent="0.25">
      <c r="A5729" s="24" t="s">
        <v>123</v>
      </c>
      <c r="B5729" s="24" t="s">
        <v>127</v>
      </c>
      <c r="C5729" s="32">
        <v>46.567</v>
      </c>
      <c r="D5729" s="28">
        <v>3.1944444444444449E-2</v>
      </c>
    </row>
    <row r="5730" spans="1:4" x14ac:dyDescent="0.25">
      <c r="A5730" s="24" t="s">
        <v>123</v>
      </c>
      <c r="B5730" s="24" t="s">
        <v>128</v>
      </c>
      <c r="C5730" s="32">
        <v>50.195</v>
      </c>
      <c r="D5730" s="28">
        <v>3.2638888888888891E-2</v>
      </c>
    </row>
    <row r="5731" spans="1:4" x14ac:dyDescent="0.25">
      <c r="A5731" s="24" t="s">
        <v>123</v>
      </c>
      <c r="B5731" s="24" t="s">
        <v>129</v>
      </c>
      <c r="C5731" s="32">
        <v>50.195</v>
      </c>
      <c r="D5731" s="28">
        <v>3.2638888888888891E-2</v>
      </c>
    </row>
    <row r="5732" spans="1:4" x14ac:dyDescent="0.25">
      <c r="A5732" s="24" t="s">
        <v>123</v>
      </c>
      <c r="B5732" s="24" t="s">
        <v>130</v>
      </c>
      <c r="C5732" s="32">
        <v>49.573999999999998</v>
      </c>
      <c r="D5732" s="28">
        <v>3.4722222222222224E-2</v>
      </c>
    </row>
    <row r="5733" spans="1:4" x14ac:dyDescent="0.25">
      <c r="A5733" s="24" t="s">
        <v>123</v>
      </c>
      <c r="B5733" s="24" t="s">
        <v>131</v>
      </c>
      <c r="C5733" s="32">
        <v>45.558999999999997</v>
      </c>
      <c r="D5733" s="28">
        <v>3.2638888888888891E-2</v>
      </c>
    </row>
    <row r="5734" spans="1:4" x14ac:dyDescent="0.25">
      <c r="A5734" s="24" t="s">
        <v>123</v>
      </c>
      <c r="B5734" s="24" t="s">
        <v>132</v>
      </c>
      <c r="C5734" s="32">
        <v>51.664999999999999</v>
      </c>
      <c r="D5734" s="28">
        <v>3.6805555555555557E-2</v>
      </c>
    </row>
    <row r="5735" spans="1:4" x14ac:dyDescent="0.25">
      <c r="A5735" s="24" t="s">
        <v>123</v>
      </c>
      <c r="B5735" s="24" t="s">
        <v>133</v>
      </c>
      <c r="C5735" s="32">
        <v>37.985999999999997</v>
      </c>
      <c r="D5735" s="28">
        <v>2.4999999999999998E-2</v>
      </c>
    </row>
    <row r="5736" spans="1:4" x14ac:dyDescent="0.25">
      <c r="A5736" s="24" t="s">
        <v>123</v>
      </c>
      <c r="B5736" s="24" t="s">
        <v>134</v>
      </c>
      <c r="C5736" s="32">
        <v>37.520000000000003</v>
      </c>
      <c r="D5736" s="28">
        <v>2.4305555555555556E-2</v>
      </c>
    </row>
    <row r="5737" spans="1:4" x14ac:dyDescent="0.25">
      <c r="A5737" s="24" t="s">
        <v>123</v>
      </c>
      <c r="B5737" s="24" t="s">
        <v>135</v>
      </c>
      <c r="C5737" s="32">
        <v>39.726999999999997</v>
      </c>
      <c r="D5737" s="28">
        <v>2.5694444444444447E-2</v>
      </c>
    </row>
    <row r="5738" spans="1:4" x14ac:dyDescent="0.25">
      <c r="A5738" s="24" t="s">
        <v>123</v>
      </c>
      <c r="B5738" s="24" t="s">
        <v>136</v>
      </c>
      <c r="C5738" s="32">
        <v>39.726999999999997</v>
      </c>
      <c r="D5738" s="28">
        <v>2.5694444444444447E-2</v>
      </c>
    </row>
    <row r="5739" spans="1:4" x14ac:dyDescent="0.25">
      <c r="A5739" s="24" t="s">
        <v>123</v>
      </c>
      <c r="B5739" s="24" t="s">
        <v>137</v>
      </c>
      <c r="C5739" s="32">
        <v>40.613999999999997</v>
      </c>
      <c r="D5739" s="28">
        <v>2.4999999999999998E-2</v>
      </c>
    </row>
    <row r="5740" spans="1:4" x14ac:dyDescent="0.25">
      <c r="A5740" s="24" t="s">
        <v>123</v>
      </c>
      <c r="B5740" s="24" t="s">
        <v>138</v>
      </c>
      <c r="C5740" s="32">
        <v>34.347999999999999</v>
      </c>
      <c r="D5740" s="28">
        <v>2.2222222222222223E-2</v>
      </c>
    </row>
    <row r="5741" spans="1:4" x14ac:dyDescent="0.25">
      <c r="A5741" s="24" t="s">
        <v>123</v>
      </c>
      <c r="B5741" s="24" t="s">
        <v>139</v>
      </c>
      <c r="C5741" s="32">
        <v>37.381999999999998</v>
      </c>
      <c r="D5741" s="28">
        <v>2.1527777777777781E-2</v>
      </c>
    </row>
    <row r="5742" spans="1:4" x14ac:dyDescent="0.25">
      <c r="A5742" s="24" t="s">
        <v>123</v>
      </c>
      <c r="B5742" s="24" t="s">
        <v>140</v>
      </c>
      <c r="C5742" s="32">
        <v>44.021999999999998</v>
      </c>
      <c r="D5742" s="28">
        <v>2.4305555555555556E-2</v>
      </c>
    </row>
    <row r="5743" spans="1:4" x14ac:dyDescent="0.25">
      <c r="A5743" s="24" t="s">
        <v>123</v>
      </c>
      <c r="B5743" s="24" t="s">
        <v>141</v>
      </c>
      <c r="C5743" s="32">
        <v>62.093000000000004</v>
      </c>
      <c r="D5743" s="28">
        <v>4.0972222222222222E-2</v>
      </c>
    </row>
    <row r="5744" spans="1:4" x14ac:dyDescent="0.25">
      <c r="A5744" s="24" t="s">
        <v>123</v>
      </c>
      <c r="B5744" s="24" t="s">
        <v>142</v>
      </c>
      <c r="C5744" s="32">
        <v>60.180999999999997</v>
      </c>
      <c r="D5744" s="28">
        <v>3.3333333333333333E-2</v>
      </c>
    </row>
    <row r="5745" spans="1:4" x14ac:dyDescent="0.25">
      <c r="A5745" s="24" t="s">
        <v>123</v>
      </c>
      <c r="B5745" s="24" t="s">
        <v>143</v>
      </c>
      <c r="C5745" s="32">
        <v>78.558999999999997</v>
      </c>
      <c r="D5745" s="28">
        <v>4.0972222222222222E-2</v>
      </c>
    </row>
    <row r="5746" spans="1:4" x14ac:dyDescent="0.25">
      <c r="A5746" s="24" t="s">
        <v>123</v>
      </c>
      <c r="B5746" s="24" t="s">
        <v>144</v>
      </c>
      <c r="C5746" s="32">
        <v>97.674999999999997</v>
      </c>
      <c r="D5746" s="28">
        <v>5.1388888888888894E-2</v>
      </c>
    </row>
    <row r="5747" spans="1:4" x14ac:dyDescent="0.25">
      <c r="A5747" s="24" t="s">
        <v>123</v>
      </c>
      <c r="B5747" s="24" t="s">
        <v>145</v>
      </c>
      <c r="C5747" s="32">
        <v>42.189</v>
      </c>
      <c r="D5747" s="28">
        <v>2.6388888888888889E-2</v>
      </c>
    </row>
    <row r="5748" spans="1:4" x14ac:dyDescent="0.25">
      <c r="A5748" s="24" t="s">
        <v>123</v>
      </c>
      <c r="B5748" s="24" t="s">
        <v>146</v>
      </c>
      <c r="C5748" s="32">
        <v>57.648000000000003</v>
      </c>
      <c r="D5748" s="28">
        <v>3.4027777777777775E-2</v>
      </c>
    </row>
    <row r="5749" spans="1:4" x14ac:dyDescent="0.25">
      <c r="A5749" s="24" t="s">
        <v>123</v>
      </c>
      <c r="B5749" s="24" t="s">
        <v>147</v>
      </c>
      <c r="C5749" s="32">
        <v>43.027999999999999</v>
      </c>
      <c r="D5749" s="28">
        <v>2.7083333333333334E-2</v>
      </c>
    </row>
    <row r="5750" spans="1:4" x14ac:dyDescent="0.25">
      <c r="A5750" s="24" t="s">
        <v>123</v>
      </c>
      <c r="B5750" s="24" t="s">
        <v>148</v>
      </c>
      <c r="C5750" s="32">
        <v>46.101999999999997</v>
      </c>
      <c r="D5750" s="28">
        <v>2.9166666666666664E-2</v>
      </c>
    </row>
    <row r="5751" spans="1:4" x14ac:dyDescent="0.25">
      <c r="A5751" s="24" t="s">
        <v>123</v>
      </c>
      <c r="B5751" s="24" t="s">
        <v>149</v>
      </c>
      <c r="C5751" s="32">
        <v>52.192</v>
      </c>
      <c r="D5751" s="28">
        <v>3.6805555555555557E-2</v>
      </c>
    </row>
    <row r="5752" spans="1:4" x14ac:dyDescent="0.25">
      <c r="A5752" s="24" t="s">
        <v>123</v>
      </c>
      <c r="B5752" s="24" t="s">
        <v>150</v>
      </c>
      <c r="C5752" s="32">
        <v>59.985999999999997</v>
      </c>
      <c r="D5752" s="28">
        <v>4.5138888888888888E-2</v>
      </c>
    </row>
    <row r="5753" spans="1:4" x14ac:dyDescent="0.25">
      <c r="A5753" s="24" t="s">
        <v>123</v>
      </c>
      <c r="B5753" s="24" t="s">
        <v>151</v>
      </c>
      <c r="C5753" s="32">
        <v>59.244</v>
      </c>
      <c r="D5753" s="28">
        <v>4.5138888888888888E-2</v>
      </c>
    </row>
    <row r="5754" spans="1:4" x14ac:dyDescent="0.25">
      <c r="A5754" s="24" t="s">
        <v>123</v>
      </c>
      <c r="B5754" s="24" t="s">
        <v>152</v>
      </c>
      <c r="C5754" s="32">
        <v>64.233999999999995</v>
      </c>
      <c r="D5754" s="28">
        <v>4.9305555555555554E-2</v>
      </c>
    </row>
    <row r="5755" spans="1:4" x14ac:dyDescent="0.25">
      <c r="A5755" s="24" t="s">
        <v>123</v>
      </c>
      <c r="B5755" s="24" t="s">
        <v>153</v>
      </c>
      <c r="C5755" s="32">
        <v>69.13</v>
      </c>
      <c r="D5755" s="28">
        <v>5.4166666666666669E-2</v>
      </c>
    </row>
    <row r="5756" spans="1:4" x14ac:dyDescent="0.25">
      <c r="A5756" s="24" t="s">
        <v>123</v>
      </c>
      <c r="B5756" s="24" t="s">
        <v>154</v>
      </c>
      <c r="C5756" s="32">
        <v>63.661000000000001</v>
      </c>
      <c r="D5756" s="28">
        <v>4.7916666666666663E-2</v>
      </c>
    </row>
    <row r="5757" spans="1:4" x14ac:dyDescent="0.25">
      <c r="A5757" s="24" t="s">
        <v>123</v>
      </c>
      <c r="B5757" s="24" t="s">
        <v>155</v>
      </c>
      <c r="C5757" s="32">
        <v>59.305</v>
      </c>
      <c r="D5757" s="28">
        <v>4.5138888888888888E-2</v>
      </c>
    </row>
    <row r="5758" spans="1:4" x14ac:dyDescent="0.25">
      <c r="A5758" s="24" t="s">
        <v>123</v>
      </c>
      <c r="B5758" s="24" t="s">
        <v>156</v>
      </c>
      <c r="C5758" s="32">
        <v>59.289000000000001</v>
      </c>
      <c r="D5758" s="28">
        <v>4.5138888888888888E-2</v>
      </c>
    </row>
    <row r="5759" spans="1:4" x14ac:dyDescent="0.25">
      <c r="A5759" s="24" t="s">
        <v>123</v>
      </c>
      <c r="B5759" s="24" t="s">
        <v>157</v>
      </c>
      <c r="C5759" s="32">
        <v>58.365000000000002</v>
      </c>
      <c r="D5759" s="28">
        <v>4.3750000000000004E-2</v>
      </c>
    </row>
    <row r="5760" spans="1:4" x14ac:dyDescent="0.25">
      <c r="A5760" s="24" t="s">
        <v>123</v>
      </c>
      <c r="B5760" s="24" t="s">
        <v>158</v>
      </c>
      <c r="C5760" s="32">
        <v>72.936000000000007</v>
      </c>
      <c r="D5760" s="28">
        <v>5.4166666666666669E-2</v>
      </c>
    </row>
    <row r="5761" spans="1:4" x14ac:dyDescent="0.25">
      <c r="A5761" s="24" t="s">
        <v>123</v>
      </c>
      <c r="B5761" s="24" t="s">
        <v>159</v>
      </c>
      <c r="C5761" s="32">
        <v>69.606999999999999</v>
      </c>
      <c r="D5761" s="28">
        <v>5.2777777777777778E-2</v>
      </c>
    </row>
    <row r="5762" spans="1:4" x14ac:dyDescent="0.25">
      <c r="A5762" s="24" t="s">
        <v>124</v>
      </c>
      <c r="B5762" s="24" t="s">
        <v>65</v>
      </c>
      <c r="C5762" s="32">
        <v>33.356000000000002</v>
      </c>
      <c r="D5762" s="28">
        <v>2.2916666666666669E-2</v>
      </c>
    </row>
    <row r="5763" spans="1:4" x14ac:dyDescent="0.25">
      <c r="A5763" s="24" t="s">
        <v>124</v>
      </c>
      <c r="B5763" s="24" t="s">
        <v>64</v>
      </c>
      <c r="C5763" s="32">
        <v>44.878999999999998</v>
      </c>
      <c r="D5763" s="28">
        <v>2.9861111111111113E-2</v>
      </c>
    </row>
    <row r="5764" spans="1:4" x14ac:dyDescent="0.25">
      <c r="A5764" s="24" t="s">
        <v>124</v>
      </c>
      <c r="B5764" s="24" t="s">
        <v>66</v>
      </c>
      <c r="C5764" s="32">
        <v>49.268999999999998</v>
      </c>
      <c r="D5764" s="28">
        <v>3.3333333333333333E-2</v>
      </c>
    </row>
    <row r="5765" spans="1:4" x14ac:dyDescent="0.25">
      <c r="A5765" s="24" t="s">
        <v>124</v>
      </c>
      <c r="B5765" s="24" t="s">
        <v>67</v>
      </c>
      <c r="C5765" s="32">
        <v>45.441000000000003</v>
      </c>
      <c r="D5765" s="28">
        <v>3.1944444444444449E-2</v>
      </c>
    </row>
    <row r="5766" spans="1:4" x14ac:dyDescent="0.25">
      <c r="A5766" s="24" t="s">
        <v>124</v>
      </c>
      <c r="B5766" s="24" t="s">
        <v>68</v>
      </c>
      <c r="C5766" s="32">
        <v>48.753</v>
      </c>
      <c r="D5766" s="28">
        <v>3.2638888888888891E-2</v>
      </c>
    </row>
    <row r="5767" spans="1:4" x14ac:dyDescent="0.25">
      <c r="A5767" s="24" t="s">
        <v>124</v>
      </c>
      <c r="B5767" s="24" t="s">
        <v>69</v>
      </c>
      <c r="C5767" s="32">
        <v>49.552999999999997</v>
      </c>
      <c r="D5767" s="28">
        <v>3.3333333333333333E-2</v>
      </c>
    </row>
    <row r="5768" spans="1:4" x14ac:dyDescent="0.25">
      <c r="A5768" s="24" t="s">
        <v>124</v>
      </c>
      <c r="B5768" s="24" t="s">
        <v>70</v>
      </c>
      <c r="C5768" s="32">
        <v>49.216999999999999</v>
      </c>
      <c r="D5768" s="28">
        <v>3.2638888888888891E-2</v>
      </c>
    </row>
    <row r="5769" spans="1:4" x14ac:dyDescent="0.25">
      <c r="A5769" s="24" t="s">
        <v>124</v>
      </c>
      <c r="B5769" s="24" t="s">
        <v>71</v>
      </c>
      <c r="C5769" s="32">
        <v>45.811999999999998</v>
      </c>
      <c r="D5769" s="28">
        <v>3.2638888888888891E-2</v>
      </c>
    </row>
    <row r="5770" spans="1:4" x14ac:dyDescent="0.25">
      <c r="A5770" s="24" t="s">
        <v>124</v>
      </c>
      <c r="B5770" s="24" t="s">
        <v>72</v>
      </c>
      <c r="C5770" s="32">
        <v>47.066000000000003</v>
      </c>
      <c r="D5770" s="28">
        <v>3.0555555555555555E-2</v>
      </c>
    </row>
    <row r="5771" spans="1:4" x14ac:dyDescent="0.25">
      <c r="A5771" s="24" t="s">
        <v>124</v>
      </c>
      <c r="B5771" s="24" t="s">
        <v>73</v>
      </c>
      <c r="C5771" s="32">
        <v>44.360999999999997</v>
      </c>
      <c r="D5771" s="28">
        <v>2.9861111111111113E-2</v>
      </c>
    </row>
    <row r="5772" spans="1:4" x14ac:dyDescent="0.25">
      <c r="A5772" s="24" t="s">
        <v>124</v>
      </c>
      <c r="B5772" s="24" t="s">
        <v>74</v>
      </c>
      <c r="C5772" s="32">
        <v>43.618000000000002</v>
      </c>
      <c r="D5772" s="28">
        <v>2.9166666666666664E-2</v>
      </c>
    </row>
    <row r="5773" spans="1:4" x14ac:dyDescent="0.25">
      <c r="A5773" s="24" t="s">
        <v>124</v>
      </c>
      <c r="B5773" s="24" t="s">
        <v>75</v>
      </c>
      <c r="C5773" s="32">
        <v>42.654000000000003</v>
      </c>
      <c r="D5773" s="28">
        <v>2.7777777777777776E-2</v>
      </c>
    </row>
    <row r="5774" spans="1:4" x14ac:dyDescent="0.25">
      <c r="A5774" s="24" t="s">
        <v>124</v>
      </c>
      <c r="B5774" s="24" t="s">
        <v>76</v>
      </c>
      <c r="C5774" s="32">
        <v>42.12</v>
      </c>
      <c r="D5774" s="28">
        <v>2.9166666666666664E-2</v>
      </c>
    </row>
    <row r="5775" spans="1:4" x14ac:dyDescent="0.25">
      <c r="A5775" s="24" t="s">
        <v>124</v>
      </c>
      <c r="B5775" s="24" t="s">
        <v>77</v>
      </c>
      <c r="C5775" s="32">
        <v>50.033999999999999</v>
      </c>
      <c r="D5775" s="28">
        <v>3.1944444444444449E-2</v>
      </c>
    </row>
    <row r="5776" spans="1:4" x14ac:dyDescent="0.25">
      <c r="A5776" s="24" t="s">
        <v>124</v>
      </c>
      <c r="B5776" s="24" t="s">
        <v>78</v>
      </c>
      <c r="C5776" s="32">
        <v>50.906999999999996</v>
      </c>
      <c r="D5776" s="28">
        <v>3.3333333333333333E-2</v>
      </c>
    </row>
    <row r="5777" spans="1:4" x14ac:dyDescent="0.25">
      <c r="A5777" s="24" t="s">
        <v>124</v>
      </c>
      <c r="B5777" s="24" t="s">
        <v>79</v>
      </c>
      <c r="C5777" s="32">
        <v>69.867999999999995</v>
      </c>
      <c r="D5777" s="28">
        <v>4.3750000000000004E-2</v>
      </c>
    </row>
    <row r="5778" spans="1:4" x14ac:dyDescent="0.25">
      <c r="A5778" s="24" t="s">
        <v>124</v>
      </c>
      <c r="B5778" s="24" t="s">
        <v>80</v>
      </c>
      <c r="C5778" s="32">
        <v>31.356000000000002</v>
      </c>
      <c r="D5778" s="28">
        <v>2.2222222222222223E-2</v>
      </c>
    </row>
    <row r="5779" spans="1:4" x14ac:dyDescent="0.25">
      <c r="A5779" s="24" t="s">
        <v>124</v>
      </c>
      <c r="B5779" s="24" t="s">
        <v>81</v>
      </c>
      <c r="C5779" s="32">
        <v>27.643000000000001</v>
      </c>
      <c r="D5779" s="28">
        <v>1.9444444444444445E-2</v>
      </c>
    </row>
    <row r="5780" spans="1:4" x14ac:dyDescent="0.25">
      <c r="A5780" s="24" t="s">
        <v>124</v>
      </c>
      <c r="B5780" s="24" t="s">
        <v>82</v>
      </c>
      <c r="C5780" s="32">
        <v>27.695</v>
      </c>
      <c r="D5780" s="28">
        <v>1.9444444444444445E-2</v>
      </c>
    </row>
    <row r="5781" spans="1:4" x14ac:dyDescent="0.25">
      <c r="A5781" s="24" t="s">
        <v>124</v>
      </c>
      <c r="B5781" s="24" t="s">
        <v>83</v>
      </c>
      <c r="C5781" s="32">
        <v>43.072000000000003</v>
      </c>
      <c r="D5781" s="28">
        <v>2.8472222222222222E-2</v>
      </c>
    </row>
    <row r="5782" spans="1:4" x14ac:dyDescent="0.25">
      <c r="A5782" s="24" t="s">
        <v>124</v>
      </c>
      <c r="B5782" s="24" t="s">
        <v>84</v>
      </c>
      <c r="C5782" s="32">
        <v>40.545000000000002</v>
      </c>
      <c r="D5782" s="28">
        <v>2.4305555555555556E-2</v>
      </c>
    </row>
    <row r="5783" spans="1:4" x14ac:dyDescent="0.25">
      <c r="A5783" s="24" t="s">
        <v>124</v>
      </c>
      <c r="B5783" s="24" t="s">
        <v>85</v>
      </c>
      <c r="C5783" s="32">
        <v>40.179000000000002</v>
      </c>
      <c r="D5783" s="28">
        <v>2.4999999999999998E-2</v>
      </c>
    </row>
    <row r="5784" spans="1:4" x14ac:dyDescent="0.25">
      <c r="A5784" s="24" t="s">
        <v>124</v>
      </c>
      <c r="B5784" s="24" t="s">
        <v>86</v>
      </c>
      <c r="C5784" s="32">
        <v>40.119</v>
      </c>
      <c r="D5784" s="28">
        <v>2.6388888888888889E-2</v>
      </c>
    </row>
    <row r="5785" spans="1:4" x14ac:dyDescent="0.25">
      <c r="A5785" s="24" t="s">
        <v>124</v>
      </c>
      <c r="B5785" s="24" t="s">
        <v>87</v>
      </c>
      <c r="C5785" s="32">
        <v>39.896999999999998</v>
      </c>
      <c r="D5785" s="28">
        <v>2.5694444444444447E-2</v>
      </c>
    </row>
    <row r="5786" spans="1:4" x14ac:dyDescent="0.25">
      <c r="A5786" s="24" t="s">
        <v>124</v>
      </c>
      <c r="B5786" s="24" t="s">
        <v>88</v>
      </c>
      <c r="C5786" s="32">
        <v>40.981000000000002</v>
      </c>
      <c r="D5786" s="28">
        <v>2.6388888888888889E-2</v>
      </c>
    </row>
    <row r="5787" spans="1:4" x14ac:dyDescent="0.25">
      <c r="A5787" s="24" t="s">
        <v>124</v>
      </c>
      <c r="B5787" s="24" t="s">
        <v>89</v>
      </c>
      <c r="C5787" s="32">
        <v>36.915999999999997</v>
      </c>
      <c r="D5787" s="28">
        <v>2.6388888888888889E-2</v>
      </c>
    </row>
    <row r="5788" spans="1:4" x14ac:dyDescent="0.25">
      <c r="A5788" s="24" t="s">
        <v>124</v>
      </c>
      <c r="B5788" s="24" t="s">
        <v>90</v>
      </c>
      <c r="C5788" s="32">
        <v>35.058</v>
      </c>
      <c r="D5788" s="28">
        <v>2.5694444444444447E-2</v>
      </c>
    </row>
    <row r="5789" spans="1:4" x14ac:dyDescent="0.25">
      <c r="A5789" s="24" t="s">
        <v>124</v>
      </c>
      <c r="B5789" s="24" t="s">
        <v>91</v>
      </c>
      <c r="C5789" s="32">
        <v>38.837000000000003</v>
      </c>
      <c r="D5789" s="28">
        <v>2.8472222222222222E-2</v>
      </c>
    </row>
    <row r="5790" spans="1:4" x14ac:dyDescent="0.25">
      <c r="A5790" s="24" t="s">
        <v>124</v>
      </c>
      <c r="B5790" s="24" t="s">
        <v>92</v>
      </c>
      <c r="C5790" s="32">
        <v>33.771999999999998</v>
      </c>
      <c r="D5790" s="28">
        <v>2.5694444444444447E-2</v>
      </c>
    </row>
    <row r="5791" spans="1:4" x14ac:dyDescent="0.25">
      <c r="A5791" s="24" t="s">
        <v>124</v>
      </c>
      <c r="B5791" s="24" t="s">
        <v>93</v>
      </c>
      <c r="C5791" s="32">
        <v>37.259</v>
      </c>
      <c r="D5791" s="28">
        <v>2.7083333333333334E-2</v>
      </c>
    </row>
    <row r="5792" spans="1:4" x14ac:dyDescent="0.25">
      <c r="A5792" s="24" t="s">
        <v>124</v>
      </c>
      <c r="B5792" s="24" t="s">
        <v>94</v>
      </c>
      <c r="C5792" s="32">
        <v>32.104999999999997</v>
      </c>
      <c r="D5792" s="28">
        <v>2.6388888888888889E-2</v>
      </c>
    </row>
    <row r="5793" spans="1:4" x14ac:dyDescent="0.25">
      <c r="A5793" s="24" t="s">
        <v>124</v>
      </c>
      <c r="B5793" s="24" t="s">
        <v>95</v>
      </c>
      <c r="C5793" s="32">
        <v>29.742999999999999</v>
      </c>
      <c r="D5793" s="28">
        <v>2.1527777777777781E-2</v>
      </c>
    </row>
    <row r="5794" spans="1:4" x14ac:dyDescent="0.25">
      <c r="A5794" s="24" t="s">
        <v>124</v>
      </c>
      <c r="B5794" s="24" t="s">
        <v>96</v>
      </c>
      <c r="C5794" s="32">
        <v>51.347000000000001</v>
      </c>
      <c r="D5794" s="28">
        <v>3.6111111111111115E-2</v>
      </c>
    </row>
    <row r="5795" spans="1:4" x14ac:dyDescent="0.25">
      <c r="A5795" s="24" t="s">
        <v>124</v>
      </c>
      <c r="B5795" s="24" t="s">
        <v>97</v>
      </c>
      <c r="C5795" s="32">
        <v>52.225999999999999</v>
      </c>
      <c r="D5795" s="28">
        <v>3.8194444444444441E-2</v>
      </c>
    </row>
    <row r="5796" spans="1:4" x14ac:dyDescent="0.25">
      <c r="A5796" s="24" t="s">
        <v>124</v>
      </c>
      <c r="B5796" s="24" t="s">
        <v>98</v>
      </c>
      <c r="C5796" s="32">
        <v>42.088000000000001</v>
      </c>
      <c r="D5796" s="28">
        <v>2.9861111111111113E-2</v>
      </c>
    </row>
    <row r="5797" spans="1:4" x14ac:dyDescent="0.25">
      <c r="A5797" s="24" t="s">
        <v>124</v>
      </c>
      <c r="B5797" s="24" t="s">
        <v>99</v>
      </c>
      <c r="C5797" s="32">
        <v>48.585999999999999</v>
      </c>
      <c r="D5797" s="28">
        <v>3.4722222222222224E-2</v>
      </c>
    </row>
    <row r="5798" spans="1:4" x14ac:dyDescent="0.25">
      <c r="A5798" s="24" t="s">
        <v>124</v>
      </c>
      <c r="B5798" s="24" t="s">
        <v>100</v>
      </c>
      <c r="C5798" s="32">
        <v>36.206000000000003</v>
      </c>
      <c r="D5798" s="28">
        <v>2.6388888888888889E-2</v>
      </c>
    </row>
    <row r="5799" spans="1:4" x14ac:dyDescent="0.25">
      <c r="A5799" s="24" t="s">
        <v>124</v>
      </c>
      <c r="B5799" s="24" t="s">
        <v>101</v>
      </c>
      <c r="C5799" s="32">
        <v>43.783999999999999</v>
      </c>
      <c r="D5799" s="28">
        <v>3.125E-2</v>
      </c>
    </row>
    <row r="5800" spans="1:4" x14ac:dyDescent="0.25">
      <c r="A5800" s="24" t="s">
        <v>124</v>
      </c>
      <c r="B5800" s="24" t="s">
        <v>102</v>
      </c>
      <c r="C5800" s="32">
        <v>46.975000000000001</v>
      </c>
      <c r="D5800" s="28">
        <v>3.1944444444444449E-2</v>
      </c>
    </row>
    <row r="5801" spans="1:4" x14ac:dyDescent="0.25">
      <c r="A5801" s="24" t="s">
        <v>124</v>
      </c>
      <c r="B5801" s="24" t="s">
        <v>103</v>
      </c>
      <c r="C5801" s="32">
        <v>39.015000000000001</v>
      </c>
      <c r="D5801" s="28">
        <v>2.6388888888888889E-2</v>
      </c>
    </row>
    <row r="5802" spans="1:4" x14ac:dyDescent="0.25">
      <c r="A5802" s="24" t="s">
        <v>124</v>
      </c>
      <c r="B5802" s="24" t="s">
        <v>104</v>
      </c>
      <c r="C5802" s="32">
        <v>36.590000000000003</v>
      </c>
      <c r="D5802" s="28">
        <v>2.361111111111111E-2</v>
      </c>
    </row>
    <row r="5803" spans="1:4" x14ac:dyDescent="0.25">
      <c r="A5803" s="24" t="s">
        <v>124</v>
      </c>
      <c r="B5803" s="24" t="s">
        <v>105</v>
      </c>
      <c r="C5803" s="32">
        <v>37.853000000000002</v>
      </c>
      <c r="D5803" s="28">
        <v>2.9166666666666664E-2</v>
      </c>
    </row>
    <row r="5804" spans="1:4" x14ac:dyDescent="0.25">
      <c r="A5804" s="24" t="s">
        <v>124</v>
      </c>
      <c r="B5804" s="24" t="s">
        <v>106</v>
      </c>
      <c r="C5804" s="32">
        <v>42.33</v>
      </c>
      <c r="D5804" s="28">
        <v>2.7777777777777776E-2</v>
      </c>
    </row>
    <row r="5805" spans="1:4" x14ac:dyDescent="0.25">
      <c r="A5805" s="24" t="s">
        <v>124</v>
      </c>
      <c r="B5805" s="24" t="s">
        <v>107</v>
      </c>
      <c r="C5805" s="32">
        <v>33.258000000000003</v>
      </c>
      <c r="D5805" s="28">
        <v>2.4305555555555556E-2</v>
      </c>
    </row>
    <row r="5806" spans="1:4" x14ac:dyDescent="0.25">
      <c r="A5806" s="24" t="s">
        <v>124</v>
      </c>
      <c r="B5806" s="24" t="s">
        <v>108</v>
      </c>
      <c r="C5806" s="32">
        <v>32.811</v>
      </c>
      <c r="D5806" s="28">
        <v>2.2222222222222223E-2</v>
      </c>
    </row>
    <row r="5807" spans="1:4" x14ac:dyDescent="0.25">
      <c r="A5807" s="24" t="s">
        <v>124</v>
      </c>
      <c r="B5807" s="24" t="s">
        <v>109</v>
      </c>
      <c r="C5807" s="32">
        <v>32.780999999999999</v>
      </c>
      <c r="D5807" s="28">
        <v>2.2222222222222223E-2</v>
      </c>
    </row>
    <row r="5808" spans="1:4" x14ac:dyDescent="0.25">
      <c r="A5808" s="24" t="s">
        <v>124</v>
      </c>
      <c r="B5808" s="24" t="s">
        <v>110</v>
      </c>
      <c r="C5808" s="32">
        <v>40.628999999999998</v>
      </c>
      <c r="D5808" s="28">
        <v>2.8472222222222222E-2</v>
      </c>
    </row>
    <row r="5809" spans="1:4" x14ac:dyDescent="0.25">
      <c r="A5809" s="24" t="s">
        <v>124</v>
      </c>
      <c r="B5809" s="24" t="s">
        <v>111</v>
      </c>
      <c r="C5809" s="32">
        <v>37.082999999999998</v>
      </c>
      <c r="D5809" s="28">
        <v>2.4305555555555556E-2</v>
      </c>
    </row>
    <row r="5810" spans="1:4" x14ac:dyDescent="0.25">
      <c r="A5810" s="24" t="s">
        <v>124</v>
      </c>
      <c r="B5810" s="24" t="s">
        <v>112</v>
      </c>
      <c r="C5810" s="32">
        <v>31.85</v>
      </c>
      <c r="D5810" s="28">
        <v>2.0833333333333332E-2</v>
      </c>
    </row>
    <row r="5811" spans="1:4" x14ac:dyDescent="0.25">
      <c r="A5811" s="24" t="s">
        <v>124</v>
      </c>
      <c r="B5811" s="24" t="s">
        <v>113</v>
      </c>
      <c r="C5811" s="32">
        <v>29.007999999999999</v>
      </c>
      <c r="D5811" s="28">
        <v>2.013888888888889E-2</v>
      </c>
    </row>
    <row r="5812" spans="1:4" x14ac:dyDescent="0.25">
      <c r="A5812" s="24" t="s">
        <v>124</v>
      </c>
      <c r="B5812" s="24" t="s">
        <v>114</v>
      </c>
      <c r="C5812" s="32">
        <v>36.49</v>
      </c>
      <c r="D5812" s="28">
        <v>2.4999999999999998E-2</v>
      </c>
    </row>
    <row r="5813" spans="1:4" x14ac:dyDescent="0.25">
      <c r="A5813" s="24" t="s">
        <v>124</v>
      </c>
      <c r="B5813" s="24" t="s">
        <v>115</v>
      </c>
      <c r="C5813" s="32">
        <v>36.341000000000001</v>
      </c>
      <c r="D5813" s="28">
        <v>2.4999999999999998E-2</v>
      </c>
    </row>
    <row r="5814" spans="1:4" x14ac:dyDescent="0.25">
      <c r="A5814" s="24" t="s">
        <v>124</v>
      </c>
      <c r="B5814" s="24" t="s">
        <v>116</v>
      </c>
      <c r="C5814" s="32">
        <v>34.469000000000001</v>
      </c>
      <c r="D5814" s="28">
        <v>2.4999999999999998E-2</v>
      </c>
    </row>
    <row r="5815" spans="1:4" x14ac:dyDescent="0.25">
      <c r="A5815" s="24" t="s">
        <v>124</v>
      </c>
      <c r="B5815" s="24" t="s">
        <v>117</v>
      </c>
      <c r="C5815" s="32">
        <v>29.556999999999999</v>
      </c>
      <c r="D5815" s="28">
        <v>2.1527777777777781E-2</v>
      </c>
    </row>
    <row r="5816" spans="1:4" x14ac:dyDescent="0.25">
      <c r="A5816" s="24" t="s">
        <v>124</v>
      </c>
      <c r="B5816" s="24" t="s">
        <v>118</v>
      </c>
      <c r="C5816" s="32">
        <v>27.190999999999999</v>
      </c>
      <c r="D5816" s="28">
        <v>1.8055555555555557E-2</v>
      </c>
    </row>
    <row r="5817" spans="1:4" x14ac:dyDescent="0.25">
      <c r="A5817" s="24" t="s">
        <v>124</v>
      </c>
      <c r="B5817" s="24" t="s">
        <v>119</v>
      </c>
      <c r="C5817" s="32">
        <v>14.654</v>
      </c>
      <c r="D5817" s="28">
        <v>1.3194444444444444E-2</v>
      </c>
    </row>
    <row r="5818" spans="1:4" x14ac:dyDescent="0.25">
      <c r="A5818" s="24" t="s">
        <v>124</v>
      </c>
      <c r="B5818" s="24" t="s">
        <v>120</v>
      </c>
      <c r="C5818" s="32">
        <v>19.614999999999998</v>
      </c>
      <c r="D5818" s="28">
        <v>1.8749999999999999E-2</v>
      </c>
    </row>
    <row r="5819" spans="1:4" x14ac:dyDescent="0.25">
      <c r="A5819" s="24" t="s">
        <v>124</v>
      </c>
      <c r="B5819" s="24" t="s">
        <v>121</v>
      </c>
      <c r="C5819" s="32">
        <v>7.7590000000000003</v>
      </c>
      <c r="D5819" s="28">
        <v>9.0277777777777787E-3</v>
      </c>
    </row>
    <row r="5820" spans="1:4" x14ac:dyDescent="0.25">
      <c r="A5820" s="24" t="s">
        <v>124</v>
      </c>
      <c r="B5820" s="24" t="s">
        <v>122</v>
      </c>
      <c r="C5820" s="32">
        <v>21.196000000000002</v>
      </c>
      <c r="D5820" s="28">
        <v>1.5277777777777777E-2</v>
      </c>
    </row>
    <row r="5821" spans="1:4" x14ac:dyDescent="0.25">
      <c r="A5821" s="24" t="s">
        <v>124</v>
      </c>
      <c r="B5821" s="24" t="s">
        <v>123</v>
      </c>
      <c r="C5821" s="32">
        <v>0</v>
      </c>
      <c r="D5821" s="28">
        <v>0</v>
      </c>
    </row>
    <row r="5822" spans="1:4" x14ac:dyDescent="0.25">
      <c r="A5822" s="24" t="s">
        <v>124</v>
      </c>
      <c r="B5822" s="24" t="s">
        <v>124</v>
      </c>
      <c r="C5822" s="32">
        <v>0</v>
      </c>
      <c r="D5822" s="28">
        <v>0</v>
      </c>
    </row>
    <row r="5823" spans="1:4" x14ac:dyDescent="0.25">
      <c r="A5823" s="24" t="s">
        <v>124</v>
      </c>
      <c r="B5823" s="24" t="s">
        <v>125</v>
      </c>
      <c r="C5823" s="32">
        <v>47.835000000000001</v>
      </c>
      <c r="D5823" s="28">
        <v>3.3333333333333333E-2</v>
      </c>
    </row>
    <row r="5824" spans="1:4" x14ac:dyDescent="0.25">
      <c r="A5824" s="24" t="s">
        <v>124</v>
      </c>
      <c r="B5824" s="24" t="s">
        <v>126</v>
      </c>
      <c r="C5824" s="32">
        <v>47.573</v>
      </c>
      <c r="D5824" s="28">
        <v>3.2638888888888891E-2</v>
      </c>
    </row>
    <row r="5825" spans="1:4" x14ac:dyDescent="0.25">
      <c r="A5825" s="24" t="s">
        <v>124</v>
      </c>
      <c r="B5825" s="24" t="s">
        <v>127</v>
      </c>
      <c r="C5825" s="32">
        <v>46.567</v>
      </c>
      <c r="D5825" s="28">
        <v>3.1944444444444449E-2</v>
      </c>
    </row>
    <row r="5826" spans="1:4" x14ac:dyDescent="0.25">
      <c r="A5826" s="24" t="s">
        <v>124</v>
      </c>
      <c r="B5826" s="24" t="s">
        <v>128</v>
      </c>
      <c r="C5826" s="32">
        <v>50.195</v>
      </c>
      <c r="D5826" s="28">
        <v>3.2638888888888891E-2</v>
      </c>
    </row>
    <row r="5827" spans="1:4" x14ac:dyDescent="0.25">
      <c r="A5827" s="24" t="s">
        <v>124</v>
      </c>
      <c r="B5827" s="24" t="s">
        <v>129</v>
      </c>
      <c r="C5827" s="32">
        <v>50.195</v>
      </c>
      <c r="D5827" s="28">
        <v>3.2638888888888891E-2</v>
      </c>
    </row>
    <row r="5828" spans="1:4" x14ac:dyDescent="0.25">
      <c r="A5828" s="24" t="s">
        <v>124</v>
      </c>
      <c r="B5828" s="24" t="s">
        <v>130</v>
      </c>
      <c r="C5828" s="32">
        <v>49.573999999999998</v>
      </c>
      <c r="D5828" s="28">
        <v>3.4722222222222224E-2</v>
      </c>
    </row>
    <row r="5829" spans="1:4" x14ac:dyDescent="0.25">
      <c r="A5829" s="24" t="s">
        <v>124</v>
      </c>
      <c r="B5829" s="24" t="s">
        <v>131</v>
      </c>
      <c r="C5829" s="32">
        <v>45.558999999999997</v>
      </c>
      <c r="D5829" s="28">
        <v>3.2638888888888891E-2</v>
      </c>
    </row>
    <row r="5830" spans="1:4" x14ac:dyDescent="0.25">
      <c r="A5830" s="24" t="s">
        <v>124</v>
      </c>
      <c r="B5830" s="24" t="s">
        <v>132</v>
      </c>
      <c r="C5830" s="32">
        <v>51.664999999999999</v>
      </c>
      <c r="D5830" s="28">
        <v>3.6805555555555557E-2</v>
      </c>
    </row>
    <row r="5831" spans="1:4" x14ac:dyDescent="0.25">
      <c r="A5831" s="24" t="s">
        <v>124</v>
      </c>
      <c r="B5831" s="24" t="s">
        <v>133</v>
      </c>
      <c r="C5831" s="32">
        <v>37.985999999999997</v>
      </c>
      <c r="D5831" s="28">
        <v>2.4999999999999998E-2</v>
      </c>
    </row>
    <row r="5832" spans="1:4" x14ac:dyDescent="0.25">
      <c r="A5832" s="24" t="s">
        <v>124</v>
      </c>
      <c r="B5832" s="24" t="s">
        <v>134</v>
      </c>
      <c r="C5832" s="32">
        <v>37.520000000000003</v>
      </c>
      <c r="D5832" s="28">
        <v>2.4305555555555556E-2</v>
      </c>
    </row>
    <row r="5833" spans="1:4" x14ac:dyDescent="0.25">
      <c r="A5833" s="24" t="s">
        <v>124</v>
      </c>
      <c r="B5833" s="24" t="s">
        <v>135</v>
      </c>
      <c r="C5833" s="32">
        <v>39.726999999999997</v>
      </c>
      <c r="D5833" s="28">
        <v>2.5694444444444447E-2</v>
      </c>
    </row>
    <row r="5834" spans="1:4" x14ac:dyDescent="0.25">
      <c r="A5834" s="24" t="s">
        <v>124</v>
      </c>
      <c r="B5834" s="24" t="s">
        <v>136</v>
      </c>
      <c r="C5834" s="32">
        <v>39.726999999999997</v>
      </c>
      <c r="D5834" s="28">
        <v>2.5694444444444447E-2</v>
      </c>
    </row>
    <row r="5835" spans="1:4" x14ac:dyDescent="0.25">
      <c r="A5835" s="24" t="s">
        <v>124</v>
      </c>
      <c r="B5835" s="24" t="s">
        <v>137</v>
      </c>
      <c r="C5835" s="32">
        <v>40.613999999999997</v>
      </c>
      <c r="D5835" s="28">
        <v>2.4999999999999998E-2</v>
      </c>
    </row>
    <row r="5836" spans="1:4" x14ac:dyDescent="0.25">
      <c r="A5836" s="24" t="s">
        <v>124</v>
      </c>
      <c r="B5836" s="24" t="s">
        <v>138</v>
      </c>
      <c r="C5836" s="32">
        <v>34.347999999999999</v>
      </c>
      <c r="D5836" s="28">
        <v>2.2222222222222223E-2</v>
      </c>
    </row>
    <row r="5837" spans="1:4" x14ac:dyDescent="0.25">
      <c r="A5837" s="24" t="s">
        <v>124</v>
      </c>
      <c r="B5837" s="24" t="s">
        <v>139</v>
      </c>
      <c r="C5837" s="32">
        <v>37.381999999999998</v>
      </c>
      <c r="D5837" s="28">
        <v>2.1527777777777781E-2</v>
      </c>
    </row>
    <row r="5838" spans="1:4" x14ac:dyDescent="0.25">
      <c r="A5838" s="24" t="s">
        <v>124</v>
      </c>
      <c r="B5838" s="24" t="s">
        <v>140</v>
      </c>
      <c r="C5838" s="32">
        <v>44.021999999999998</v>
      </c>
      <c r="D5838" s="28">
        <v>2.4305555555555556E-2</v>
      </c>
    </row>
    <row r="5839" spans="1:4" x14ac:dyDescent="0.25">
      <c r="A5839" s="24" t="s">
        <v>124</v>
      </c>
      <c r="B5839" s="24" t="s">
        <v>141</v>
      </c>
      <c r="C5839" s="32">
        <v>62.093000000000004</v>
      </c>
      <c r="D5839" s="28">
        <v>4.0972222222222222E-2</v>
      </c>
    </row>
    <row r="5840" spans="1:4" x14ac:dyDescent="0.25">
      <c r="A5840" s="24" t="s">
        <v>124</v>
      </c>
      <c r="B5840" s="24" t="s">
        <v>142</v>
      </c>
      <c r="C5840" s="32">
        <v>60.180999999999997</v>
      </c>
      <c r="D5840" s="28">
        <v>3.3333333333333333E-2</v>
      </c>
    </row>
    <row r="5841" spans="1:4" x14ac:dyDescent="0.25">
      <c r="A5841" s="24" t="s">
        <v>124</v>
      </c>
      <c r="B5841" s="24" t="s">
        <v>143</v>
      </c>
      <c r="C5841" s="32">
        <v>78.558999999999997</v>
      </c>
      <c r="D5841" s="28">
        <v>4.0972222222222222E-2</v>
      </c>
    </row>
    <row r="5842" spans="1:4" x14ac:dyDescent="0.25">
      <c r="A5842" s="24" t="s">
        <v>124</v>
      </c>
      <c r="B5842" s="24" t="s">
        <v>144</v>
      </c>
      <c r="C5842" s="32">
        <v>97.674999999999997</v>
      </c>
      <c r="D5842" s="28">
        <v>5.1388888888888894E-2</v>
      </c>
    </row>
    <row r="5843" spans="1:4" x14ac:dyDescent="0.25">
      <c r="A5843" s="24" t="s">
        <v>124</v>
      </c>
      <c r="B5843" s="24" t="s">
        <v>145</v>
      </c>
      <c r="C5843" s="32">
        <v>42.189</v>
      </c>
      <c r="D5843" s="28">
        <v>2.6388888888888889E-2</v>
      </c>
    </row>
    <row r="5844" spans="1:4" x14ac:dyDescent="0.25">
      <c r="A5844" s="24" t="s">
        <v>124</v>
      </c>
      <c r="B5844" s="24" t="s">
        <v>146</v>
      </c>
      <c r="C5844" s="32">
        <v>57.648000000000003</v>
      </c>
      <c r="D5844" s="28">
        <v>3.4027777777777775E-2</v>
      </c>
    </row>
    <row r="5845" spans="1:4" x14ac:dyDescent="0.25">
      <c r="A5845" s="24" t="s">
        <v>124</v>
      </c>
      <c r="B5845" s="24" t="s">
        <v>147</v>
      </c>
      <c r="C5845" s="32">
        <v>43.027999999999999</v>
      </c>
      <c r="D5845" s="28">
        <v>2.7083333333333334E-2</v>
      </c>
    </row>
    <row r="5846" spans="1:4" x14ac:dyDescent="0.25">
      <c r="A5846" s="24" t="s">
        <v>124</v>
      </c>
      <c r="B5846" s="24" t="s">
        <v>148</v>
      </c>
      <c r="C5846" s="32">
        <v>46.101999999999997</v>
      </c>
      <c r="D5846" s="28">
        <v>2.9166666666666664E-2</v>
      </c>
    </row>
    <row r="5847" spans="1:4" x14ac:dyDescent="0.25">
      <c r="A5847" s="24" t="s">
        <v>124</v>
      </c>
      <c r="B5847" s="24" t="s">
        <v>149</v>
      </c>
      <c r="C5847" s="32">
        <v>52.192</v>
      </c>
      <c r="D5847" s="28">
        <v>3.6805555555555557E-2</v>
      </c>
    </row>
    <row r="5848" spans="1:4" x14ac:dyDescent="0.25">
      <c r="A5848" s="24" t="s">
        <v>124</v>
      </c>
      <c r="B5848" s="24" t="s">
        <v>150</v>
      </c>
      <c r="C5848" s="32">
        <v>59.985999999999997</v>
      </c>
      <c r="D5848" s="28">
        <v>4.5138888888888888E-2</v>
      </c>
    </row>
    <row r="5849" spans="1:4" x14ac:dyDescent="0.25">
      <c r="A5849" s="24" t="s">
        <v>124</v>
      </c>
      <c r="B5849" s="24" t="s">
        <v>151</v>
      </c>
      <c r="C5849" s="32">
        <v>59.244</v>
      </c>
      <c r="D5849" s="28">
        <v>4.5138888888888888E-2</v>
      </c>
    </row>
    <row r="5850" spans="1:4" x14ac:dyDescent="0.25">
      <c r="A5850" s="24" t="s">
        <v>124</v>
      </c>
      <c r="B5850" s="24" t="s">
        <v>152</v>
      </c>
      <c r="C5850" s="32">
        <v>64.233999999999995</v>
      </c>
      <c r="D5850" s="28">
        <v>4.9305555555555554E-2</v>
      </c>
    </row>
    <row r="5851" spans="1:4" x14ac:dyDescent="0.25">
      <c r="A5851" s="24" t="s">
        <v>124</v>
      </c>
      <c r="B5851" s="24" t="s">
        <v>153</v>
      </c>
      <c r="C5851" s="32">
        <v>69.13</v>
      </c>
      <c r="D5851" s="28">
        <v>5.4166666666666669E-2</v>
      </c>
    </row>
    <row r="5852" spans="1:4" x14ac:dyDescent="0.25">
      <c r="A5852" s="24" t="s">
        <v>124</v>
      </c>
      <c r="B5852" s="24" t="s">
        <v>154</v>
      </c>
      <c r="C5852" s="32">
        <v>63.661000000000001</v>
      </c>
      <c r="D5852" s="28">
        <v>4.7916666666666663E-2</v>
      </c>
    </row>
    <row r="5853" spans="1:4" x14ac:dyDescent="0.25">
      <c r="A5853" s="24" t="s">
        <v>124</v>
      </c>
      <c r="B5853" s="24" t="s">
        <v>155</v>
      </c>
      <c r="C5853" s="32">
        <v>59.305</v>
      </c>
      <c r="D5853" s="28">
        <v>4.5138888888888888E-2</v>
      </c>
    </row>
    <row r="5854" spans="1:4" x14ac:dyDescent="0.25">
      <c r="A5854" s="24" t="s">
        <v>124</v>
      </c>
      <c r="B5854" s="24" t="s">
        <v>156</v>
      </c>
      <c r="C5854" s="32">
        <v>59.289000000000001</v>
      </c>
      <c r="D5854" s="28">
        <v>4.5138888888888888E-2</v>
      </c>
    </row>
    <row r="5855" spans="1:4" x14ac:dyDescent="0.25">
      <c r="A5855" s="24" t="s">
        <v>124</v>
      </c>
      <c r="B5855" s="24" t="s">
        <v>157</v>
      </c>
      <c r="C5855" s="32">
        <v>58.365000000000002</v>
      </c>
      <c r="D5855" s="28">
        <v>4.3750000000000004E-2</v>
      </c>
    </row>
    <row r="5856" spans="1:4" x14ac:dyDescent="0.25">
      <c r="A5856" s="24" t="s">
        <v>124</v>
      </c>
      <c r="B5856" s="24" t="s">
        <v>158</v>
      </c>
      <c r="C5856" s="32">
        <v>72.936000000000007</v>
      </c>
      <c r="D5856" s="28">
        <v>5.4166666666666669E-2</v>
      </c>
    </row>
    <row r="5857" spans="1:4" x14ac:dyDescent="0.25">
      <c r="A5857" s="24" t="s">
        <v>124</v>
      </c>
      <c r="B5857" s="24" t="s">
        <v>159</v>
      </c>
      <c r="C5857" s="32">
        <v>69.606999999999999</v>
      </c>
      <c r="D5857" s="28">
        <v>5.2777777777777778E-2</v>
      </c>
    </row>
    <row r="5858" spans="1:4" x14ac:dyDescent="0.25">
      <c r="A5858" s="24" t="s">
        <v>125</v>
      </c>
      <c r="B5858" s="24" t="s">
        <v>65</v>
      </c>
      <c r="C5858" s="32">
        <v>14.789</v>
      </c>
      <c r="D5858" s="28">
        <v>1.2499999999999999E-2</v>
      </c>
    </row>
    <row r="5859" spans="1:4" x14ac:dyDescent="0.25">
      <c r="A5859" s="24" t="s">
        <v>125</v>
      </c>
      <c r="B5859" s="24" t="s">
        <v>64</v>
      </c>
      <c r="C5859" s="32">
        <v>5.0890000000000004</v>
      </c>
      <c r="D5859" s="28">
        <v>7.6388888888888886E-3</v>
      </c>
    </row>
    <row r="5860" spans="1:4" x14ac:dyDescent="0.25">
      <c r="A5860" s="24" t="s">
        <v>125</v>
      </c>
      <c r="B5860" s="24" t="s">
        <v>66</v>
      </c>
      <c r="C5860" s="32">
        <v>10.568</v>
      </c>
      <c r="D5860" s="28">
        <v>1.4583333333333332E-2</v>
      </c>
    </row>
    <row r="5861" spans="1:4" x14ac:dyDescent="0.25">
      <c r="A5861" s="24" t="s">
        <v>125</v>
      </c>
      <c r="B5861" s="24" t="s">
        <v>67</v>
      </c>
      <c r="C5861" s="32">
        <v>10.86</v>
      </c>
      <c r="D5861" s="28">
        <v>1.4583333333333332E-2</v>
      </c>
    </row>
    <row r="5862" spans="1:4" x14ac:dyDescent="0.25">
      <c r="A5862" s="24" t="s">
        <v>125</v>
      </c>
      <c r="B5862" s="24" t="s">
        <v>68</v>
      </c>
      <c r="C5862" s="32">
        <v>10.099</v>
      </c>
      <c r="D5862" s="28">
        <v>1.5277777777777777E-2</v>
      </c>
    </row>
    <row r="5863" spans="1:4" x14ac:dyDescent="0.25">
      <c r="A5863" s="24" t="s">
        <v>125</v>
      </c>
      <c r="B5863" s="24" t="s">
        <v>69</v>
      </c>
      <c r="C5863" s="32">
        <v>9.1069999999999993</v>
      </c>
      <c r="D5863" s="28">
        <v>1.3888888888888888E-2</v>
      </c>
    </row>
    <row r="5864" spans="1:4" x14ac:dyDescent="0.25">
      <c r="A5864" s="24" t="s">
        <v>125</v>
      </c>
      <c r="B5864" s="24" t="s">
        <v>70</v>
      </c>
      <c r="C5864" s="32">
        <v>9.4960000000000004</v>
      </c>
      <c r="D5864" s="28">
        <v>1.4583333333333332E-2</v>
      </c>
    </row>
    <row r="5865" spans="1:4" x14ac:dyDescent="0.25">
      <c r="A5865" s="24" t="s">
        <v>125</v>
      </c>
      <c r="B5865" s="24" t="s">
        <v>71</v>
      </c>
      <c r="C5865" s="32">
        <v>9.6839999999999993</v>
      </c>
      <c r="D5865" s="28">
        <v>1.4583333333333332E-2</v>
      </c>
    </row>
    <row r="5866" spans="1:4" x14ac:dyDescent="0.25">
      <c r="A5866" s="24" t="s">
        <v>125</v>
      </c>
      <c r="B5866" s="24" t="s">
        <v>72</v>
      </c>
      <c r="C5866" s="32">
        <v>12.093</v>
      </c>
      <c r="D5866" s="28">
        <v>1.7361111111111112E-2</v>
      </c>
    </row>
    <row r="5867" spans="1:4" x14ac:dyDescent="0.25">
      <c r="A5867" s="24" t="s">
        <v>125</v>
      </c>
      <c r="B5867" s="24" t="s">
        <v>73</v>
      </c>
      <c r="C5867" s="32">
        <v>10.621</v>
      </c>
      <c r="D5867" s="28">
        <v>1.4583333333333332E-2</v>
      </c>
    </row>
    <row r="5868" spans="1:4" x14ac:dyDescent="0.25">
      <c r="A5868" s="24" t="s">
        <v>125</v>
      </c>
      <c r="B5868" s="24" t="s">
        <v>74</v>
      </c>
      <c r="C5868" s="32">
        <v>13.263</v>
      </c>
      <c r="D5868" s="28">
        <v>1.7361111111111112E-2</v>
      </c>
    </row>
    <row r="5869" spans="1:4" x14ac:dyDescent="0.25">
      <c r="A5869" s="24" t="s">
        <v>125</v>
      </c>
      <c r="B5869" s="24" t="s">
        <v>75</v>
      </c>
      <c r="C5869" s="32">
        <v>12.298999999999999</v>
      </c>
      <c r="D5869" s="28">
        <v>1.5972222222222224E-2</v>
      </c>
    </row>
    <row r="5870" spans="1:4" x14ac:dyDescent="0.25">
      <c r="A5870" s="24" t="s">
        <v>125</v>
      </c>
      <c r="B5870" s="24" t="s">
        <v>76</v>
      </c>
      <c r="C5870" s="32">
        <v>16.405999999999999</v>
      </c>
      <c r="D5870" s="28">
        <v>2.1527777777777781E-2</v>
      </c>
    </row>
    <row r="5871" spans="1:4" x14ac:dyDescent="0.25">
      <c r="A5871" s="24" t="s">
        <v>125</v>
      </c>
      <c r="B5871" s="24" t="s">
        <v>77</v>
      </c>
      <c r="C5871" s="32">
        <v>15.417</v>
      </c>
      <c r="D5871" s="28">
        <v>1.8055555555555557E-2</v>
      </c>
    </row>
    <row r="5872" spans="1:4" x14ac:dyDescent="0.25">
      <c r="A5872" s="24" t="s">
        <v>125</v>
      </c>
      <c r="B5872" s="24" t="s">
        <v>78</v>
      </c>
      <c r="C5872" s="32">
        <v>10.458</v>
      </c>
      <c r="D5872" s="28">
        <v>1.4583333333333332E-2</v>
      </c>
    </row>
    <row r="5873" spans="1:4" x14ac:dyDescent="0.25">
      <c r="A5873" s="24" t="s">
        <v>125</v>
      </c>
      <c r="B5873" s="24" t="s">
        <v>79</v>
      </c>
      <c r="C5873" s="32">
        <v>28.824000000000002</v>
      </c>
      <c r="D5873" s="28">
        <v>3.125E-2</v>
      </c>
    </row>
    <row r="5874" spans="1:4" x14ac:dyDescent="0.25">
      <c r="A5874" s="24" t="s">
        <v>125</v>
      </c>
      <c r="B5874" s="24" t="s">
        <v>80</v>
      </c>
      <c r="C5874" s="32">
        <v>18.013000000000002</v>
      </c>
      <c r="D5874" s="28">
        <v>1.4583333333333332E-2</v>
      </c>
    </row>
    <row r="5875" spans="1:4" x14ac:dyDescent="0.25">
      <c r="A5875" s="24" t="s">
        <v>125</v>
      </c>
      <c r="B5875" s="24" t="s">
        <v>81</v>
      </c>
      <c r="C5875" s="32">
        <v>22.535</v>
      </c>
      <c r="D5875" s="28">
        <v>1.6666666666666666E-2</v>
      </c>
    </row>
    <row r="5876" spans="1:4" x14ac:dyDescent="0.25">
      <c r="A5876" s="24" t="s">
        <v>125</v>
      </c>
      <c r="B5876" s="24" t="s">
        <v>82</v>
      </c>
      <c r="C5876" s="32">
        <v>22.587</v>
      </c>
      <c r="D5876" s="28">
        <v>1.6666666666666666E-2</v>
      </c>
    </row>
    <row r="5877" spans="1:4" x14ac:dyDescent="0.25">
      <c r="A5877" s="24" t="s">
        <v>125</v>
      </c>
      <c r="B5877" s="24" t="s">
        <v>83</v>
      </c>
      <c r="C5877" s="32">
        <v>7.7140000000000004</v>
      </c>
      <c r="D5877" s="28">
        <v>9.7222222222222224E-3</v>
      </c>
    </row>
    <row r="5878" spans="1:4" x14ac:dyDescent="0.25">
      <c r="A5878" s="24" t="s">
        <v>125</v>
      </c>
      <c r="B5878" s="24" t="s">
        <v>84</v>
      </c>
      <c r="C5878" s="32">
        <v>10.468</v>
      </c>
      <c r="D5878" s="28">
        <v>1.3194444444444444E-2</v>
      </c>
    </row>
    <row r="5879" spans="1:4" x14ac:dyDescent="0.25">
      <c r="A5879" s="24" t="s">
        <v>125</v>
      </c>
      <c r="B5879" s="24" t="s">
        <v>85</v>
      </c>
      <c r="C5879" s="32">
        <v>10.484999999999999</v>
      </c>
      <c r="D5879" s="28">
        <v>1.2499999999999999E-2</v>
      </c>
    </row>
    <row r="5880" spans="1:4" x14ac:dyDescent="0.25">
      <c r="A5880" s="24" t="s">
        <v>125</v>
      </c>
      <c r="B5880" s="24" t="s">
        <v>86</v>
      </c>
      <c r="C5880" s="32">
        <v>8.1110000000000007</v>
      </c>
      <c r="D5880" s="28">
        <v>9.7222222222222224E-3</v>
      </c>
    </row>
    <row r="5881" spans="1:4" x14ac:dyDescent="0.25">
      <c r="A5881" s="24" t="s">
        <v>125</v>
      </c>
      <c r="B5881" s="24" t="s">
        <v>87</v>
      </c>
      <c r="C5881" s="32">
        <v>8.2260000000000009</v>
      </c>
      <c r="D5881" s="28">
        <v>1.0416666666666666E-2</v>
      </c>
    </row>
    <row r="5882" spans="1:4" x14ac:dyDescent="0.25">
      <c r="A5882" s="24" t="s">
        <v>125</v>
      </c>
      <c r="B5882" s="24" t="s">
        <v>88</v>
      </c>
      <c r="C5882" s="32">
        <v>9.6050000000000004</v>
      </c>
      <c r="D5882" s="28">
        <v>1.1805555555555555E-2</v>
      </c>
    </row>
    <row r="5883" spans="1:4" x14ac:dyDescent="0.25">
      <c r="A5883" s="24" t="s">
        <v>125</v>
      </c>
      <c r="B5883" s="24" t="s">
        <v>89</v>
      </c>
      <c r="C5883" s="32">
        <v>13.659000000000001</v>
      </c>
      <c r="D5883" s="28">
        <v>1.3194444444444444E-2</v>
      </c>
    </row>
    <row r="5884" spans="1:4" x14ac:dyDescent="0.25">
      <c r="A5884" s="24" t="s">
        <v>125</v>
      </c>
      <c r="B5884" s="24" t="s">
        <v>90</v>
      </c>
      <c r="C5884" s="32">
        <v>13.991</v>
      </c>
      <c r="D5884" s="28">
        <v>1.3194444444444444E-2</v>
      </c>
    </row>
    <row r="5885" spans="1:4" x14ac:dyDescent="0.25">
      <c r="A5885" s="24" t="s">
        <v>125</v>
      </c>
      <c r="B5885" s="24" t="s">
        <v>91</v>
      </c>
      <c r="C5885" s="32">
        <v>10.337</v>
      </c>
      <c r="D5885" s="28">
        <v>1.3888888888888888E-2</v>
      </c>
    </row>
    <row r="5886" spans="1:4" x14ac:dyDescent="0.25">
      <c r="A5886" s="24" t="s">
        <v>125</v>
      </c>
      <c r="B5886" s="24" t="s">
        <v>92</v>
      </c>
      <c r="C5886" s="32">
        <v>16.088999999999999</v>
      </c>
      <c r="D5886" s="28">
        <v>1.3888888888888888E-2</v>
      </c>
    </row>
    <row r="5887" spans="1:4" x14ac:dyDescent="0.25">
      <c r="A5887" s="24" t="s">
        <v>125</v>
      </c>
      <c r="B5887" s="24" t="s">
        <v>93</v>
      </c>
      <c r="C5887" s="32">
        <v>39.811</v>
      </c>
      <c r="D5887" s="28">
        <v>2.6388888888888889E-2</v>
      </c>
    </row>
    <row r="5888" spans="1:4" x14ac:dyDescent="0.25">
      <c r="A5888" s="24" t="s">
        <v>125</v>
      </c>
      <c r="B5888" s="24" t="s">
        <v>94</v>
      </c>
      <c r="C5888" s="32">
        <v>40.44</v>
      </c>
      <c r="D5888" s="28">
        <v>2.7083333333333334E-2</v>
      </c>
    </row>
    <row r="5889" spans="1:4" x14ac:dyDescent="0.25">
      <c r="A5889" s="24" t="s">
        <v>125</v>
      </c>
      <c r="B5889" s="24" t="s">
        <v>95</v>
      </c>
      <c r="C5889" s="32">
        <v>22.870999999999999</v>
      </c>
      <c r="D5889" s="28">
        <v>1.8055555555555557E-2</v>
      </c>
    </row>
    <row r="5890" spans="1:4" x14ac:dyDescent="0.25">
      <c r="A5890" s="24" t="s">
        <v>125</v>
      </c>
      <c r="B5890" s="24" t="s">
        <v>96</v>
      </c>
      <c r="C5890" s="32">
        <v>12.906000000000001</v>
      </c>
      <c r="D5890" s="28">
        <v>1.2499999999999999E-2</v>
      </c>
    </row>
    <row r="5891" spans="1:4" x14ac:dyDescent="0.25">
      <c r="A5891" s="24" t="s">
        <v>125</v>
      </c>
      <c r="B5891" s="24" t="s">
        <v>97</v>
      </c>
      <c r="C5891" s="32">
        <v>21.225000000000001</v>
      </c>
      <c r="D5891" s="28">
        <v>1.8749999999999999E-2</v>
      </c>
    </row>
    <row r="5892" spans="1:4" x14ac:dyDescent="0.25">
      <c r="A5892" s="24" t="s">
        <v>125</v>
      </c>
      <c r="B5892" s="24" t="s">
        <v>98</v>
      </c>
      <c r="C5892" s="32">
        <v>17.981999999999999</v>
      </c>
      <c r="D5892" s="28">
        <v>1.5972222222222224E-2</v>
      </c>
    </row>
    <row r="5893" spans="1:4" x14ac:dyDescent="0.25">
      <c r="A5893" s="24" t="s">
        <v>125</v>
      </c>
      <c r="B5893" s="24" t="s">
        <v>99</v>
      </c>
      <c r="C5893" s="32">
        <v>23.452999999999999</v>
      </c>
      <c r="D5893" s="28">
        <v>2.013888888888889E-2</v>
      </c>
    </row>
    <row r="5894" spans="1:4" x14ac:dyDescent="0.25">
      <c r="A5894" s="24" t="s">
        <v>125</v>
      </c>
      <c r="B5894" s="24" t="s">
        <v>100</v>
      </c>
      <c r="C5894" s="32">
        <v>18.983000000000001</v>
      </c>
      <c r="D5894" s="28">
        <v>1.6666666666666666E-2</v>
      </c>
    </row>
    <row r="5895" spans="1:4" x14ac:dyDescent="0.25">
      <c r="A5895" s="24" t="s">
        <v>125</v>
      </c>
      <c r="B5895" s="24" t="s">
        <v>101</v>
      </c>
      <c r="C5895" s="32">
        <v>18.084</v>
      </c>
      <c r="D5895" s="28">
        <v>1.7361111111111112E-2</v>
      </c>
    </row>
    <row r="5896" spans="1:4" x14ac:dyDescent="0.25">
      <c r="A5896" s="24" t="s">
        <v>125</v>
      </c>
      <c r="B5896" s="24" t="s">
        <v>102</v>
      </c>
      <c r="C5896" s="32">
        <v>17.510999999999999</v>
      </c>
      <c r="D5896" s="28">
        <v>1.6666666666666666E-2</v>
      </c>
    </row>
    <row r="5897" spans="1:4" x14ac:dyDescent="0.25">
      <c r="A5897" s="24" t="s">
        <v>125</v>
      </c>
      <c r="B5897" s="24" t="s">
        <v>103</v>
      </c>
      <c r="C5897" s="32">
        <v>10.314</v>
      </c>
      <c r="D5897" s="28">
        <v>9.7222222222222224E-3</v>
      </c>
    </row>
    <row r="5898" spans="1:4" x14ac:dyDescent="0.25">
      <c r="A5898" s="24" t="s">
        <v>125</v>
      </c>
      <c r="B5898" s="24" t="s">
        <v>104</v>
      </c>
      <c r="C5898" s="32">
        <v>14.983000000000001</v>
      </c>
      <c r="D5898" s="28">
        <v>1.3194444444444444E-2</v>
      </c>
    </row>
    <row r="5899" spans="1:4" x14ac:dyDescent="0.25">
      <c r="A5899" s="24" t="s">
        <v>125</v>
      </c>
      <c r="B5899" s="24" t="s">
        <v>105</v>
      </c>
      <c r="C5899" s="32">
        <v>13.304</v>
      </c>
      <c r="D5899" s="28">
        <v>1.4583333333333332E-2</v>
      </c>
    </row>
    <row r="5900" spans="1:4" x14ac:dyDescent="0.25">
      <c r="A5900" s="24" t="s">
        <v>125</v>
      </c>
      <c r="B5900" s="24" t="s">
        <v>106</v>
      </c>
      <c r="C5900" s="32">
        <v>8.15</v>
      </c>
      <c r="D5900" s="28">
        <v>8.3333333333333332E-3</v>
      </c>
    </row>
    <row r="5901" spans="1:4" x14ac:dyDescent="0.25">
      <c r="A5901" s="24" t="s">
        <v>125</v>
      </c>
      <c r="B5901" s="24" t="s">
        <v>107</v>
      </c>
      <c r="C5901" s="32">
        <v>17.582000000000001</v>
      </c>
      <c r="D5901" s="28">
        <v>1.9444444444444445E-2</v>
      </c>
    </row>
    <row r="5902" spans="1:4" x14ac:dyDescent="0.25">
      <c r="A5902" s="24" t="s">
        <v>125</v>
      </c>
      <c r="B5902" s="24" t="s">
        <v>108</v>
      </c>
      <c r="C5902" s="32">
        <v>15.968</v>
      </c>
      <c r="D5902" s="28">
        <v>1.6666666666666666E-2</v>
      </c>
    </row>
    <row r="5903" spans="1:4" x14ac:dyDescent="0.25">
      <c r="A5903" s="24" t="s">
        <v>125</v>
      </c>
      <c r="B5903" s="24" t="s">
        <v>109</v>
      </c>
      <c r="C5903" s="32">
        <v>15.997999999999999</v>
      </c>
      <c r="D5903" s="28">
        <v>1.6666666666666666E-2</v>
      </c>
    </row>
    <row r="5904" spans="1:4" x14ac:dyDescent="0.25">
      <c r="A5904" s="24" t="s">
        <v>125</v>
      </c>
      <c r="B5904" s="24" t="s">
        <v>110</v>
      </c>
      <c r="C5904" s="32">
        <v>13.212999999999999</v>
      </c>
      <c r="D5904" s="28">
        <v>1.3194444444444444E-2</v>
      </c>
    </row>
    <row r="5905" spans="1:4" x14ac:dyDescent="0.25">
      <c r="A5905" s="24" t="s">
        <v>125</v>
      </c>
      <c r="B5905" s="24" t="s">
        <v>111</v>
      </c>
      <c r="C5905" s="32">
        <v>11.601000000000001</v>
      </c>
      <c r="D5905" s="28">
        <v>1.0416666666666666E-2</v>
      </c>
    </row>
    <row r="5906" spans="1:4" x14ac:dyDescent="0.25">
      <c r="A5906" s="24" t="s">
        <v>125</v>
      </c>
      <c r="B5906" s="24" t="s">
        <v>112</v>
      </c>
      <c r="C5906" s="32">
        <v>20.085000000000001</v>
      </c>
      <c r="D5906" s="28">
        <v>1.8749999999999999E-2</v>
      </c>
    </row>
    <row r="5907" spans="1:4" x14ac:dyDescent="0.25">
      <c r="A5907" s="24" t="s">
        <v>125</v>
      </c>
      <c r="B5907" s="24" t="s">
        <v>113</v>
      </c>
      <c r="C5907" s="32">
        <v>23.709</v>
      </c>
      <c r="D5907" s="28">
        <v>2.0833333333333332E-2</v>
      </c>
    </row>
    <row r="5908" spans="1:4" x14ac:dyDescent="0.25">
      <c r="A5908" s="24" t="s">
        <v>125</v>
      </c>
      <c r="B5908" s="24" t="s">
        <v>114</v>
      </c>
      <c r="C5908" s="32">
        <v>21.08</v>
      </c>
      <c r="D5908" s="28">
        <v>1.5277777777777777E-2</v>
      </c>
    </row>
    <row r="5909" spans="1:4" x14ac:dyDescent="0.25">
      <c r="A5909" s="24" t="s">
        <v>125</v>
      </c>
      <c r="B5909" s="24" t="s">
        <v>115</v>
      </c>
      <c r="C5909" s="32">
        <v>17.283999999999999</v>
      </c>
      <c r="D5909" s="28">
        <v>1.5972222222222224E-2</v>
      </c>
    </row>
    <row r="5910" spans="1:4" x14ac:dyDescent="0.25">
      <c r="A5910" s="24" t="s">
        <v>125</v>
      </c>
      <c r="B5910" s="24" t="s">
        <v>116</v>
      </c>
      <c r="C5910" s="32">
        <v>15.170999999999999</v>
      </c>
      <c r="D5910" s="28">
        <v>1.3888888888888888E-2</v>
      </c>
    </row>
    <row r="5911" spans="1:4" x14ac:dyDescent="0.25">
      <c r="A5911" s="24" t="s">
        <v>125</v>
      </c>
      <c r="B5911" s="24" t="s">
        <v>117</v>
      </c>
      <c r="C5911" s="32">
        <v>22.375</v>
      </c>
      <c r="D5911" s="28">
        <v>1.8749999999999999E-2</v>
      </c>
    </row>
    <row r="5912" spans="1:4" x14ac:dyDescent="0.25">
      <c r="A5912" s="24" t="s">
        <v>125</v>
      </c>
      <c r="B5912" s="24" t="s">
        <v>118</v>
      </c>
      <c r="C5912" s="32">
        <v>22.094000000000001</v>
      </c>
      <c r="D5912" s="28">
        <v>1.8055555555555557E-2</v>
      </c>
    </row>
    <row r="5913" spans="1:4" x14ac:dyDescent="0.25">
      <c r="A5913" s="24" t="s">
        <v>125</v>
      </c>
      <c r="B5913" s="24" t="s">
        <v>119</v>
      </c>
      <c r="C5913" s="32">
        <v>36.179000000000002</v>
      </c>
      <c r="D5913" s="28">
        <v>2.4999999999999998E-2</v>
      </c>
    </row>
    <row r="5914" spans="1:4" x14ac:dyDescent="0.25">
      <c r="A5914" s="24" t="s">
        <v>125</v>
      </c>
      <c r="B5914" s="24" t="s">
        <v>120</v>
      </c>
      <c r="C5914" s="32">
        <v>38.969000000000001</v>
      </c>
      <c r="D5914" s="28">
        <v>2.8472222222222222E-2</v>
      </c>
    </row>
    <row r="5915" spans="1:4" x14ac:dyDescent="0.25">
      <c r="A5915" s="24" t="s">
        <v>125</v>
      </c>
      <c r="B5915" s="24" t="s">
        <v>121</v>
      </c>
      <c r="C5915" s="32">
        <v>53.32</v>
      </c>
      <c r="D5915" s="28">
        <v>3.5416666666666666E-2</v>
      </c>
    </row>
    <row r="5916" spans="1:4" x14ac:dyDescent="0.25">
      <c r="A5916" s="24" t="s">
        <v>125</v>
      </c>
      <c r="B5916" s="24" t="s">
        <v>122</v>
      </c>
      <c r="C5916" s="32">
        <v>38.682000000000002</v>
      </c>
      <c r="D5916" s="28">
        <v>2.5694444444444447E-2</v>
      </c>
    </row>
    <row r="5917" spans="1:4" x14ac:dyDescent="0.25">
      <c r="A5917" s="24" t="s">
        <v>125</v>
      </c>
      <c r="B5917" s="24" t="s">
        <v>123</v>
      </c>
      <c r="C5917" s="32">
        <v>46.905000000000001</v>
      </c>
      <c r="D5917" s="28">
        <v>3.1944444444444449E-2</v>
      </c>
    </row>
    <row r="5918" spans="1:4" x14ac:dyDescent="0.25">
      <c r="A5918" s="24" t="s">
        <v>125</v>
      </c>
      <c r="B5918" s="24" t="s">
        <v>124</v>
      </c>
      <c r="C5918" s="32">
        <v>46.905000000000001</v>
      </c>
      <c r="D5918" s="28">
        <v>3.1944444444444449E-2</v>
      </c>
    </row>
    <row r="5919" spans="1:4" x14ac:dyDescent="0.25">
      <c r="A5919" s="24" t="s">
        <v>125</v>
      </c>
      <c r="B5919" s="24" t="s">
        <v>125</v>
      </c>
      <c r="C5919" s="32">
        <v>0</v>
      </c>
      <c r="D5919" s="28">
        <v>0</v>
      </c>
    </row>
    <row r="5920" spans="1:4" x14ac:dyDescent="0.25">
      <c r="A5920" s="24" t="s">
        <v>125</v>
      </c>
      <c r="B5920" s="24" t="s">
        <v>126</v>
      </c>
      <c r="C5920" s="32">
        <v>2.4169999999999998</v>
      </c>
      <c r="D5920" s="28">
        <v>3.472222222222222E-3</v>
      </c>
    </row>
    <row r="5921" spans="1:4" x14ac:dyDescent="0.25">
      <c r="A5921" s="24" t="s">
        <v>125</v>
      </c>
      <c r="B5921" s="24" t="s">
        <v>127</v>
      </c>
      <c r="C5921" s="32">
        <v>1.411</v>
      </c>
      <c r="D5921" s="28">
        <v>2.7777777777777779E-3</v>
      </c>
    </row>
    <row r="5922" spans="1:4" x14ac:dyDescent="0.25">
      <c r="A5922" s="24" t="s">
        <v>125</v>
      </c>
      <c r="B5922" s="24" t="s">
        <v>128</v>
      </c>
      <c r="C5922" s="32">
        <v>1.583</v>
      </c>
      <c r="D5922" s="28">
        <v>2.7777777777777779E-3</v>
      </c>
    </row>
    <row r="5923" spans="1:4" x14ac:dyDescent="0.25">
      <c r="A5923" s="24" t="s">
        <v>125</v>
      </c>
      <c r="B5923" s="24" t="s">
        <v>129</v>
      </c>
      <c r="C5923" s="32">
        <v>1.583</v>
      </c>
      <c r="D5923" s="28">
        <v>2.7777777777777779E-3</v>
      </c>
    </row>
    <row r="5924" spans="1:4" x14ac:dyDescent="0.25">
      <c r="A5924" s="24" t="s">
        <v>125</v>
      </c>
      <c r="B5924" s="24" t="s">
        <v>130</v>
      </c>
      <c r="C5924" s="32">
        <v>0.72299999999999998</v>
      </c>
      <c r="D5924" s="28">
        <v>1.3888888888888889E-3</v>
      </c>
    </row>
    <row r="5925" spans="1:4" x14ac:dyDescent="0.25">
      <c r="A5925" s="24" t="s">
        <v>125</v>
      </c>
      <c r="B5925" s="24" t="s">
        <v>131</v>
      </c>
      <c r="C5925" s="32">
        <v>3.8</v>
      </c>
      <c r="D5925" s="28">
        <v>5.5555555555555558E-3</v>
      </c>
    </row>
    <row r="5926" spans="1:4" x14ac:dyDescent="0.25">
      <c r="A5926" s="24" t="s">
        <v>125</v>
      </c>
      <c r="B5926" s="24" t="s">
        <v>132</v>
      </c>
      <c r="C5926" s="32">
        <v>8.0739999999999998</v>
      </c>
      <c r="D5926" s="28">
        <v>9.7222222222222224E-3</v>
      </c>
    </row>
    <row r="5927" spans="1:4" x14ac:dyDescent="0.25">
      <c r="A5927" s="24" t="s">
        <v>125</v>
      </c>
      <c r="B5927" s="24" t="s">
        <v>133</v>
      </c>
      <c r="C5927" s="32">
        <v>12.874000000000001</v>
      </c>
      <c r="D5927" s="28">
        <v>1.5972222222222224E-2</v>
      </c>
    </row>
    <row r="5928" spans="1:4" x14ac:dyDescent="0.25">
      <c r="A5928" s="24" t="s">
        <v>125</v>
      </c>
      <c r="B5928" s="24" t="s">
        <v>134</v>
      </c>
      <c r="C5928" s="32">
        <v>12.407999999999999</v>
      </c>
      <c r="D5928" s="28">
        <v>1.5277777777777777E-2</v>
      </c>
    </row>
    <row r="5929" spans="1:4" x14ac:dyDescent="0.25">
      <c r="A5929" s="24" t="s">
        <v>125</v>
      </c>
      <c r="B5929" s="24" t="s">
        <v>135</v>
      </c>
      <c r="C5929" s="32">
        <v>13.739000000000001</v>
      </c>
      <c r="D5929" s="28">
        <v>1.5972222222222224E-2</v>
      </c>
    </row>
    <row r="5930" spans="1:4" x14ac:dyDescent="0.25">
      <c r="A5930" s="24" t="s">
        <v>125</v>
      </c>
      <c r="B5930" s="24" t="s">
        <v>136</v>
      </c>
      <c r="C5930" s="32">
        <v>13.739000000000001</v>
      </c>
      <c r="D5930" s="28">
        <v>1.5972222222222224E-2</v>
      </c>
    </row>
    <row r="5931" spans="1:4" x14ac:dyDescent="0.25">
      <c r="A5931" s="24" t="s">
        <v>125</v>
      </c>
      <c r="B5931" s="24" t="s">
        <v>137</v>
      </c>
      <c r="C5931" s="32">
        <v>13.641</v>
      </c>
      <c r="D5931" s="28">
        <v>1.5972222222222224E-2</v>
      </c>
    </row>
    <row r="5932" spans="1:4" x14ac:dyDescent="0.25">
      <c r="A5932" s="24" t="s">
        <v>125</v>
      </c>
      <c r="B5932" s="24" t="s">
        <v>138</v>
      </c>
      <c r="C5932" s="32">
        <v>17.896999999999998</v>
      </c>
      <c r="D5932" s="28">
        <v>1.7361111111111112E-2</v>
      </c>
    </row>
    <row r="5933" spans="1:4" x14ac:dyDescent="0.25">
      <c r="A5933" s="24" t="s">
        <v>125</v>
      </c>
      <c r="B5933" s="24" t="s">
        <v>139</v>
      </c>
      <c r="C5933" s="32">
        <v>28.018000000000001</v>
      </c>
      <c r="D5933" s="28">
        <v>2.2916666666666669E-2</v>
      </c>
    </row>
    <row r="5934" spans="1:4" x14ac:dyDescent="0.25">
      <c r="A5934" s="24" t="s">
        <v>125</v>
      </c>
      <c r="B5934" s="24" t="s">
        <v>140</v>
      </c>
      <c r="C5934" s="32">
        <v>22.234000000000002</v>
      </c>
      <c r="D5934" s="28">
        <v>2.361111111111111E-2</v>
      </c>
    </row>
    <row r="5935" spans="1:4" x14ac:dyDescent="0.25">
      <c r="A5935" s="24" t="s">
        <v>125</v>
      </c>
      <c r="B5935" s="24" t="s">
        <v>141</v>
      </c>
      <c r="C5935" s="32">
        <v>52.728999999999999</v>
      </c>
      <c r="D5935" s="28">
        <v>4.2361111111111106E-2</v>
      </c>
    </row>
    <row r="5936" spans="1:4" x14ac:dyDescent="0.25">
      <c r="A5936" s="24" t="s">
        <v>125</v>
      </c>
      <c r="B5936" s="24" t="s">
        <v>142</v>
      </c>
      <c r="C5936" s="32">
        <v>50.817</v>
      </c>
      <c r="D5936" s="28">
        <v>3.4722222222222224E-2</v>
      </c>
    </row>
    <row r="5937" spans="1:4" x14ac:dyDescent="0.25">
      <c r="A5937" s="24" t="s">
        <v>125</v>
      </c>
      <c r="B5937" s="24" t="s">
        <v>143</v>
      </c>
      <c r="C5937" s="32">
        <v>69.194999999999993</v>
      </c>
      <c r="D5937" s="28">
        <v>4.2361111111111106E-2</v>
      </c>
    </row>
    <row r="5938" spans="1:4" x14ac:dyDescent="0.25">
      <c r="A5938" s="24" t="s">
        <v>125</v>
      </c>
      <c r="B5938" s="24" t="s">
        <v>144</v>
      </c>
      <c r="C5938" s="32">
        <v>88.311000000000007</v>
      </c>
      <c r="D5938" s="28">
        <v>5.2777777777777778E-2</v>
      </c>
    </row>
    <row r="5939" spans="1:4" x14ac:dyDescent="0.25">
      <c r="A5939" s="24" t="s">
        <v>125</v>
      </c>
      <c r="B5939" s="24" t="s">
        <v>145</v>
      </c>
      <c r="C5939" s="32">
        <v>32.704000000000001</v>
      </c>
      <c r="D5939" s="28">
        <v>2.6388888888888889E-2</v>
      </c>
    </row>
    <row r="5940" spans="1:4" x14ac:dyDescent="0.25">
      <c r="A5940" s="24" t="s">
        <v>125</v>
      </c>
      <c r="B5940" s="24" t="s">
        <v>146</v>
      </c>
      <c r="C5940" s="32">
        <v>48.162999999999997</v>
      </c>
      <c r="D5940" s="28">
        <v>3.4027777777777775E-2</v>
      </c>
    </row>
    <row r="5941" spans="1:4" x14ac:dyDescent="0.25">
      <c r="A5941" s="24" t="s">
        <v>125</v>
      </c>
      <c r="B5941" s="24" t="s">
        <v>147</v>
      </c>
      <c r="C5941" s="32">
        <v>8.0510000000000002</v>
      </c>
      <c r="D5941" s="28">
        <v>7.6388888888888886E-3</v>
      </c>
    </row>
    <row r="5942" spans="1:4" x14ac:dyDescent="0.25">
      <c r="A5942" s="24" t="s">
        <v>125</v>
      </c>
      <c r="B5942" s="24" t="s">
        <v>148</v>
      </c>
      <c r="C5942" s="32">
        <v>6.2119999999999997</v>
      </c>
      <c r="D5942" s="28">
        <v>6.9444444444444441E-3</v>
      </c>
    </row>
    <row r="5943" spans="1:4" x14ac:dyDescent="0.25">
      <c r="A5943" s="24" t="s">
        <v>125</v>
      </c>
      <c r="B5943" s="24" t="s">
        <v>149</v>
      </c>
      <c r="C5943" s="32">
        <v>8.18</v>
      </c>
      <c r="D5943" s="28">
        <v>9.7222222222222224E-3</v>
      </c>
    </row>
    <row r="5944" spans="1:4" x14ac:dyDescent="0.25">
      <c r="A5944" s="24" t="s">
        <v>125</v>
      </c>
      <c r="B5944" s="24" t="s">
        <v>150</v>
      </c>
      <c r="C5944" s="32">
        <v>17.667000000000002</v>
      </c>
      <c r="D5944" s="28">
        <v>1.8749999999999999E-2</v>
      </c>
    </row>
    <row r="5945" spans="1:4" x14ac:dyDescent="0.25">
      <c r="A5945" s="24" t="s">
        <v>125</v>
      </c>
      <c r="B5945" s="24" t="s">
        <v>151</v>
      </c>
      <c r="C5945" s="32">
        <v>16.925000000000001</v>
      </c>
      <c r="D5945" s="28">
        <v>1.8749999999999999E-2</v>
      </c>
    </row>
    <row r="5946" spans="1:4" x14ac:dyDescent="0.25">
      <c r="A5946" s="24" t="s">
        <v>125</v>
      </c>
      <c r="B5946" s="24" t="s">
        <v>152</v>
      </c>
      <c r="C5946" s="32">
        <v>23.792000000000002</v>
      </c>
      <c r="D5946" s="28">
        <v>2.2222222222222223E-2</v>
      </c>
    </row>
    <row r="5947" spans="1:4" x14ac:dyDescent="0.25">
      <c r="A5947" s="24" t="s">
        <v>125</v>
      </c>
      <c r="B5947" s="24" t="s">
        <v>153</v>
      </c>
      <c r="C5947" s="32">
        <v>26.524000000000001</v>
      </c>
      <c r="D5947" s="28">
        <v>2.7777777777777776E-2</v>
      </c>
    </row>
    <row r="5948" spans="1:4" x14ac:dyDescent="0.25">
      <c r="A5948" s="24" t="s">
        <v>125</v>
      </c>
      <c r="B5948" s="24" t="s">
        <v>154</v>
      </c>
      <c r="C5948" s="32">
        <v>20.398</v>
      </c>
      <c r="D5948" s="28">
        <v>2.2222222222222223E-2</v>
      </c>
    </row>
    <row r="5949" spans="1:4" x14ac:dyDescent="0.25">
      <c r="A5949" s="24" t="s">
        <v>125</v>
      </c>
      <c r="B5949" s="24" t="s">
        <v>155</v>
      </c>
      <c r="C5949" s="32">
        <v>17.529</v>
      </c>
      <c r="D5949" s="28">
        <v>1.8749999999999999E-2</v>
      </c>
    </row>
    <row r="5950" spans="1:4" x14ac:dyDescent="0.25">
      <c r="A5950" s="24" t="s">
        <v>125</v>
      </c>
      <c r="B5950" s="24" t="s">
        <v>156</v>
      </c>
      <c r="C5950" s="32">
        <v>17.513000000000002</v>
      </c>
      <c r="D5950" s="28">
        <v>1.8749999999999999E-2</v>
      </c>
    </row>
    <row r="5951" spans="1:4" x14ac:dyDescent="0.25">
      <c r="A5951" s="24" t="s">
        <v>125</v>
      </c>
      <c r="B5951" s="24" t="s">
        <v>157</v>
      </c>
      <c r="C5951" s="32">
        <v>24.623999999999999</v>
      </c>
      <c r="D5951" s="28">
        <v>2.2222222222222223E-2</v>
      </c>
    </row>
    <row r="5952" spans="1:4" x14ac:dyDescent="0.25">
      <c r="A5952" s="24" t="s">
        <v>125</v>
      </c>
      <c r="B5952" s="24" t="s">
        <v>158</v>
      </c>
      <c r="C5952" s="32">
        <v>35.378</v>
      </c>
      <c r="D5952" s="28">
        <v>2.9861111111111113E-2</v>
      </c>
    </row>
    <row r="5953" spans="1:4" x14ac:dyDescent="0.25">
      <c r="A5953" s="24" t="s">
        <v>125</v>
      </c>
      <c r="B5953" s="24" t="s">
        <v>159</v>
      </c>
      <c r="C5953" s="32">
        <v>40.747999999999998</v>
      </c>
      <c r="D5953" s="28">
        <v>3.5416666666666666E-2</v>
      </c>
    </row>
    <row r="5954" spans="1:4" x14ac:dyDescent="0.25">
      <c r="A5954" s="24" t="s">
        <v>126</v>
      </c>
      <c r="B5954" s="24" t="s">
        <v>65</v>
      </c>
      <c r="C5954" s="32">
        <v>14.542</v>
      </c>
      <c r="D5954" s="28">
        <v>1.1805555555555555E-2</v>
      </c>
    </row>
    <row r="5955" spans="1:4" x14ac:dyDescent="0.25">
      <c r="A5955" s="24" t="s">
        <v>126</v>
      </c>
      <c r="B5955" s="24" t="s">
        <v>64</v>
      </c>
      <c r="C5955" s="32">
        <v>5.6120000000000001</v>
      </c>
      <c r="D5955" s="28">
        <v>8.3333333333333332E-3</v>
      </c>
    </row>
    <row r="5956" spans="1:4" x14ac:dyDescent="0.25">
      <c r="A5956" s="24" t="s">
        <v>126</v>
      </c>
      <c r="B5956" s="24" t="s">
        <v>66</v>
      </c>
      <c r="C5956" s="32">
        <v>10.321</v>
      </c>
      <c r="D5956" s="28">
        <v>1.3888888888888888E-2</v>
      </c>
    </row>
    <row r="5957" spans="1:4" x14ac:dyDescent="0.25">
      <c r="A5957" s="24" t="s">
        <v>126</v>
      </c>
      <c r="B5957" s="24" t="s">
        <v>67</v>
      </c>
      <c r="C5957" s="32">
        <v>11.382999999999999</v>
      </c>
      <c r="D5957" s="28">
        <v>1.5277777777777777E-2</v>
      </c>
    </row>
    <row r="5958" spans="1:4" x14ac:dyDescent="0.25">
      <c r="A5958" s="24" t="s">
        <v>126</v>
      </c>
      <c r="B5958" s="24" t="s">
        <v>68</v>
      </c>
      <c r="C5958" s="32">
        <v>9.8520000000000003</v>
      </c>
      <c r="D5958" s="28">
        <v>1.4583333333333332E-2</v>
      </c>
    </row>
    <row r="5959" spans="1:4" x14ac:dyDescent="0.25">
      <c r="A5959" s="24" t="s">
        <v>126</v>
      </c>
      <c r="B5959" s="24" t="s">
        <v>69</v>
      </c>
      <c r="C5959" s="32">
        <v>8.86</v>
      </c>
      <c r="D5959" s="28">
        <v>1.3888888888888888E-2</v>
      </c>
    </row>
    <row r="5960" spans="1:4" x14ac:dyDescent="0.25">
      <c r="A5960" s="24" t="s">
        <v>126</v>
      </c>
      <c r="B5960" s="24" t="s">
        <v>70</v>
      </c>
      <c r="C5960" s="32">
        <v>9.2490000000000006</v>
      </c>
      <c r="D5960" s="28">
        <v>1.3888888888888888E-2</v>
      </c>
    </row>
    <row r="5961" spans="1:4" x14ac:dyDescent="0.25">
      <c r="A5961" s="24" t="s">
        <v>126</v>
      </c>
      <c r="B5961" s="24" t="s">
        <v>71</v>
      </c>
      <c r="C5961" s="32">
        <v>9.4369999999999994</v>
      </c>
      <c r="D5961" s="28">
        <v>1.3888888888888888E-2</v>
      </c>
    </row>
    <row r="5962" spans="1:4" x14ac:dyDescent="0.25">
      <c r="A5962" s="24" t="s">
        <v>126</v>
      </c>
      <c r="B5962" s="24" t="s">
        <v>72</v>
      </c>
      <c r="C5962" s="32">
        <v>12.616</v>
      </c>
      <c r="D5962" s="28">
        <v>1.7361111111111112E-2</v>
      </c>
    </row>
    <row r="5963" spans="1:4" x14ac:dyDescent="0.25">
      <c r="A5963" s="24" t="s">
        <v>126</v>
      </c>
      <c r="B5963" s="24" t="s">
        <v>73</v>
      </c>
      <c r="C5963" s="32">
        <v>11.144</v>
      </c>
      <c r="D5963" s="28">
        <v>1.5277777777777777E-2</v>
      </c>
    </row>
    <row r="5964" spans="1:4" x14ac:dyDescent="0.25">
      <c r="A5964" s="24" t="s">
        <v>126</v>
      </c>
      <c r="B5964" s="24" t="s">
        <v>74</v>
      </c>
      <c r="C5964" s="32">
        <v>13.786</v>
      </c>
      <c r="D5964" s="28">
        <v>1.7361111111111112E-2</v>
      </c>
    </row>
    <row r="5965" spans="1:4" x14ac:dyDescent="0.25">
      <c r="A5965" s="24" t="s">
        <v>126</v>
      </c>
      <c r="B5965" s="24" t="s">
        <v>75</v>
      </c>
      <c r="C5965" s="32">
        <v>12.821999999999999</v>
      </c>
      <c r="D5965" s="28">
        <v>1.5972222222222224E-2</v>
      </c>
    </row>
    <row r="5966" spans="1:4" x14ac:dyDescent="0.25">
      <c r="A5966" s="24" t="s">
        <v>126</v>
      </c>
      <c r="B5966" s="24" t="s">
        <v>76</v>
      </c>
      <c r="C5966" s="32">
        <v>16.928999999999998</v>
      </c>
      <c r="D5966" s="28">
        <v>2.1527777777777781E-2</v>
      </c>
    </row>
    <row r="5967" spans="1:4" x14ac:dyDescent="0.25">
      <c r="A5967" s="24" t="s">
        <v>126</v>
      </c>
      <c r="B5967" s="24" t="s">
        <v>77</v>
      </c>
      <c r="C5967" s="32">
        <v>15.17</v>
      </c>
      <c r="D5967" s="28">
        <v>1.7361111111111112E-2</v>
      </c>
    </row>
    <row r="5968" spans="1:4" x14ac:dyDescent="0.25">
      <c r="A5968" s="24" t="s">
        <v>126</v>
      </c>
      <c r="B5968" s="24" t="s">
        <v>78</v>
      </c>
      <c r="C5968" s="32">
        <v>10.211</v>
      </c>
      <c r="D5968" s="28">
        <v>1.3888888888888888E-2</v>
      </c>
    </row>
    <row r="5969" spans="1:4" x14ac:dyDescent="0.25">
      <c r="A5969" s="24" t="s">
        <v>126</v>
      </c>
      <c r="B5969" s="24" t="s">
        <v>79</v>
      </c>
      <c r="C5969" s="32">
        <v>28.577000000000002</v>
      </c>
      <c r="D5969" s="28">
        <v>3.0555555555555555E-2</v>
      </c>
    </row>
    <row r="5970" spans="1:4" x14ac:dyDescent="0.25">
      <c r="A5970" s="24" t="s">
        <v>126</v>
      </c>
      <c r="B5970" s="24" t="s">
        <v>80</v>
      </c>
      <c r="C5970" s="32">
        <v>17.765999999999998</v>
      </c>
      <c r="D5970" s="28">
        <v>1.3888888888888888E-2</v>
      </c>
    </row>
    <row r="5971" spans="1:4" x14ac:dyDescent="0.25">
      <c r="A5971" s="24" t="s">
        <v>126</v>
      </c>
      <c r="B5971" s="24" t="s">
        <v>81</v>
      </c>
      <c r="C5971" s="32">
        <v>22.288</v>
      </c>
      <c r="D5971" s="28">
        <v>1.5972222222222224E-2</v>
      </c>
    </row>
    <row r="5972" spans="1:4" x14ac:dyDescent="0.25">
      <c r="A5972" s="24" t="s">
        <v>126</v>
      </c>
      <c r="B5972" s="24" t="s">
        <v>82</v>
      </c>
      <c r="C5972" s="32">
        <v>22.34</v>
      </c>
      <c r="D5972" s="28">
        <v>1.6666666666666666E-2</v>
      </c>
    </row>
    <row r="5973" spans="1:4" x14ac:dyDescent="0.25">
      <c r="A5973" s="24" t="s">
        <v>126</v>
      </c>
      <c r="B5973" s="24" t="s">
        <v>83</v>
      </c>
      <c r="C5973" s="32">
        <v>8.2370000000000001</v>
      </c>
      <c r="D5973" s="28">
        <v>1.0416666666666666E-2</v>
      </c>
    </row>
    <row r="5974" spans="1:4" x14ac:dyDescent="0.25">
      <c r="A5974" s="24" t="s">
        <v>126</v>
      </c>
      <c r="B5974" s="24" t="s">
        <v>84</v>
      </c>
      <c r="C5974" s="32">
        <v>10.991</v>
      </c>
      <c r="D5974" s="28">
        <v>1.3194444444444444E-2</v>
      </c>
    </row>
    <row r="5975" spans="1:4" x14ac:dyDescent="0.25">
      <c r="A5975" s="24" t="s">
        <v>126</v>
      </c>
      <c r="B5975" s="24" t="s">
        <v>85</v>
      </c>
      <c r="C5975" s="32">
        <v>11.007999999999999</v>
      </c>
      <c r="D5975" s="28">
        <v>1.2499999999999999E-2</v>
      </c>
    </row>
    <row r="5976" spans="1:4" x14ac:dyDescent="0.25">
      <c r="A5976" s="24" t="s">
        <v>126</v>
      </c>
      <c r="B5976" s="24" t="s">
        <v>86</v>
      </c>
      <c r="C5976" s="32">
        <v>8.6340000000000003</v>
      </c>
      <c r="D5976" s="28">
        <v>9.7222222222222224E-3</v>
      </c>
    </row>
    <row r="5977" spans="1:4" x14ac:dyDescent="0.25">
      <c r="A5977" s="24" t="s">
        <v>126</v>
      </c>
      <c r="B5977" s="24" t="s">
        <v>87</v>
      </c>
      <c r="C5977" s="32">
        <v>8.7490000000000006</v>
      </c>
      <c r="D5977" s="28">
        <v>1.0416666666666666E-2</v>
      </c>
    </row>
    <row r="5978" spans="1:4" x14ac:dyDescent="0.25">
      <c r="A5978" s="24" t="s">
        <v>126</v>
      </c>
      <c r="B5978" s="24" t="s">
        <v>88</v>
      </c>
      <c r="C5978" s="32">
        <v>10.128</v>
      </c>
      <c r="D5978" s="28">
        <v>1.1805555555555555E-2</v>
      </c>
    </row>
    <row r="5979" spans="1:4" x14ac:dyDescent="0.25">
      <c r="A5979" s="24" t="s">
        <v>126</v>
      </c>
      <c r="B5979" s="24" t="s">
        <v>89</v>
      </c>
      <c r="C5979" s="32">
        <v>13.412000000000001</v>
      </c>
      <c r="D5979" s="28">
        <v>1.2499999999999999E-2</v>
      </c>
    </row>
    <row r="5980" spans="1:4" x14ac:dyDescent="0.25">
      <c r="A5980" s="24" t="s">
        <v>126</v>
      </c>
      <c r="B5980" s="24" t="s">
        <v>90</v>
      </c>
      <c r="C5980" s="32">
        <v>13.744</v>
      </c>
      <c r="D5980" s="28">
        <v>1.2499999999999999E-2</v>
      </c>
    </row>
    <row r="5981" spans="1:4" x14ac:dyDescent="0.25">
      <c r="A5981" s="24" t="s">
        <v>126</v>
      </c>
      <c r="B5981" s="24" t="s">
        <v>91</v>
      </c>
      <c r="C5981" s="32">
        <v>10.09</v>
      </c>
      <c r="D5981" s="28">
        <v>1.3194444444444444E-2</v>
      </c>
    </row>
    <row r="5982" spans="1:4" x14ac:dyDescent="0.25">
      <c r="A5982" s="24" t="s">
        <v>126</v>
      </c>
      <c r="B5982" s="24" t="s">
        <v>92</v>
      </c>
      <c r="C5982" s="32">
        <v>15.842000000000001</v>
      </c>
      <c r="D5982" s="28">
        <v>1.3194444444444444E-2</v>
      </c>
    </row>
    <row r="5983" spans="1:4" x14ac:dyDescent="0.25">
      <c r="A5983" s="24" t="s">
        <v>126</v>
      </c>
      <c r="B5983" s="24" t="s">
        <v>93</v>
      </c>
      <c r="C5983" s="32">
        <v>39.564</v>
      </c>
      <c r="D5983" s="28">
        <v>2.6388888888888889E-2</v>
      </c>
    </row>
    <row r="5984" spans="1:4" x14ac:dyDescent="0.25">
      <c r="A5984" s="24" t="s">
        <v>126</v>
      </c>
      <c r="B5984" s="24" t="s">
        <v>94</v>
      </c>
      <c r="C5984" s="32">
        <v>40.192999999999998</v>
      </c>
      <c r="D5984" s="28">
        <v>2.6388888888888889E-2</v>
      </c>
    </row>
    <row r="5985" spans="1:4" x14ac:dyDescent="0.25">
      <c r="A5985" s="24" t="s">
        <v>126</v>
      </c>
      <c r="B5985" s="24" t="s">
        <v>95</v>
      </c>
      <c r="C5985" s="32">
        <v>22.623999999999999</v>
      </c>
      <c r="D5985" s="28">
        <v>1.7361111111111112E-2</v>
      </c>
    </row>
    <row r="5986" spans="1:4" x14ac:dyDescent="0.25">
      <c r="A5986" s="24" t="s">
        <v>126</v>
      </c>
      <c r="B5986" s="24" t="s">
        <v>96</v>
      </c>
      <c r="C5986" s="32">
        <v>12.659000000000001</v>
      </c>
      <c r="D5986" s="28">
        <v>1.1805555555555555E-2</v>
      </c>
    </row>
    <row r="5987" spans="1:4" x14ac:dyDescent="0.25">
      <c r="A5987" s="24" t="s">
        <v>126</v>
      </c>
      <c r="B5987" s="24" t="s">
        <v>97</v>
      </c>
      <c r="C5987" s="32">
        <v>20.978000000000002</v>
      </c>
      <c r="D5987" s="28">
        <v>1.8055555555555557E-2</v>
      </c>
    </row>
    <row r="5988" spans="1:4" x14ac:dyDescent="0.25">
      <c r="A5988" s="24" t="s">
        <v>126</v>
      </c>
      <c r="B5988" s="24" t="s">
        <v>98</v>
      </c>
      <c r="C5988" s="32">
        <v>17.734999999999999</v>
      </c>
      <c r="D5988" s="28">
        <v>1.5277777777777777E-2</v>
      </c>
    </row>
    <row r="5989" spans="1:4" x14ac:dyDescent="0.25">
      <c r="A5989" s="24" t="s">
        <v>126</v>
      </c>
      <c r="B5989" s="24" t="s">
        <v>99</v>
      </c>
      <c r="C5989" s="32">
        <v>23.206</v>
      </c>
      <c r="D5989" s="28">
        <v>1.9444444444444445E-2</v>
      </c>
    </row>
    <row r="5990" spans="1:4" x14ac:dyDescent="0.25">
      <c r="A5990" s="24" t="s">
        <v>126</v>
      </c>
      <c r="B5990" s="24" t="s">
        <v>100</v>
      </c>
      <c r="C5990" s="32">
        <v>18.736000000000001</v>
      </c>
      <c r="D5990" s="28">
        <v>1.5972222222222224E-2</v>
      </c>
    </row>
    <row r="5991" spans="1:4" x14ac:dyDescent="0.25">
      <c r="A5991" s="24" t="s">
        <v>126</v>
      </c>
      <c r="B5991" s="24" t="s">
        <v>101</v>
      </c>
      <c r="C5991" s="32">
        <v>17.837</v>
      </c>
      <c r="D5991" s="28">
        <v>1.6666666666666666E-2</v>
      </c>
    </row>
    <row r="5992" spans="1:4" x14ac:dyDescent="0.25">
      <c r="A5992" s="24" t="s">
        <v>126</v>
      </c>
      <c r="B5992" s="24" t="s">
        <v>102</v>
      </c>
      <c r="C5992" s="32">
        <v>17.263999999999999</v>
      </c>
      <c r="D5992" s="28">
        <v>1.5972222222222224E-2</v>
      </c>
    </row>
    <row r="5993" spans="1:4" x14ac:dyDescent="0.25">
      <c r="A5993" s="24" t="s">
        <v>126</v>
      </c>
      <c r="B5993" s="24" t="s">
        <v>103</v>
      </c>
      <c r="C5993" s="32">
        <v>10.067</v>
      </c>
      <c r="D5993" s="28">
        <v>9.0277777777777787E-3</v>
      </c>
    </row>
    <row r="5994" spans="1:4" x14ac:dyDescent="0.25">
      <c r="A5994" s="24" t="s">
        <v>126</v>
      </c>
      <c r="B5994" s="24" t="s">
        <v>104</v>
      </c>
      <c r="C5994" s="32">
        <v>14.736000000000001</v>
      </c>
      <c r="D5994" s="28">
        <v>1.2499999999999999E-2</v>
      </c>
    </row>
    <row r="5995" spans="1:4" x14ac:dyDescent="0.25">
      <c r="A5995" s="24" t="s">
        <v>126</v>
      </c>
      <c r="B5995" s="24" t="s">
        <v>105</v>
      </c>
      <c r="C5995" s="32">
        <v>13.057</v>
      </c>
      <c r="D5995" s="28">
        <v>1.3888888888888888E-2</v>
      </c>
    </row>
    <row r="5996" spans="1:4" x14ac:dyDescent="0.25">
      <c r="A5996" s="24" t="s">
        <v>126</v>
      </c>
      <c r="B5996" s="24" t="s">
        <v>106</v>
      </c>
      <c r="C5996" s="32">
        <v>7.9029999999999996</v>
      </c>
      <c r="D5996" s="28">
        <v>7.6388888888888886E-3</v>
      </c>
    </row>
    <row r="5997" spans="1:4" x14ac:dyDescent="0.25">
      <c r="A5997" s="24" t="s">
        <v>126</v>
      </c>
      <c r="B5997" s="24" t="s">
        <v>107</v>
      </c>
      <c r="C5997" s="32">
        <v>18.105</v>
      </c>
      <c r="D5997" s="28">
        <v>1.9444444444444445E-2</v>
      </c>
    </row>
    <row r="5998" spans="1:4" x14ac:dyDescent="0.25">
      <c r="A5998" s="24" t="s">
        <v>126</v>
      </c>
      <c r="B5998" s="24" t="s">
        <v>108</v>
      </c>
      <c r="C5998" s="32">
        <v>16.491</v>
      </c>
      <c r="D5998" s="28">
        <v>1.7361111111111112E-2</v>
      </c>
    </row>
    <row r="5999" spans="1:4" x14ac:dyDescent="0.25">
      <c r="A5999" s="24" t="s">
        <v>126</v>
      </c>
      <c r="B5999" s="24" t="s">
        <v>109</v>
      </c>
      <c r="C5999" s="32">
        <v>16.521000000000001</v>
      </c>
      <c r="D5999" s="28">
        <v>1.7361111111111112E-2</v>
      </c>
    </row>
    <row r="6000" spans="1:4" x14ac:dyDescent="0.25">
      <c r="A6000" s="24" t="s">
        <v>126</v>
      </c>
      <c r="B6000" s="24" t="s">
        <v>110</v>
      </c>
      <c r="C6000" s="32">
        <v>12.965999999999999</v>
      </c>
      <c r="D6000" s="28">
        <v>1.2499999999999999E-2</v>
      </c>
    </row>
    <row r="6001" spans="1:4" x14ac:dyDescent="0.25">
      <c r="A6001" s="24" t="s">
        <v>126</v>
      </c>
      <c r="B6001" s="24" t="s">
        <v>111</v>
      </c>
      <c r="C6001" s="32">
        <v>11.353999999999999</v>
      </c>
      <c r="D6001" s="28">
        <v>9.7222222222222224E-3</v>
      </c>
    </row>
    <row r="6002" spans="1:4" x14ac:dyDescent="0.25">
      <c r="A6002" s="24" t="s">
        <v>126</v>
      </c>
      <c r="B6002" s="24" t="s">
        <v>112</v>
      </c>
      <c r="C6002" s="32">
        <v>19.838000000000001</v>
      </c>
      <c r="D6002" s="28">
        <v>1.8055555555555557E-2</v>
      </c>
    </row>
    <row r="6003" spans="1:4" x14ac:dyDescent="0.25">
      <c r="A6003" s="24" t="s">
        <v>126</v>
      </c>
      <c r="B6003" s="24" t="s">
        <v>113</v>
      </c>
      <c r="C6003" s="32">
        <v>23.462</v>
      </c>
      <c r="D6003" s="28">
        <v>2.0833333333333332E-2</v>
      </c>
    </row>
    <row r="6004" spans="1:4" x14ac:dyDescent="0.25">
      <c r="A6004" s="24" t="s">
        <v>126</v>
      </c>
      <c r="B6004" s="24" t="s">
        <v>114</v>
      </c>
      <c r="C6004" s="32">
        <v>20.832999999999998</v>
      </c>
      <c r="D6004" s="28">
        <v>1.4583333333333332E-2</v>
      </c>
    </row>
    <row r="6005" spans="1:4" x14ac:dyDescent="0.25">
      <c r="A6005" s="24" t="s">
        <v>126</v>
      </c>
      <c r="B6005" s="24" t="s">
        <v>115</v>
      </c>
      <c r="C6005" s="32">
        <v>17.036999999999999</v>
      </c>
      <c r="D6005" s="28">
        <v>1.5277777777777777E-2</v>
      </c>
    </row>
    <row r="6006" spans="1:4" x14ac:dyDescent="0.25">
      <c r="A6006" s="24" t="s">
        <v>126</v>
      </c>
      <c r="B6006" s="24" t="s">
        <v>116</v>
      </c>
      <c r="C6006" s="32">
        <v>14.923999999999999</v>
      </c>
      <c r="D6006" s="28">
        <v>1.3194444444444444E-2</v>
      </c>
    </row>
    <row r="6007" spans="1:4" x14ac:dyDescent="0.25">
      <c r="A6007" s="24" t="s">
        <v>126</v>
      </c>
      <c r="B6007" s="24" t="s">
        <v>117</v>
      </c>
      <c r="C6007" s="32">
        <v>22.128</v>
      </c>
      <c r="D6007" s="28">
        <v>1.8055555555555557E-2</v>
      </c>
    </row>
    <row r="6008" spans="1:4" x14ac:dyDescent="0.25">
      <c r="A6008" s="24" t="s">
        <v>126</v>
      </c>
      <c r="B6008" s="24" t="s">
        <v>118</v>
      </c>
      <c r="C6008" s="32">
        <v>21.847000000000001</v>
      </c>
      <c r="D6008" s="28">
        <v>1.7361111111111112E-2</v>
      </c>
    </row>
    <row r="6009" spans="1:4" x14ac:dyDescent="0.25">
      <c r="A6009" s="24" t="s">
        <v>126</v>
      </c>
      <c r="B6009" s="24" t="s">
        <v>119</v>
      </c>
      <c r="C6009" s="32">
        <v>35.932000000000002</v>
      </c>
      <c r="D6009" s="28">
        <v>2.4305555555555556E-2</v>
      </c>
    </row>
    <row r="6010" spans="1:4" x14ac:dyDescent="0.25">
      <c r="A6010" s="24" t="s">
        <v>126</v>
      </c>
      <c r="B6010" s="24" t="s">
        <v>120</v>
      </c>
      <c r="C6010" s="32">
        <v>38.722000000000001</v>
      </c>
      <c r="D6010" s="28">
        <v>2.7777777777777776E-2</v>
      </c>
    </row>
    <row r="6011" spans="1:4" x14ac:dyDescent="0.25">
      <c r="A6011" s="24" t="s">
        <v>126</v>
      </c>
      <c r="B6011" s="24" t="s">
        <v>121</v>
      </c>
      <c r="C6011" s="32">
        <v>53.073</v>
      </c>
      <c r="D6011" s="28">
        <v>3.4722222222222224E-2</v>
      </c>
    </row>
    <row r="6012" spans="1:4" x14ac:dyDescent="0.25">
      <c r="A6012" s="24" t="s">
        <v>126</v>
      </c>
      <c r="B6012" s="24" t="s">
        <v>122</v>
      </c>
      <c r="C6012" s="32">
        <v>38.435000000000002</v>
      </c>
      <c r="D6012" s="28">
        <v>2.4999999999999998E-2</v>
      </c>
    </row>
    <row r="6013" spans="1:4" x14ac:dyDescent="0.25">
      <c r="A6013" s="24" t="s">
        <v>126</v>
      </c>
      <c r="B6013" s="24" t="s">
        <v>123</v>
      </c>
      <c r="C6013" s="32">
        <v>46.658000000000001</v>
      </c>
      <c r="D6013" s="28">
        <v>3.125E-2</v>
      </c>
    </row>
    <row r="6014" spans="1:4" x14ac:dyDescent="0.25">
      <c r="A6014" s="24" t="s">
        <v>126</v>
      </c>
      <c r="B6014" s="24" t="s">
        <v>124</v>
      </c>
      <c r="C6014" s="32">
        <v>46.658000000000001</v>
      </c>
      <c r="D6014" s="28">
        <v>3.125E-2</v>
      </c>
    </row>
    <row r="6015" spans="1:4" x14ac:dyDescent="0.25">
      <c r="A6015" s="24" t="s">
        <v>126</v>
      </c>
      <c r="B6015" s="24" t="s">
        <v>125</v>
      </c>
      <c r="C6015" s="32">
        <v>0.68100000000000005</v>
      </c>
      <c r="D6015" s="28">
        <v>2.0833333333333333E-3</v>
      </c>
    </row>
    <row r="6016" spans="1:4" x14ac:dyDescent="0.25">
      <c r="A6016" s="24" t="s">
        <v>126</v>
      </c>
      <c r="B6016" s="24" t="s">
        <v>126</v>
      </c>
      <c r="C6016" s="32">
        <v>0</v>
      </c>
      <c r="D6016" s="28">
        <v>0</v>
      </c>
    </row>
    <row r="6017" spans="1:4" x14ac:dyDescent="0.25">
      <c r="A6017" s="24" t="s">
        <v>126</v>
      </c>
      <c r="B6017" s="24" t="s">
        <v>127</v>
      </c>
      <c r="C6017" s="32">
        <v>1.1639999999999999</v>
      </c>
      <c r="D6017" s="28">
        <v>2.0833333333333333E-3</v>
      </c>
    </row>
    <row r="6018" spans="1:4" x14ac:dyDescent="0.25">
      <c r="A6018" s="24" t="s">
        <v>126</v>
      </c>
      <c r="B6018" s="24" t="s">
        <v>128</v>
      </c>
      <c r="C6018" s="32">
        <v>1.522</v>
      </c>
      <c r="D6018" s="28">
        <v>2.7777777777777779E-3</v>
      </c>
    </row>
    <row r="6019" spans="1:4" x14ac:dyDescent="0.25">
      <c r="A6019" s="24" t="s">
        <v>126</v>
      </c>
      <c r="B6019" s="24" t="s">
        <v>129</v>
      </c>
      <c r="C6019" s="32">
        <v>1.522</v>
      </c>
      <c r="D6019" s="28">
        <v>2.7777777777777779E-3</v>
      </c>
    </row>
    <row r="6020" spans="1:4" x14ac:dyDescent="0.25">
      <c r="A6020" s="24" t="s">
        <v>126</v>
      </c>
      <c r="B6020" s="24" t="s">
        <v>130</v>
      </c>
      <c r="C6020" s="32">
        <v>1.0820000000000001</v>
      </c>
      <c r="D6020" s="28">
        <v>2.7777777777777779E-3</v>
      </c>
    </row>
    <row r="6021" spans="1:4" x14ac:dyDescent="0.25">
      <c r="A6021" s="24" t="s">
        <v>126</v>
      </c>
      <c r="B6021" s="24" t="s">
        <v>131</v>
      </c>
      <c r="C6021" s="32">
        <v>3.5529999999999999</v>
      </c>
      <c r="D6021" s="28">
        <v>5.5555555555555558E-3</v>
      </c>
    </row>
    <row r="6022" spans="1:4" x14ac:dyDescent="0.25">
      <c r="A6022" s="24" t="s">
        <v>126</v>
      </c>
      <c r="B6022" s="24" t="s">
        <v>132</v>
      </c>
      <c r="C6022" s="32">
        <v>7.827</v>
      </c>
      <c r="D6022" s="28">
        <v>9.0277777777777787E-3</v>
      </c>
    </row>
    <row r="6023" spans="1:4" x14ac:dyDescent="0.25">
      <c r="A6023" s="24" t="s">
        <v>126</v>
      </c>
      <c r="B6023" s="24" t="s">
        <v>133</v>
      </c>
      <c r="C6023" s="32">
        <v>13.397</v>
      </c>
      <c r="D6023" s="28">
        <v>1.5972222222222224E-2</v>
      </c>
    </row>
    <row r="6024" spans="1:4" x14ac:dyDescent="0.25">
      <c r="A6024" s="24" t="s">
        <v>126</v>
      </c>
      <c r="B6024" s="24" t="s">
        <v>134</v>
      </c>
      <c r="C6024" s="32">
        <v>12.930999999999999</v>
      </c>
      <c r="D6024" s="28">
        <v>1.5277777777777777E-2</v>
      </c>
    </row>
    <row r="6025" spans="1:4" x14ac:dyDescent="0.25">
      <c r="A6025" s="24" t="s">
        <v>126</v>
      </c>
      <c r="B6025" s="24" t="s">
        <v>135</v>
      </c>
      <c r="C6025" s="32">
        <v>14.262</v>
      </c>
      <c r="D6025" s="28">
        <v>1.6666666666666666E-2</v>
      </c>
    </row>
    <row r="6026" spans="1:4" x14ac:dyDescent="0.25">
      <c r="A6026" s="24" t="s">
        <v>126</v>
      </c>
      <c r="B6026" s="24" t="s">
        <v>136</v>
      </c>
      <c r="C6026" s="32">
        <v>14.262</v>
      </c>
      <c r="D6026" s="28">
        <v>1.6666666666666666E-2</v>
      </c>
    </row>
    <row r="6027" spans="1:4" x14ac:dyDescent="0.25">
      <c r="A6027" s="24" t="s">
        <v>126</v>
      </c>
      <c r="B6027" s="24" t="s">
        <v>137</v>
      </c>
      <c r="C6027" s="32">
        <v>14.164</v>
      </c>
      <c r="D6027" s="28">
        <v>1.5972222222222224E-2</v>
      </c>
    </row>
    <row r="6028" spans="1:4" x14ac:dyDescent="0.25">
      <c r="A6028" s="24" t="s">
        <v>126</v>
      </c>
      <c r="B6028" s="24" t="s">
        <v>138</v>
      </c>
      <c r="C6028" s="32">
        <v>18.420000000000002</v>
      </c>
      <c r="D6028" s="28">
        <v>1.7361111111111112E-2</v>
      </c>
    </row>
    <row r="6029" spans="1:4" x14ac:dyDescent="0.25">
      <c r="A6029" s="24" t="s">
        <v>126</v>
      </c>
      <c r="B6029" s="24" t="s">
        <v>139</v>
      </c>
      <c r="C6029" s="32">
        <v>28.541</v>
      </c>
      <c r="D6029" s="28">
        <v>2.2916666666666669E-2</v>
      </c>
    </row>
    <row r="6030" spans="1:4" x14ac:dyDescent="0.25">
      <c r="A6030" s="24" t="s">
        <v>126</v>
      </c>
      <c r="B6030" s="24" t="s">
        <v>140</v>
      </c>
      <c r="C6030" s="32">
        <v>22.757000000000001</v>
      </c>
      <c r="D6030" s="28">
        <v>2.361111111111111E-2</v>
      </c>
    </row>
    <row r="6031" spans="1:4" x14ac:dyDescent="0.25">
      <c r="A6031" s="24" t="s">
        <v>126</v>
      </c>
      <c r="B6031" s="24" t="s">
        <v>141</v>
      </c>
      <c r="C6031" s="32">
        <v>53.252000000000002</v>
      </c>
      <c r="D6031" s="28">
        <v>4.2361111111111106E-2</v>
      </c>
    </row>
    <row r="6032" spans="1:4" x14ac:dyDescent="0.25">
      <c r="A6032" s="24" t="s">
        <v>126</v>
      </c>
      <c r="B6032" s="24" t="s">
        <v>142</v>
      </c>
      <c r="C6032" s="32">
        <v>51.34</v>
      </c>
      <c r="D6032" s="28">
        <v>3.4722222222222224E-2</v>
      </c>
    </row>
    <row r="6033" spans="1:4" x14ac:dyDescent="0.25">
      <c r="A6033" s="24" t="s">
        <v>126</v>
      </c>
      <c r="B6033" s="24" t="s">
        <v>143</v>
      </c>
      <c r="C6033" s="32">
        <v>69.718000000000004</v>
      </c>
      <c r="D6033" s="28">
        <v>4.2361111111111106E-2</v>
      </c>
    </row>
    <row r="6034" spans="1:4" x14ac:dyDescent="0.25">
      <c r="A6034" s="24" t="s">
        <v>126</v>
      </c>
      <c r="B6034" s="24" t="s">
        <v>144</v>
      </c>
      <c r="C6034" s="32">
        <v>88.834000000000003</v>
      </c>
      <c r="D6034" s="28">
        <v>5.2777777777777778E-2</v>
      </c>
    </row>
    <row r="6035" spans="1:4" x14ac:dyDescent="0.25">
      <c r="A6035" s="24" t="s">
        <v>126</v>
      </c>
      <c r="B6035" s="24" t="s">
        <v>145</v>
      </c>
      <c r="C6035" s="32">
        <v>33.226999999999997</v>
      </c>
      <c r="D6035" s="28">
        <v>2.6388888888888889E-2</v>
      </c>
    </row>
    <row r="6036" spans="1:4" x14ac:dyDescent="0.25">
      <c r="A6036" s="24" t="s">
        <v>126</v>
      </c>
      <c r="B6036" s="24" t="s">
        <v>146</v>
      </c>
      <c r="C6036" s="32">
        <v>48.686</v>
      </c>
      <c r="D6036" s="28">
        <v>3.4027777777777775E-2</v>
      </c>
    </row>
    <row r="6037" spans="1:4" x14ac:dyDescent="0.25">
      <c r="A6037" s="24" t="s">
        <v>126</v>
      </c>
      <c r="B6037" s="24" t="s">
        <v>147</v>
      </c>
      <c r="C6037" s="32">
        <v>7.8040000000000003</v>
      </c>
      <c r="D6037" s="28">
        <v>6.9444444444444441E-3</v>
      </c>
    </row>
    <row r="6038" spans="1:4" x14ac:dyDescent="0.25">
      <c r="A6038" s="24" t="s">
        <v>126</v>
      </c>
      <c r="B6038" s="24" t="s">
        <v>148</v>
      </c>
      <c r="C6038" s="32">
        <v>5.9649999999999999</v>
      </c>
      <c r="D6038" s="28">
        <v>6.2499999999999995E-3</v>
      </c>
    </row>
    <row r="6039" spans="1:4" x14ac:dyDescent="0.25">
      <c r="A6039" s="24" t="s">
        <v>126</v>
      </c>
      <c r="B6039" s="24" t="s">
        <v>149</v>
      </c>
      <c r="C6039" s="32">
        <v>7.9329999999999998</v>
      </c>
      <c r="D6039" s="28">
        <v>9.0277777777777787E-3</v>
      </c>
    </row>
    <row r="6040" spans="1:4" x14ac:dyDescent="0.25">
      <c r="A6040" s="24" t="s">
        <v>126</v>
      </c>
      <c r="B6040" s="24" t="s">
        <v>150</v>
      </c>
      <c r="C6040" s="32">
        <v>17.420000000000002</v>
      </c>
      <c r="D6040" s="28">
        <v>1.8055555555555557E-2</v>
      </c>
    </row>
    <row r="6041" spans="1:4" x14ac:dyDescent="0.25">
      <c r="A6041" s="24" t="s">
        <v>126</v>
      </c>
      <c r="B6041" s="24" t="s">
        <v>151</v>
      </c>
      <c r="C6041" s="32">
        <v>16.678000000000001</v>
      </c>
      <c r="D6041" s="28">
        <v>1.8055555555555557E-2</v>
      </c>
    </row>
    <row r="6042" spans="1:4" x14ac:dyDescent="0.25">
      <c r="A6042" s="24" t="s">
        <v>126</v>
      </c>
      <c r="B6042" s="24" t="s">
        <v>152</v>
      </c>
      <c r="C6042" s="32">
        <v>23.545000000000002</v>
      </c>
      <c r="D6042" s="28">
        <v>2.1527777777777781E-2</v>
      </c>
    </row>
    <row r="6043" spans="1:4" x14ac:dyDescent="0.25">
      <c r="A6043" s="24" t="s">
        <v>126</v>
      </c>
      <c r="B6043" s="24" t="s">
        <v>153</v>
      </c>
      <c r="C6043" s="32">
        <v>26.277000000000001</v>
      </c>
      <c r="D6043" s="28">
        <v>2.7083333333333334E-2</v>
      </c>
    </row>
    <row r="6044" spans="1:4" x14ac:dyDescent="0.25">
      <c r="A6044" s="24" t="s">
        <v>126</v>
      </c>
      <c r="B6044" s="24" t="s">
        <v>154</v>
      </c>
      <c r="C6044" s="32">
        <v>20.151</v>
      </c>
      <c r="D6044" s="28">
        <v>2.1527777777777781E-2</v>
      </c>
    </row>
    <row r="6045" spans="1:4" x14ac:dyDescent="0.25">
      <c r="A6045" s="24" t="s">
        <v>126</v>
      </c>
      <c r="B6045" s="24" t="s">
        <v>155</v>
      </c>
      <c r="C6045" s="32">
        <v>17.282</v>
      </c>
      <c r="D6045" s="28">
        <v>1.8055555555555557E-2</v>
      </c>
    </row>
    <row r="6046" spans="1:4" x14ac:dyDescent="0.25">
      <c r="A6046" s="24" t="s">
        <v>126</v>
      </c>
      <c r="B6046" s="24" t="s">
        <v>156</v>
      </c>
      <c r="C6046" s="32">
        <v>17.265999999999998</v>
      </c>
      <c r="D6046" s="28">
        <v>1.8055555555555557E-2</v>
      </c>
    </row>
    <row r="6047" spans="1:4" x14ac:dyDescent="0.25">
      <c r="A6047" s="24" t="s">
        <v>126</v>
      </c>
      <c r="B6047" s="24" t="s">
        <v>157</v>
      </c>
      <c r="C6047" s="32">
        <v>24.376999999999999</v>
      </c>
      <c r="D6047" s="28">
        <v>2.1527777777777781E-2</v>
      </c>
    </row>
    <row r="6048" spans="1:4" x14ac:dyDescent="0.25">
      <c r="A6048" s="24" t="s">
        <v>126</v>
      </c>
      <c r="B6048" s="24" t="s">
        <v>158</v>
      </c>
      <c r="C6048" s="32">
        <v>35.131</v>
      </c>
      <c r="D6048" s="28">
        <v>2.9166666666666664E-2</v>
      </c>
    </row>
    <row r="6049" spans="1:4" x14ac:dyDescent="0.25">
      <c r="A6049" s="24" t="s">
        <v>126</v>
      </c>
      <c r="B6049" s="24" t="s">
        <v>159</v>
      </c>
      <c r="C6049" s="32">
        <v>40.500999999999998</v>
      </c>
      <c r="D6049" s="28">
        <v>3.4722222222222224E-2</v>
      </c>
    </row>
    <row r="6050" spans="1:4" x14ac:dyDescent="0.25">
      <c r="A6050" s="24" t="s">
        <v>127</v>
      </c>
      <c r="B6050" s="24" t="s">
        <v>65</v>
      </c>
      <c r="C6050" s="32">
        <v>15.207000000000001</v>
      </c>
      <c r="D6050" s="28">
        <v>1.2499999999999999E-2</v>
      </c>
    </row>
    <row r="6051" spans="1:4" x14ac:dyDescent="0.25">
      <c r="A6051" s="24" t="s">
        <v>127</v>
      </c>
      <c r="B6051" s="24" t="s">
        <v>64</v>
      </c>
      <c r="C6051" s="32">
        <v>4.5259999999999998</v>
      </c>
      <c r="D6051" s="28">
        <v>6.2499999999999995E-3</v>
      </c>
    </row>
    <row r="6052" spans="1:4" x14ac:dyDescent="0.25">
      <c r="A6052" s="24" t="s">
        <v>127</v>
      </c>
      <c r="B6052" s="24" t="s">
        <v>66</v>
      </c>
      <c r="C6052" s="32">
        <v>9.2349999999999994</v>
      </c>
      <c r="D6052" s="28">
        <v>1.2499999999999999E-2</v>
      </c>
    </row>
    <row r="6053" spans="1:4" x14ac:dyDescent="0.25">
      <c r="A6053" s="24" t="s">
        <v>127</v>
      </c>
      <c r="B6053" s="24" t="s">
        <v>67</v>
      </c>
      <c r="C6053" s="32">
        <v>10.297000000000001</v>
      </c>
      <c r="D6053" s="28">
        <v>1.3194444444444444E-2</v>
      </c>
    </row>
    <row r="6054" spans="1:4" x14ac:dyDescent="0.25">
      <c r="A6054" s="24" t="s">
        <v>127</v>
      </c>
      <c r="B6054" s="24" t="s">
        <v>68</v>
      </c>
      <c r="C6054" s="32">
        <v>8.766</v>
      </c>
      <c r="D6054" s="28">
        <v>1.3194444444444444E-2</v>
      </c>
    </row>
    <row r="6055" spans="1:4" x14ac:dyDescent="0.25">
      <c r="A6055" s="24" t="s">
        <v>127</v>
      </c>
      <c r="B6055" s="24" t="s">
        <v>69</v>
      </c>
      <c r="C6055" s="32">
        <v>7.774</v>
      </c>
      <c r="D6055" s="28">
        <v>1.1805555555555555E-2</v>
      </c>
    </row>
    <row r="6056" spans="1:4" x14ac:dyDescent="0.25">
      <c r="A6056" s="24" t="s">
        <v>127</v>
      </c>
      <c r="B6056" s="24" t="s">
        <v>70</v>
      </c>
      <c r="C6056" s="32">
        <v>8.1630000000000003</v>
      </c>
      <c r="D6056" s="28">
        <v>1.2499999999999999E-2</v>
      </c>
    </row>
    <row r="6057" spans="1:4" x14ac:dyDescent="0.25">
      <c r="A6057" s="24" t="s">
        <v>127</v>
      </c>
      <c r="B6057" s="24" t="s">
        <v>71</v>
      </c>
      <c r="C6057" s="32">
        <v>8.3510000000000009</v>
      </c>
      <c r="D6057" s="28">
        <v>1.2499999999999999E-2</v>
      </c>
    </row>
    <row r="6058" spans="1:4" x14ac:dyDescent="0.25">
      <c r="A6058" s="24" t="s">
        <v>127</v>
      </c>
      <c r="B6058" s="24" t="s">
        <v>72</v>
      </c>
      <c r="C6058" s="32">
        <v>11.53</v>
      </c>
      <c r="D6058" s="28">
        <v>1.5972222222222224E-2</v>
      </c>
    </row>
    <row r="6059" spans="1:4" x14ac:dyDescent="0.25">
      <c r="A6059" s="24" t="s">
        <v>127</v>
      </c>
      <c r="B6059" s="24" t="s">
        <v>73</v>
      </c>
      <c r="C6059" s="32">
        <v>10.058</v>
      </c>
      <c r="D6059" s="28">
        <v>1.3194444444444444E-2</v>
      </c>
    </row>
    <row r="6060" spans="1:4" x14ac:dyDescent="0.25">
      <c r="A6060" s="24" t="s">
        <v>127</v>
      </c>
      <c r="B6060" s="24" t="s">
        <v>74</v>
      </c>
      <c r="C6060" s="32">
        <v>12.7</v>
      </c>
      <c r="D6060" s="28">
        <v>1.5972222222222224E-2</v>
      </c>
    </row>
    <row r="6061" spans="1:4" x14ac:dyDescent="0.25">
      <c r="A6061" s="24" t="s">
        <v>127</v>
      </c>
      <c r="B6061" s="24" t="s">
        <v>75</v>
      </c>
      <c r="C6061" s="32">
        <v>11.736000000000001</v>
      </c>
      <c r="D6061" s="28">
        <v>1.3888888888888888E-2</v>
      </c>
    </row>
    <row r="6062" spans="1:4" x14ac:dyDescent="0.25">
      <c r="A6062" s="24" t="s">
        <v>127</v>
      </c>
      <c r="B6062" s="24" t="s">
        <v>76</v>
      </c>
      <c r="C6062" s="32">
        <v>15.843</v>
      </c>
      <c r="D6062" s="28">
        <v>2.013888888888889E-2</v>
      </c>
    </row>
    <row r="6063" spans="1:4" x14ac:dyDescent="0.25">
      <c r="A6063" s="24" t="s">
        <v>127</v>
      </c>
      <c r="B6063" s="24" t="s">
        <v>77</v>
      </c>
      <c r="C6063" s="32">
        <v>14.084</v>
      </c>
      <c r="D6063" s="28">
        <v>1.5972222222222224E-2</v>
      </c>
    </row>
    <row r="6064" spans="1:4" x14ac:dyDescent="0.25">
      <c r="A6064" s="24" t="s">
        <v>127</v>
      </c>
      <c r="B6064" s="24" t="s">
        <v>78</v>
      </c>
      <c r="C6064" s="32">
        <v>9.125</v>
      </c>
      <c r="D6064" s="28">
        <v>1.2499999999999999E-2</v>
      </c>
    </row>
    <row r="6065" spans="1:4" x14ac:dyDescent="0.25">
      <c r="A6065" s="24" t="s">
        <v>127</v>
      </c>
      <c r="B6065" s="24" t="s">
        <v>79</v>
      </c>
      <c r="C6065" s="32">
        <v>27.491</v>
      </c>
      <c r="D6065" s="28">
        <v>2.9166666666666664E-2</v>
      </c>
    </row>
    <row r="6066" spans="1:4" x14ac:dyDescent="0.25">
      <c r="A6066" s="24" t="s">
        <v>127</v>
      </c>
      <c r="B6066" s="24" t="s">
        <v>80</v>
      </c>
      <c r="C6066" s="32">
        <v>18.431000000000001</v>
      </c>
      <c r="D6066" s="28">
        <v>1.4583333333333332E-2</v>
      </c>
    </row>
    <row r="6067" spans="1:4" x14ac:dyDescent="0.25">
      <c r="A6067" s="24" t="s">
        <v>127</v>
      </c>
      <c r="B6067" s="24" t="s">
        <v>81</v>
      </c>
      <c r="C6067" s="32">
        <v>22.952999999999999</v>
      </c>
      <c r="D6067" s="28">
        <v>1.6666666666666666E-2</v>
      </c>
    </row>
    <row r="6068" spans="1:4" x14ac:dyDescent="0.25">
      <c r="A6068" s="24" t="s">
        <v>127</v>
      </c>
      <c r="B6068" s="24" t="s">
        <v>82</v>
      </c>
      <c r="C6068" s="32">
        <v>23.004999999999999</v>
      </c>
      <c r="D6068" s="28">
        <v>1.6666666666666666E-2</v>
      </c>
    </row>
    <row r="6069" spans="1:4" x14ac:dyDescent="0.25">
      <c r="A6069" s="24" t="s">
        <v>127</v>
      </c>
      <c r="B6069" s="24" t="s">
        <v>83</v>
      </c>
      <c r="C6069" s="32">
        <v>7.1509999999999998</v>
      </c>
      <c r="D6069" s="28">
        <v>8.3333333333333332E-3</v>
      </c>
    </row>
    <row r="6070" spans="1:4" x14ac:dyDescent="0.25">
      <c r="A6070" s="24" t="s">
        <v>127</v>
      </c>
      <c r="B6070" s="24" t="s">
        <v>84</v>
      </c>
      <c r="C6070" s="32">
        <v>9.9049999999999994</v>
      </c>
      <c r="D6070" s="28">
        <v>1.1805555555555555E-2</v>
      </c>
    </row>
    <row r="6071" spans="1:4" x14ac:dyDescent="0.25">
      <c r="A6071" s="24" t="s">
        <v>127</v>
      </c>
      <c r="B6071" s="24" t="s">
        <v>85</v>
      </c>
      <c r="C6071" s="32">
        <v>9.9220000000000006</v>
      </c>
      <c r="D6071" s="28">
        <v>1.1111111111111112E-2</v>
      </c>
    </row>
    <row r="6072" spans="1:4" x14ac:dyDescent="0.25">
      <c r="A6072" s="24" t="s">
        <v>127</v>
      </c>
      <c r="B6072" s="24" t="s">
        <v>86</v>
      </c>
      <c r="C6072" s="32">
        <v>7.548</v>
      </c>
      <c r="D6072" s="28">
        <v>8.3333333333333332E-3</v>
      </c>
    </row>
    <row r="6073" spans="1:4" x14ac:dyDescent="0.25">
      <c r="A6073" s="24" t="s">
        <v>127</v>
      </c>
      <c r="B6073" s="24" t="s">
        <v>87</v>
      </c>
      <c r="C6073" s="32">
        <v>7.6630000000000003</v>
      </c>
      <c r="D6073" s="28">
        <v>8.3333333333333332E-3</v>
      </c>
    </row>
    <row r="6074" spans="1:4" x14ac:dyDescent="0.25">
      <c r="A6074" s="24" t="s">
        <v>127</v>
      </c>
      <c r="B6074" s="24" t="s">
        <v>88</v>
      </c>
      <c r="C6074" s="32">
        <v>9.0419999999999998</v>
      </c>
      <c r="D6074" s="28">
        <v>1.0416666666666666E-2</v>
      </c>
    </row>
    <row r="6075" spans="1:4" x14ac:dyDescent="0.25">
      <c r="A6075" s="24" t="s">
        <v>127</v>
      </c>
      <c r="B6075" s="24" t="s">
        <v>89</v>
      </c>
      <c r="C6075" s="32">
        <v>14.077</v>
      </c>
      <c r="D6075" s="28">
        <v>1.3194444444444444E-2</v>
      </c>
    </row>
    <row r="6076" spans="1:4" x14ac:dyDescent="0.25">
      <c r="A6076" s="24" t="s">
        <v>127</v>
      </c>
      <c r="B6076" s="24" t="s">
        <v>90</v>
      </c>
      <c r="C6076" s="32">
        <v>14.409000000000001</v>
      </c>
      <c r="D6076" s="28">
        <v>1.3194444444444444E-2</v>
      </c>
    </row>
    <row r="6077" spans="1:4" x14ac:dyDescent="0.25">
      <c r="A6077" s="24" t="s">
        <v>127</v>
      </c>
      <c r="B6077" s="24" t="s">
        <v>91</v>
      </c>
      <c r="C6077" s="32">
        <v>10.228999999999999</v>
      </c>
      <c r="D6077" s="28">
        <v>1.2499999999999999E-2</v>
      </c>
    </row>
    <row r="6078" spans="1:4" x14ac:dyDescent="0.25">
      <c r="A6078" s="24" t="s">
        <v>127</v>
      </c>
      <c r="B6078" s="24" t="s">
        <v>92</v>
      </c>
      <c r="C6078" s="32">
        <v>16.507000000000001</v>
      </c>
      <c r="D6078" s="28">
        <v>1.3888888888888888E-2</v>
      </c>
    </row>
    <row r="6079" spans="1:4" x14ac:dyDescent="0.25">
      <c r="A6079" s="24" t="s">
        <v>127</v>
      </c>
      <c r="B6079" s="24" t="s">
        <v>93</v>
      </c>
      <c r="C6079" s="32">
        <v>40.228999999999999</v>
      </c>
      <c r="D6079" s="28">
        <v>2.6388888888888889E-2</v>
      </c>
    </row>
    <row r="6080" spans="1:4" x14ac:dyDescent="0.25">
      <c r="A6080" s="24" t="s">
        <v>127</v>
      </c>
      <c r="B6080" s="24" t="s">
        <v>94</v>
      </c>
      <c r="C6080" s="32">
        <v>40.857999999999997</v>
      </c>
      <c r="D6080" s="28">
        <v>2.7083333333333334E-2</v>
      </c>
    </row>
    <row r="6081" spans="1:4" x14ac:dyDescent="0.25">
      <c r="A6081" s="24" t="s">
        <v>127</v>
      </c>
      <c r="B6081" s="24" t="s">
        <v>95</v>
      </c>
      <c r="C6081" s="32">
        <v>23.289000000000001</v>
      </c>
      <c r="D6081" s="28">
        <v>1.8055555555555557E-2</v>
      </c>
    </row>
    <row r="6082" spans="1:4" x14ac:dyDescent="0.25">
      <c r="A6082" s="24" t="s">
        <v>127</v>
      </c>
      <c r="B6082" s="24" t="s">
        <v>96</v>
      </c>
      <c r="C6082" s="32">
        <v>11.573</v>
      </c>
      <c r="D6082" s="28">
        <v>1.0416666666666666E-2</v>
      </c>
    </row>
    <row r="6083" spans="1:4" x14ac:dyDescent="0.25">
      <c r="A6083" s="24" t="s">
        <v>127</v>
      </c>
      <c r="B6083" s="24" t="s">
        <v>97</v>
      </c>
      <c r="C6083" s="32">
        <v>19.891999999999999</v>
      </c>
      <c r="D6083" s="28">
        <v>1.6666666666666666E-2</v>
      </c>
    </row>
    <row r="6084" spans="1:4" x14ac:dyDescent="0.25">
      <c r="A6084" s="24" t="s">
        <v>127</v>
      </c>
      <c r="B6084" s="24" t="s">
        <v>98</v>
      </c>
      <c r="C6084" s="32">
        <v>18.376000000000001</v>
      </c>
      <c r="D6084" s="28">
        <v>1.5277777777777777E-2</v>
      </c>
    </row>
    <row r="6085" spans="1:4" x14ac:dyDescent="0.25">
      <c r="A6085" s="24" t="s">
        <v>127</v>
      </c>
      <c r="B6085" s="24" t="s">
        <v>99</v>
      </c>
      <c r="C6085" s="32">
        <v>21.018000000000001</v>
      </c>
      <c r="D6085" s="28">
        <v>1.8055555555555557E-2</v>
      </c>
    </row>
    <row r="6086" spans="1:4" x14ac:dyDescent="0.25">
      <c r="A6086" s="24" t="s">
        <v>127</v>
      </c>
      <c r="B6086" s="24" t="s">
        <v>100</v>
      </c>
      <c r="C6086" s="32">
        <v>19.401</v>
      </c>
      <c r="D6086" s="28">
        <v>1.6666666666666666E-2</v>
      </c>
    </row>
    <row r="6087" spans="1:4" x14ac:dyDescent="0.25">
      <c r="A6087" s="24" t="s">
        <v>127</v>
      </c>
      <c r="B6087" s="24" t="s">
        <v>101</v>
      </c>
      <c r="C6087" s="32">
        <v>18.478000000000002</v>
      </c>
      <c r="D6087" s="28">
        <v>1.5972222222222224E-2</v>
      </c>
    </row>
    <row r="6088" spans="1:4" x14ac:dyDescent="0.25">
      <c r="A6088" s="24" t="s">
        <v>127</v>
      </c>
      <c r="B6088" s="24" t="s">
        <v>102</v>
      </c>
      <c r="C6088" s="32">
        <v>17.905000000000001</v>
      </c>
      <c r="D6088" s="28">
        <v>1.5277777777777777E-2</v>
      </c>
    </row>
    <row r="6089" spans="1:4" x14ac:dyDescent="0.25">
      <c r="A6089" s="24" t="s">
        <v>127</v>
      </c>
      <c r="B6089" s="24" t="s">
        <v>103</v>
      </c>
      <c r="C6089" s="32">
        <v>10.731999999999999</v>
      </c>
      <c r="D6089" s="28">
        <v>9.7222222222222224E-3</v>
      </c>
    </row>
    <row r="6090" spans="1:4" x14ac:dyDescent="0.25">
      <c r="A6090" s="24" t="s">
        <v>127</v>
      </c>
      <c r="B6090" s="24" t="s">
        <v>104</v>
      </c>
      <c r="C6090" s="32">
        <v>15.401</v>
      </c>
      <c r="D6090" s="28">
        <v>1.3194444444444444E-2</v>
      </c>
    </row>
    <row r="6091" spans="1:4" x14ac:dyDescent="0.25">
      <c r="A6091" s="24" t="s">
        <v>127</v>
      </c>
      <c r="B6091" s="24" t="s">
        <v>105</v>
      </c>
      <c r="C6091" s="32">
        <v>13.722</v>
      </c>
      <c r="D6091" s="28">
        <v>1.4583333333333332E-2</v>
      </c>
    </row>
    <row r="6092" spans="1:4" x14ac:dyDescent="0.25">
      <c r="A6092" s="24" t="s">
        <v>127</v>
      </c>
      <c r="B6092" s="24" t="s">
        <v>106</v>
      </c>
      <c r="C6092" s="32">
        <v>8.5679999999999996</v>
      </c>
      <c r="D6092" s="28">
        <v>8.3333333333333332E-3</v>
      </c>
    </row>
    <row r="6093" spans="1:4" x14ac:dyDescent="0.25">
      <c r="A6093" s="24" t="s">
        <v>127</v>
      </c>
      <c r="B6093" s="24" t="s">
        <v>107</v>
      </c>
      <c r="C6093" s="32">
        <v>17.018999999999998</v>
      </c>
      <c r="D6093" s="28">
        <v>1.8055555555555557E-2</v>
      </c>
    </row>
    <row r="6094" spans="1:4" x14ac:dyDescent="0.25">
      <c r="A6094" s="24" t="s">
        <v>127</v>
      </c>
      <c r="B6094" s="24" t="s">
        <v>108</v>
      </c>
      <c r="C6094" s="32">
        <v>15.404999999999999</v>
      </c>
      <c r="D6094" s="28">
        <v>1.5277777777777777E-2</v>
      </c>
    </row>
    <row r="6095" spans="1:4" x14ac:dyDescent="0.25">
      <c r="A6095" s="24" t="s">
        <v>127</v>
      </c>
      <c r="B6095" s="24" t="s">
        <v>109</v>
      </c>
      <c r="C6095" s="32">
        <v>15.435</v>
      </c>
      <c r="D6095" s="28">
        <v>1.5277777777777777E-2</v>
      </c>
    </row>
    <row r="6096" spans="1:4" x14ac:dyDescent="0.25">
      <c r="A6096" s="24" t="s">
        <v>127</v>
      </c>
      <c r="B6096" s="24" t="s">
        <v>110</v>
      </c>
      <c r="C6096" s="32">
        <v>13.631</v>
      </c>
      <c r="D6096" s="28">
        <v>1.3194444444444444E-2</v>
      </c>
    </row>
    <row r="6097" spans="1:4" x14ac:dyDescent="0.25">
      <c r="A6097" s="24" t="s">
        <v>127</v>
      </c>
      <c r="B6097" s="24" t="s">
        <v>111</v>
      </c>
      <c r="C6097" s="32">
        <v>12.019</v>
      </c>
      <c r="D6097" s="28">
        <v>1.0416666666666666E-2</v>
      </c>
    </row>
    <row r="6098" spans="1:4" x14ac:dyDescent="0.25">
      <c r="A6098" s="24" t="s">
        <v>127</v>
      </c>
      <c r="B6098" s="24" t="s">
        <v>112</v>
      </c>
      <c r="C6098" s="32">
        <v>20.503</v>
      </c>
      <c r="D6098" s="28">
        <v>1.8749999999999999E-2</v>
      </c>
    </row>
    <row r="6099" spans="1:4" x14ac:dyDescent="0.25">
      <c r="A6099" s="24" t="s">
        <v>127</v>
      </c>
      <c r="B6099" s="24" t="s">
        <v>113</v>
      </c>
      <c r="C6099" s="32">
        <v>21.327999999999999</v>
      </c>
      <c r="D6099" s="28">
        <v>2.013888888888889E-2</v>
      </c>
    </row>
    <row r="6100" spans="1:4" x14ac:dyDescent="0.25">
      <c r="A6100" s="24" t="s">
        <v>127</v>
      </c>
      <c r="B6100" s="24" t="s">
        <v>114</v>
      </c>
      <c r="C6100" s="32">
        <v>21.498000000000001</v>
      </c>
      <c r="D6100" s="28">
        <v>1.5277777777777777E-2</v>
      </c>
    </row>
    <row r="6101" spans="1:4" x14ac:dyDescent="0.25">
      <c r="A6101" s="24" t="s">
        <v>127</v>
      </c>
      <c r="B6101" s="24" t="s">
        <v>115</v>
      </c>
      <c r="C6101" s="32">
        <v>17.702000000000002</v>
      </c>
      <c r="D6101" s="28">
        <v>1.5972222222222224E-2</v>
      </c>
    </row>
    <row r="6102" spans="1:4" x14ac:dyDescent="0.25">
      <c r="A6102" s="24" t="s">
        <v>127</v>
      </c>
      <c r="B6102" s="24" t="s">
        <v>116</v>
      </c>
      <c r="C6102" s="32">
        <v>15.589</v>
      </c>
      <c r="D6102" s="28">
        <v>1.3888888888888888E-2</v>
      </c>
    </row>
    <row r="6103" spans="1:4" x14ac:dyDescent="0.25">
      <c r="A6103" s="24" t="s">
        <v>127</v>
      </c>
      <c r="B6103" s="24" t="s">
        <v>117</v>
      </c>
      <c r="C6103" s="32">
        <v>22.792999999999999</v>
      </c>
      <c r="D6103" s="28">
        <v>1.8749999999999999E-2</v>
      </c>
    </row>
    <row r="6104" spans="1:4" x14ac:dyDescent="0.25">
      <c r="A6104" s="24" t="s">
        <v>127</v>
      </c>
      <c r="B6104" s="24" t="s">
        <v>118</v>
      </c>
      <c r="C6104" s="32">
        <v>22.512</v>
      </c>
      <c r="D6104" s="28">
        <v>1.8055555555555557E-2</v>
      </c>
    </row>
    <row r="6105" spans="1:4" x14ac:dyDescent="0.25">
      <c r="A6105" s="24" t="s">
        <v>127</v>
      </c>
      <c r="B6105" s="24" t="s">
        <v>119</v>
      </c>
      <c r="C6105" s="32">
        <v>36.597000000000001</v>
      </c>
      <c r="D6105" s="28">
        <v>2.4999999999999998E-2</v>
      </c>
    </row>
    <row r="6106" spans="1:4" x14ac:dyDescent="0.25">
      <c r="A6106" s="24" t="s">
        <v>127</v>
      </c>
      <c r="B6106" s="24" t="s">
        <v>120</v>
      </c>
      <c r="C6106" s="32">
        <v>39.387</v>
      </c>
      <c r="D6106" s="28">
        <v>2.8472222222222222E-2</v>
      </c>
    </row>
    <row r="6107" spans="1:4" x14ac:dyDescent="0.25">
      <c r="A6107" s="24" t="s">
        <v>127</v>
      </c>
      <c r="B6107" s="24" t="s">
        <v>121</v>
      </c>
      <c r="C6107" s="32">
        <v>53.738</v>
      </c>
      <c r="D6107" s="28">
        <v>3.5416666666666666E-2</v>
      </c>
    </row>
    <row r="6108" spans="1:4" x14ac:dyDescent="0.25">
      <c r="A6108" s="24" t="s">
        <v>127</v>
      </c>
      <c r="B6108" s="24" t="s">
        <v>122</v>
      </c>
      <c r="C6108" s="32">
        <v>39.1</v>
      </c>
      <c r="D6108" s="28">
        <v>2.5694444444444447E-2</v>
      </c>
    </row>
    <row r="6109" spans="1:4" x14ac:dyDescent="0.25">
      <c r="A6109" s="24" t="s">
        <v>127</v>
      </c>
      <c r="B6109" s="24" t="s">
        <v>123</v>
      </c>
      <c r="C6109" s="32">
        <v>47.323</v>
      </c>
      <c r="D6109" s="28">
        <v>3.1944444444444449E-2</v>
      </c>
    </row>
    <row r="6110" spans="1:4" x14ac:dyDescent="0.25">
      <c r="A6110" s="24" t="s">
        <v>127</v>
      </c>
      <c r="B6110" s="24" t="s">
        <v>124</v>
      </c>
      <c r="C6110" s="32">
        <v>47.323</v>
      </c>
      <c r="D6110" s="28">
        <v>3.1944444444444449E-2</v>
      </c>
    </row>
    <row r="6111" spans="1:4" x14ac:dyDescent="0.25">
      <c r="A6111" s="24" t="s">
        <v>127</v>
      </c>
      <c r="B6111" s="24" t="s">
        <v>125</v>
      </c>
      <c r="C6111" s="32">
        <v>1.3460000000000001</v>
      </c>
      <c r="D6111" s="28">
        <v>2.0833333333333333E-3</v>
      </c>
    </row>
    <row r="6112" spans="1:4" x14ac:dyDescent="0.25">
      <c r="A6112" s="24" t="s">
        <v>127</v>
      </c>
      <c r="B6112" s="24" t="s">
        <v>126</v>
      </c>
      <c r="C6112" s="32">
        <v>1.0840000000000001</v>
      </c>
      <c r="D6112" s="28">
        <v>1.3888888888888889E-3</v>
      </c>
    </row>
    <row r="6113" spans="1:4" x14ac:dyDescent="0.25">
      <c r="A6113" s="24" t="s">
        <v>127</v>
      </c>
      <c r="B6113" s="24" t="s">
        <v>127</v>
      </c>
      <c r="C6113" s="32">
        <v>0</v>
      </c>
      <c r="D6113" s="28">
        <v>0</v>
      </c>
    </row>
    <row r="6114" spans="1:4" x14ac:dyDescent="0.25">
      <c r="A6114" s="24" t="s">
        <v>127</v>
      </c>
      <c r="B6114" s="24" t="s">
        <v>128</v>
      </c>
      <c r="C6114" s="32">
        <v>2.1869999999999998</v>
      </c>
      <c r="D6114" s="28">
        <v>3.472222222222222E-3</v>
      </c>
    </row>
    <row r="6115" spans="1:4" x14ac:dyDescent="0.25">
      <c r="A6115" s="24" t="s">
        <v>127</v>
      </c>
      <c r="B6115" s="24" t="s">
        <v>129</v>
      </c>
      <c r="C6115" s="32">
        <v>2.1869999999999998</v>
      </c>
      <c r="D6115" s="28">
        <v>3.472222222222222E-3</v>
      </c>
    </row>
    <row r="6116" spans="1:4" x14ac:dyDescent="0.25">
      <c r="A6116" s="24" t="s">
        <v>127</v>
      </c>
      <c r="B6116" s="24" t="s">
        <v>130</v>
      </c>
      <c r="C6116" s="32">
        <v>1.7470000000000001</v>
      </c>
      <c r="D6116" s="28">
        <v>2.7777777777777779E-3</v>
      </c>
    </row>
    <row r="6117" spans="1:4" x14ac:dyDescent="0.25">
      <c r="A6117" s="24" t="s">
        <v>127</v>
      </c>
      <c r="B6117" s="24" t="s">
        <v>131</v>
      </c>
      <c r="C6117" s="32">
        <v>4.218</v>
      </c>
      <c r="D6117" s="28">
        <v>5.5555555555555558E-3</v>
      </c>
    </row>
    <row r="6118" spans="1:4" x14ac:dyDescent="0.25">
      <c r="A6118" s="24" t="s">
        <v>127</v>
      </c>
      <c r="B6118" s="24" t="s">
        <v>132</v>
      </c>
      <c r="C6118" s="32">
        <v>6.7409999999999997</v>
      </c>
      <c r="D6118" s="28">
        <v>7.6388888888888886E-3</v>
      </c>
    </row>
    <row r="6119" spans="1:4" x14ac:dyDescent="0.25">
      <c r="A6119" s="24" t="s">
        <v>127</v>
      </c>
      <c r="B6119" s="24" t="s">
        <v>133</v>
      </c>
      <c r="C6119" s="32">
        <v>12.311</v>
      </c>
      <c r="D6119" s="28">
        <v>1.4583333333333332E-2</v>
      </c>
    </row>
    <row r="6120" spans="1:4" x14ac:dyDescent="0.25">
      <c r="A6120" s="24" t="s">
        <v>127</v>
      </c>
      <c r="B6120" s="24" t="s">
        <v>134</v>
      </c>
      <c r="C6120" s="32">
        <v>11.845000000000001</v>
      </c>
      <c r="D6120" s="28">
        <v>1.3888888888888888E-2</v>
      </c>
    </row>
    <row r="6121" spans="1:4" x14ac:dyDescent="0.25">
      <c r="A6121" s="24" t="s">
        <v>127</v>
      </c>
      <c r="B6121" s="24" t="s">
        <v>135</v>
      </c>
      <c r="C6121" s="32">
        <v>13.176</v>
      </c>
      <c r="D6121" s="28">
        <v>1.4583333333333332E-2</v>
      </c>
    </row>
    <row r="6122" spans="1:4" x14ac:dyDescent="0.25">
      <c r="A6122" s="24" t="s">
        <v>127</v>
      </c>
      <c r="B6122" s="24" t="s">
        <v>136</v>
      </c>
      <c r="C6122" s="32">
        <v>13.176</v>
      </c>
      <c r="D6122" s="28">
        <v>1.4583333333333332E-2</v>
      </c>
    </row>
    <row r="6123" spans="1:4" x14ac:dyDescent="0.25">
      <c r="A6123" s="24" t="s">
        <v>127</v>
      </c>
      <c r="B6123" s="24" t="s">
        <v>137</v>
      </c>
      <c r="C6123" s="32">
        <v>13.077999999999999</v>
      </c>
      <c r="D6123" s="28">
        <v>1.4583333333333332E-2</v>
      </c>
    </row>
    <row r="6124" spans="1:4" x14ac:dyDescent="0.25">
      <c r="A6124" s="24" t="s">
        <v>127</v>
      </c>
      <c r="B6124" s="24" t="s">
        <v>138</v>
      </c>
      <c r="C6124" s="32">
        <v>17.334</v>
      </c>
      <c r="D6124" s="28">
        <v>1.5972222222222224E-2</v>
      </c>
    </row>
    <row r="6125" spans="1:4" x14ac:dyDescent="0.25">
      <c r="A6125" s="24" t="s">
        <v>127</v>
      </c>
      <c r="B6125" s="24" t="s">
        <v>139</v>
      </c>
      <c r="C6125" s="32">
        <v>27.454999999999998</v>
      </c>
      <c r="D6125" s="28">
        <v>2.1527777777777781E-2</v>
      </c>
    </row>
    <row r="6126" spans="1:4" x14ac:dyDescent="0.25">
      <c r="A6126" s="24" t="s">
        <v>127</v>
      </c>
      <c r="B6126" s="24" t="s">
        <v>140</v>
      </c>
      <c r="C6126" s="32">
        <v>21.670999999999999</v>
      </c>
      <c r="D6126" s="28">
        <v>2.2222222222222223E-2</v>
      </c>
    </row>
    <row r="6127" spans="1:4" x14ac:dyDescent="0.25">
      <c r="A6127" s="24" t="s">
        <v>127</v>
      </c>
      <c r="B6127" s="24" t="s">
        <v>141</v>
      </c>
      <c r="C6127" s="32">
        <v>52.165999999999997</v>
      </c>
      <c r="D6127" s="28">
        <v>4.0972222222222222E-2</v>
      </c>
    </row>
    <row r="6128" spans="1:4" x14ac:dyDescent="0.25">
      <c r="A6128" s="24" t="s">
        <v>127</v>
      </c>
      <c r="B6128" s="24" t="s">
        <v>142</v>
      </c>
      <c r="C6128" s="32">
        <v>42.886000000000003</v>
      </c>
      <c r="D6128" s="28">
        <v>3.3333333333333333E-2</v>
      </c>
    </row>
    <row r="6129" spans="1:4" x14ac:dyDescent="0.25">
      <c r="A6129" s="24" t="s">
        <v>127</v>
      </c>
      <c r="B6129" s="24" t="s">
        <v>143</v>
      </c>
      <c r="C6129" s="32">
        <v>68.632000000000005</v>
      </c>
      <c r="D6129" s="28">
        <v>4.027777777777778E-2</v>
      </c>
    </row>
    <row r="6130" spans="1:4" x14ac:dyDescent="0.25">
      <c r="A6130" s="24" t="s">
        <v>127</v>
      </c>
      <c r="B6130" s="24" t="s">
        <v>144</v>
      </c>
      <c r="C6130" s="32">
        <v>80.38</v>
      </c>
      <c r="D6130" s="28">
        <v>5.1388888888888894E-2</v>
      </c>
    </row>
    <row r="6131" spans="1:4" x14ac:dyDescent="0.25">
      <c r="A6131" s="24" t="s">
        <v>127</v>
      </c>
      <c r="B6131" s="24" t="s">
        <v>145</v>
      </c>
      <c r="C6131" s="32">
        <v>32.140999999999998</v>
      </c>
      <c r="D6131" s="28">
        <v>2.4999999999999998E-2</v>
      </c>
    </row>
    <row r="6132" spans="1:4" x14ac:dyDescent="0.25">
      <c r="A6132" s="24" t="s">
        <v>127</v>
      </c>
      <c r="B6132" s="24" t="s">
        <v>146</v>
      </c>
      <c r="C6132" s="32">
        <v>47.6</v>
      </c>
      <c r="D6132" s="28">
        <v>3.2638888888888891E-2</v>
      </c>
    </row>
    <row r="6133" spans="1:4" x14ac:dyDescent="0.25">
      <c r="A6133" s="24" t="s">
        <v>127</v>
      </c>
      <c r="B6133" s="24" t="s">
        <v>147</v>
      </c>
      <c r="C6133" s="32">
        <v>8.4689999999999994</v>
      </c>
      <c r="D6133" s="28">
        <v>7.6388888888888886E-3</v>
      </c>
    </row>
    <row r="6134" spans="1:4" x14ac:dyDescent="0.25">
      <c r="A6134" s="24" t="s">
        <v>127</v>
      </c>
      <c r="B6134" s="24" t="s">
        <v>148</v>
      </c>
      <c r="C6134" s="32">
        <v>6.63</v>
      </c>
      <c r="D6134" s="28">
        <v>6.9444444444444441E-3</v>
      </c>
    </row>
    <row r="6135" spans="1:4" x14ac:dyDescent="0.25">
      <c r="A6135" s="24" t="s">
        <v>127</v>
      </c>
      <c r="B6135" s="24" t="s">
        <v>149</v>
      </c>
      <c r="C6135" s="32">
        <v>6.8470000000000004</v>
      </c>
      <c r="D6135" s="28">
        <v>7.6388888888888886E-3</v>
      </c>
    </row>
    <row r="6136" spans="1:4" x14ac:dyDescent="0.25">
      <c r="A6136" s="24" t="s">
        <v>127</v>
      </c>
      <c r="B6136" s="24" t="s">
        <v>150</v>
      </c>
      <c r="C6136" s="32">
        <v>15.39</v>
      </c>
      <c r="D6136" s="28">
        <v>1.7361111111111112E-2</v>
      </c>
    </row>
    <row r="6137" spans="1:4" x14ac:dyDescent="0.25">
      <c r="A6137" s="24" t="s">
        <v>127</v>
      </c>
      <c r="B6137" s="24" t="s">
        <v>151</v>
      </c>
      <c r="C6137" s="32">
        <v>15.592000000000001</v>
      </c>
      <c r="D6137" s="28">
        <v>1.6666666666666666E-2</v>
      </c>
    </row>
    <row r="6138" spans="1:4" x14ac:dyDescent="0.25">
      <c r="A6138" s="24" t="s">
        <v>127</v>
      </c>
      <c r="B6138" s="24" t="s">
        <v>152</v>
      </c>
      <c r="C6138" s="32">
        <v>22.459</v>
      </c>
      <c r="D6138" s="28">
        <v>1.9444444444444445E-2</v>
      </c>
    </row>
    <row r="6139" spans="1:4" x14ac:dyDescent="0.25">
      <c r="A6139" s="24" t="s">
        <v>127</v>
      </c>
      <c r="B6139" s="24" t="s">
        <v>153</v>
      </c>
      <c r="C6139" s="32">
        <v>25.190999999999999</v>
      </c>
      <c r="D6139" s="28">
        <v>2.4999999999999998E-2</v>
      </c>
    </row>
    <row r="6140" spans="1:4" x14ac:dyDescent="0.25">
      <c r="A6140" s="24" t="s">
        <v>127</v>
      </c>
      <c r="B6140" s="24" t="s">
        <v>154</v>
      </c>
      <c r="C6140" s="32">
        <v>20.009</v>
      </c>
      <c r="D6140" s="28">
        <v>1.9444444444444445E-2</v>
      </c>
    </row>
    <row r="6141" spans="1:4" x14ac:dyDescent="0.25">
      <c r="A6141" s="24" t="s">
        <v>127</v>
      </c>
      <c r="B6141" s="24" t="s">
        <v>155</v>
      </c>
      <c r="C6141" s="32">
        <v>15.252000000000001</v>
      </c>
      <c r="D6141" s="28">
        <v>1.7361111111111112E-2</v>
      </c>
    </row>
    <row r="6142" spans="1:4" x14ac:dyDescent="0.25">
      <c r="A6142" s="24" t="s">
        <v>127</v>
      </c>
      <c r="B6142" s="24" t="s">
        <v>156</v>
      </c>
      <c r="C6142" s="32">
        <v>15.236000000000001</v>
      </c>
      <c r="D6142" s="28">
        <v>1.7361111111111112E-2</v>
      </c>
    </row>
    <row r="6143" spans="1:4" x14ac:dyDescent="0.25">
      <c r="A6143" s="24" t="s">
        <v>127</v>
      </c>
      <c r="B6143" s="24" t="s">
        <v>157</v>
      </c>
      <c r="C6143" s="32">
        <v>23.291</v>
      </c>
      <c r="D6143" s="28">
        <v>2.013888888888889E-2</v>
      </c>
    </row>
    <row r="6144" spans="1:4" x14ac:dyDescent="0.25">
      <c r="A6144" s="24" t="s">
        <v>127</v>
      </c>
      <c r="B6144" s="24" t="s">
        <v>158</v>
      </c>
      <c r="C6144" s="32">
        <v>34.045000000000002</v>
      </c>
      <c r="D6144" s="28">
        <v>2.7777777777777776E-2</v>
      </c>
    </row>
    <row r="6145" spans="1:4" x14ac:dyDescent="0.25">
      <c r="A6145" s="24" t="s">
        <v>127</v>
      </c>
      <c r="B6145" s="24" t="s">
        <v>159</v>
      </c>
      <c r="C6145" s="32">
        <v>39.414999999999999</v>
      </c>
      <c r="D6145" s="28">
        <v>3.3333333333333333E-2</v>
      </c>
    </row>
    <row r="6146" spans="1:4" x14ac:dyDescent="0.25">
      <c r="A6146" s="24" t="s">
        <v>128</v>
      </c>
      <c r="B6146" s="24" t="s">
        <v>65</v>
      </c>
      <c r="C6146" s="32">
        <v>15.148999999999999</v>
      </c>
      <c r="D6146" s="28">
        <v>1.1805555555555555E-2</v>
      </c>
    </row>
    <row r="6147" spans="1:4" x14ac:dyDescent="0.25">
      <c r="A6147" s="24" t="s">
        <v>128</v>
      </c>
      <c r="B6147" s="24" t="s">
        <v>64</v>
      </c>
      <c r="C6147" s="32">
        <v>4.1609999999999996</v>
      </c>
      <c r="D6147" s="28">
        <v>5.5555555555555558E-3</v>
      </c>
    </row>
    <row r="6148" spans="1:4" x14ac:dyDescent="0.25">
      <c r="A6148" s="24" t="s">
        <v>128</v>
      </c>
      <c r="B6148" s="24" t="s">
        <v>66</v>
      </c>
      <c r="C6148" s="32">
        <v>9.2379999999999995</v>
      </c>
      <c r="D6148" s="28">
        <v>1.2499999999999999E-2</v>
      </c>
    </row>
    <row r="6149" spans="1:4" x14ac:dyDescent="0.25">
      <c r="A6149" s="24" t="s">
        <v>128</v>
      </c>
      <c r="B6149" s="24" t="s">
        <v>67</v>
      </c>
      <c r="C6149" s="32">
        <v>9.9320000000000004</v>
      </c>
      <c r="D6149" s="28">
        <v>1.2499999999999999E-2</v>
      </c>
    </row>
    <row r="6150" spans="1:4" x14ac:dyDescent="0.25">
      <c r="A6150" s="24" t="s">
        <v>128</v>
      </c>
      <c r="B6150" s="24" t="s">
        <v>68</v>
      </c>
      <c r="C6150" s="32">
        <v>10.23</v>
      </c>
      <c r="D6150" s="28">
        <v>1.3194444444444444E-2</v>
      </c>
    </row>
    <row r="6151" spans="1:4" x14ac:dyDescent="0.25">
      <c r="A6151" s="24" t="s">
        <v>128</v>
      </c>
      <c r="B6151" s="24" t="s">
        <v>69</v>
      </c>
      <c r="C6151" s="32">
        <v>9.2379999999999995</v>
      </c>
      <c r="D6151" s="28">
        <v>1.1805555555555555E-2</v>
      </c>
    </row>
    <row r="6152" spans="1:4" x14ac:dyDescent="0.25">
      <c r="A6152" s="24" t="s">
        <v>128</v>
      </c>
      <c r="B6152" s="24" t="s">
        <v>70</v>
      </c>
      <c r="C6152" s="32">
        <v>9.6219999999999999</v>
      </c>
      <c r="D6152" s="28">
        <v>1.2499999999999999E-2</v>
      </c>
    </row>
    <row r="6153" spans="1:4" x14ac:dyDescent="0.25">
      <c r="A6153" s="24" t="s">
        <v>128</v>
      </c>
      <c r="B6153" s="24" t="s">
        <v>71</v>
      </c>
      <c r="C6153" s="32">
        <v>9.8149999999999995</v>
      </c>
      <c r="D6153" s="28">
        <v>1.2499999999999999E-2</v>
      </c>
    </row>
    <row r="6154" spans="1:4" x14ac:dyDescent="0.25">
      <c r="A6154" s="24" t="s">
        <v>128</v>
      </c>
      <c r="B6154" s="24" t="s">
        <v>72</v>
      </c>
      <c r="C6154" s="32">
        <v>11.164999999999999</v>
      </c>
      <c r="D6154" s="28">
        <v>1.5277777777777777E-2</v>
      </c>
    </row>
    <row r="6155" spans="1:4" x14ac:dyDescent="0.25">
      <c r="A6155" s="24" t="s">
        <v>128</v>
      </c>
      <c r="B6155" s="24" t="s">
        <v>73</v>
      </c>
      <c r="C6155" s="32">
        <v>9.6929999999999996</v>
      </c>
      <c r="D6155" s="28">
        <v>1.2499999999999999E-2</v>
      </c>
    </row>
    <row r="6156" spans="1:4" x14ac:dyDescent="0.25">
      <c r="A6156" s="24" t="s">
        <v>128</v>
      </c>
      <c r="B6156" s="24" t="s">
        <v>74</v>
      </c>
      <c r="C6156" s="32">
        <v>12.335000000000001</v>
      </c>
      <c r="D6156" s="28">
        <v>1.5277777777777777E-2</v>
      </c>
    </row>
    <row r="6157" spans="1:4" x14ac:dyDescent="0.25">
      <c r="A6157" s="24" t="s">
        <v>128</v>
      </c>
      <c r="B6157" s="24" t="s">
        <v>75</v>
      </c>
      <c r="C6157" s="32">
        <v>11.371</v>
      </c>
      <c r="D6157" s="28">
        <v>1.3888888888888888E-2</v>
      </c>
    </row>
    <row r="6158" spans="1:4" x14ac:dyDescent="0.25">
      <c r="A6158" s="24" t="s">
        <v>128</v>
      </c>
      <c r="B6158" s="24" t="s">
        <v>76</v>
      </c>
      <c r="C6158" s="32">
        <v>15.478</v>
      </c>
      <c r="D6158" s="28">
        <v>1.9444444444444445E-2</v>
      </c>
    </row>
    <row r="6159" spans="1:4" x14ac:dyDescent="0.25">
      <c r="A6159" s="24" t="s">
        <v>128</v>
      </c>
      <c r="B6159" s="24" t="s">
        <v>77</v>
      </c>
      <c r="C6159" s="32">
        <v>14.087</v>
      </c>
      <c r="D6159" s="28">
        <v>1.6666666666666666E-2</v>
      </c>
    </row>
    <row r="6160" spans="1:4" x14ac:dyDescent="0.25">
      <c r="A6160" s="24" t="s">
        <v>128</v>
      </c>
      <c r="B6160" s="24" t="s">
        <v>78</v>
      </c>
      <c r="C6160" s="32">
        <v>9.1280000000000001</v>
      </c>
      <c r="D6160" s="28">
        <v>1.3194444444444444E-2</v>
      </c>
    </row>
    <row r="6161" spans="1:4" x14ac:dyDescent="0.25">
      <c r="A6161" s="24" t="s">
        <v>128</v>
      </c>
      <c r="B6161" s="24" t="s">
        <v>79</v>
      </c>
      <c r="C6161" s="32">
        <v>27.494</v>
      </c>
      <c r="D6161" s="28">
        <v>2.9861111111111113E-2</v>
      </c>
    </row>
    <row r="6162" spans="1:4" x14ac:dyDescent="0.25">
      <c r="A6162" s="24" t="s">
        <v>128</v>
      </c>
      <c r="B6162" s="24" t="s">
        <v>80</v>
      </c>
      <c r="C6162" s="32">
        <v>18.373000000000001</v>
      </c>
      <c r="D6162" s="28">
        <v>1.3888888888888888E-2</v>
      </c>
    </row>
    <row r="6163" spans="1:4" x14ac:dyDescent="0.25">
      <c r="A6163" s="24" t="s">
        <v>128</v>
      </c>
      <c r="B6163" s="24" t="s">
        <v>81</v>
      </c>
      <c r="C6163" s="32">
        <v>22.895</v>
      </c>
      <c r="D6163" s="28">
        <v>1.6666666666666666E-2</v>
      </c>
    </row>
    <row r="6164" spans="1:4" x14ac:dyDescent="0.25">
      <c r="A6164" s="24" t="s">
        <v>128</v>
      </c>
      <c r="B6164" s="24" t="s">
        <v>82</v>
      </c>
      <c r="C6164" s="32">
        <v>22.946999999999999</v>
      </c>
      <c r="D6164" s="28">
        <v>1.6666666666666666E-2</v>
      </c>
    </row>
    <row r="6165" spans="1:4" x14ac:dyDescent="0.25">
      <c r="A6165" s="24" t="s">
        <v>128</v>
      </c>
      <c r="B6165" s="24" t="s">
        <v>83</v>
      </c>
      <c r="C6165" s="32">
        <v>6.7859999999999996</v>
      </c>
      <c r="D6165" s="28">
        <v>7.6388888888888886E-3</v>
      </c>
    </row>
    <row r="6166" spans="1:4" x14ac:dyDescent="0.25">
      <c r="A6166" s="24" t="s">
        <v>128</v>
      </c>
      <c r="B6166" s="24" t="s">
        <v>84</v>
      </c>
      <c r="C6166" s="32">
        <v>9.5399999999999991</v>
      </c>
      <c r="D6166" s="28">
        <v>1.1111111111111112E-2</v>
      </c>
    </row>
    <row r="6167" spans="1:4" x14ac:dyDescent="0.25">
      <c r="A6167" s="24" t="s">
        <v>128</v>
      </c>
      <c r="B6167" s="24" t="s">
        <v>85</v>
      </c>
      <c r="C6167" s="32">
        <v>9.5570000000000004</v>
      </c>
      <c r="D6167" s="28">
        <v>1.0416666666666666E-2</v>
      </c>
    </row>
    <row r="6168" spans="1:4" x14ac:dyDescent="0.25">
      <c r="A6168" s="24" t="s">
        <v>128</v>
      </c>
      <c r="B6168" s="24" t="s">
        <v>86</v>
      </c>
      <c r="C6168" s="32">
        <v>7.1829999999999998</v>
      </c>
      <c r="D6168" s="28">
        <v>7.6388888888888886E-3</v>
      </c>
    </row>
    <row r="6169" spans="1:4" x14ac:dyDescent="0.25">
      <c r="A6169" s="24" t="s">
        <v>128</v>
      </c>
      <c r="B6169" s="24" t="s">
        <v>87</v>
      </c>
      <c r="C6169" s="32">
        <v>7.298</v>
      </c>
      <c r="D6169" s="28">
        <v>8.3333333333333332E-3</v>
      </c>
    </row>
    <row r="6170" spans="1:4" x14ac:dyDescent="0.25">
      <c r="A6170" s="24" t="s">
        <v>128</v>
      </c>
      <c r="B6170" s="24" t="s">
        <v>88</v>
      </c>
      <c r="C6170" s="32">
        <v>8.6769999999999996</v>
      </c>
      <c r="D6170" s="28">
        <v>9.7222222222222224E-3</v>
      </c>
    </row>
    <row r="6171" spans="1:4" x14ac:dyDescent="0.25">
      <c r="A6171" s="24" t="s">
        <v>128</v>
      </c>
      <c r="B6171" s="24" t="s">
        <v>89</v>
      </c>
      <c r="C6171" s="32">
        <v>14.382</v>
      </c>
      <c r="D6171" s="28">
        <v>1.3888888888888888E-2</v>
      </c>
    </row>
    <row r="6172" spans="1:4" x14ac:dyDescent="0.25">
      <c r="A6172" s="24" t="s">
        <v>128</v>
      </c>
      <c r="B6172" s="24" t="s">
        <v>90</v>
      </c>
      <c r="C6172" s="32">
        <v>14.714</v>
      </c>
      <c r="D6172" s="28">
        <v>1.3888888888888888E-2</v>
      </c>
    </row>
    <row r="6173" spans="1:4" x14ac:dyDescent="0.25">
      <c r="A6173" s="24" t="s">
        <v>128</v>
      </c>
      <c r="B6173" s="24" t="s">
        <v>91</v>
      </c>
      <c r="C6173" s="32">
        <v>9.8640000000000008</v>
      </c>
      <c r="D6173" s="28">
        <v>1.1805555555555555E-2</v>
      </c>
    </row>
    <row r="6174" spans="1:4" x14ac:dyDescent="0.25">
      <c r="A6174" s="24" t="s">
        <v>128</v>
      </c>
      <c r="B6174" s="24" t="s">
        <v>92</v>
      </c>
      <c r="C6174" s="32">
        <v>16.449000000000002</v>
      </c>
      <c r="D6174" s="28">
        <v>1.3194444444444444E-2</v>
      </c>
    </row>
    <row r="6175" spans="1:4" x14ac:dyDescent="0.25">
      <c r="A6175" s="24" t="s">
        <v>128</v>
      </c>
      <c r="B6175" s="24" t="s">
        <v>93</v>
      </c>
      <c r="C6175" s="32">
        <v>40.170999999999999</v>
      </c>
      <c r="D6175" s="28">
        <v>2.6388888888888889E-2</v>
      </c>
    </row>
    <row r="6176" spans="1:4" x14ac:dyDescent="0.25">
      <c r="A6176" s="24" t="s">
        <v>128</v>
      </c>
      <c r="B6176" s="24" t="s">
        <v>94</v>
      </c>
      <c r="C6176" s="32">
        <v>40.799999999999997</v>
      </c>
      <c r="D6176" s="28">
        <v>2.7083333333333334E-2</v>
      </c>
    </row>
    <row r="6177" spans="1:4" x14ac:dyDescent="0.25">
      <c r="A6177" s="24" t="s">
        <v>128</v>
      </c>
      <c r="B6177" s="24" t="s">
        <v>95</v>
      </c>
      <c r="C6177" s="32">
        <v>23.231000000000002</v>
      </c>
      <c r="D6177" s="28">
        <v>1.7361111111111112E-2</v>
      </c>
    </row>
    <row r="6178" spans="1:4" x14ac:dyDescent="0.25">
      <c r="A6178" s="24" t="s">
        <v>128</v>
      </c>
      <c r="B6178" s="24" t="s">
        <v>96</v>
      </c>
      <c r="C6178" s="32">
        <v>11.576000000000001</v>
      </c>
      <c r="D6178" s="28">
        <v>1.1111111111111112E-2</v>
      </c>
    </row>
    <row r="6179" spans="1:4" x14ac:dyDescent="0.25">
      <c r="A6179" s="24" t="s">
        <v>128</v>
      </c>
      <c r="B6179" s="24" t="s">
        <v>97</v>
      </c>
      <c r="C6179" s="32">
        <v>19.895</v>
      </c>
      <c r="D6179" s="28">
        <v>1.7361111111111112E-2</v>
      </c>
    </row>
    <row r="6180" spans="1:4" x14ac:dyDescent="0.25">
      <c r="A6180" s="24" t="s">
        <v>128</v>
      </c>
      <c r="B6180" s="24" t="s">
        <v>98</v>
      </c>
      <c r="C6180" s="32">
        <v>18.379000000000001</v>
      </c>
      <c r="D6180" s="28">
        <v>1.5277777777777777E-2</v>
      </c>
    </row>
    <row r="6181" spans="1:4" x14ac:dyDescent="0.25">
      <c r="A6181" s="24" t="s">
        <v>128</v>
      </c>
      <c r="B6181" s="24" t="s">
        <v>99</v>
      </c>
      <c r="C6181" s="32">
        <v>21.021000000000001</v>
      </c>
      <c r="D6181" s="28">
        <v>1.9444444444444445E-2</v>
      </c>
    </row>
    <row r="6182" spans="1:4" x14ac:dyDescent="0.25">
      <c r="A6182" s="24" t="s">
        <v>128</v>
      </c>
      <c r="B6182" s="24" t="s">
        <v>100</v>
      </c>
      <c r="C6182" s="32">
        <v>19.706</v>
      </c>
      <c r="D6182" s="28">
        <v>1.6666666666666666E-2</v>
      </c>
    </row>
    <row r="6183" spans="1:4" x14ac:dyDescent="0.25">
      <c r="A6183" s="24" t="s">
        <v>128</v>
      </c>
      <c r="B6183" s="24" t="s">
        <v>101</v>
      </c>
      <c r="C6183" s="32">
        <v>18.481000000000002</v>
      </c>
      <c r="D6183" s="28">
        <v>1.6666666666666666E-2</v>
      </c>
    </row>
    <row r="6184" spans="1:4" x14ac:dyDescent="0.25">
      <c r="A6184" s="24" t="s">
        <v>128</v>
      </c>
      <c r="B6184" s="24" t="s">
        <v>102</v>
      </c>
      <c r="C6184" s="32">
        <v>17.908000000000001</v>
      </c>
      <c r="D6184" s="28">
        <v>1.5972222222222224E-2</v>
      </c>
    </row>
    <row r="6185" spans="1:4" x14ac:dyDescent="0.25">
      <c r="A6185" s="24" t="s">
        <v>128</v>
      </c>
      <c r="B6185" s="24" t="s">
        <v>103</v>
      </c>
      <c r="C6185" s="32">
        <v>11.037000000000001</v>
      </c>
      <c r="D6185" s="28">
        <v>9.7222222222222224E-3</v>
      </c>
    </row>
    <row r="6186" spans="1:4" x14ac:dyDescent="0.25">
      <c r="A6186" s="24" t="s">
        <v>128</v>
      </c>
      <c r="B6186" s="24" t="s">
        <v>104</v>
      </c>
      <c r="C6186" s="32">
        <v>15.343</v>
      </c>
      <c r="D6186" s="28">
        <v>1.2499999999999999E-2</v>
      </c>
    </row>
    <row r="6187" spans="1:4" x14ac:dyDescent="0.25">
      <c r="A6187" s="24" t="s">
        <v>128</v>
      </c>
      <c r="B6187" s="24" t="s">
        <v>105</v>
      </c>
      <c r="C6187" s="32">
        <v>14.026999999999999</v>
      </c>
      <c r="D6187" s="28">
        <v>1.5277777777777777E-2</v>
      </c>
    </row>
    <row r="6188" spans="1:4" x14ac:dyDescent="0.25">
      <c r="A6188" s="24" t="s">
        <v>128</v>
      </c>
      <c r="B6188" s="24" t="s">
        <v>106</v>
      </c>
      <c r="C6188" s="32">
        <v>8.5190000000000001</v>
      </c>
      <c r="D6188" s="28">
        <v>8.3333333333333332E-3</v>
      </c>
    </row>
    <row r="6189" spans="1:4" x14ac:dyDescent="0.25">
      <c r="A6189" s="24" t="s">
        <v>128</v>
      </c>
      <c r="B6189" s="24" t="s">
        <v>107</v>
      </c>
      <c r="C6189" s="32">
        <v>16.654</v>
      </c>
      <c r="D6189" s="28">
        <v>1.7361111111111112E-2</v>
      </c>
    </row>
    <row r="6190" spans="1:4" x14ac:dyDescent="0.25">
      <c r="A6190" s="24" t="s">
        <v>128</v>
      </c>
      <c r="B6190" s="24" t="s">
        <v>108</v>
      </c>
      <c r="C6190" s="32">
        <v>15.04</v>
      </c>
      <c r="D6190" s="28">
        <v>1.4583333333333332E-2</v>
      </c>
    </row>
    <row r="6191" spans="1:4" x14ac:dyDescent="0.25">
      <c r="A6191" s="24" t="s">
        <v>128</v>
      </c>
      <c r="B6191" s="24" t="s">
        <v>109</v>
      </c>
      <c r="C6191" s="32">
        <v>15.07</v>
      </c>
      <c r="D6191" s="28">
        <v>1.4583333333333332E-2</v>
      </c>
    </row>
    <row r="6192" spans="1:4" x14ac:dyDescent="0.25">
      <c r="A6192" s="24" t="s">
        <v>128</v>
      </c>
      <c r="B6192" s="24" t="s">
        <v>110</v>
      </c>
      <c r="C6192" s="32">
        <v>11.737</v>
      </c>
      <c r="D6192" s="28">
        <v>1.2499999999999999E-2</v>
      </c>
    </row>
    <row r="6193" spans="1:4" x14ac:dyDescent="0.25">
      <c r="A6193" s="24" t="s">
        <v>128</v>
      </c>
      <c r="B6193" s="24" t="s">
        <v>111</v>
      </c>
      <c r="C6193" s="32">
        <v>11.961</v>
      </c>
      <c r="D6193" s="28">
        <v>9.7222222222222224E-3</v>
      </c>
    </row>
    <row r="6194" spans="1:4" x14ac:dyDescent="0.25">
      <c r="A6194" s="24" t="s">
        <v>128</v>
      </c>
      <c r="B6194" s="24" t="s">
        <v>112</v>
      </c>
      <c r="C6194" s="32">
        <v>23.687999999999999</v>
      </c>
      <c r="D6194" s="28">
        <v>1.8749999999999999E-2</v>
      </c>
    </row>
    <row r="6195" spans="1:4" x14ac:dyDescent="0.25">
      <c r="A6195" s="24" t="s">
        <v>128</v>
      </c>
      <c r="B6195" s="24" t="s">
        <v>113</v>
      </c>
      <c r="C6195" s="32">
        <v>20.963000000000001</v>
      </c>
      <c r="D6195" s="28">
        <v>1.9444444444444445E-2</v>
      </c>
    </row>
    <row r="6196" spans="1:4" x14ac:dyDescent="0.25">
      <c r="A6196" s="24" t="s">
        <v>128</v>
      </c>
      <c r="B6196" s="24" t="s">
        <v>114</v>
      </c>
      <c r="C6196" s="32">
        <v>21.44</v>
      </c>
      <c r="D6196" s="28">
        <v>1.5277777777777777E-2</v>
      </c>
    </row>
    <row r="6197" spans="1:4" x14ac:dyDescent="0.25">
      <c r="A6197" s="24" t="s">
        <v>128</v>
      </c>
      <c r="B6197" s="24" t="s">
        <v>115</v>
      </c>
      <c r="C6197" s="32">
        <v>21.291</v>
      </c>
      <c r="D6197" s="28">
        <v>1.5277777777777777E-2</v>
      </c>
    </row>
    <row r="6198" spans="1:4" x14ac:dyDescent="0.25">
      <c r="A6198" s="24" t="s">
        <v>128</v>
      </c>
      <c r="B6198" s="24" t="s">
        <v>116</v>
      </c>
      <c r="C6198" s="32">
        <v>15.531000000000001</v>
      </c>
      <c r="D6198" s="28">
        <v>1.3194444444444444E-2</v>
      </c>
    </row>
    <row r="6199" spans="1:4" x14ac:dyDescent="0.25">
      <c r="A6199" s="24" t="s">
        <v>128</v>
      </c>
      <c r="B6199" s="24" t="s">
        <v>117</v>
      </c>
      <c r="C6199" s="32">
        <v>22.734999999999999</v>
      </c>
      <c r="D6199" s="28">
        <v>1.8055555555555557E-2</v>
      </c>
    </row>
    <row r="6200" spans="1:4" x14ac:dyDescent="0.25">
      <c r="A6200" s="24" t="s">
        <v>128</v>
      </c>
      <c r="B6200" s="24" t="s">
        <v>118</v>
      </c>
      <c r="C6200" s="32">
        <v>22.454000000000001</v>
      </c>
      <c r="D6200" s="28">
        <v>1.7361111111111112E-2</v>
      </c>
    </row>
    <row r="6201" spans="1:4" x14ac:dyDescent="0.25">
      <c r="A6201" s="24" t="s">
        <v>128</v>
      </c>
      <c r="B6201" s="24" t="s">
        <v>119</v>
      </c>
      <c r="C6201" s="32">
        <v>36.539000000000001</v>
      </c>
      <c r="D6201" s="28">
        <v>2.4999999999999998E-2</v>
      </c>
    </row>
    <row r="6202" spans="1:4" x14ac:dyDescent="0.25">
      <c r="A6202" s="24" t="s">
        <v>128</v>
      </c>
      <c r="B6202" s="24" t="s">
        <v>120</v>
      </c>
      <c r="C6202" s="32">
        <v>39.329000000000001</v>
      </c>
      <c r="D6202" s="28">
        <v>2.7777777777777776E-2</v>
      </c>
    </row>
    <row r="6203" spans="1:4" x14ac:dyDescent="0.25">
      <c r="A6203" s="24" t="s">
        <v>128</v>
      </c>
      <c r="B6203" s="24" t="s">
        <v>121</v>
      </c>
      <c r="C6203" s="32">
        <v>53.68</v>
      </c>
      <c r="D6203" s="28">
        <v>3.4722222222222224E-2</v>
      </c>
    </row>
    <row r="6204" spans="1:4" x14ac:dyDescent="0.25">
      <c r="A6204" s="24" t="s">
        <v>128</v>
      </c>
      <c r="B6204" s="24" t="s">
        <v>122</v>
      </c>
      <c r="C6204" s="32">
        <v>39.042000000000002</v>
      </c>
      <c r="D6204" s="28">
        <v>2.5694444444444447E-2</v>
      </c>
    </row>
    <row r="6205" spans="1:4" x14ac:dyDescent="0.25">
      <c r="A6205" s="24" t="s">
        <v>128</v>
      </c>
      <c r="B6205" s="24" t="s">
        <v>123</v>
      </c>
      <c r="C6205" s="32">
        <v>47.265000000000001</v>
      </c>
      <c r="D6205" s="28">
        <v>3.125E-2</v>
      </c>
    </row>
    <row r="6206" spans="1:4" x14ac:dyDescent="0.25">
      <c r="A6206" s="24" t="s">
        <v>128</v>
      </c>
      <c r="B6206" s="24" t="s">
        <v>124</v>
      </c>
      <c r="C6206" s="32">
        <v>47.265000000000001</v>
      </c>
      <c r="D6206" s="28">
        <v>3.125E-2</v>
      </c>
    </row>
    <row r="6207" spans="1:4" x14ac:dyDescent="0.25">
      <c r="A6207" s="24" t="s">
        <v>128</v>
      </c>
      <c r="B6207" s="24" t="s">
        <v>125</v>
      </c>
      <c r="C6207" s="32">
        <v>1.651</v>
      </c>
      <c r="D6207" s="28">
        <v>2.7777777777777779E-3</v>
      </c>
    </row>
    <row r="6208" spans="1:4" x14ac:dyDescent="0.25">
      <c r="A6208" s="24" t="s">
        <v>128</v>
      </c>
      <c r="B6208" s="24" t="s">
        <v>126</v>
      </c>
      <c r="C6208" s="32">
        <v>1.389</v>
      </c>
      <c r="D6208" s="28">
        <v>2.0833333333333333E-3</v>
      </c>
    </row>
    <row r="6209" spans="1:4" x14ac:dyDescent="0.25">
      <c r="A6209" s="24" t="s">
        <v>128</v>
      </c>
      <c r="B6209" s="24" t="s">
        <v>127</v>
      </c>
      <c r="C6209" s="32">
        <v>2.1339999999999999</v>
      </c>
      <c r="D6209" s="28">
        <v>2.7777777777777779E-3</v>
      </c>
    </row>
    <row r="6210" spans="1:4" x14ac:dyDescent="0.25">
      <c r="A6210" s="24" t="s">
        <v>128</v>
      </c>
      <c r="B6210" s="24" t="s">
        <v>128</v>
      </c>
      <c r="C6210" s="32">
        <v>0</v>
      </c>
      <c r="D6210" s="28">
        <v>0</v>
      </c>
    </row>
    <row r="6211" spans="1:4" x14ac:dyDescent="0.25">
      <c r="A6211" s="24" t="s">
        <v>128</v>
      </c>
      <c r="B6211" s="24" t="s">
        <v>129</v>
      </c>
      <c r="C6211" s="32">
        <v>0</v>
      </c>
      <c r="D6211" s="28">
        <v>0</v>
      </c>
    </row>
    <row r="6212" spans="1:4" x14ac:dyDescent="0.25">
      <c r="A6212" s="24" t="s">
        <v>128</v>
      </c>
      <c r="B6212" s="24" t="s">
        <v>130</v>
      </c>
      <c r="C6212" s="32">
        <v>2.052</v>
      </c>
      <c r="D6212" s="28">
        <v>3.472222222222222E-3</v>
      </c>
    </row>
    <row r="6213" spans="1:4" x14ac:dyDescent="0.25">
      <c r="A6213" s="24" t="s">
        <v>128</v>
      </c>
      <c r="B6213" s="24" t="s">
        <v>131</v>
      </c>
      <c r="C6213" s="32">
        <v>4.5229999999999997</v>
      </c>
      <c r="D6213" s="28">
        <v>6.2499999999999995E-3</v>
      </c>
    </row>
    <row r="6214" spans="1:4" x14ac:dyDescent="0.25">
      <c r="A6214" s="24" t="s">
        <v>128</v>
      </c>
      <c r="B6214" s="24" t="s">
        <v>132</v>
      </c>
      <c r="C6214" s="32">
        <v>6.7439999999999998</v>
      </c>
      <c r="D6214" s="28">
        <v>8.3333333333333332E-3</v>
      </c>
    </row>
    <row r="6215" spans="1:4" x14ac:dyDescent="0.25">
      <c r="A6215" s="24" t="s">
        <v>128</v>
      </c>
      <c r="B6215" s="24" t="s">
        <v>133</v>
      </c>
      <c r="C6215" s="32">
        <v>11.946</v>
      </c>
      <c r="D6215" s="28">
        <v>1.3888888888888888E-2</v>
      </c>
    </row>
    <row r="6216" spans="1:4" x14ac:dyDescent="0.25">
      <c r="A6216" s="24" t="s">
        <v>128</v>
      </c>
      <c r="B6216" s="24" t="s">
        <v>134</v>
      </c>
      <c r="C6216" s="32">
        <v>11.48</v>
      </c>
      <c r="D6216" s="28">
        <v>1.2499999999999999E-2</v>
      </c>
    </row>
    <row r="6217" spans="1:4" x14ac:dyDescent="0.25">
      <c r="A6217" s="24" t="s">
        <v>128</v>
      </c>
      <c r="B6217" s="24" t="s">
        <v>135</v>
      </c>
      <c r="C6217" s="32">
        <v>12.811</v>
      </c>
      <c r="D6217" s="28">
        <v>1.3888888888888888E-2</v>
      </c>
    </row>
    <row r="6218" spans="1:4" x14ac:dyDescent="0.25">
      <c r="A6218" s="24" t="s">
        <v>128</v>
      </c>
      <c r="B6218" s="24" t="s">
        <v>136</v>
      </c>
      <c r="C6218" s="32">
        <v>12.811</v>
      </c>
      <c r="D6218" s="28">
        <v>1.3888888888888888E-2</v>
      </c>
    </row>
    <row r="6219" spans="1:4" x14ac:dyDescent="0.25">
      <c r="A6219" s="24" t="s">
        <v>128</v>
      </c>
      <c r="B6219" s="24" t="s">
        <v>137</v>
      </c>
      <c r="C6219" s="32">
        <v>12.712999999999999</v>
      </c>
      <c r="D6219" s="28">
        <v>1.3888888888888888E-2</v>
      </c>
    </row>
    <row r="6220" spans="1:4" x14ac:dyDescent="0.25">
      <c r="A6220" s="24" t="s">
        <v>128</v>
      </c>
      <c r="B6220" s="24" t="s">
        <v>138</v>
      </c>
      <c r="C6220" s="32">
        <v>16.969000000000001</v>
      </c>
      <c r="D6220" s="28">
        <v>1.5277777777777777E-2</v>
      </c>
    </row>
    <row r="6221" spans="1:4" x14ac:dyDescent="0.25">
      <c r="A6221" s="24" t="s">
        <v>128</v>
      </c>
      <c r="B6221" s="24" t="s">
        <v>139</v>
      </c>
      <c r="C6221" s="32">
        <v>27.09</v>
      </c>
      <c r="D6221" s="28">
        <v>2.0833333333333332E-2</v>
      </c>
    </row>
    <row r="6222" spans="1:4" x14ac:dyDescent="0.25">
      <c r="A6222" s="24" t="s">
        <v>128</v>
      </c>
      <c r="B6222" s="24" t="s">
        <v>140</v>
      </c>
      <c r="C6222" s="32">
        <v>21.306000000000001</v>
      </c>
      <c r="D6222" s="28">
        <v>2.0833333333333332E-2</v>
      </c>
    </row>
    <row r="6223" spans="1:4" x14ac:dyDescent="0.25">
      <c r="A6223" s="24" t="s">
        <v>128</v>
      </c>
      <c r="B6223" s="24" t="s">
        <v>141</v>
      </c>
      <c r="C6223" s="32">
        <v>54.643000000000001</v>
      </c>
      <c r="D6223" s="28">
        <v>4.1666666666666664E-2</v>
      </c>
    </row>
    <row r="6224" spans="1:4" x14ac:dyDescent="0.25">
      <c r="A6224" s="24" t="s">
        <v>128</v>
      </c>
      <c r="B6224" s="24" t="s">
        <v>142</v>
      </c>
      <c r="C6224" s="32">
        <v>42.521000000000001</v>
      </c>
      <c r="D6224" s="28">
        <v>3.2638888888888891E-2</v>
      </c>
    </row>
    <row r="6225" spans="1:4" x14ac:dyDescent="0.25">
      <c r="A6225" s="24" t="s">
        <v>128</v>
      </c>
      <c r="B6225" s="24" t="s">
        <v>143</v>
      </c>
      <c r="C6225" s="32">
        <v>60.899000000000001</v>
      </c>
      <c r="D6225" s="28">
        <v>4.027777777777778E-2</v>
      </c>
    </row>
    <row r="6226" spans="1:4" x14ac:dyDescent="0.25">
      <c r="A6226" s="24" t="s">
        <v>128</v>
      </c>
      <c r="B6226" s="24" t="s">
        <v>144</v>
      </c>
      <c r="C6226" s="32">
        <v>80.015000000000001</v>
      </c>
      <c r="D6226" s="28">
        <v>5.0694444444444452E-2</v>
      </c>
    </row>
    <row r="6227" spans="1:4" x14ac:dyDescent="0.25">
      <c r="A6227" s="24" t="s">
        <v>128</v>
      </c>
      <c r="B6227" s="24" t="s">
        <v>145</v>
      </c>
      <c r="C6227" s="32">
        <v>31.776</v>
      </c>
      <c r="D6227" s="28">
        <v>2.4305555555555556E-2</v>
      </c>
    </row>
    <row r="6228" spans="1:4" x14ac:dyDescent="0.25">
      <c r="A6228" s="24" t="s">
        <v>128</v>
      </c>
      <c r="B6228" s="24" t="s">
        <v>146</v>
      </c>
      <c r="C6228" s="32">
        <v>47.234999999999999</v>
      </c>
      <c r="D6228" s="28">
        <v>3.1944444444444449E-2</v>
      </c>
    </row>
    <row r="6229" spans="1:4" x14ac:dyDescent="0.25">
      <c r="A6229" s="24" t="s">
        <v>128</v>
      </c>
      <c r="B6229" s="24" t="s">
        <v>147</v>
      </c>
      <c r="C6229" s="32">
        <v>8.4459999999999997</v>
      </c>
      <c r="D6229" s="28">
        <v>7.6388888888888886E-3</v>
      </c>
    </row>
    <row r="6230" spans="1:4" x14ac:dyDescent="0.25">
      <c r="A6230" s="24" t="s">
        <v>128</v>
      </c>
      <c r="B6230" s="24" t="s">
        <v>148</v>
      </c>
      <c r="C6230" s="32">
        <v>6.9349999999999996</v>
      </c>
      <c r="D6230" s="28">
        <v>6.9444444444444441E-3</v>
      </c>
    </row>
    <row r="6231" spans="1:4" x14ac:dyDescent="0.25">
      <c r="A6231" s="24" t="s">
        <v>128</v>
      </c>
      <c r="B6231" s="24" t="s">
        <v>149</v>
      </c>
      <c r="C6231" s="32">
        <v>6.85</v>
      </c>
      <c r="D6231" s="28">
        <v>8.3333333333333332E-3</v>
      </c>
    </row>
    <row r="6232" spans="1:4" x14ac:dyDescent="0.25">
      <c r="A6232" s="24" t="s">
        <v>128</v>
      </c>
      <c r="B6232" s="24" t="s">
        <v>150</v>
      </c>
      <c r="C6232" s="32">
        <v>15.906000000000001</v>
      </c>
      <c r="D6232" s="28">
        <v>1.8055555555555557E-2</v>
      </c>
    </row>
    <row r="6233" spans="1:4" x14ac:dyDescent="0.25">
      <c r="A6233" s="24" t="s">
        <v>128</v>
      </c>
      <c r="B6233" s="24" t="s">
        <v>151</v>
      </c>
      <c r="C6233" s="32">
        <v>14.651</v>
      </c>
      <c r="D6233" s="28">
        <v>1.7361111111111112E-2</v>
      </c>
    </row>
    <row r="6234" spans="1:4" x14ac:dyDescent="0.25">
      <c r="A6234" s="24" t="s">
        <v>128</v>
      </c>
      <c r="B6234" s="24" t="s">
        <v>152</v>
      </c>
      <c r="C6234" s="32">
        <v>22.462</v>
      </c>
      <c r="D6234" s="28">
        <v>2.013888888888889E-2</v>
      </c>
    </row>
    <row r="6235" spans="1:4" x14ac:dyDescent="0.25">
      <c r="A6235" s="24" t="s">
        <v>128</v>
      </c>
      <c r="B6235" s="24" t="s">
        <v>153</v>
      </c>
      <c r="C6235" s="32">
        <v>24.25</v>
      </c>
      <c r="D6235" s="28">
        <v>2.6388888888888889E-2</v>
      </c>
    </row>
    <row r="6236" spans="1:4" x14ac:dyDescent="0.25">
      <c r="A6236" s="24" t="s">
        <v>128</v>
      </c>
      <c r="B6236" s="24" t="s">
        <v>154</v>
      </c>
      <c r="C6236" s="32">
        <v>20.012</v>
      </c>
      <c r="D6236" s="28">
        <v>2.013888888888889E-2</v>
      </c>
    </row>
    <row r="6237" spans="1:4" x14ac:dyDescent="0.25">
      <c r="A6237" s="24" t="s">
        <v>128</v>
      </c>
      <c r="B6237" s="24" t="s">
        <v>155</v>
      </c>
      <c r="C6237" s="32">
        <v>15.768000000000001</v>
      </c>
      <c r="D6237" s="28">
        <v>1.8055555555555557E-2</v>
      </c>
    </row>
    <row r="6238" spans="1:4" x14ac:dyDescent="0.25">
      <c r="A6238" s="24" t="s">
        <v>128</v>
      </c>
      <c r="B6238" s="24" t="s">
        <v>156</v>
      </c>
      <c r="C6238" s="32">
        <v>15.752000000000001</v>
      </c>
      <c r="D6238" s="28">
        <v>1.8055555555555557E-2</v>
      </c>
    </row>
    <row r="6239" spans="1:4" x14ac:dyDescent="0.25">
      <c r="A6239" s="24" t="s">
        <v>128</v>
      </c>
      <c r="B6239" s="24" t="s">
        <v>157</v>
      </c>
      <c r="C6239" s="32">
        <v>23.294</v>
      </c>
      <c r="D6239" s="28">
        <v>2.0833333333333332E-2</v>
      </c>
    </row>
    <row r="6240" spans="1:4" x14ac:dyDescent="0.25">
      <c r="A6240" s="24" t="s">
        <v>128</v>
      </c>
      <c r="B6240" s="24" t="s">
        <v>158</v>
      </c>
      <c r="C6240" s="32">
        <v>34.048000000000002</v>
      </c>
      <c r="D6240" s="28">
        <v>2.8472222222222222E-2</v>
      </c>
    </row>
    <row r="6241" spans="1:4" x14ac:dyDescent="0.25">
      <c r="A6241" s="24" t="s">
        <v>128</v>
      </c>
      <c r="B6241" s="24" t="s">
        <v>159</v>
      </c>
      <c r="C6241" s="32">
        <v>39.417999999999999</v>
      </c>
      <c r="D6241" s="28">
        <v>3.4027777777777775E-2</v>
      </c>
    </row>
    <row r="6242" spans="1:4" x14ac:dyDescent="0.25">
      <c r="A6242" s="24" t="s">
        <v>129</v>
      </c>
      <c r="B6242" s="24" t="s">
        <v>65</v>
      </c>
      <c r="C6242" s="32">
        <v>15.148999999999999</v>
      </c>
      <c r="D6242" s="28">
        <v>1.1805555555555555E-2</v>
      </c>
    </row>
    <row r="6243" spans="1:4" x14ac:dyDescent="0.25">
      <c r="A6243" s="24" t="s">
        <v>129</v>
      </c>
      <c r="B6243" s="24" t="s">
        <v>64</v>
      </c>
      <c r="C6243" s="32">
        <v>4.1609999999999996</v>
      </c>
      <c r="D6243" s="28">
        <v>5.5555555555555558E-3</v>
      </c>
    </row>
    <row r="6244" spans="1:4" x14ac:dyDescent="0.25">
      <c r="A6244" s="24" t="s">
        <v>129</v>
      </c>
      <c r="B6244" s="24" t="s">
        <v>66</v>
      </c>
      <c r="C6244" s="32">
        <v>9.2379999999999995</v>
      </c>
      <c r="D6244" s="28">
        <v>1.2499999999999999E-2</v>
      </c>
    </row>
    <row r="6245" spans="1:4" x14ac:dyDescent="0.25">
      <c r="A6245" s="24" t="s">
        <v>129</v>
      </c>
      <c r="B6245" s="24" t="s">
        <v>67</v>
      </c>
      <c r="C6245" s="32">
        <v>9.9320000000000004</v>
      </c>
      <c r="D6245" s="28">
        <v>1.2499999999999999E-2</v>
      </c>
    </row>
    <row r="6246" spans="1:4" x14ac:dyDescent="0.25">
      <c r="A6246" s="24" t="s">
        <v>129</v>
      </c>
      <c r="B6246" s="24" t="s">
        <v>68</v>
      </c>
      <c r="C6246" s="32">
        <v>10.23</v>
      </c>
      <c r="D6246" s="28">
        <v>1.3194444444444444E-2</v>
      </c>
    </row>
    <row r="6247" spans="1:4" x14ac:dyDescent="0.25">
      <c r="A6247" s="24" t="s">
        <v>129</v>
      </c>
      <c r="B6247" s="24" t="s">
        <v>69</v>
      </c>
      <c r="C6247" s="32">
        <v>9.2379999999999995</v>
      </c>
      <c r="D6247" s="28">
        <v>1.1805555555555555E-2</v>
      </c>
    </row>
    <row r="6248" spans="1:4" x14ac:dyDescent="0.25">
      <c r="A6248" s="24" t="s">
        <v>129</v>
      </c>
      <c r="B6248" s="24" t="s">
        <v>70</v>
      </c>
      <c r="C6248" s="32">
        <v>9.6219999999999999</v>
      </c>
      <c r="D6248" s="28">
        <v>1.2499999999999999E-2</v>
      </c>
    </row>
    <row r="6249" spans="1:4" x14ac:dyDescent="0.25">
      <c r="A6249" s="24" t="s">
        <v>129</v>
      </c>
      <c r="B6249" s="24" t="s">
        <v>71</v>
      </c>
      <c r="C6249" s="32">
        <v>9.8149999999999995</v>
      </c>
      <c r="D6249" s="28">
        <v>1.2499999999999999E-2</v>
      </c>
    </row>
    <row r="6250" spans="1:4" x14ac:dyDescent="0.25">
      <c r="A6250" s="24" t="s">
        <v>129</v>
      </c>
      <c r="B6250" s="24" t="s">
        <v>72</v>
      </c>
      <c r="C6250" s="32">
        <v>11.164999999999999</v>
      </c>
      <c r="D6250" s="28">
        <v>1.5277777777777777E-2</v>
      </c>
    </row>
    <row r="6251" spans="1:4" x14ac:dyDescent="0.25">
      <c r="A6251" s="24" t="s">
        <v>129</v>
      </c>
      <c r="B6251" s="24" t="s">
        <v>73</v>
      </c>
      <c r="C6251" s="32">
        <v>9.6929999999999996</v>
      </c>
      <c r="D6251" s="28">
        <v>1.2499999999999999E-2</v>
      </c>
    </row>
    <row r="6252" spans="1:4" x14ac:dyDescent="0.25">
      <c r="A6252" s="24" t="s">
        <v>129</v>
      </c>
      <c r="B6252" s="24" t="s">
        <v>74</v>
      </c>
      <c r="C6252" s="32">
        <v>12.335000000000001</v>
      </c>
      <c r="D6252" s="28">
        <v>1.5277777777777777E-2</v>
      </c>
    </row>
    <row r="6253" spans="1:4" x14ac:dyDescent="0.25">
      <c r="A6253" s="24" t="s">
        <v>129</v>
      </c>
      <c r="B6253" s="24" t="s">
        <v>75</v>
      </c>
      <c r="C6253" s="32">
        <v>11.371</v>
      </c>
      <c r="D6253" s="28">
        <v>1.3888888888888888E-2</v>
      </c>
    </row>
    <row r="6254" spans="1:4" x14ac:dyDescent="0.25">
      <c r="A6254" s="24" t="s">
        <v>129</v>
      </c>
      <c r="B6254" s="24" t="s">
        <v>76</v>
      </c>
      <c r="C6254" s="32">
        <v>15.478</v>
      </c>
      <c r="D6254" s="28">
        <v>1.9444444444444445E-2</v>
      </c>
    </row>
    <row r="6255" spans="1:4" x14ac:dyDescent="0.25">
      <c r="A6255" s="24" t="s">
        <v>129</v>
      </c>
      <c r="B6255" s="24" t="s">
        <v>77</v>
      </c>
      <c r="C6255" s="32">
        <v>14.087</v>
      </c>
      <c r="D6255" s="28">
        <v>1.6666666666666666E-2</v>
      </c>
    </row>
    <row r="6256" spans="1:4" x14ac:dyDescent="0.25">
      <c r="A6256" s="24" t="s">
        <v>129</v>
      </c>
      <c r="B6256" s="24" t="s">
        <v>78</v>
      </c>
      <c r="C6256" s="32">
        <v>9.1280000000000001</v>
      </c>
      <c r="D6256" s="28">
        <v>1.3194444444444444E-2</v>
      </c>
    </row>
    <row r="6257" spans="1:4" x14ac:dyDescent="0.25">
      <c r="A6257" s="24" t="s">
        <v>129</v>
      </c>
      <c r="B6257" s="24" t="s">
        <v>79</v>
      </c>
      <c r="C6257" s="32">
        <v>27.494</v>
      </c>
      <c r="D6257" s="28">
        <v>2.9861111111111113E-2</v>
      </c>
    </row>
    <row r="6258" spans="1:4" x14ac:dyDescent="0.25">
      <c r="A6258" s="24" t="s">
        <v>129</v>
      </c>
      <c r="B6258" s="24" t="s">
        <v>80</v>
      </c>
      <c r="C6258" s="32">
        <v>18.373000000000001</v>
      </c>
      <c r="D6258" s="28">
        <v>1.3888888888888888E-2</v>
      </c>
    </row>
    <row r="6259" spans="1:4" x14ac:dyDescent="0.25">
      <c r="A6259" s="24" t="s">
        <v>129</v>
      </c>
      <c r="B6259" s="24" t="s">
        <v>81</v>
      </c>
      <c r="C6259" s="32">
        <v>22.895</v>
      </c>
      <c r="D6259" s="28">
        <v>1.6666666666666666E-2</v>
      </c>
    </row>
    <row r="6260" spans="1:4" x14ac:dyDescent="0.25">
      <c r="A6260" s="24" t="s">
        <v>129</v>
      </c>
      <c r="B6260" s="24" t="s">
        <v>82</v>
      </c>
      <c r="C6260" s="32">
        <v>22.946999999999999</v>
      </c>
      <c r="D6260" s="28">
        <v>1.6666666666666666E-2</v>
      </c>
    </row>
    <row r="6261" spans="1:4" x14ac:dyDescent="0.25">
      <c r="A6261" s="24" t="s">
        <v>129</v>
      </c>
      <c r="B6261" s="24" t="s">
        <v>83</v>
      </c>
      <c r="C6261" s="32">
        <v>6.7859999999999996</v>
      </c>
      <c r="D6261" s="28">
        <v>7.6388888888888886E-3</v>
      </c>
    </row>
    <row r="6262" spans="1:4" x14ac:dyDescent="0.25">
      <c r="A6262" s="24" t="s">
        <v>129</v>
      </c>
      <c r="B6262" s="24" t="s">
        <v>84</v>
      </c>
      <c r="C6262" s="32">
        <v>9.5399999999999991</v>
      </c>
      <c r="D6262" s="28">
        <v>1.1111111111111112E-2</v>
      </c>
    </row>
    <row r="6263" spans="1:4" x14ac:dyDescent="0.25">
      <c r="A6263" s="24" t="s">
        <v>129</v>
      </c>
      <c r="B6263" s="24" t="s">
        <v>85</v>
      </c>
      <c r="C6263" s="32">
        <v>9.5570000000000004</v>
      </c>
      <c r="D6263" s="28">
        <v>1.0416666666666666E-2</v>
      </c>
    </row>
    <row r="6264" spans="1:4" x14ac:dyDescent="0.25">
      <c r="A6264" s="24" t="s">
        <v>129</v>
      </c>
      <c r="B6264" s="24" t="s">
        <v>86</v>
      </c>
      <c r="C6264" s="32">
        <v>7.1829999999999998</v>
      </c>
      <c r="D6264" s="28">
        <v>7.6388888888888886E-3</v>
      </c>
    </row>
    <row r="6265" spans="1:4" x14ac:dyDescent="0.25">
      <c r="A6265" s="24" t="s">
        <v>129</v>
      </c>
      <c r="B6265" s="24" t="s">
        <v>87</v>
      </c>
      <c r="C6265" s="32">
        <v>7.298</v>
      </c>
      <c r="D6265" s="28">
        <v>8.3333333333333332E-3</v>
      </c>
    </row>
    <row r="6266" spans="1:4" x14ac:dyDescent="0.25">
      <c r="A6266" s="24" t="s">
        <v>129</v>
      </c>
      <c r="B6266" s="24" t="s">
        <v>88</v>
      </c>
      <c r="C6266" s="32">
        <v>8.6769999999999996</v>
      </c>
      <c r="D6266" s="28">
        <v>9.7222222222222224E-3</v>
      </c>
    </row>
    <row r="6267" spans="1:4" x14ac:dyDescent="0.25">
      <c r="A6267" s="24" t="s">
        <v>129</v>
      </c>
      <c r="B6267" s="24" t="s">
        <v>89</v>
      </c>
      <c r="C6267" s="32">
        <v>14.382</v>
      </c>
      <c r="D6267" s="28">
        <v>1.3888888888888888E-2</v>
      </c>
    </row>
    <row r="6268" spans="1:4" x14ac:dyDescent="0.25">
      <c r="A6268" s="24" t="s">
        <v>129</v>
      </c>
      <c r="B6268" s="24" t="s">
        <v>90</v>
      </c>
      <c r="C6268" s="32">
        <v>14.714</v>
      </c>
      <c r="D6268" s="28">
        <v>1.3888888888888888E-2</v>
      </c>
    </row>
    <row r="6269" spans="1:4" x14ac:dyDescent="0.25">
      <c r="A6269" s="24" t="s">
        <v>129</v>
      </c>
      <c r="B6269" s="24" t="s">
        <v>91</v>
      </c>
      <c r="C6269" s="32">
        <v>9.8640000000000008</v>
      </c>
      <c r="D6269" s="28">
        <v>1.1805555555555555E-2</v>
      </c>
    </row>
    <row r="6270" spans="1:4" x14ac:dyDescent="0.25">
      <c r="A6270" s="24" t="s">
        <v>129</v>
      </c>
      <c r="B6270" s="24" t="s">
        <v>92</v>
      </c>
      <c r="C6270" s="32">
        <v>16.449000000000002</v>
      </c>
      <c r="D6270" s="28">
        <v>1.3194444444444444E-2</v>
      </c>
    </row>
    <row r="6271" spans="1:4" x14ac:dyDescent="0.25">
      <c r="A6271" s="24" t="s">
        <v>129</v>
      </c>
      <c r="B6271" s="24" t="s">
        <v>93</v>
      </c>
      <c r="C6271" s="32">
        <v>40.170999999999999</v>
      </c>
      <c r="D6271" s="28">
        <v>2.6388888888888889E-2</v>
      </c>
    </row>
    <row r="6272" spans="1:4" x14ac:dyDescent="0.25">
      <c r="A6272" s="24" t="s">
        <v>129</v>
      </c>
      <c r="B6272" s="24" t="s">
        <v>94</v>
      </c>
      <c r="C6272" s="32">
        <v>40.799999999999997</v>
      </c>
      <c r="D6272" s="28">
        <v>2.7083333333333334E-2</v>
      </c>
    </row>
    <row r="6273" spans="1:4" x14ac:dyDescent="0.25">
      <c r="A6273" s="24" t="s">
        <v>129</v>
      </c>
      <c r="B6273" s="24" t="s">
        <v>95</v>
      </c>
      <c r="C6273" s="32">
        <v>23.231000000000002</v>
      </c>
      <c r="D6273" s="28">
        <v>1.7361111111111112E-2</v>
      </c>
    </row>
    <row r="6274" spans="1:4" x14ac:dyDescent="0.25">
      <c r="A6274" s="24" t="s">
        <v>129</v>
      </c>
      <c r="B6274" s="24" t="s">
        <v>96</v>
      </c>
      <c r="C6274" s="32">
        <v>11.576000000000001</v>
      </c>
      <c r="D6274" s="28">
        <v>1.1111111111111112E-2</v>
      </c>
    </row>
    <row r="6275" spans="1:4" x14ac:dyDescent="0.25">
      <c r="A6275" s="24" t="s">
        <v>129</v>
      </c>
      <c r="B6275" s="24" t="s">
        <v>97</v>
      </c>
      <c r="C6275" s="32">
        <v>19.895</v>
      </c>
      <c r="D6275" s="28">
        <v>1.7361111111111112E-2</v>
      </c>
    </row>
    <row r="6276" spans="1:4" x14ac:dyDescent="0.25">
      <c r="A6276" s="24" t="s">
        <v>129</v>
      </c>
      <c r="B6276" s="24" t="s">
        <v>98</v>
      </c>
      <c r="C6276" s="32">
        <v>18.379000000000001</v>
      </c>
      <c r="D6276" s="28">
        <v>1.5277777777777777E-2</v>
      </c>
    </row>
    <row r="6277" spans="1:4" x14ac:dyDescent="0.25">
      <c r="A6277" s="24" t="s">
        <v>129</v>
      </c>
      <c r="B6277" s="24" t="s">
        <v>99</v>
      </c>
      <c r="C6277" s="32">
        <v>21.021000000000001</v>
      </c>
      <c r="D6277" s="28">
        <v>1.9444444444444445E-2</v>
      </c>
    </row>
    <row r="6278" spans="1:4" x14ac:dyDescent="0.25">
      <c r="A6278" s="24" t="s">
        <v>129</v>
      </c>
      <c r="B6278" s="24" t="s">
        <v>100</v>
      </c>
      <c r="C6278" s="32">
        <v>19.706</v>
      </c>
      <c r="D6278" s="28">
        <v>1.6666666666666666E-2</v>
      </c>
    </row>
    <row r="6279" spans="1:4" x14ac:dyDescent="0.25">
      <c r="A6279" s="24" t="s">
        <v>129</v>
      </c>
      <c r="B6279" s="24" t="s">
        <v>101</v>
      </c>
      <c r="C6279" s="32">
        <v>18.481000000000002</v>
      </c>
      <c r="D6279" s="28">
        <v>1.6666666666666666E-2</v>
      </c>
    </row>
    <row r="6280" spans="1:4" x14ac:dyDescent="0.25">
      <c r="A6280" s="24" t="s">
        <v>129</v>
      </c>
      <c r="B6280" s="24" t="s">
        <v>102</v>
      </c>
      <c r="C6280" s="32">
        <v>17.908000000000001</v>
      </c>
      <c r="D6280" s="28">
        <v>1.5972222222222224E-2</v>
      </c>
    </row>
    <row r="6281" spans="1:4" x14ac:dyDescent="0.25">
      <c r="A6281" s="24" t="s">
        <v>129</v>
      </c>
      <c r="B6281" s="24" t="s">
        <v>103</v>
      </c>
      <c r="C6281" s="32">
        <v>11.037000000000001</v>
      </c>
      <c r="D6281" s="28">
        <v>9.7222222222222224E-3</v>
      </c>
    </row>
    <row r="6282" spans="1:4" x14ac:dyDescent="0.25">
      <c r="A6282" s="24" t="s">
        <v>129</v>
      </c>
      <c r="B6282" s="24" t="s">
        <v>104</v>
      </c>
      <c r="C6282" s="32">
        <v>15.343</v>
      </c>
      <c r="D6282" s="28">
        <v>1.2499999999999999E-2</v>
      </c>
    </row>
    <row r="6283" spans="1:4" x14ac:dyDescent="0.25">
      <c r="A6283" s="24" t="s">
        <v>129</v>
      </c>
      <c r="B6283" s="24" t="s">
        <v>105</v>
      </c>
      <c r="C6283" s="32">
        <v>14.026999999999999</v>
      </c>
      <c r="D6283" s="28">
        <v>1.5277777777777777E-2</v>
      </c>
    </row>
    <row r="6284" spans="1:4" x14ac:dyDescent="0.25">
      <c r="A6284" s="24" t="s">
        <v>129</v>
      </c>
      <c r="B6284" s="24" t="s">
        <v>106</v>
      </c>
      <c r="C6284" s="32">
        <v>8.5190000000000001</v>
      </c>
      <c r="D6284" s="28">
        <v>8.3333333333333332E-3</v>
      </c>
    </row>
    <row r="6285" spans="1:4" x14ac:dyDescent="0.25">
      <c r="A6285" s="24" t="s">
        <v>129</v>
      </c>
      <c r="B6285" s="24" t="s">
        <v>107</v>
      </c>
      <c r="C6285" s="32">
        <v>16.654</v>
      </c>
      <c r="D6285" s="28">
        <v>1.7361111111111112E-2</v>
      </c>
    </row>
    <row r="6286" spans="1:4" x14ac:dyDescent="0.25">
      <c r="A6286" s="24" t="s">
        <v>129</v>
      </c>
      <c r="B6286" s="24" t="s">
        <v>108</v>
      </c>
      <c r="C6286" s="32">
        <v>15.04</v>
      </c>
      <c r="D6286" s="28">
        <v>1.4583333333333332E-2</v>
      </c>
    </row>
    <row r="6287" spans="1:4" x14ac:dyDescent="0.25">
      <c r="A6287" s="24" t="s">
        <v>129</v>
      </c>
      <c r="B6287" s="24" t="s">
        <v>109</v>
      </c>
      <c r="C6287" s="32">
        <v>15.07</v>
      </c>
      <c r="D6287" s="28">
        <v>1.4583333333333332E-2</v>
      </c>
    </row>
    <row r="6288" spans="1:4" x14ac:dyDescent="0.25">
      <c r="A6288" s="24" t="s">
        <v>129</v>
      </c>
      <c r="B6288" s="24" t="s">
        <v>110</v>
      </c>
      <c r="C6288" s="32">
        <v>11.737</v>
      </c>
      <c r="D6288" s="28">
        <v>1.2499999999999999E-2</v>
      </c>
    </row>
    <row r="6289" spans="1:4" x14ac:dyDescent="0.25">
      <c r="A6289" s="24" t="s">
        <v>129</v>
      </c>
      <c r="B6289" s="24" t="s">
        <v>111</v>
      </c>
      <c r="C6289" s="32">
        <v>11.961</v>
      </c>
      <c r="D6289" s="28">
        <v>9.7222222222222224E-3</v>
      </c>
    </row>
    <row r="6290" spans="1:4" x14ac:dyDescent="0.25">
      <c r="A6290" s="24" t="s">
        <v>129</v>
      </c>
      <c r="B6290" s="24" t="s">
        <v>112</v>
      </c>
      <c r="C6290" s="32">
        <v>23.687999999999999</v>
      </c>
      <c r="D6290" s="28">
        <v>1.8749999999999999E-2</v>
      </c>
    </row>
    <row r="6291" spans="1:4" x14ac:dyDescent="0.25">
      <c r="A6291" s="24" t="s">
        <v>129</v>
      </c>
      <c r="B6291" s="24" t="s">
        <v>113</v>
      </c>
      <c r="C6291" s="32">
        <v>20.963000000000001</v>
      </c>
      <c r="D6291" s="28">
        <v>1.9444444444444445E-2</v>
      </c>
    </row>
    <row r="6292" spans="1:4" x14ac:dyDescent="0.25">
      <c r="A6292" s="24" t="s">
        <v>129</v>
      </c>
      <c r="B6292" s="24" t="s">
        <v>114</v>
      </c>
      <c r="C6292" s="32">
        <v>21.44</v>
      </c>
      <c r="D6292" s="28">
        <v>1.5277777777777777E-2</v>
      </c>
    </row>
    <row r="6293" spans="1:4" x14ac:dyDescent="0.25">
      <c r="A6293" s="24" t="s">
        <v>129</v>
      </c>
      <c r="B6293" s="24" t="s">
        <v>115</v>
      </c>
      <c r="C6293" s="32">
        <v>21.291</v>
      </c>
      <c r="D6293" s="28">
        <v>1.5277777777777777E-2</v>
      </c>
    </row>
    <row r="6294" spans="1:4" x14ac:dyDescent="0.25">
      <c r="A6294" s="24" t="s">
        <v>129</v>
      </c>
      <c r="B6294" s="24" t="s">
        <v>116</v>
      </c>
      <c r="C6294" s="32">
        <v>15.531000000000001</v>
      </c>
      <c r="D6294" s="28">
        <v>1.3194444444444444E-2</v>
      </c>
    </row>
    <row r="6295" spans="1:4" x14ac:dyDescent="0.25">
      <c r="A6295" s="24" t="s">
        <v>129</v>
      </c>
      <c r="B6295" s="24" t="s">
        <v>117</v>
      </c>
      <c r="C6295" s="32">
        <v>22.734999999999999</v>
      </c>
      <c r="D6295" s="28">
        <v>1.8055555555555557E-2</v>
      </c>
    </row>
    <row r="6296" spans="1:4" x14ac:dyDescent="0.25">
      <c r="A6296" s="24" t="s">
        <v>129</v>
      </c>
      <c r="B6296" s="24" t="s">
        <v>118</v>
      </c>
      <c r="C6296" s="32">
        <v>22.454000000000001</v>
      </c>
      <c r="D6296" s="28">
        <v>1.7361111111111112E-2</v>
      </c>
    </row>
    <row r="6297" spans="1:4" x14ac:dyDescent="0.25">
      <c r="A6297" s="24" t="s">
        <v>129</v>
      </c>
      <c r="B6297" s="24" t="s">
        <v>119</v>
      </c>
      <c r="C6297" s="32">
        <v>36.539000000000001</v>
      </c>
      <c r="D6297" s="28">
        <v>2.4999999999999998E-2</v>
      </c>
    </row>
    <row r="6298" spans="1:4" x14ac:dyDescent="0.25">
      <c r="A6298" s="24" t="s">
        <v>129</v>
      </c>
      <c r="B6298" s="24" t="s">
        <v>120</v>
      </c>
      <c r="C6298" s="32">
        <v>39.329000000000001</v>
      </c>
      <c r="D6298" s="28">
        <v>2.7777777777777776E-2</v>
      </c>
    </row>
    <row r="6299" spans="1:4" x14ac:dyDescent="0.25">
      <c r="A6299" s="24" t="s">
        <v>129</v>
      </c>
      <c r="B6299" s="24" t="s">
        <v>121</v>
      </c>
      <c r="C6299" s="32">
        <v>53.68</v>
      </c>
      <c r="D6299" s="28">
        <v>3.4722222222222224E-2</v>
      </c>
    </row>
    <row r="6300" spans="1:4" x14ac:dyDescent="0.25">
      <c r="A6300" s="24" t="s">
        <v>129</v>
      </c>
      <c r="B6300" s="24" t="s">
        <v>122</v>
      </c>
      <c r="C6300" s="32">
        <v>39.042000000000002</v>
      </c>
      <c r="D6300" s="28">
        <v>2.5694444444444447E-2</v>
      </c>
    </row>
    <row r="6301" spans="1:4" x14ac:dyDescent="0.25">
      <c r="A6301" s="24" t="s">
        <v>129</v>
      </c>
      <c r="B6301" s="24" t="s">
        <v>123</v>
      </c>
      <c r="C6301" s="32">
        <v>47.265000000000001</v>
      </c>
      <c r="D6301" s="28">
        <v>3.125E-2</v>
      </c>
    </row>
    <row r="6302" spans="1:4" x14ac:dyDescent="0.25">
      <c r="A6302" s="24" t="s">
        <v>129</v>
      </c>
      <c r="B6302" s="24" t="s">
        <v>124</v>
      </c>
      <c r="C6302" s="32">
        <v>47.265000000000001</v>
      </c>
      <c r="D6302" s="28">
        <v>3.125E-2</v>
      </c>
    </row>
    <row r="6303" spans="1:4" x14ac:dyDescent="0.25">
      <c r="A6303" s="24" t="s">
        <v>129</v>
      </c>
      <c r="B6303" s="24" t="s">
        <v>125</v>
      </c>
      <c r="C6303" s="32">
        <v>1.651</v>
      </c>
      <c r="D6303" s="28">
        <v>2.7777777777777779E-3</v>
      </c>
    </row>
    <row r="6304" spans="1:4" x14ac:dyDescent="0.25">
      <c r="A6304" s="24" t="s">
        <v>129</v>
      </c>
      <c r="B6304" s="24" t="s">
        <v>126</v>
      </c>
      <c r="C6304" s="32">
        <v>1.389</v>
      </c>
      <c r="D6304" s="28">
        <v>2.0833333333333333E-3</v>
      </c>
    </row>
    <row r="6305" spans="1:4" x14ac:dyDescent="0.25">
      <c r="A6305" s="24" t="s">
        <v>129</v>
      </c>
      <c r="B6305" s="24" t="s">
        <v>127</v>
      </c>
      <c r="C6305" s="32">
        <v>2.1339999999999999</v>
      </c>
      <c r="D6305" s="28">
        <v>2.7777777777777779E-3</v>
      </c>
    </row>
    <row r="6306" spans="1:4" x14ac:dyDescent="0.25">
      <c r="A6306" s="24" t="s">
        <v>129</v>
      </c>
      <c r="B6306" s="24" t="s">
        <v>128</v>
      </c>
      <c r="C6306" s="32">
        <v>0</v>
      </c>
      <c r="D6306" s="28">
        <v>0</v>
      </c>
    </row>
    <row r="6307" spans="1:4" x14ac:dyDescent="0.25">
      <c r="A6307" s="24" t="s">
        <v>129</v>
      </c>
      <c r="B6307" s="24" t="s">
        <v>129</v>
      </c>
      <c r="C6307" s="32">
        <v>0</v>
      </c>
      <c r="D6307" s="28">
        <v>0</v>
      </c>
    </row>
    <row r="6308" spans="1:4" x14ac:dyDescent="0.25">
      <c r="A6308" s="24" t="s">
        <v>129</v>
      </c>
      <c r="B6308" s="24" t="s">
        <v>130</v>
      </c>
      <c r="C6308" s="32">
        <v>2.052</v>
      </c>
      <c r="D6308" s="28">
        <v>3.472222222222222E-3</v>
      </c>
    </row>
    <row r="6309" spans="1:4" x14ac:dyDescent="0.25">
      <c r="A6309" s="24" t="s">
        <v>129</v>
      </c>
      <c r="B6309" s="24" t="s">
        <v>131</v>
      </c>
      <c r="C6309" s="32">
        <v>4.5229999999999997</v>
      </c>
      <c r="D6309" s="28">
        <v>6.2499999999999995E-3</v>
      </c>
    </row>
    <row r="6310" spans="1:4" x14ac:dyDescent="0.25">
      <c r="A6310" s="24" t="s">
        <v>129</v>
      </c>
      <c r="B6310" s="24" t="s">
        <v>132</v>
      </c>
      <c r="C6310" s="32">
        <v>6.7439999999999998</v>
      </c>
      <c r="D6310" s="28">
        <v>8.3333333333333332E-3</v>
      </c>
    </row>
    <row r="6311" spans="1:4" x14ac:dyDescent="0.25">
      <c r="A6311" s="24" t="s">
        <v>129</v>
      </c>
      <c r="B6311" s="24" t="s">
        <v>133</v>
      </c>
      <c r="C6311" s="32">
        <v>11.946</v>
      </c>
      <c r="D6311" s="28">
        <v>1.3888888888888888E-2</v>
      </c>
    </row>
    <row r="6312" spans="1:4" x14ac:dyDescent="0.25">
      <c r="A6312" s="24" t="s">
        <v>129</v>
      </c>
      <c r="B6312" s="24" t="s">
        <v>134</v>
      </c>
      <c r="C6312" s="32">
        <v>11.48</v>
      </c>
      <c r="D6312" s="28">
        <v>1.2499999999999999E-2</v>
      </c>
    </row>
    <row r="6313" spans="1:4" x14ac:dyDescent="0.25">
      <c r="A6313" s="24" t="s">
        <v>129</v>
      </c>
      <c r="B6313" s="24" t="s">
        <v>135</v>
      </c>
      <c r="C6313" s="32">
        <v>12.811</v>
      </c>
      <c r="D6313" s="28">
        <v>1.3888888888888888E-2</v>
      </c>
    </row>
    <row r="6314" spans="1:4" x14ac:dyDescent="0.25">
      <c r="A6314" s="24" t="s">
        <v>129</v>
      </c>
      <c r="B6314" s="24" t="s">
        <v>136</v>
      </c>
      <c r="C6314" s="32">
        <v>12.811</v>
      </c>
      <c r="D6314" s="28">
        <v>1.3888888888888888E-2</v>
      </c>
    </row>
    <row r="6315" spans="1:4" x14ac:dyDescent="0.25">
      <c r="A6315" s="24" t="s">
        <v>129</v>
      </c>
      <c r="B6315" s="24" t="s">
        <v>137</v>
      </c>
      <c r="C6315" s="32">
        <v>12.712999999999999</v>
      </c>
      <c r="D6315" s="28">
        <v>1.3888888888888888E-2</v>
      </c>
    </row>
    <row r="6316" spans="1:4" x14ac:dyDescent="0.25">
      <c r="A6316" s="24" t="s">
        <v>129</v>
      </c>
      <c r="B6316" s="24" t="s">
        <v>138</v>
      </c>
      <c r="C6316" s="32">
        <v>16.969000000000001</v>
      </c>
      <c r="D6316" s="28">
        <v>1.5277777777777777E-2</v>
      </c>
    </row>
    <row r="6317" spans="1:4" x14ac:dyDescent="0.25">
      <c r="A6317" s="24" t="s">
        <v>129</v>
      </c>
      <c r="B6317" s="24" t="s">
        <v>139</v>
      </c>
      <c r="C6317" s="32">
        <v>27.09</v>
      </c>
      <c r="D6317" s="28">
        <v>2.0833333333333332E-2</v>
      </c>
    </row>
    <row r="6318" spans="1:4" x14ac:dyDescent="0.25">
      <c r="A6318" s="24" t="s">
        <v>129</v>
      </c>
      <c r="B6318" s="24" t="s">
        <v>140</v>
      </c>
      <c r="C6318" s="32">
        <v>21.306000000000001</v>
      </c>
      <c r="D6318" s="28">
        <v>2.0833333333333332E-2</v>
      </c>
    </row>
    <row r="6319" spans="1:4" x14ac:dyDescent="0.25">
      <c r="A6319" s="24" t="s">
        <v>129</v>
      </c>
      <c r="B6319" s="24" t="s">
        <v>141</v>
      </c>
      <c r="C6319" s="32">
        <v>54.643000000000001</v>
      </c>
      <c r="D6319" s="28">
        <v>4.1666666666666664E-2</v>
      </c>
    </row>
    <row r="6320" spans="1:4" x14ac:dyDescent="0.25">
      <c r="A6320" s="24" t="s">
        <v>129</v>
      </c>
      <c r="B6320" s="24" t="s">
        <v>142</v>
      </c>
      <c r="C6320" s="32">
        <v>42.521000000000001</v>
      </c>
      <c r="D6320" s="28">
        <v>3.2638888888888891E-2</v>
      </c>
    </row>
    <row r="6321" spans="1:4" x14ac:dyDescent="0.25">
      <c r="A6321" s="24" t="s">
        <v>129</v>
      </c>
      <c r="B6321" s="24" t="s">
        <v>143</v>
      </c>
      <c r="C6321" s="32">
        <v>60.899000000000001</v>
      </c>
      <c r="D6321" s="28">
        <v>4.027777777777778E-2</v>
      </c>
    </row>
    <row r="6322" spans="1:4" x14ac:dyDescent="0.25">
      <c r="A6322" s="24" t="s">
        <v>129</v>
      </c>
      <c r="B6322" s="24" t="s">
        <v>144</v>
      </c>
      <c r="C6322" s="32">
        <v>80.015000000000001</v>
      </c>
      <c r="D6322" s="28">
        <v>5.0694444444444452E-2</v>
      </c>
    </row>
    <row r="6323" spans="1:4" x14ac:dyDescent="0.25">
      <c r="A6323" s="24" t="s">
        <v>129</v>
      </c>
      <c r="B6323" s="24" t="s">
        <v>145</v>
      </c>
      <c r="C6323" s="32">
        <v>31.776</v>
      </c>
      <c r="D6323" s="28">
        <v>2.4305555555555556E-2</v>
      </c>
    </row>
    <row r="6324" spans="1:4" x14ac:dyDescent="0.25">
      <c r="A6324" s="24" t="s">
        <v>129</v>
      </c>
      <c r="B6324" s="24" t="s">
        <v>146</v>
      </c>
      <c r="C6324" s="32">
        <v>47.234999999999999</v>
      </c>
      <c r="D6324" s="28">
        <v>3.1944444444444449E-2</v>
      </c>
    </row>
    <row r="6325" spans="1:4" x14ac:dyDescent="0.25">
      <c r="A6325" s="24" t="s">
        <v>129</v>
      </c>
      <c r="B6325" s="24" t="s">
        <v>147</v>
      </c>
      <c r="C6325" s="32">
        <v>8.4459999999999997</v>
      </c>
      <c r="D6325" s="28">
        <v>7.6388888888888886E-3</v>
      </c>
    </row>
    <row r="6326" spans="1:4" x14ac:dyDescent="0.25">
      <c r="A6326" s="24" t="s">
        <v>129</v>
      </c>
      <c r="B6326" s="24" t="s">
        <v>148</v>
      </c>
      <c r="C6326" s="32">
        <v>6.9349999999999996</v>
      </c>
      <c r="D6326" s="28">
        <v>6.9444444444444441E-3</v>
      </c>
    </row>
    <row r="6327" spans="1:4" x14ac:dyDescent="0.25">
      <c r="A6327" s="24" t="s">
        <v>129</v>
      </c>
      <c r="B6327" s="24" t="s">
        <v>149</v>
      </c>
      <c r="C6327" s="32">
        <v>6.85</v>
      </c>
      <c r="D6327" s="28">
        <v>8.3333333333333332E-3</v>
      </c>
    </row>
    <row r="6328" spans="1:4" x14ac:dyDescent="0.25">
      <c r="A6328" s="24" t="s">
        <v>129</v>
      </c>
      <c r="B6328" s="24" t="s">
        <v>150</v>
      </c>
      <c r="C6328" s="32">
        <v>15.906000000000001</v>
      </c>
      <c r="D6328" s="28">
        <v>1.8055555555555557E-2</v>
      </c>
    </row>
    <row r="6329" spans="1:4" x14ac:dyDescent="0.25">
      <c r="A6329" s="24" t="s">
        <v>129</v>
      </c>
      <c r="B6329" s="24" t="s">
        <v>151</v>
      </c>
      <c r="C6329" s="32">
        <v>14.651</v>
      </c>
      <c r="D6329" s="28">
        <v>1.7361111111111112E-2</v>
      </c>
    </row>
    <row r="6330" spans="1:4" x14ac:dyDescent="0.25">
      <c r="A6330" s="24" t="s">
        <v>129</v>
      </c>
      <c r="B6330" s="24" t="s">
        <v>152</v>
      </c>
      <c r="C6330" s="32">
        <v>22.462</v>
      </c>
      <c r="D6330" s="28">
        <v>2.013888888888889E-2</v>
      </c>
    </row>
    <row r="6331" spans="1:4" x14ac:dyDescent="0.25">
      <c r="A6331" s="24" t="s">
        <v>129</v>
      </c>
      <c r="B6331" s="24" t="s">
        <v>153</v>
      </c>
      <c r="C6331" s="32">
        <v>24.25</v>
      </c>
      <c r="D6331" s="28">
        <v>2.6388888888888889E-2</v>
      </c>
    </row>
    <row r="6332" spans="1:4" x14ac:dyDescent="0.25">
      <c r="A6332" s="24" t="s">
        <v>129</v>
      </c>
      <c r="B6332" s="24" t="s">
        <v>154</v>
      </c>
      <c r="C6332" s="32">
        <v>20.012</v>
      </c>
      <c r="D6332" s="28">
        <v>2.013888888888889E-2</v>
      </c>
    </row>
    <row r="6333" spans="1:4" x14ac:dyDescent="0.25">
      <c r="A6333" s="24" t="s">
        <v>129</v>
      </c>
      <c r="B6333" s="24" t="s">
        <v>155</v>
      </c>
      <c r="C6333" s="32">
        <v>15.768000000000001</v>
      </c>
      <c r="D6333" s="28">
        <v>1.8055555555555557E-2</v>
      </c>
    </row>
    <row r="6334" spans="1:4" x14ac:dyDescent="0.25">
      <c r="A6334" s="24" t="s">
        <v>129</v>
      </c>
      <c r="B6334" s="24" t="s">
        <v>156</v>
      </c>
      <c r="C6334" s="32">
        <v>15.752000000000001</v>
      </c>
      <c r="D6334" s="28">
        <v>1.8055555555555557E-2</v>
      </c>
    </row>
    <row r="6335" spans="1:4" x14ac:dyDescent="0.25">
      <c r="A6335" s="24" t="s">
        <v>129</v>
      </c>
      <c r="B6335" s="24" t="s">
        <v>157</v>
      </c>
      <c r="C6335" s="32">
        <v>23.294</v>
      </c>
      <c r="D6335" s="28">
        <v>2.0833333333333332E-2</v>
      </c>
    </row>
    <row r="6336" spans="1:4" x14ac:dyDescent="0.25">
      <c r="A6336" s="24" t="s">
        <v>129</v>
      </c>
      <c r="B6336" s="24" t="s">
        <v>158</v>
      </c>
      <c r="C6336" s="32">
        <v>34.048000000000002</v>
      </c>
      <c r="D6336" s="28">
        <v>2.8472222222222222E-2</v>
      </c>
    </row>
    <row r="6337" spans="1:4" x14ac:dyDescent="0.25">
      <c r="A6337" s="24" t="s">
        <v>129</v>
      </c>
      <c r="B6337" s="24" t="s">
        <v>159</v>
      </c>
      <c r="C6337" s="32">
        <v>39.417999999999999</v>
      </c>
      <c r="D6337" s="28">
        <v>3.4027777777777775E-2</v>
      </c>
    </row>
    <row r="6338" spans="1:4" x14ac:dyDescent="0.25">
      <c r="A6338" s="24" t="s">
        <v>130</v>
      </c>
      <c r="B6338" s="24" t="s">
        <v>65</v>
      </c>
      <c r="C6338" s="32">
        <v>14.943</v>
      </c>
      <c r="D6338" s="28">
        <v>1.3194444444444444E-2</v>
      </c>
    </row>
    <row r="6339" spans="1:4" x14ac:dyDescent="0.25">
      <c r="A6339" s="24" t="s">
        <v>130</v>
      </c>
      <c r="B6339" s="24" t="s">
        <v>64</v>
      </c>
      <c r="C6339" s="32">
        <v>5.1379999999999999</v>
      </c>
      <c r="D6339" s="28">
        <v>8.3333333333333332E-3</v>
      </c>
    </row>
    <row r="6340" spans="1:4" x14ac:dyDescent="0.25">
      <c r="A6340" s="24" t="s">
        <v>130</v>
      </c>
      <c r="B6340" s="24" t="s">
        <v>66</v>
      </c>
      <c r="C6340" s="32">
        <v>10.079000000000001</v>
      </c>
      <c r="D6340" s="28">
        <v>1.5277777777777777E-2</v>
      </c>
    </row>
    <row r="6341" spans="1:4" x14ac:dyDescent="0.25">
      <c r="A6341" s="24" t="s">
        <v>130</v>
      </c>
      <c r="B6341" s="24" t="s">
        <v>67</v>
      </c>
      <c r="C6341" s="32">
        <v>10.909000000000001</v>
      </c>
      <c r="D6341" s="28">
        <v>1.5277777777777777E-2</v>
      </c>
    </row>
    <row r="6342" spans="1:4" x14ac:dyDescent="0.25">
      <c r="A6342" s="24" t="s">
        <v>130</v>
      </c>
      <c r="B6342" s="24" t="s">
        <v>68</v>
      </c>
      <c r="C6342" s="32">
        <v>11.207000000000001</v>
      </c>
      <c r="D6342" s="28">
        <v>1.5972222222222224E-2</v>
      </c>
    </row>
    <row r="6343" spans="1:4" x14ac:dyDescent="0.25">
      <c r="A6343" s="24" t="s">
        <v>130</v>
      </c>
      <c r="B6343" s="24" t="s">
        <v>69</v>
      </c>
      <c r="C6343" s="32">
        <v>10.215</v>
      </c>
      <c r="D6343" s="28">
        <v>1.5277777777777777E-2</v>
      </c>
    </row>
    <row r="6344" spans="1:4" x14ac:dyDescent="0.25">
      <c r="A6344" s="24" t="s">
        <v>130</v>
      </c>
      <c r="B6344" s="24" t="s">
        <v>70</v>
      </c>
      <c r="C6344" s="32">
        <v>10.599</v>
      </c>
      <c r="D6344" s="28">
        <v>1.5277777777777777E-2</v>
      </c>
    </row>
    <row r="6345" spans="1:4" x14ac:dyDescent="0.25">
      <c r="A6345" s="24" t="s">
        <v>130</v>
      </c>
      <c r="B6345" s="24" t="s">
        <v>71</v>
      </c>
      <c r="C6345" s="32">
        <v>10.792</v>
      </c>
      <c r="D6345" s="28">
        <v>1.5277777777777777E-2</v>
      </c>
    </row>
    <row r="6346" spans="1:4" x14ac:dyDescent="0.25">
      <c r="A6346" s="24" t="s">
        <v>130</v>
      </c>
      <c r="B6346" s="24" t="s">
        <v>72</v>
      </c>
      <c r="C6346" s="32">
        <v>12.141999999999999</v>
      </c>
      <c r="D6346" s="28">
        <v>1.8055555555555557E-2</v>
      </c>
    </row>
    <row r="6347" spans="1:4" x14ac:dyDescent="0.25">
      <c r="A6347" s="24" t="s">
        <v>130</v>
      </c>
      <c r="B6347" s="24" t="s">
        <v>73</v>
      </c>
      <c r="C6347" s="32">
        <v>10.67</v>
      </c>
      <c r="D6347" s="28">
        <v>1.5277777777777777E-2</v>
      </c>
    </row>
    <row r="6348" spans="1:4" x14ac:dyDescent="0.25">
      <c r="A6348" s="24" t="s">
        <v>130</v>
      </c>
      <c r="B6348" s="24" t="s">
        <v>74</v>
      </c>
      <c r="C6348" s="32">
        <v>13.311999999999999</v>
      </c>
      <c r="D6348" s="28">
        <v>1.8055555555555557E-2</v>
      </c>
    </row>
    <row r="6349" spans="1:4" x14ac:dyDescent="0.25">
      <c r="A6349" s="24" t="s">
        <v>130</v>
      </c>
      <c r="B6349" s="24" t="s">
        <v>75</v>
      </c>
      <c r="C6349" s="32">
        <v>12.348000000000001</v>
      </c>
      <c r="D6349" s="28">
        <v>1.6666666666666666E-2</v>
      </c>
    </row>
    <row r="6350" spans="1:4" x14ac:dyDescent="0.25">
      <c r="A6350" s="24" t="s">
        <v>130</v>
      </c>
      <c r="B6350" s="24" t="s">
        <v>76</v>
      </c>
      <c r="C6350" s="32">
        <v>16.454999999999998</v>
      </c>
      <c r="D6350" s="28">
        <v>2.2222222222222223E-2</v>
      </c>
    </row>
    <row r="6351" spans="1:4" x14ac:dyDescent="0.25">
      <c r="A6351" s="24" t="s">
        <v>130</v>
      </c>
      <c r="B6351" s="24" t="s">
        <v>77</v>
      </c>
      <c r="C6351" s="32">
        <v>14.928000000000001</v>
      </c>
      <c r="D6351" s="28">
        <v>1.8749999999999999E-2</v>
      </c>
    </row>
    <row r="6352" spans="1:4" x14ac:dyDescent="0.25">
      <c r="A6352" s="24" t="s">
        <v>130</v>
      </c>
      <c r="B6352" s="24" t="s">
        <v>78</v>
      </c>
      <c r="C6352" s="32">
        <v>9.9689999999999994</v>
      </c>
      <c r="D6352" s="28">
        <v>1.5277777777777777E-2</v>
      </c>
    </row>
    <row r="6353" spans="1:4" x14ac:dyDescent="0.25">
      <c r="A6353" s="24" t="s">
        <v>130</v>
      </c>
      <c r="B6353" s="24" t="s">
        <v>79</v>
      </c>
      <c r="C6353" s="32">
        <v>28.335000000000001</v>
      </c>
      <c r="D6353" s="28">
        <v>3.1944444444444449E-2</v>
      </c>
    </row>
    <row r="6354" spans="1:4" x14ac:dyDescent="0.25">
      <c r="A6354" s="24" t="s">
        <v>130</v>
      </c>
      <c r="B6354" s="24" t="s">
        <v>80</v>
      </c>
      <c r="C6354" s="32">
        <v>18.167000000000002</v>
      </c>
      <c r="D6354" s="28">
        <v>1.5277777777777777E-2</v>
      </c>
    </row>
    <row r="6355" spans="1:4" x14ac:dyDescent="0.25">
      <c r="A6355" s="24" t="s">
        <v>130</v>
      </c>
      <c r="B6355" s="24" t="s">
        <v>81</v>
      </c>
      <c r="C6355" s="32">
        <v>22.689</v>
      </c>
      <c r="D6355" s="28">
        <v>1.8055555555555557E-2</v>
      </c>
    </row>
    <row r="6356" spans="1:4" x14ac:dyDescent="0.25">
      <c r="A6356" s="24" t="s">
        <v>130</v>
      </c>
      <c r="B6356" s="24" t="s">
        <v>82</v>
      </c>
      <c r="C6356" s="32">
        <v>22.741</v>
      </c>
      <c r="D6356" s="28">
        <v>1.8055555555555557E-2</v>
      </c>
    </row>
    <row r="6357" spans="1:4" x14ac:dyDescent="0.25">
      <c r="A6357" s="24" t="s">
        <v>130</v>
      </c>
      <c r="B6357" s="24" t="s">
        <v>83</v>
      </c>
      <c r="C6357" s="32">
        <v>7.7629999999999999</v>
      </c>
      <c r="D6357" s="28">
        <v>1.1111111111111112E-2</v>
      </c>
    </row>
    <row r="6358" spans="1:4" x14ac:dyDescent="0.25">
      <c r="A6358" s="24" t="s">
        <v>130</v>
      </c>
      <c r="B6358" s="24" t="s">
        <v>84</v>
      </c>
      <c r="C6358" s="32">
        <v>10.516999999999999</v>
      </c>
      <c r="D6358" s="28">
        <v>1.3888888888888888E-2</v>
      </c>
    </row>
    <row r="6359" spans="1:4" x14ac:dyDescent="0.25">
      <c r="A6359" s="24" t="s">
        <v>130</v>
      </c>
      <c r="B6359" s="24" t="s">
        <v>85</v>
      </c>
      <c r="C6359" s="32">
        <v>10.534000000000001</v>
      </c>
      <c r="D6359" s="28">
        <v>1.3194444444444444E-2</v>
      </c>
    </row>
    <row r="6360" spans="1:4" x14ac:dyDescent="0.25">
      <c r="A6360" s="24" t="s">
        <v>130</v>
      </c>
      <c r="B6360" s="24" t="s">
        <v>86</v>
      </c>
      <c r="C6360" s="32">
        <v>8.16</v>
      </c>
      <c r="D6360" s="28">
        <v>1.0416666666666666E-2</v>
      </c>
    </row>
    <row r="6361" spans="1:4" x14ac:dyDescent="0.25">
      <c r="A6361" s="24" t="s">
        <v>130</v>
      </c>
      <c r="B6361" s="24" t="s">
        <v>87</v>
      </c>
      <c r="C6361" s="32">
        <v>8.2750000000000004</v>
      </c>
      <c r="D6361" s="28">
        <v>1.1111111111111112E-2</v>
      </c>
    </row>
    <row r="6362" spans="1:4" x14ac:dyDescent="0.25">
      <c r="A6362" s="24" t="s">
        <v>130</v>
      </c>
      <c r="B6362" s="24" t="s">
        <v>88</v>
      </c>
      <c r="C6362" s="32">
        <v>9.6539999999999999</v>
      </c>
      <c r="D6362" s="28">
        <v>1.2499999999999999E-2</v>
      </c>
    </row>
    <row r="6363" spans="1:4" x14ac:dyDescent="0.25">
      <c r="A6363" s="24" t="s">
        <v>130</v>
      </c>
      <c r="B6363" s="24" t="s">
        <v>89</v>
      </c>
      <c r="C6363" s="32">
        <v>13.813000000000001</v>
      </c>
      <c r="D6363" s="28">
        <v>1.3888888888888888E-2</v>
      </c>
    </row>
    <row r="6364" spans="1:4" x14ac:dyDescent="0.25">
      <c r="A6364" s="24" t="s">
        <v>130</v>
      </c>
      <c r="B6364" s="24" t="s">
        <v>90</v>
      </c>
      <c r="C6364" s="32">
        <v>14.145</v>
      </c>
      <c r="D6364" s="28">
        <v>1.3888888888888888E-2</v>
      </c>
    </row>
    <row r="6365" spans="1:4" x14ac:dyDescent="0.25">
      <c r="A6365" s="24" t="s">
        <v>130</v>
      </c>
      <c r="B6365" s="24" t="s">
        <v>91</v>
      </c>
      <c r="C6365" s="32">
        <v>10.491</v>
      </c>
      <c r="D6365" s="28">
        <v>1.4583333333333332E-2</v>
      </c>
    </row>
    <row r="6366" spans="1:4" x14ac:dyDescent="0.25">
      <c r="A6366" s="24" t="s">
        <v>130</v>
      </c>
      <c r="B6366" s="24" t="s">
        <v>92</v>
      </c>
      <c r="C6366" s="32">
        <v>16.242999999999999</v>
      </c>
      <c r="D6366" s="28">
        <v>1.4583333333333332E-2</v>
      </c>
    </row>
    <row r="6367" spans="1:4" x14ac:dyDescent="0.25">
      <c r="A6367" s="24" t="s">
        <v>130</v>
      </c>
      <c r="B6367" s="24" t="s">
        <v>93</v>
      </c>
      <c r="C6367" s="32">
        <v>39.965000000000003</v>
      </c>
      <c r="D6367" s="28">
        <v>2.7777777777777776E-2</v>
      </c>
    </row>
    <row r="6368" spans="1:4" x14ac:dyDescent="0.25">
      <c r="A6368" s="24" t="s">
        <v>130</v>
      </c>
      <c r="B6368" s="24" t="s">
        <v>94</v>
      </c>
      <c r="C6368" s="32">
        <v>40.594000000000001</v>
      </c>
      <c r="D6368" s="28">
        <v>2.8472222222222222E-2</v>
      </c>
    </row>
    <row r="6369" spans="1:4" x14ac:dyDescent="0.25">
      <c r="A6369" s="24" t="s">
        <v>130</v>
      </c>
      <c r="B6369" s="24" t="s">
        <v>95</v>
      </c>
      <c r="C6369" s="32">
        <v>23.024999999999999</v>
      </c>
      <c r="D6369" s="28">
        <v>1.8749999999999999E-2</v>
      </c>
    </row>
    <row r="6370" spans="1:4" x14ac:dyDescent="0.25">
      <c r="A6370" s="24" t="s">
        <v>130</v>
      </c>
      <c r="B6370" s="24" t="s">
        <v>96</v>
      </c>
      <c r="C6370" s="32">
        <v>12.417</v>
      </c>
      <c r="D6370" s="28">
        <v>1.3888888888888888E-2</v>
      </c>
    </row>
    <row r="6371" spans="1:4" x14ac:dyDescent="0.25">
      <c r="A6371" s="24" t="s">
        <v>130</v>
      </c>
      <c r="B6371" s="24" t="s">
        <v>97</v>
      </c>
      <c r="C6371" s="32">
        <v>20.736000000000001</v>
      </c>
      <c r="D6371" s="28">
        <v>1.9444444444444445E-2</v>
      </c>
    </row>
    <row r="6372" spans="1:4" x14ac:dyDescent="0.25">
      <c r="A6372" s="24" t="s">
        <v>130</v>
      </c>
      <c r="B6372" s="24" t="s">
        <v>98</v>
      </c>
      <c r="C6372" s="32">
        <v>18.135999999999999</v>
      </c>
      <c r="D6372" s="28">
        <v>1.6666666666666666E-2</v>
      </c>
    </row>
    <row r="6373" spans="1:4" x14ac:dyDescent="0.25">
      <c r="A6373" s="24" t="s">
        <v>130</v>
      </c>
      <c r="B6373" s="24" t="s">
        <v>99</v>
      </c>
      <c r="C6373" s="32">
        <v>23.606999999999999</v>
      </c>
      <c r="D6373" s="28">
        <v>2.1527777777777781E-2</v>
      </c>
    </row>
    <row r="6374" spans="1:4" x14ac:dyDescent="0.25">
      <c r="A6374" s="24" t="s">
        <v>130</v>
      </c>
      <c r="B6374" s="24" t="s">
        <v>100</v>
      </c>
      <c r="C6374" s="32">
        <v>19.137</v>
      </c>
      <c r="D6374" s="28">
        <v>1.7361111111111112E-2</v>
      </c>
    </row>
    <row r="6375" spans="1:4" x14ac:dyDescent="0.25">
      <c r="A6375" s="24" t="s">
        <v>130</v>
      </c>
      <c r="B6375" s="24" t="s">
        <v>101</v>
      </c>
      <c r="C6375" s="32">
        <v>18.238</v>
      </c>
      <c r="D6375" s="28">
        <v>1.8055555555555557E-2</v>
      </c>
    </row>
    <row r="6376" spans="1:4" x14ac:dyDescent="0.25">
      <c r="A6376" s="24" t="s">
        <v>130</v>
      </c>
      <c r="B6376" s="24" t="s">
        <v>102</v>
      </c>
      <c r="C6376" s="32">
        <v>17.664999999999999</v>
      </c>
      <c r="D6376" s="28">
        <v>1.7361111111111112E-2</v>
      </c>
    </row>
    <row r="6377" spans="1:4" x14ac:dyDescent="0.25">
      <c r="A6377" s="24" t="s">
        <v>130</v>
      </c>
      <c r="B6377" s="24" t="s">
        <v>103</v>
      </c>
      <c r="C6377" s="32">
        <v>10.468</v>
      </c>
      <c r="D6377" s="28">
        <v>1.0416666666666666E-2</v>
      </c>
    </row>
    <row r="6378" spans="1:4" x14ac:dyDescent="0.25">
      <c r="A6378" s="24" t="s">
        <v>130</v>
      </c>
      <c r="B6378" s="24" t="s">
        <v>104</v>
      </c>
      <c r="C6378" s="32">
        <v>15.137</v>
      </c>
      <c r="D6378" s="28">
        <v>1.3888888888888888E-2</v>
      </c>
    </row>
    <row r="6379" spans="1:4" x14ac:dyDescent="0.25">
      <c r="A6379" s="24" t="s">
        <v>130</v>
      </c>
      <c r="B6379" s="24" t="s">
        <v>105</v>
      </c>
      <c r="C6379" s="32">
        <v>13.458</v>
      </c>
      <c r="D6379" s="28">
        <v>1.5277777777777777E-2</v>
      </c>
    </row>
    <row r="6380" spans="1:4" x14ac:dyDescent="0.25">
      <c r="A6380" s="24" t="s">
        <v>130</v>
      </c>
      <c r="B6380" s="24" t="s">
        <v>106</v>
      </c>
      <c r="C6380" s="32">
        <v>8.3040000000000003</v>
      </c>
      <c r="D6380" s="28">
        <v>9.0277777777777787E-3</v>
      </c>
    </row>
    <row r="6381" spans="1:4" x14ac:dyDescent="0.25">
      <c r="A6381" s="24" t="s">
        <v>130</v>
      </c>
      <c r="B6381" s="24" t="s">
        <v>107</v>
      </c>
      <c r="C6381" s="32">
        <v>17.631</v>
      </c>
      <c r="D6381" s="28">
        <v>2.013888888888889E-2</v>
      </c>
    </row>
    <row r="6382" spans="1:4" x14ac:dyDescent="0.25">
      <c r="A6382" s="24" t="s">
        <v>130</v>
      </c>
      <c r="B6382" s="24" t="s">
        <v>108</v>
      </c>
      <c r="C6382" s="32">
        <v>16.016999999999999</v>
      </c>
      <c r="D6382" s="28">
        <v>1.7361111111111112E-2</v>
      </c>
    </row>
    <row r="6383" spans="1:4" x14ac:dyDescent="0.25">
      <c r="A6383" s="24" t="s">
        <v>130</v>
      </c>
      <c r="B6383" s="24" t="s">
        <v>109</v>
      </c>
      <c r="C6383" s="32">
        <v>16.047000000000001</v>
      </c>
      <c r="D6383" s="28">
        <v>1.8055555555555557E-2</v>
      </c>
    </row>
    <row r="6384" spans="1:4" x14ac:dyDescent="0.25">
      <c r="A6384" s="24" t="s">
        <v>130</v>
      </c>
      <c r="B6384" s="24" t="s">
        <v>110</v>
      </c>
      <c r="C6384" s="32">
        <v>13.367000000000001</v>
      </c>
      <c r="D6384" s="28">
        <v>1.3888888888888888E-2</v>
      </c>
    </row>
    <row r="6385" spans="1:4" x14ac:dyDescent="0.25">
      <c r="A6385" s="24" t="s">
        <v>130</v>
      </c>
      <c r="B6385" s="24" t="s">
        <v>111</v>
      </c>
      <c r="C6385" s="32">
        <v>11.755000000000001</v>
      </c>
      <c r="D6385" s="28">
        <v>1.1111111111111112E-2</v>
      </c>
    </row>
    <row r="6386" spans="1:4" x14ac:dyDescent="0.25">
      <c r="A6386" s="24" t="s">
        <v>130</v>
      </c>
      <c r="B6386" s="24" t="s">
        <v>112</v>
      </c>
      <c r="C6386" s="32">
        <v>20.239000000000001</v>
      </c>
      <c r="D6386" s="28">
        <v>1.9444444444444445E-2</v>
      </c>
    </row>
    <row r="6387" spans="1:4" x14ac:dyDescent="0.25">
      <c r="A6387" s="24" t="s">
        <v>130</v>
      </c>
      <c r="B6387" s="24" t="s">
        <v>113</v>
      </c>
      <c r="C6387" s="32">
        <v>23.863</v>
      </c>
      <c r="D6387" s="28">
        <v>2.2222222222222223E-2</v>
      </c>
    </row>
    <row r="6388" spans="1:4" x14ac:dyDescent="0.25">
      <c r="A6388" s="24" t="s">
        <v>130</v>
      </c>
      <c r="B6388" s="24" t="s">
        <v>114</v>
      </c>
      <c r="C6388" s="32">
        <v>21.234000000000002</v>
      </c>
      <c r="D6388" s="28">
        <v>1.5972222222222224E-2</v>
      </c>
    </row>
    <row r="6389" spans="1:4" x14ac:dyDescent="0.25">
      <c r="A6389" s="24" t="s">
        <v>130</v>
      </c>
      <c r="B6389" s="24" t="s">
        <v>115</v>
      </c>
      <c r="C6389" s="32">
        <v>17.437999999999999</v>
      </c>
      <c r="D6389" s="28">
        <v>1.6666666666666666E-2</v>
      </c>
    </row>
    <row r="6390" spans="1:4" x14ac:dyDescent="0.25">
      <c r="A6390" s="24" t="s">
        <v>130</v>
      </c>
      <c r="B6390" s="24" t="s">
        <v>116</v>
      </c>
      <c r="C6390" s="32">
        <v>15.324999999999999</v>
      </c>
      <c r="D6390" s="28">
        <v>1.4583333333333332E-2</v>
      </c>
    </row>
    <row r="6391" spans="1:4" x14ac:dyDescent="0.25">
      <c r="A6391" s="24" t="s">
        <v>130</v>
      </c>
      <c r="B6391" s="24" t="s">
        <v>117</v>
      </c>
      <c r="C6391" s="32">
        <v>22.529</v>
      </c>
      <c r="D6391" s="28">
        <v>1.9444444444444445E-2</v>
      </c>
    </row>
    <row r="6392" spans="1:4" x14ac:dyDescent="0.25">
      <c r="A6392" s="24" t="s">
        <v>130</v>
      </c>
      <c r="B6392" s="24" t="s">
        <v>118</v>
      </c>
      <c r="C6392" s="32">
        <v>22.248000000000001</v>
      </c>
      <c r="D6392" s="28">
        <v>1.8749999999999999E-2</v>
      </c>
    </row>
    <row r="6393" spans="1:4" x14ac:dyDescent="0.25">
      <c r="A6393" s="24" t="s">
        <v>130</v>
      </c>
      <c r="B6393" s="24" t="s">
        <v>119</v>
      </c>
      <c r="C6393" s="32">
        <v>36.332999999999998</v>
      </c>
      <c r="D6393" s="28">
        <v>2.5694444444444447E-2</v>
      </c>
    </row>
    <row r="6394" spans="1:4" x14ac:dyDescent="0.25">
      <c r="A6394" s="24" t="s">
        <v>130</v>
      </c>
      <c r="B6394" s="24" t="s">
        <v>120</v>
      </c>
      <c r="C6394" s="32">
        <v>39.122999999999998</v>
      </c>
      <c r="D6394" s="28">
        <v>2.9166666666666664E-2</v>
      </c>
    </row>
    <row r="6395" spans="1:4" x14ac:dyDescent="0.25">
      <c r="A6395" s="24" t="s">
        <v>130</v>
      </c>
      <c r="B6395" s="24" t="s">
        <v>121</v>
      </c>
      <c r="C6395" s="32">
        <v>53.473999999999997</v>
      </c>
      <c r="D6395" s="28">
        <v>3.6111111111111115E-2</v>
      </c>
    </row>
    <row r="6396" spans="1:4" x14ac:dyDescent="0.25">
      <c r="A6396" s="24" t="s">
        <v>130</v>
      </c>
      <c r="B6396" s="24" t="s">
        <v>122</v>
      </c>
      <c r="C6396" s="32">
        <v>38.835999999999999</v>
      </c>
      <c r="D6396" s="28">
        <v>2.6388888888888889E-2</v>
      </c>
    </row>
    <row r="6397" spans="1:4" x14ac:dyDescent="0.25">
      <c r="A6397" s="24" t="s">
        <v>130</v>
      </c>
      <c r="B6397" s="24" t="s">
        <v>123</v>
      </c>
      <c r="C6397" s="32">
        <v>47.058999999999997</v>
      </c>
      <c r="D6397" s="28">
        <v>3.2638888888888891E-2</v>
      </c>
    </row>
    <row r="6398" spans="1:4" x14ac:dyDescent="0.25">
      <c r="A6398" s="24" t="s">
        <v>130</v>
      </c>
      <c r="B6398" s="24" t="s">
        <v>124</v>
      </c>
      <c r="C6398" s="32">
        <v>47.058999999999997</v>
      </c>
      <c r="D6398" s="28">
        <v>3.2638888888888891E-2</v>
      </c>
    </row>
    <row r="6399" spans="1:4" x14ac:dyDescent="0.25">
      <c r="A6399" s="24" t="s">
        <v>130</v>
      </c>
      <c r="B6399" s="24" t="s">
        <v>125</v>
      </c>
      <c r="C6399" s="32">
        <v>0.47499999999999998</v>
      </c>
      <c r="D6399" s="28">
        <v>6.9444444444444447E-4</v>
      </c>
    </row>
    <row r="6400" spans="1:4" x14ac:dyDescent="0.25">
      <c r="A6400" s="24" t="s">
        <v>130</v>
      </c>
      <c r="B6400" s="24" t="s">
        <v>126</v>
      </c>
      <c r="C6400" s="32">
        <v>2.23</v>
      </c>
      <c r="D6400" s="28">
        <v>4.1666666666666666E-3</v>
      </c>
    </row>
    <row r="6401" spans="1:4" x14ac:dyDescent="0.25">
      <c r="A6401" s="24" t="s">
        <v>130</v>
      </c>
      <c r="B6401" s="24" t="s">
        <v>127</v>
      </c>
      <c r="C6401" s="32">
        <v>1.5649999999999999</v>
      </c>
      <c r="D6401" s="28">
        <v>3.472222222222222E-3</v>
      </c>
    </row>
    <row r="6402" spans="1:4" x14ac:dyDescent="0.25">
      <c r="A6402" s="24" t="s">
        <v>130</v>
      </c>
      <c r="B6402" s="24" t="s">
        <v>128</v>
      </c>
      <c r="C6402" s="32">
        <v>1.9550000000000001</v>
      </c>
      <c r="D6402" s="28">
        <v>3.472222222222222E-3</v>
      </c>
    </row>
    <row r="6403" spans="1:4" x14ac:dyDescent="0.25">
      <c r="A6403" s="24" t="s">
        <v>130</v>
      </c>
      <c r="B6403" s="24" t="s">
        <v>129</v>
      </c>
      <c r="C6403" s="32">
        <v>1.9550000000000001</v>
      </c>
      <c r="D6403" s="28">
        <v>3.472222222222222E-3</v>
      </c>
    </row>
    <row r="6404" spans="1:4" x14ac:dyDescent="0.25">
      <c r="A6404" s="24" t="s">
        <v>130</v>
      </c>
      <c r="B6404" s="24" t="s">
        <v>130</v>
      </c>
      <c r="C6404" s="32">
        <v>0</v>
      </c>
      <c r="D6404" s="28">
        <v>0</v>
      </c>
    </row>
    <row r="6405" spans="1:4" x14ac:dyDescent="0.25">
      <c r="A6405" s="24" t="s">
        <v>130</v>
      </c>
      <c r="B6405" s="24" t="s">
        <v>131</v>
      </c>
      <c r="C6405" s="32">
        <v>3.9540000000000002</v>
      </c>
      <c r="D6405" s="28">
        <v>6.9444444444444441E-3</v>
      </c>
    </row>
    <row r="6406" spans="1:4" x14ac:dyDescent="0.25">
      <c r="A6406" s="24" t="s">
        <v>130</v>
      </c>
      <c r="B6406" s="24" t="s">
        <v>132</v>
      </c>
      <c r="C6406" s="32">
        <v>7.585</v>
      </c>
      <c r="D6406" s="28">
        <v>1.0416666666666666E-2</v>
      </c>
    </row>
    <row r="6407" spans="1:4" x14ac:dyDescent="0.25">
      <c r="A6407" s="24" t="s">
        <v>130</v>
      </c>
      <c r="B6407" s="24" t="s">
        <v>133</v>
      </c>
      <c r="C6407" s="32">
        <v>12.923</v>
      </c>
      <c r="D6407" s="28">
        <v>1.6666666666666666E-2</v>
      </c>
    </row>
    <row r="6408" spans="1:4" x14ac:dyDescent="0.25">
      <c r="A6408" s="24" t="s">
        <v>130</v>
      </c>
      <c r="B6408" s="24" t="s">
        <v>134</v>
      </c>
      <c r="C6408" s="32">
        <v>12.457000000000001</v>
      </c>
      <c r="D6408" s="28">
        <v>1.5972222222222224E-2</v>
      </c>
    </row>
    <row r="6409" spans="1:4" x14ac:dyDescent="0.25">
      <c r="A6409" s="24" t="s">
        <v>130</v>
      </c>
      <c r="B6409" s="24" t="s">
        <v>135</v>
      </c>
      <c r="C6409" s="32">
        <v>13.788</v>
      </c>
      <c r="D6409" s="28">
        <v>1.6666666666666666E-2</v>
      </c>
    </row>
    <row r="6410" spans="1:4" x14ac:dyDescent="0.25">
      <c r="A6410" s="24" t="s">
        <v>130</v>
      </c>
      <c r="B6410" s="24" t="s">
        <v>136</v>
      </c>
      <c r="C6410" s="32">
        <v>13.788</v>
      </c>
      <c r="D6410" s="28">
        <v>1.6666666666666666E-2</v>
      </c>
    </row>
    <row r="6411" spans="1:4" x14ac:dyDescent="0.25">
      <c r="A6411" s="24" t="s">
        <v>130</v>
      </c>
      <c r="B6411" s="24" t="s">
        <v>137</v>
      </c>
      <c r="C6411" s="32">
        <v>13.69</v>
      </c>
      <c r="D6411" s="28">
        <v>1.6666666666666666E-2</v>
      </c>
    </row>
    <row r="6412" spans="1:4" x14ac:dyDescent="0.25">
      <c r="A6412" s="24" t="s">
        <v>130</v>
      </c>
      <c r="B6412" s="24" t="s">
        <v>138</v>
      </c>
      <c r="C6412" s="32">
        <v>17.946000000000002</v>
      </c>
      <c r="D6412" s="28">
        <v>1.8055555555555557E-2</v>
      </c>
    </row>
    <row r="6413" spans="1:4" x14ac:dyDescent="0.25">
      <c r="A6413" s="24" t="s">
        <v>130</v>
      </c>
      <c r="B6413" s="24" t="s">
        <v>139</v>
      </c>
      <c r="C6413" s="32">
        <v>28.067</v>
      </c>
      <c r="D6413" s="28">
        <v>2.361111111111111E-2</v>
      </c>
    </row>
    <row r="6414" spans="1:4" x14ac:dyDescent="0.25">
      <c r="A6414" s="24" t="s">
        <v>130</v>
      </c>
      <c r="B6414" s="24" t="s">
        <v>140</v>
      </c>
      <c r="C6414" s="32">
        <v>22.283000000000001</v>
      </c>
      <c r="D6414" s="28">
        <v>2.4305555555555556E-2</v>
      </c>
    </row>
    <row r="6415" spans="1:4" x14ac:dyDescent="0.25">
      <c r="A6415" s="24" t="s">
        <v>130</v>
      </c>
      <c r="B6415" s="24" t="s">
        <v>141</v>
      </c>
      <c r="C6415" s="32">
        <v>52.777999999999999</v>
      </c>
      <c r="D6415" s="28">
        <v>4.3055555555555562E-2</v>
      </c>
    </row>
    <row r="6416" spans="1:4" x14ac:dyDescent="0.25">
      <c r="A6416" s="24" t="s">
        <v>130</v>
      </c>
      <c r="B6416" s="24" t="s">
        <v>142</v>
      </c>
      <c r="C6416" s="32">
        <v>50.866</v>
      </c>
      <c r="D6416" s="28">
        <v>3.5416666666666666E-2</v>
      </c>
    </row>
    <row r="6417" spans="1:4" x14ac:dyDescent="0.25">
      <c r="A6417" s="24" t="s">
        <v>130</v>
      </c>
      <c r="B6417" s="24" t="s">
        <v>143</v>
      </c>
      <c r="C6417" s="32">
        <v>69.244</v>
      </c>
      <c r="D6417" s="28">
        <v>4.3055555555555562E-2</v>
      </c>
    </row>
    <row r="6418" spans="1:4" x14ac:dyDescent="0.25">
      <c r="A6418" s="24" t="s">
        <v>130</v>
      </c>
      <c r="B6418" s="24" t="s">
        <v>144</v>
      </c>
      <c r="C6418" s="32">
        <v>88.36</v>
      </c>
      <c r="D6418" s="28">
        <v>5.347222222222222E-2</v>
      </c>
    </row>
    <row r="6419" spans="1:4" x14ac:dyDescent="0.25">
      <c r="A6419" s="24" t="s">
        <v>130</v>
      </c>
      <c r="B6419" s="24" t="s">
        <v>145</v>
      </c>
      <c r="C6419" s="32">
        <v>32.753</v>
      </c>
      <c r="D6419" s="28">
        <v>2.7083333333333334E-2</v>
      </c>
    </row>
    <row r="6420" spans="1:4" x14ac:dyDescent="0.25">
      <c r="A6420" s="24" t="s">
        <v>130</v>
      </c>
      <c r="B6420" s="24" t="s">
        <v>146</v>
      </c>
      <c r="C6420" s="32">
        <v>48.212000000000003</v>
      </c>
      <c r="D6420" s="28">
        <v>3.4722222222222224E-2</v>
      </c>
    </row>
    <row r="6421" spans="1:4" x14ac:dyDescent="0.25">
      <c r="A6421" s="24" t="s">
        <v>130</v>
      </c>
      <c r="B6421" s="24" t="s">
        <v>147</v>
      </c>
      <c r="C6421" s="32">
        <v>8.2050000000000001</v>
      </c>
      <c r="D6421" s="28">
        <v>8.3333333333333332E-3</v>
      </c>
    </row>
    <row r="6422" spans="1:4" x14ac:dyDescent="0.25">
      <c r="A6422" s="24" t="s">
        <v>130</v>
      </c>
      <c r="B6422" s="24" t="s">
        <v>148</v>
      </c>
      <c r="C6422" s="32">
        <v>3.355</v>
      </c>
      <c r="D6422" s="28">
        <v>7.6388888888888886E-3</v>
      </c>
    </row>
    <row r="6423" spans="1:4" x14ac:dyDescent="0.25">
      <c r="A6423" s="24" t="s">
        <v>130</v>
      </c>
      <c r="B6423" s="24" t="s">
        <v>149</v>
      </c>
      <c r="C6423" s="32">
        <v>7.6909999999999998</v>
      </c>
      <c r="D6423" s="28">
        <v>1.0416666666666666E-2</v>
      </c>
    </row>
    <row r="6424" spans="1:4" x14ac:dyDescent="0.25">
      <c r="A6424" s="24" t="s">
        <v>130</v>
      </c>
      <c r="B6424" s="24" t="s">
        <v>150</v>
      </c>
      <c r="C6424" s="32">
        <v>17.178000000000001</v>
      </c>
      <c r="D6424" s="28">
        <v>1.9444444444444445E-2</v>
      </c>
    </row>
    <row r="6425" spans="1:4" x14ac:dyDescent="0.25">
      <c r="A6425" s="24" t="s">
        <v>130</v>
      </c>
      <c r="B6425" s="24" t="s">
        <v>151</v>
      </c>
      <c r="C6425" s="32">
        <v>16.436</v>
      </c>
      <c r="D6425" s="28">
        <v>1.9444444444444445E-2</v>
      </c>
    </row>
    <row r="6426" spans="1:4" x14ac:dyDescent="0.25">
      <c r="A6426" s="24" t="s">
        <v>130</v>
      </c>
      <c r="B6426" s="24" t="s">
        <v>152</v>
      </c>
      <c r="C6426" s="32">
        <v>23.303000000000001</v>
      </c>
      <c r="D6426" s="28">
        <v>2.2916666666666669E-2</v>
      </c>
    </row>
    <row r="6427" spans="1:4" x14ac:dyDescent="0.25">
      <c r="A6427" s="24" t="s">
        <v>130</v>
      </c>
      <c r="B6427" s="24" t="s">
        <v>153</v>
      </c>
      <c r="C6427" s="32">
        <v>26.035</v>
      </c>
      <c r="D6427" s="28">
        <v>2.8472222222222222E-2</v>
      </c>
    </row>
    <row r="6428" spans="1:4" x14ac:dyDescent="0.25">
      <c r="A6428" s="24" t="s">
        <v>130</v>
      </c>
      <c r="B6428" s="24" t="s">
        <v>154</v>
      </c>
      <c r="C6428" s="32">
        <v>20.853000000000002</v>
      </c>
      <c r="D6428" s="28">
        <v>2.2222222222222223E-2</v>
      </c>
    </row>
    <row r="6429" spans="1:4" x14ac:dyDescent="0.25">
      <c r="A6429" s="24" t="s">
        <v>130</v>
      </c>
      <c r="B6429" s="24" t="s">
        <v>155</v>
      </c>
      <c r="C6429" s="32">
        <v>17.04</v>
      </c>
      <c r="D6429" s="28">
        <v>2.013888888888889E-2</v>
      </c>
    </row>
    <row r="6430" spans="1:4" x14ac:dyDescent="0.25">
      <c r="A6430" s="24" t="s">
        <v>130</v>
      </c>
      <c r="B6430" s="24" t="s">
        <v>156</v>
      </c>
      <c r="C6430" s="32">
        <v>17.024000000000001</v>
      </c>
      <c r="D6430" s="28">
        <v>1.9444444444444445E-2</v>
      </c>
    </row>
    <row r="6431" spans="1:4" x14ac:dyDescent="0.25">
      <c r="A6431" s="24" t="s">
        <v>130</v>
      </c>
      <c r="B6431" s="24" t="s">
        <v>157</v>
      </c>
      <c r="C6431" s="32">
        <v>24.135000000000002</v>
      </c>
      <c r="D6431" s="28">
        <v>2.361111111111111E-2</v>
      </c>
    </row>
    <row r="6432" spans="1:4" x14ac:dyDescent="0.25">
      <c r="A6432" s="24" t="s">
        <v>130</v>
      </c>
      <c r="B6432" s="24" t="s">
        <v>158</v>
      </c>
      <c r="C6432" s="32">
        <v>34.889000000000003</v>
      </c>
      <c r="D6432" s="28">
        <v>3.0555555555555555E-2</v>
      </c>
    </row>
    <row r="6433" spans="1:4" x14ac:dyDescent="0.25">
      <c r="A6433" s="24" t="s">
        <v>130</v>
      </c>
      <c r="B6433" s="24" t="s">
        <v>159</v>
      </c>
      <c r="C6433" s="32">
        <v>40.259</v>
      </c>
      <c r="D6433" s="28">
        <v>3.6111111111111115E-2</v>
      </c>
    </row>
    <row r="6434" spans="1:4" x14ac:dyDescent="0.25">
      <c r="A6434" s="24" t="s">
        <v>131</v>
      </c>
      <c r="B6434" s="24" t="s">
        <v>65</v>
      </c>
      <c r="C6434" s="32">
        <v>13.683</v>
      </c>
      <c r="D6434" s="28">
        <v>1.3888888888888888E-2</v>
      </c>
    </row>
    <row r="6435" spans="1:4" x14ac:dyDescent="0.25">
      <c r="A6435" s="24" t="s">
        <v>131</v>
      </c>
      <c r="B6435" s="24" t="s">
        <v>64</v>
      </c>
      <c r="C6435" s="32">
        <v>8.0980000000000008</v>
      </c>
      <c r="D6435" s="28">
        <v>1.1111111111111112E-2</v>
      </c>
    </row>
    <row r="6436" spans="1:4" x14ac:dyDescent="0.25">
      <c r="A6436" s="24" t="s">
        <v>131</v>
      </c>
      <c r="B6436" s="24" t="s">
        <v>66</v>
      </c>
      <c r="C6436" s="32">
        <v>12.807</v>
      </c>
      <c r="D6436" s="28">
        <v>1.6666666666666666E-2</v>
      </c>
    </row>
    <row r="6437" spans="1:4" x14ac:dyDescent="0.25">
      <c r="A6437" s="24" t="s">
        <v>131</v>
      </c>
      <c r="B6437" s="24" t="s">
        <v>67</v>
      </c>
      <c r="C6437" s="32">
        <v>13.869</v>
      </c>
      <c r="D6437" s="28">
        <v>1.8055555555555557E-2</v>
      </c>
    </row>
    <row r="6438" spans="1:4" x14ac:dyDescent="0.25">
      <c r="A6438" s="24" t="s">
        <v>131</v>
      </c>
      <c r="B6438" s="24" t="s">
        <v>68</v>
      </c>
      <c r="C6438" s="32">
        <v>12.337999999999999</v>
      </c>
      <c r="D6438" s="28">
        <v>1.8055555555555557E-2</v>
      </c>
    </row>
    <row r="6439" spans="1:4" x14ac:dyDescent="0.25">
      <c r="A6439" s="24" t="s">
        <v>131</v>
      </c>
      <c r="B6439" s="24" t="s">
        <v>69</v>
      </c>
      <c r="C6439" s="32">
        <v>11.346</v>
      </c>
      <c r="D6439" s="28">
        <v>1.6666666666666666E-2</v>
      </c>
    </row>
    <row r="6440" spans="1:4" x14ac:dyDescent="0.25">
      <c r="A6440" s="24" t="s">
        <v>131</v>
      </c>
      <c r="B6440" s="24" t="s">
        <v>70</v>
      </c>
      <c r="C6440" s="32">
        <v>11.734999999999999</v>
      </c>
      <c r="D6440" s="28">
        <v>1.7361111111111112E-2</v>
      </c>
    </row>
    <row r="6441" spans="1:4" x14ac:dyDescent="0.25">
      <c r="A6441" s="24" t="s">
        <v>131</v>
      </c>
      <c r="B6441" s="24" t="s">
        <v>71</v>
      </c>
      <c r="C6441" s="32">
        <v>11.923</v>
      </c>
      <c r="D6441" s="28">
        <v>1.7361111111111112E-2</v>
      </c>
    </row>
    <row r="6442" spans="1:4" x14ac:dyDescent="0.25">
      <c r="A6442" s="24" t="s">
        <v>131</v>
      </c>
      <c r="B6442" s="24" t="s">
        <v>72</v>
      </c>
      <c r="C6442" s="32">
        <v>15.102</v>
      </c>
      <c r="D6442" s="28">
        <v>2.0833333333333332E-2</v>
      </c>
    </row>
    <row r="6443" spans="1:4" x14ac:dyDescent="0.25">
      <c r="A6443" s="24" t="s">
        <v>131</v>
      </c>
      <c r="B6443" s="24" t="s">
        <v>73</v>
      </c>
      <c r="C6443" s="32">
        <v>13.63</v>
      </c>
      <c r="D6443" s="28">
        <v>1.8055555555555557E-2</v>
      </c>
    </row>
    <row r="6444" spans="1:4" x14ac:dyDescent="0.25">
      <c r="A6444" s="24" t="s">
        <v>131</v>
      </c>
      <c r="B6444" s="24" t="s">
        <v>74</v>
      </c>
      <c r="C6444" s="32">
        <v>16.271999999999998</v>
      </c>
      <c r="D6444" s="28">
        <v>2.0833333333333332E-2</v>
      </c>
    </row>
    <row r="6445" spans="1:4" x14ac:dyDescent="0.25">
      <c r="A6445" s="24" t="s">
        <v>131</v>
      </c>
      <c r="B6445" s="24" t="s">
        <v>75</v>
      </c>
      <c r="C6445" s="32">
        <v>15.308</v>
      </c>
      <c r="D6445" s="28">
        <v>1.9444444444444445E-2</v>
      </c>
    </row>
    <row r="6446" spans="1:4" x14ac:dyDescent="0.25">
      <c r="A6446" s="24" t="s">
        <v>131</v>
      </c>
      <c r="B6446" s="24" t="s">
        <v>76</v>
      </c>
      <c r="C6446" s="32">
        <v>19.414999999999999</v>
      </c>
      <c r="D6446" s="28">
        <v>2.4999999999999998E-2</v>
      </c>
    </row>
    <row r="6447" spans="1:4" x14ac:dyDescent="0.25">
      <c r="A6447" s="24" t="s">
        <v>131</v>
      </c>
      <c r="B6447" s="24" t="s">
        <v>77</v>
      </c>
      <c r="C6447" s="32">
        <v>17.655999999999999</v>
      </c>
      <c r="D6447" s="28">
        <v>2.0833333333333332E-2</v>
      </c>
    </row>
    <row r="6448" spans="1:4" x14ac:dyDescent="0.25">
      <c r="A6448" s="24" t="s">
        <v>131</v>
      </c>
      <c r="B6448" s="24" t="s">
        <v>78</v>
      </c>
      <c r="C6448" s="32">
        <v>12.696999999999999</v>
      </c>
      <c r="D6448" s="28">
        <v>1.7361111111111112E-2</v>
      </c>
    </row>
    <row r="6449" spans="1:4" x14ac:dyDescent="0.25">
      <c r="A6449" s="24" t="s">
        <v>131</v>
      </c>
      <c r="B6449" s="24" t="s">
        <v>79</v>
      </c>
      <c r="C6449" s="32">
        <v>31.062999999999999</v>
      </c>
      <c r="D6449" s="28">
        <v>3.4027777777777775E-2</v>
      </c>
    </row>
    <row r="6450" spans="1:4" x14ac:dyDescent="0.25">
      <c r="A6450" s="24" t="s">
        <v>131</v>
      </c>
      <c r="B6450" s="24" t="s">
        <v>80</v>
      </c>
      <c r="C6450" s="32">
        <v>16.907</v>
      </c>
      <c r="D6450" s="28">
        <v>1.5972222222222224E-2</v>
      </c>
    </row>
    <row r="6451" spans="1:4" x14ac:dyDescent="0.25">
      <c r="A6451" s="24" t="s">
        <v>131</v>
      </c>
      <c r="B6451" s="24" t="s">
        <v>81</v>
      </c>
      <c r="C6451" s="32">
        <v>21.428999999999998</v>
      </c>
      <c r="D6451" s="28">
        <v>1.8055555555555557E-2</v>
      </c>
    </row>
    <row r="6452" spans="1:4" x14ac:dyDescent="0.25">
      <c r="A6452" s="24" t="s">
        <v>131</v>
      </c>
      <c r="B6452" s="24" t="s">
        <v>82</v>
      </c>
      <c r="C6452" s="32">
        <v>21.481000000000002</v>
      </c>
      <c r="D6452" s="28">
        <v>1.8055555555555557E-2</v>
      </c>
    </row>
    <row r="6453" spans="1:4" x14ac:dyDescent="0.25">
      <c r="A6453" s="24" t="s">
        <v>131</v>
      </c>
      <c r="B6453" s="24" t="s">
        <v>83</v>
      </c>
      <c r="C6453" s="32">
        <v>8.2149999999999999</v>
      </c>
      <c r="D6453" s="28">
        <v>1.3194444444444444E-2</v>
      </c>
    </row>
    <row r="6454" spans="1:4" x14ac:dyDescent="0.25">
      <c r="A6454" s="24" t="s">
        <v>131</v>
      </c>
      <c r="B6454" s="24" t="s">
        <v>84</v>
      </c>
      <c r="C6454" s="32">
        <v>13.477</v>
      </c>
      <c r="D6454" s="28">
        <v>1.6666666666666666E-2</v>
      </c>
    </row>
    <row r="6455" spans="1:4" x14ac:dyDescent="0.25">
      <c r="A6455" s="24" t="s">
        <v>131</v>
      </c>
      <c r="B6455" s="24" t="s">
        <v>85</v>
      </c>
      <c r="C6455" s="32">
        <v>13.494</v>
      </c>
      <c r="D6455" s="28">
        <v>1.5972222222222224E-2</v>
      </c>
    </row>
    <row r="6456" spans="1:4" x14ac:dyDescent="0.25">
      <c r="A6456" s="24" t="s">
        <v>131</v>
      </c>
      <c r="B6456" s="24" t="s">
        <v>86</v>
      </c>
      <c r="C6456" s="32">
        <v>11.12</v>
      </c>
      <c r="D6456" s="28">
        <v>1.3194444444444444E-2</v>
      </c>
    </row>
    <row r="6457" spans="1:4" x14ac:dyDescent="0.25">
      <c r="A6457" s="24" t="s">
        <v>131</v>
      </c>
      <c r="B6457" s="24" t="s">
        <v>87</v>
      </c>
      <c r="C6457" s="32">
        <v>11.234999999999999</v>
      </c>
      <c r="D6457" s="28">
        <v>1.3888888888888888E-2</v>
      </c>
    </row>
    <row r="6458" spans="1:4" x14ac:dyDescent="0.25">
      <c r="A6458" s="24" t="s">
        <v>131</v>
      </c>
      <c r="B6458" s="24" t="s">
        <v>88</v>
      </c>
      <c r="C6458" s="32">
        <v>12.614000000000001</v>
      </c>
      <c r="D6458" s="28">
        <v>1.5277777777777777E-2</v>
      </c>
    </row>
    <row r="6459" spans="1:4" x14ac:dyDescent="0.25">
      <c r="A6459" s="24" t="s">
        <v>131</v>
      </c>
      <c r="B6459" s="24" t="s">
        <v>89</v>
      </c>
      <c r="C6459" s="32">
        <v>12.553000000000001</v>
      </c>
      <c r="D6459" s="28">
        <v>1.4583333333333332E-2</v>
      </c>
    </row>
    <row r="6460" spans="1:4" x14ac:dyDescent="0.25">
      <c r="A6460" s="24" t="s">
        <v>131</v>
      </c>
      <c r="B6460" s="24" t="s">
        <v>90</v>
      </c>
      <c r="C6460" s="32">
        <v>12.885</v>
      </c>
      <c r="D6460" s="28">
        <v>1.4583333333333332E-2</v>
      </c>
    </row>
    <row r="6461" spans="1:4" x14ac:dyDescent="0.25">
      <c r="A6461" s="24" t="s">
        <v>131</v>
      </c>
      <c r="B6461" s="24" t="s">
        <v>91</v>
      </c>
      <c r="C6461" s="32">
        <v>9.2309999999999999</v>
      </c>
      <c r="D6461" s="28">
        <v>1.5277777777777777E-2</v>
      </c>
    </row>
    <row r="6462" spans="1:4" x14ac:dyDescent="0.25">
      <c r="A6462" s="24" t="s">
        <v>131</v>
      </c>
      <c r="B6462" s="24" t="s">
        <v>92</v>
      </c>
      <c r="C6462" s="32">
        <v>14.983000000000001</v>
      </c>
      <c r="D6462" s="28">
        <v>1.5277777777777777E-2</v>
      </c>
    </row>
    <row r="6463" spans="1:4" x14ac:dyDescent="0.25">
      <c r="A6463" s="24" t="s">
        <v>131</v>
      </c>
      <c r="B6463" s="24" t="s">
        <v>93</v>
      </c>
      <c r="C6463" s="32">
        <v>38.704999999999998</v>
      </c>
      <c r="D6463" s="28">
        <v>2.7777777777777776E-2</v>
      </c>
    </row>
    <row r="6464" spans="1:4" x14ac:dyDescent="0.25">
      <c r="A6464" s="24" t="s">
        <v>131</v>
      </c>
      <c r="B6464" s="24" t="s">
        <v>94</v>
      </c>
      <c r="C6464" s="32">
        <v>39.334000000000003</v>
      </c>
      <c r="D6464" s="28">
        <v>2.8472222222222222E-2</v>
      </c>
    </row>
    <row r="6465" spans="1:4" x14ac:dyDescent="0.25">
      <c r="A6465" s="24" t="s">
        <v>131</v>
      </c>
      <c r="B6465" s="24" t="s">
        <v>95</v>
      </c>
      <c r="C6465" s="32">
        <v>21.765000000000001</v>
      </c>
      <c r="D6465" s="28">
        <v>1.9444444444444445E-2</v>
      </c>
    </row>
    <row r="6466" spans="1:4" x14ac:dyDescent="0.25">
      <c r="A6466" s="24" t="s">
        <v>131</v>
      </c>
      <c r="B6466" s="24" t="s">
        <v>96</v>
      </c>
      <c r="C6466" s="32">
        <v>11.266</v>
      </c>
      <c r="D6466" s="28">
        <v>1.3888888888888888E-2</v>
      </c>
    </row>
    <row r="6467" spans="1:4" x14ac:dyDescent="0.25">
      <c r="A6467" s="24" t="s">
        <v>131</v>
      </c>
      <c r="B6467" s="24" t="s">
        <v>97</v>
      </c>
      <c r="C6467" s="32">
        <v>19.585000000000001</v>
      </c>
      <c r="D6467" s="28">
        <v>2.013888888888889E-2</v>
      </c>
    </row>
    <row r="6468" spans="1:4" x14ac:dyDescent="0.25">
      <c r="A6468" s="24" t="s">
        <v>131</v>
      </c>
      <c r="B6468" s="24" t="s">
        <v>98</v>
      </c>
      <c r="C6468" s="32">
        <v>16.658999999999999</v>
      </c>
      <c r="D6468" s="28">
        <v>1.5277777777777777E-2</v>
      </c>
    </row>
    <row r="6469" spans="1:4" x14ac:dyDescent="0.25">
      <c r="A6469" s="24" t="s">
        <v>131</v>
      </c>
      <c r="B6469" s="24" t="s">
        <v>99</v>
      </c>
      <c r="C6469" s="32">
        <v>22.13</v>
      </c>
      <c r="D6469" s="28">
        <v>2.013888888888889E-2</v>
      </c>
    </row>
    <row r="6470" spans="1:4" x14ac:dyDescent="0.25">
      <c r="A6470" s="24" t="s">
        <v>131</v>
      </c>
      <c r="B6470" s="24" t="s">
        <v>100</v>
      </c>
      <c r="C6470" s="32">
        <v>17.876999999999999</v>
      </c>
      <c r="D6470" s="28">
        <v>1.8055555555555557E-2</v>
      </c>
    </row>
    <row r="6471" spans="1:4" x14ac:dyDescent="0.25">
      <c r="A6471" s="24" t="s">
        <v>131</v>
      </c>
      <c r="B6471" s="24" t="s">
        <v>101</v>
      </c>
      <c r="C6471" s="32">
        <v>16.760999999999999</v>
      </c>
      <c r="D6471" s="28">
        <v>1.6666666666666666E-2</v>
      </c>
    </row>
    <row r="6472" spans="1:4" x14ac:dyDescent="0.25">
      <c r="A6472" s="24" t="s">
        <v>131</v>
      </c>
      <c r="B6472" s="24" t="s">
        <v>102</v>
      </c>
      <c r="C6472" s="32">
        <v>16.187999999999999</v>
      </c>
      <c r="D6472" s="28">
        <v>1.5972222222222224E-2</v>
      </c>
    </row>
    <row r="6473" spans="1:4" x14ac:dyDescent="0.25">
      <c r="A6473" s="24" t="s">
        <v>131</v>
      </c>
      <c r="B6473" s="24" t="s">
        <v>103</v>
      </c>
      <c r="C6473" s="32">
        <v>9.2080000000000002</v>
      </c>
      <c r="D6473" s="28">
        <v>1.1111111111111112E-2</v>
      </c>
    </row>
    <row r="6474" spans="1:4" x14ac:dyDescent="0.25">
      <c r="A6474" s="24" t="s">
        <v>131</v>
      </c>
      <c r="B6474" s="24" t="s">
        <v>104</v>
      </c>
      <c r="C6474" s="32">
        <v>13.877000000000001</v>
      </c>
      <c r="D6474" s="28">
        <v>1.4583333333333332E-2</v>
      </c>
    </row>
    <row r="6475" spans="1:4" x14ac:dyDescent="0.25">
      <c r="A6475" s="24" t="s">
        <v>131</v>
      </c>
      <c r="B6475" s="24" t="s">
        <v>105</v>
      </c>
      <c r="C6475" s="32">
        <v>12.198</v>
      </c>
      <c r="D6475" s="28">
        <v>1.5972222222222224E-2</v>
      </c>
    </row>
    <row r="6476" spans="1:4" x14ac:dyDescent="0.25">
      <c r="A6476" s="24" t="s">
        <v>131</v>
      </c>
      <c r="B6476" s="24" t="s">
        <v>106</v>
      </c>
      <c r="C6476" s="32">
        <v>7.0439999999999996</v>
      </c>
      <c r="D6476" s="28">
        <v>9.7222222222222224E-3</v>
      </c>
    </row>
    <row r="6477" spans="1:4" x14ac:dyDescent="0.25">
      <c r="A6477" s="24" t="s">
        <v>131</v>
      </c>
      <c r="B6477" s="24" t="s">
        <v>107</v>
      </c>
      <c r="C6477" s="32">
        <v>19.305</v>
      </c>
      <c r="D6477" s="28">
        <v>2.2222222222222223E-2</v>
      </c>
    </row>
    <row r="6478" spans="1:4" x14ac:dyDescent="0.25">
      <c r="A6478" s="24" t="s">
        <v>131</v>
      </c>
      <c r="B6478" s="24" t="s">
        <v>108</v>
      </c>
      <c r="C6478" s="32">
        <v>18.977</v>
      </c>
      <c r="D6478" s="28">
        <v>2.013888888888889E-2</v>
      </c>
    </row>
    <row r="6479" spans="1:4" x14ac:dyDescent="0.25">
      <c r="A6479" s="24" t="s">
        <v>131</v>
      </c>
      <c r="B6479" s="24" t="s">
        <v>109</v>
      </c>
      <c r="C6479" s="32">
        <v>19.007000000000001</v>
      </c>
      <c r="D6479" s="28">
        <v>2.013888888888889E-2</v>
      </c>
    </row>
    <row r="6480" spans="1:4" x14ac:dyDescent="0.25">
      <c r="A6480" s="24" t="s">
        <v>131</v>
      </c>
      <c r="B6480" s="24" t="s">
        <v>110</v>
      </c>
      <c r="C6480" s="32">
        <v>12.106999999999999</v>
      </c>
      <c r="D6480" s="28">
        <v>1.4583333333333332E-2</v>
      </c>
    </row>
    <row r="6481" spans="1:4" x14ac:dyDescent="0.25">
      <c r="A6481" s="24" t="s">
        <v>131</v>
      </c>
      <c r="B6481" s="24" t="s">
        <v>111</v>
      </c>
      <c r="C6481" s="32">
        <v>10.494999999999999</v>
      </c>
      <c r="D6481" s="28">
        <v>1.1805555555555555E-2</v>
      </c>
    </row>
    <row r="6482" spans="1:4" x14ac:dyDescent="0.25">
      <c r="A6482" s="24" t="s">
        <v>131</v>
      </c>
      <c r="B6482" s="24" t="s">
        <v>112</v>
      </c>
      <c r="C6482" s="32">
        <v>18.978999999999999</v>
      </c>
      <c r="D6482" s="28">
        <v>2.013888888888889E-2</v>
      </c>
    </row>
    <row r="6483" spans="1:4" x14ac:dyDescent="0.25">
      <c r="A6483" s="24" t="s">
        <v>131</v>
      </c>
      <c r="B6483" s="24" t="s">
        <v>113</v>
      </c>
      <c r="C6483" s="32">
        <v>22.603000000000002</v>
      </c>
      <c r="D6483" s="28">
        <v>2.2916666666666669E-2</v>
      </c>
    </row>
    <row r="6484" spans="1:4" x14ac:dyDescent="0.25">
      <c r="A6484" s="24" t="s">
        <v>131</v>
      </c>
      <c r="B6484" s="24" t="s">
        <v>114</v>
      </c>
      <c r="C6484" s="32">
        <v>19.974</v>
      </c>
      <c r="D6484" s="28">
        <v>1.6666666666666666E-2</v>
      </c>
    </row>
    <row r="6485" spans="1:4" x14ac:dyDescent="0.25">
      <c r="A6485" s="24" t="s">
        <v>131</v>
      </c>
      <c r="B6485" s="24" t="s">
        <v>115</v>
      </c>
      <c r="C6485" s="32">
        <v>16.178000000000001</v>
      </c>
      <c r="D6485" s="28">
        <v>1.7361111111111112E-2</v>
      </c>
    </row>
    <row r="6486" spans="1:4" x14ac:dyDescent="0.25">
      <c r="A6486" s="24" t="s">
        <v>131</v>
      </c>
      <c r="B6486" s="24" t="s">
        <v>116</v>
      </c>
      <c r="C6486" s="32">
        <v>14.065</v>
      </c>
      <c r="D6486" s="28">
        <v>1.5277777777777777E-2</v>
      </c>
    </row>
    <row r="6487" spans="1:4" x14ac:dyDescent="0.25">
      <c r="A6487" s="24" t="s">
        <v>131</v>
      </c>
      <c r="B6487" s="24" t="s">
        <v>117</v>
      </c>
      <c r="C6487" s="32">
        <v>21.268999999999998</v>
      </c>
      <c r="D6487" s="28">
        <v>2.013888888888889E-2</v>
      </c>
    </row>
    <row r="6488" spans="1:4" x14ac:dyDescent="0.25">
      <c r="A6488" s="24" t="s">
        <v>131</v>
      </c>
      <c r="B6488" s="24" t="s">
        <v>118</v>
      </c>
      <c r="C6488" s="32">
        <v>20.988</v>
      </c>
      <c r="D6488" s="28">
        <v>1.9444444444444445E-2</v>
      </c>
    </row>
    <row r="6489" spans="1:4" x14ac:dyDescent="0.25">
      <c r="A6489" s="24" t="s">
        <v>131</v>
      </c>
      <c r="B6489" s="24" t="s">
        <v>119</v>
      </c>
      <c r="C6489" s="32">
        <v>35.073</v>
      </c>
      <c r="D6489" s="28">
        <v>2.6388888888888889E-2</v>
      </c>
    </row>
    <row r="6490" spans="1:4" x14ac:dyDescent="0.25">
      <c r="A6490" s="24" t="s">
        <v>131</v>
      </c>
      <c r="B6490" s="24" t="s">
        <v>120</v>
      </c>
      <c r="C6490" s="32">
        <v>37.863</v>
      </c>
      <c r="D6490" s="28">
        <v>2.9861111111111113E-2</v>
      </c>
    </row>
    <row r="6491" spans="1:4" x14ac:dyDescent="0.25">
      <c r="A6491" s="24" t="s">
        <v>131</v>
      </c>
      <c r="B6491" s="24" t="s">
        <v>121</v>
      </c>
      <c r="C6491" s="32">
        <v>52.213999999999999</v>
      </c>
      <c r="D6491" s="28">
        <v>3.6805555555555557E-2</v>
      </c>
    </row>
    <row r="6492" spans="1:4" x14ac:dyDescent="0.25">
      <c r="A6492" s="24" t="s">
        <v>131</v>
      </c>
      <c r="B6492" s="24" t="s">
        <v>122</v>
      </c>
      <c r="C6492" s="32">
        <v>37.576000000000001</v>
      </c>
      <c r="D6492" s="28">
        <v>2.7083333333333334E-2</v>
      </c>
    </row>
    <row r="6493" spans="1:4" x14ac:dyDescent="0.25">
      <c r="A6493" s="24" t="s">
        <v>131</v>
      </c>
      <c r="B6493" s="24" t="s">
        <v>123</v>
      </c>
      <c r="C6493" s="32">
        <v>45.798999999999999</v>
      </c>
      <c r="D6493" s="28">
        <v>3.3333333333333333E-2</v>
      </c>
    </row>
    <row r="6494" spans="1:4" x14ac:dyDescent="0.25">
      <c r="A6494" s="24" t="s">
        <v>131</v>
      </c>
      <c r="B6494" s="24" t="s">
        <v>124</v>
      </c>
      <c r="C6494" s="32">
        <v>45.798999999999999</v>
      </c>
      <c r="D6494" s="28">
        <v>3.3333333333333333E-2</v>
      </c>
    </row>
    <row r="6495" spans="1:4" x14ac:dyDescent="0.25">
      <c r="A6495" s="24" t="s">
        <v>131</v>
      </c>
      <c r="B6495" s="24" t="s">
        <v>125</v>
      </c>
      <c r="C6495" s="32">
        <v>4.9180000000000001</v>
      </c>
      <c r="D6495" s="28">
        <v>6.9444444444444441E-3</v>
      </c>
    </row>
    <row r="6496" spans="1:4" x14ac:dyDescent="0.25">
      <c r="A6496" s="24" t="s">
        <v>131</v>
      </c>
      <c r="B6496" s="24" t="s">
        <v>126</v>
      </c>
      <c r="C6496" s="32">
        <v>4.6559999999999997</v>
      </c>
      <c r="D6496" s="28">
        <v>6.2499999999999995E-3</v>
      </c>
    </row>
    <row r="6497" spans="1:4" x14ac:dyDescent="0.25">
      <c r="A6497" s="24" t="s">
        <v>131</v>
      </c>
      <c r="B6497" s="24" t="s">
        <v>127</v>
      </c>
      <c r="C6497" s="32">
        <v>3.65</v>
      </c>
      <c r="D6497" s="28">
        <v>4.8611111111111112E-3</v>
      </c>
    </row>
    <row r="6498" spans="1:4" x14ac:dyDescent="0.25">
      <c r="A6498" s="24" t="s">
        <v>131</v>
      </c>
      <c r="B6498" s="24" t="s">
        <v>128</v>
      </c>
      <c r="C6498" s="32">
        <v>5.7590000000000003</v>
      </c>
      <c r="D6498" s="28">
        <v>8.3333333333333332E-3</v>
      </c>
    </row>
    <row r="6499" spans="1:4" x14ac:dyDescent="0.25">
      <c r="A6499" s="24" t="s">
        <v>131</v>
      </c>
      <c r="B6499" s="24" t="s">
        <v>129</v>
      </c>
      <c r="C6499" s="32">
        <v>5.7590000000000003</v>
      </c>
      <c r="D6499" s="28">
        <v>8.3333333333333332E-3</v>
      </c>
    </row>
    <row r="6500" spans="1:4" x14ac:dyDescent="0.25">
      <c r="A6500" s="24" t="s">
        <v>131</v>
      </c>
      <c r="B6500" s="24" t="s">
        <v>130</v>
      </c>
      <c r="C6500" s="32">
        <v>5.319</v>
      </c>
      <c r="D6500" s="28">
        <v>7.6388888888888886E-3</v>
      </c>
    </row>
    <row r="6501" spans="1:4" x14ac:dyDescent="0.25">
      <c r="A6501" s="24" t="s">
        <v>131</v>
      </c>
      <c r="B6501" s="24" t="s">
        <v>131</v>
      </c>
      <c r="C6501" s="32">
        <v>0</v>
      </c>
      <c r="D6501" s="28">
        <v>0</v>
      </c>
    </row>
    <row r="6502" spans="1:4" x14ac:dyDescent="0.25">
      <c r="A6502" s="24" t="s">
        <v>131</v>
      </c>
      <c r="B6502" s="24" t="s">
        <v>132</v>
      </c>
      <c r="C6502" s="32">
        <v>8.4830000000000005</v>
      </c>
      <c r="D6502" s="28">
        <v>1.1111111111111112E-2</v>
      </c>
    </row>
    <row r="6503" spans="1:4" x14ac:dyDescent="0.25">
      <c r="A6503" s="24" t="s">
        <v>131</v>
      </c>
      <c r="B6503" s="24" t="s">
        <v>133</v>
      </c>
      <c r="C6503" s="32">
        <v>15.882999999999999</v>
      </c>
      <c r="D6503" s="28">
        <v>1.9444444444444445E-2</v>
      </c>
    </row>
    <row r="6504" spans="1:4" x14ac:dyDescent="0.25">
      <c r="A6504" s="24" t="s">
        <v>131</v>
      </c>
      <c r="B6504" s="24" t="s">
        <v>134</v>
      </c>
      <c r="C6504" s="32">
        <v>15.417</v>
      </c>
      <c r="D6504" s="28">
        <v>1.8055555555555557E-2</v>
      </c>
    </row>
    <row r="6505" spans="1:4" x14ac:dyDescent="0.25">
      <c r="A6505" s="24" t="s">
        <v>131</v>
      </c>
      <c r="B6505" s="24" t="s">
        <v>135</v>
      </c>
      <c r="C6505" s="32">
        <v>16.748000000000001</v>
      </c>
      <c r="D6505" s="28">
        <v>1.9444444444444445E-2</v>
      </c>
    </row>
    <row r="6506" spans="1:4" x14ac:dyDescent="0.25">
      <c r="A6506" s="24" t="s">
        <v>131</v>
      </c>
      <c r="B6506" s="24" t="s">
        <v>136</v>
      </c>
      <c r="C6506" s="32">
        <v>16.748000000000001</v>
      </c>
      <c r="D6506" s="28">
        <v>1.9444444444444445E-2</v>
      </c>
    </row>
    <row r="6507" spans="1:4" x14ac:dyDescent="0.25">
      <c r="A6507" s="24" t="s">
        <v>131</v>
      </c>
      <c r="B6507" s="24" t="s">
        <v>137</v>
      </c>
      <c r="C6507" s="32">
        <v>16.649999999999999</v>
      </c>
      <c r="D6507" s="28">
        <v>1.9444444444444445E-2</v>
      </c>
    </row>
    <row r="6508" spans="1:4" x14ac:dyDescent="0.25">
      <c r="A6508" s="24" t="s">
        <v>131</v>
      </c>
      <c r="B6508" s="24" t="s">
        <v>138</v>
      </c>
      <c r="C6508" s="32">
        <v>20.905999999999999</v>
      </c>
      <c r="D6508" s="28">
        <v>2.0833333333333332E-2</v>
      </c>
    </row>
    <row r="6509" spans="1:4" x14ac:dyDescent="0.25">
      <c r="A6509" s="24" t="s">
        <v>131</v>
      </c>
      <c r="B6509" s="24" t="s">
        <v>139</v>
      </c>
      <c r="C6509" s="32">
        <v>31.027000000000001</v>
      </c>
      <c r="D6509" s="28">
        <v>2.6388888888888889E-2</v>
      </c>
    </row>
    <row r="6510" spans="1:4" x14ac:dyDescent="0.25">
      <c r="A6510" s="24" t="s">
        <v>131</v>
      </c>
      <c r="B6510" s="24" t="s">
        <v>140</v>
      </c>
      <c r="C6510" s="32">
        <v>25.242999999999999</v>
      </c>
      <c r="D6510" s="28">
        <v>2.6388888888888889E-2</v>
      </c>
    </row>
    <row r="6511" spans="1:4" x14ac:dyDescent="0.25">
      <c r="A6511" s="24" t="s">
        <v>131</v>
      </c>
      <c r="B6511" s="24" t="s">
        <v>141</v>
      </c>
      <c r="C6511" s="32">
        <v>55.738</v>
      </c>
      <c r="D6511" s="28">
        <v>4.5833333333333337E-2</v>
      </c>
    </row>
    <row r="6512" spans="1:4" x14ac:dyDescent="0.25">
      <c r="A6512" s="24" t="s">
        <v>131</v>
      </c>
      <c r="B6512" s="24" t="s">
        <v>142</v>
      </c>
      <c r="C6512" s="32">
        <v>46.427999999999997</v>
      </c>
      <c r="D6512" s="28">
        <v>3.888888888888889E-2</v>
      </c>
    </row>
    <row r="6513" spans="1:4" x14ac:dyDescent="0.25">
      <c r="A6513" s="24" t="s">
        <v>131</v>
      </c>
      <c r="B6513" s="24" t="s">
        <v>143</v>
      </c>
      <c r="C6513" s="32">
        <v>72.203999999999994</v>
      </c>
      <c r="D6513" s="28">
        <v>4.5138888888888888E-2</v>
      </c>
    </row>
    <row r="6514" spans="1:4" x14ac:dyDescent="0.25">
      <c r="A6514" s="24" t="s">
        <v>131</v>
      </c>
      <c r="B6514" s="24" t="s">
        <v>144</v>
      </c>
      <c r="C6514" s="32">
        <v>91.32</v>
      </c>
      <c r="D6514" s="28">
        <v>5.6250000000000001E-2</v>
      </c>
    </row>
    <row r="6515" spans="1:4" x14ac:dyDescent="0.25">
      <c r="A6515" s="24" t="s">
        <v>131</v>
      </c>
      <c r="B6515" s="24" t="s">
        <v>145</v>
      </c>
      <c r="C6515" s="32">
        <v>35.713000000000001</v>
      </c>
      <c r="D6515" s="28">
        <v>2.9861111111111113E-2</v>
      </c>
    </row>
    <row r="6516" spans="1:4" x14ac:dyDescent="0.25">
      <c r="A6516" s="24" t="s">
        <v>131</v>
      </c>
      <c r="B6516" s="24" t="s">
        <v>146</v>
      </c>
      <c r="C6516" s="32">
        <v>51.171999999999997</v>
      </c>
      <c r="D6516" s="28">
        <v>3.7499999999999999E-2</v>
      </c>
    </row>
    <row r="6517" spans="1:4" x14ac:dyDescent="0.25">
      <c r="A6517" s="24" t="s">
        <v>131</v>
      </c>
      <c r="B6517" s="24" t="s">
        <v>147</v>
      </c>
      <c r="C6517" s="32">
        <v>6.9450000000000003</v>
      </c>
      <c r="D6517" s="28">
        <v>9.0277777777777787E-3</v>
      </c>
    </row>
    <row r="6518" spans="1:4" x14ac:dyDescent="0.25">
      <c r="A6518" s="24" t="s">
        <v>131</v>
      </c>
      <c r="B6518" s="24" t="s">
        <v>148</v>
      </c>
      <c r="C6518" s="32">
        <v>5.1059999999999999</v>
      </c>
      <c r="D6518" s="28">
        <v>8.3333333333333332E-3</v>
      </c>
    </row>
    <row r="6519" spans="1:4" x14ac:dyDescent="0.25">
      <c r="A6519" s="24" t="s">
        <v>131</v>
      </c>
      <c r="B6519" s="24" t="s">
        <v>149</v>
      </c>
      <c r="C6519" s="32">
        <v>8.5890000000000004</v>
      </c>
      <c r="D6519" s="28">
        <v>1.1111111111111112E-2</v>
      </c>
    </row>
    <row r="6520" spans="1:4" x14ac:dyDescent="0.25">
      <c r="A6520" s="24" t="s">
        <v>131</v>
      </c>
      <c r="B6520" s="24" t="s">
        <v>150</v>
      </c>
      <c r="C6520" s="32">
        <v>18.076000000000001</v>
      </c>
      <c r="D6520" s="28">
        <v>2.013888888888889E-2</v>
      </c>
    </row>
    <row r="6521" spans="1:4" x14ac:dyDescent="0.25">
      <c r="A6521" s="24" t="s">
        <v>131</v>
      </c>
      <c r="B6521" s="24" t="s">
        <v>151</v>
      </c>
      <c r="C6521" s="32">
        <v>17.334</v>
      </c>
      <c r="D6521" s="28">
        <v>1.9444444444444445E-2</v>
      </c>
    </row>
    <row r="6522" spans="1:4" x14ac:dyDescent="0.25">
      <c r="A6522" s="24" t="s">
        <v>131</v>
      </c>
      <c r="B6522" s="24" t="s">
        <v>152</v>
      </c>
      <c r="C6522" s="32">
        <v>22.079000000000001</v>
      </c>
      <c r="D6522" s="28">
        <v>2.361111111111111E-2</v>
      </c>
    </row>
    <row r="6523" spans="1:4" x14ac:dyDescent="0.25">
      <c r="A6523" s="24" t="s">
        <v>131</v>
      </c>
      <c r="B6523" s="24" t="s">
        <v>153</v>
      </c>
      <c r="C6523" s="32">
        <v>26.933</v>
      </c>
      <c r="D6523" s="28">
        <v>2.8472222222222222E-2</v>
      </c>
    </row>
    <row r="6524" spans="1:4" x14ac:dyDescent="0.25">
      <c r="A6524" s="24" t="s">
        <v>131</v>
      </c>
      <c r="B6524" s="24" t="s">
        <v>154</v>
      </c>
      <c r="C6524" s="32">
        <v>21.751000000000001</v>
      </c>
      <c r="D6524" s="28">
        <v>2.2222222222222223E-2</v>
      </c>
    </row>
    <row r="6525" spans="1:4" x14ac:dyDescent="0.25">
      <c r="A6525" s="24" t="s">
        <v>131</v>
      </c>
      <c r="B6525" s="24" t="s">
        <v>155</v>
      </c>
      <c r="C6525" s="32">
        <v>17.937999999999999</v>
      </c>
      <c r="D6525" s="28">
        <v>2.013888888888889E-2</v>
      </c>
    </row>
    <row r="6526" spans="1:4" x14ac:dyDescent="0.25">
      <c r="A6526" s="24" t="s">
        <v>131</v>
      </c>
      <c r="B6526" s="24" t="s">
        <v>156</v>
      </c>
      <c r="C6526" s="32">
        <v>17.922000000000001</v>
      </c>
      <c r="D6526" s="28">
        <v>2.013888888888889E-2</v>
      </c>
    </row>
    <row r="6527" spans="1:4" x14ac:dyDescent="0.25">
      <c r="A6527" s="24" t="s">
        <v>131</v>
      </c>
      <c r="B6527" s="24" t="s">
        <v>157</v>
      </c>
      <c r="C6527" s="32">
        <v>22.984000000000002</v>
      </c>
      <c r="D6527" s="28">
        <v>2.361111111111111E-2</v>
      </c>
    </row>
    <row r="6528" spans="1:4" x14ac:dyDescent="0.25">
      <c r="A6528" s="24" t="s">
        <v>131</v>
      </c>
      <c r="B6528" s="24" t="s">
        <v>158</v>
      </c>
      <c r="C6528" s="32">
        <v>33.738</v>
      </c>
      <c r="D6528" s="28">
        <v>3.125E-2</v>
      </c>
    </row>
    <row r="6529" spans="1:4" x14ac:dyDescent="0.25">
      <c r="A6529" s="24" t="s">
        <v>131</v>
      </c>
      <c r="B6529" s="24" t="s">
        <v>159</v>
      </c>
      <c r="C6529" s="32">
        <v>39.107999999999997</v>
      </c>
      <c r="D6529" s="28">
        <v>3.6111111111111115E-2</v>
      </c>
    </row>
    <row r="6530" spans="1:4" x14ac:dyDescent="0.25">
      <c r="A6530" s="24" t="s">
        <v>132</v>
      </c>
      <c r="B6530" s="24" t="s">
        <v>65</v>
      </c>
      <c r="C6530" s="32">
        <v>21.195</v>
      </c>
      <c r="D6530" s="28">
        <v>1.6666666666666666E-2</v>
      </c>
    </row>
    <row r="6531" spans="1:4" x14ac:dyDescent="0.25">
      <c r="A6531" s="24" t="s">
        <v>132</v>
      </c>
      <c r="B6531" s="24" t="s">
        <v>64</v>
      </c>
      <c r="C6531" s="32">
        <v>10.326000000000001</v>
      </c>
      <c r="D6531" s="28">
        <v>9.7222222222222224E-3</v>
      </c>
    </row>
    <row r="6532" spans="1:4" x14ac:dyDescent="0.25">
      <c r="A6532" s="24" t="s">
        <v>132</v>
      </c>
      <c r="B6532" s="24" t="s">
        <v>66</v>
      </c>
      <c r="C6532" s="32">
        <v>9.9079999999999995</v>
      </c>
      <c r="D6532" s="28">
        <v>1.0416666666666666E-2</v>
      </c>
    </row>
    <row r="6533" spans="1:4" x14ac:dyDescent="0.25">
      <c r="A6533" s="24" t="s">
        <v>132</v>
      </c>
      <c r="B6533" s="24" t="s">
        <v>67</v>
      </c>
      <c r="C6533" s="32">
        <v>9.484</v>
      </c>
      <c r="D6533" s="28">
        <v>1.2499999999999999E-2</v>
      </c>
    </row>
    <row r="6534" spans="1:4" x14ac:dyDescent="0.25">
      <c r="A6534" s="24" t="s">
        <v>132</v>
      </c>
      <c r="B6534" s="24" t="s">
        <v>68</v>
      </c>
      <c r="C6534" s="32">
        <v>9.0879999999999992</v>
      </c>
      <c r="D6534" s="28">
        <v>1.1111111111111112E-2</v>
      </c>
    </row>
    <row r="6535" spans="1:4" x14ac:dyDescent="0.25">
      <c r="A6535" s="24" t="s">
        <v>132</v>
      </c>
      <c r="B6535" s="24" t="s">
        <v>69</v>
      </c>
      <c r="C6535" s="32">
        <v>8.5589999999999993</v>
      </c>
      <c r="D6535" s="28">
        <v>1.1111111111111112E-2</v>
      </c>
    </row>
    <row r="6536" spans="1:4" x14ac:dyDescent="0.25">
      <c r="A6536" s="24" t="s">
        <v>132</v>
      </c>
      <c r="B6536" s="24" t="s">
        <v>70</v>
      </c>
      <c r="C6536" s="32">
        <v>8.7210000000000001</v>
      </c>
      <c r="D6536" s="28">
        <v>1.0416666666666666E-2</v>
      </c>
    </row>
    <row r="6537" spans="1:4" x14ac:dyDescent="0.25">
      <c r="A6537" s="24" t="s">
        <v>132</v>
      </c>
      <c r="B6537" s="24" t="s">
        <v>71</v>
      </c>
      <c r="C6537" s="32">
        <v>9.1359999999999992</v>
      </c>
      <c r="D6537" s="28">
        <v>1.1805555555555555E-2</v>
      </c>
    </row>
    <row r="6538" spans="1:4" x14ac:dyDescent="0.25">
      <c r="A6538" s="24" t="s">
        <v>132</v>
      </c>
      <c r="B6538" s="24" t="s">
        <v>72</v>
      </c>
      <c r="C6538" s="32">
        <v>11.055999999999999</v>
      </c>
      <c r="D6538" s="28">
        <v>1.5277777777777777E-2</v>
      </c>
    </row>
    <row r="6539" spans="1:4" x14ac:dyDescent="0.25">
      <c r="A6539" s="24" t="s">
        <v>132</v>
      </c>
      <c r="B6539" s="24" t="s">
        <v>73</v>
      </c>
      <c r="C6539" s="32">
        <v>10.506</v>
      </c>
      <c r="D6539" s="28">
        <v>1.3888888888888888E-2</v>
      </c>
    </row>
    <row r="6540" spans="1:4" x14ac:dyDescent="0.25">
      <c r="A6540" s="24" t="s">
        <v>132</v>
      </c>
      <c r="B6540" s="24" t="s">
        <v>74</v>
      </c>
      <c r="C6540" s="32">
        <v>13.925000000000001</v>
      </c>
      <c r="D6540" s="28">
        <v>1.8749999999999999E-2</v>
      </c>
    </row>
    <row r="6541" spans="1:4" x14ac:dyDescent="0.25">
      <c r="A6541" s="24" t="s">
        <v>132</v>
      </c>
      <c r="B6541" s="24" t="s">
        <v>75</v>
      </c>
      <c r="C6541" s="32">
        <v>12.961</v>
      </c>
      <c r="D6541" s="28">
        <v>1.7361111111111112E-2</v>
      </c>
    </row>
    <row r="6542" spans="1:4" x14ac:dyDescent="0.25">
      <c r="A6542" s="24" t="s">
        <v>132</v>
      </c>
      <c r="B6542" s="24" t="s">
        <v>76</v>
      </c>
      <c r="C6542" s="32">
        <v>20.658999999999999</v>
      </c>
      <c r="D6542" s="28">
        <v>1.9444444444444445E-2</v>
      </c>
    </row>
    <row r="6543" spans="1:4" x14ac:dyDescent="0.25">
      <c r="A6543" s="24" t="s">
        <v>132</v>
      </c>
      <c r="B6543" s="24" t="s">
        <v>77</v>
      </c>
      <c r="C6543" s="32">
        <v>14.031000000000001</v>
      </c>
      <c r="D6543" s="28">
        <v>1.3888888888888888E-2</v>
      </c>
    </row>
    <row r="6544" spans="1:4" x14ac:dyDescent="0.25">
      <c r="A6544" s="24" t="s">
        <v>132</v>
      </c>
      <c r="B6544" s="24" t="s">
        <v>78</v>
      </c>
      <c r="C6544" s="32">
        <v>9.0719999999999992</v>
      </c>
      <c r="D6544" s="28">
        <v>1.0416666666666666E-2</v>
      </c>
    </row>
    <row r="6545" spans="1:4" x14ac:dyDescent="0.25">
      <c r="A6545" s="24" t="s">
        <v>132</v>
      </c>
      <c r="B6545" s="24" t="s">
        <v>79</v>
      </c>
      <c r="C6545" s="32">
        <v>27.437999999999999</v>
      </c>
      <c r="D6545" s="28">
        <v>2.7083333333333334E-2</v>
      </c>
    </row>
    <row r="6546" spans="1:4" x14ac:dyDescent="0.25">
      <c r="A6546" s="24" t="s">
        <v>132</v>
      </c>
      <c r="B6546" s="24" t="s">
        <v>80</v>
      </c>
      <c r="C6546" s="32">
        <v>24.419</v>
      </c>
      <c r="D6546" s="28">
        <v>1.8749999999999999E-2</v>
      </c>
    </row>
    <row r="6547" spans="1:4" x14ac:dyDescent="0.25">
      <c r="A6547" s="24" t="s">
        <v>132</v>
      </c>
      <c r="B6547" s="24" t="s">
        <v>81</v>
      </c>
      <c r="C6547" s="32">
        <v>28.940999999999999</v>
      </c>
      <c r="D6547" s="28">
        <v>2.0833333333333332E-2</v>
      </c>
    </row>
    <row r="6548" spans="1:4" x14ac:dyDescent="0.25">
      <c r="A6548" s="24" t="s">
        <v>132</v>
      </c>
      <c r="B6548" s="24" t="s">
        <v>82</v>
      </c>
      <c r="C6548" s="32">
        <v>28.992999999999999</v>
      </c>
      <c r="D6548" s="28">
        <v>2.0833333333333332E-2</v>
      </c>
    </row>
    <row r="6549" spans="1:4" x14ac:dyDescent="0.25">
      <c r="A6549" s="24" t="s">
        <v>132</v>
      </c>
      <c r="B6549" s="24" t="s">
        <v>83</v>
      </c>
      <c r="C6549" s="32">
        <v>12.832000000000001</v>
      </c>
      <c r="D6549" s="28">
        <v>1.2499999999999999E-2</v>
      </c>
    </row>
    <row r="6550" spans="1:4" x14ac:dyDescent="0.25">
      <c r="A6550" s="24" t="s">
        <v>132</v>
      </c>
      <c r="B6550" s="24" t="s">
        <v>84</v>
      </c>
      <c r="C6550" s="32">
        <v>14.752000000000001</v>
      </c>
      <c r="D6550" s="28">
        <v>1.5277777777777777E-2</v>
      </c>
    </row>
    <row r="6551" spans="1:4" x14ac:dyDescent="0.25">
      <c r="A6551" s="24" t="s">
        <v>132</v>
      </c>
      <c r="B6551" s="24" t="s">
        <v>85</v>
      </c>
      <c r="C6551" s="32">
        <v>15.603</v>
      </c>
      <c r="D6551" s="28">
        <v>1.5277777777777777E-2</v>
      </c>
    </row>
    <row r="6552" spans="1:4" x14ac:dyDescent="0.25">
      <c r="A6552" s="24" t="s">
        <v>132</v>
      </c>
      <c r="B6552" s="24" t="s">
        <v>86</v>
      </c>
      <c r="C6552" s="32">
        <v>13.228999999999999</v>
      </c>
      <c r="D6552" s="28">
        <v>1.2499999999999999E-2</v>
      </c>
    </row>
    <row r="6553" spans="1:4" x14ac:dyDescent="0.25">
      <c r="A6553" s="24" t="s">
        <v>132</v>
      </c>
      <c r="B6553" s="24" t="s">
        <v>87</v>
      </c>
      <c r="C6553" s="32">
        <v>13.343999999999999</v>
      </c>
      <c r="D6553" s="28">
        <v>1.2499999999999999E-2</v>
      </c>
    </row>
    <row r="6554" spans="1:4" x14ac:dyDescent="0.25">
      <c r="A6554" s="24" t="s">
        <v>132</v>
      </c>
      <c r="B6554" s="24" t="s">
        <v>88</v>
      </c>
      <c r="C6554" s="32">
        <v>14.723000000000001</v>
      </c>
      <c r="D6554" s="28">
        <v>1.3888888888888888E-2</v>
      </c>
    </row>
    <row r="6555" spans="1:4" x14ac:dyDescent="0.25">
      <c r="A6555" s="24" t="s">
        <v>132</v>
      </c>
      <c r="B6555" s="24" t="s">
        <v>89</v>
      </c>
      <c r="C6555" s="32">
        <v>16.835999999999999</v>
      </c>
      <c r="D6555" s="28">
        <v>1.8055555555555557E-2</v>
      </c>
    </row>
    <row r="6556" spans="1:4" x14ac:dyDescent="0.25">
      <c r="A6556" s="24" t="s">
        <v>132</v>
      </c>
      <c r="B6556" s="24" t="s">
        <v>90</v>
      </c>
      <c r="C6556" s="32">
        <v>19.445</v>
      </c>
      <c r="D6556" s="28">
        <v>1.8055555555555557E-2</v>
      </c>
    </row>
    <row r="6557" spans="1:4" x14ac:dyDescent="0.25">
      <c r="A6557" s="24" t="s">
        <v>132</v>
      </c>
      <c r="B6557" s="24" t="s">
        <v>91</v>
      </c>
      <c r="C6557" s="32">
        <v>15.91</v>
      </c>
      <c r="D6557" s="28">
        <v>1.6666666666666666E-2</v>
      </c>
    </row>
    <row r="6558" spans="1:4" x14ac:dyDescent="0.25">
      <c r="A6558" s="24" t="s">
        <v>132</v>
      </c>
      <c r="B6558" s="24" t="s">
        <v>92</v>
      </c>
      <c r="C6558" s="32">
        <v>22.495000000000001</v>
      </c>
      <c r="D6558" s="28">
        <v>1.8055555555555557E-2</v>
      </c>
    </row>
    <row r="6559" spans="1:4" x14ac:dyDescent="0.25">
      <c r="A6559" s="24" t="s">
        <v>132</v>
      </c>
      <c r="B6559" s="24" t="s">
        <v>93</v>
      </c>
      <c r="C6559" s="32">
        <v>46.216999999999999</v>
      </c>
      <c r="D6559" s="28">
        <v>3.0555555555555555E-2</v>
      </c>
    </row>
    <row r="6560" spans="1:4" x14ac:dyDescent="0.25">
      <c r="A6560" s="24" t="s">
        <v>132</v>
      </c>
      <c r="B6560" s="24" t="s">
        <v>94</v>
      </c>
      <c r="C6560" s="32">
        <v>46.845999999999997</v>
      </c>
      <c r="D6560" s="28">
        <v>3.125E-2</v>
      </c>
    </row>
    <row r="6561" spans="1:4" x14ac:dyDescent="0.25">
      <c r="A6561" s="24" t="s">
        <v>132</v>
      </c>
      <c r="B6561" s="24" t="s">
        <v>95</v>
      </c>
      <c r="C6561" s="32">
        <v>29.277000000000001</v>
      </c>
      <c r="D6561" s="28">
        <v>2.2222222222222223E-2</v>
      </c>
    </row>
    <row r="6562" spans="1:4" x14ac:dyDescent="0.25">
      <c r="A6562" s="24" t="s">
        <v>132</v>
      </c>
      <c r="B6562" s="24" t="s">
        <v>96</v>
      </c>
      <c r="C6562" s="32">
        <v>11.127000000000001</v>
      </c>
      <c r="D6562" s="28">
        <v>1.1111111111111112E-2</v>
      </c>
    </row>
    <row r="6563" spans="1:4" x14ac:dyDescent="0.25">
      <c r="A6563" s="24" t="s">
        <v>132</v>
      </c>
      <c r="B6563" s="24" t="s">
        <v>97</v>
      </c>
      <c r="C6563" s="32">
        <v>19.446000000000002</v>
      </c>
      <c r="D6563" s="28">
        <v>1.7361111111111112E-2</v>
      </c>
    </row>
    <row r="6564" spans="1:4" x14ac:dyDescent="0.25">
      <c r="A6564" s="24" t="s">
        <v>132</v>
      </c>
      <c r="B6564" s="24" t="s">
        <v>98</v>
      </c>
      <c r="C6564" s="32">
        <v>17.963999999999999</v>
      </c>
      <c r="D6564" s="28">
        <v>1.5277777777777777E-2</v>
      </c>
    </row>
    <row r="6565" spans="1:4" x14ac:dyDescent="0.25">
      <c r="A6565" s="24" t="s">
        <v>132</v>
      </c>
      <c r="B6565" s="24" t="s">
        <v>99</v>
      </c>
      <c r="C6565" s="32">
        <v>20.899000000000001</v>
      </c>
      <c r="D6565" s="28">
        <v>1.9444444444444445E-2</v>
      </c>
    </row>
    <row r="6566" spans="1:4" x14ac:dyDescent="0.25">
      <c r="A6566" s="24" t="s">
        <v>132</v>
      </c>
      <c r="B6566" s="24" t="s">
        <v>100</v>
      </c>
      <c r="C6566" s="32">
        <v>25.478000000000002</v>
      </c>
      <c r="D6566" s="28">
        <v>2.013888888888889E-2</v>
      </c>
    </row>
    <row r="6567" spans="1:4" x14ac:dyDescent="0.25">
      <c r="A6567" s="24" t="s">
        <v>132</v>
      </c>
      <c r="B6567" s="24" t="s">
        <v>101</v>
      </c>
      <c r="C6567" s="32">
        <v>18.065999999999999</v>
      </c>
      <c r="D6567" s="28">
        <v>1.6666666666666666E-2</v>
      </c>
    </row>
    <row r="6568" spans="1:4" x14ac:dyDescent="0.25">
      <c r="A6568" s="24" t="s">
        <v>132</v>
      </c>
      <c r="B6568" s="24" t="s">
        <v>102</v>
      </c>
      <c r="C6568" s="32">
        <v>17.492999999999999</v>
      </c>
      <c r="D6568" s="28">
        <v>1.5972222222222224E-2</v>
      </c>
    </row>
    <row r="6569" spans="1:4" x14ac:dyDescent="0.25">
      <c r="A6569" s="24" t="s">
        <v>132</v>
      </c>
      <c r="B6569" s="24" t="s">
        <v>103</v>
      </c>
      <c r="C6569" s="32">
        <v>15.768000000000001</v>
      </c>
      <c r="D6569" s="28">
        <v>1.4583333333333332E-2</v>
      </c>
    </row>
    <row r="6570" spans="1:4" x14ac:dyDescent="0.25">
      <c r="A6570" s="24" t="s">
        <v>132</v>
      </c>
      <c r="B6570" s="24" t="s">
        <v>104</v>
      </c>
      <c r="C6570" s="32">
        <v>21.388999999999999</v>
      </c>
      <c r="D6570" s="28">
        <v>1.7361111111111112E-2</v>
      </c>
    </row>
    <row r="6571" spans="1:4" x14ac:dyDescent="0.25">
      <c r="A6571" s="24" t="s">
        <v>132</v>
      </c>
      <c r="B6571" s="24" t="s">
        <v>105</v>
      </c>
      <c r="C6571" s="32">
        <v>18.757999999999999</v>
      </c>
      <c r="D6571" s="28">
        <v>1.9444444444444445E-2</v>
      </c>
    </row>
    <row r="6572" spans="1:4" x14ac:dyDescent="0.25">
      <c r="A6572" s="24" t="s">
        <v>132</v>
      </c>
      <c r="B6572" s="24" t="s">
        <v>106</v>
      </c>
      <c r="C6572" s="32">
        <v>14.565</v>
      </c>
      <c r="D6572" s="28">
        <v>1.3194444444444444E-2</v>
      </c>
    </row>
    <row r="6573" spans="1:4" x14ac:dyDescent="0.25">
      <c r="A6573" s="24" t="s">
        <v>132</v>
      </c>
      <c r="B6573" s="24" t="s">
        <v>107</v>
      </c>
      <c r="C6573" s="32">
        <v>22.7</v>
      </c>
      <c r="D6573" s="28">
        <v>2.2222222222222223E-2</v>
      </c>
    </row>
    <row r="6574" spans="1:4" x14ac:dyDescent="0.25">
      <c r="A6574" s="24" t="s">
        <v>132</v>
      </c>
      <c r="B6574" s="24" t="s">
        <v>108</v>
      </c>
      <c r="C6574" s="32">
        <v>21.085999999999999</v>
      </c>
      <c r="D6574" s="28">
        <v>1.9444444444444445E-2</v>
      </c>
    </row>
    <row r="6575" spans="1:4" x14ac:dyDescent="0.25">
      <c r="A6575" s="24" t="s">
        <v>132</v>
      </c>
      <c r="B6575" s="24" t="s">
        <v>109</v>
      </c>
      <c r="C6575" s="32">
        <v>21.116</v>
      </c>
      <c r="D6575" s="28">
        <v>1.9444444444444445E-2</v>
      </c>
    </row>
    <row r="6576" spans="1:4" x14ac:dyDescent="0.25">
      <c r="A6576" s="24" t="s">
        <v>132</v>
      </c>
      <c r="B6576" s="24" t="s">
        <v>110</v>
      </c>
      <c r="C6576" s="32">
        <v>17.783000000000001</v>
      </c>
      <c r="D6576" s="28">
        <v>1.7361111111111112E-2</v>
      </c>
    </row>
    <row r="6577" spans="1:4" x14ac:dyDescent="0.25">
      <c r="A6577" s="24" t="s">
        <v>132</v>
      </c>
      <c r="B6577" s="24" t="s">
        <v>111</v>
      </c>
      <c r="C6577" s="32">
        <v>18.007000000000001</v>
      </c>
      <c r="D6577" s="28">
        <v>1.4583333333333332E-2</v>
      </c>
    </row>
    <row r="6578" spans="1:4" x14ac:dyDescent="0.25">
      <c r="A6578" s="24" t="s">
        <v>132</v>
      </c>
      <c r="B6578" s="24" t="s">
        <v>112</v>
      </c>
      <c r="C6578" s="32">
        <v>29.734000000000002</v>
      </c>
      <c r="D6578" s="28">
        <v>2.361111111111111E-2</v>
      </c>
    </row>
    <row r="6579" spans="1:4" x14ac:dyDescent="0.25">
      <c r="A6579" s="24" t="s">
        <v>132</v>
      </c>
      <c r="B6579" s="24" t="s">
        <v>113</v>
      </c>
      <c r="C6579" s="32">
        <v>27.009</v>
      </c>
      <c r="D6579" s="28">
        <v>2.4305555555555556E-2</v>
      </c>
    </row>
    <row r="6580" spans="1:4" x14ac:dyDescent="0.25">
      <c r="A6580" s="24" t="s">
        <v>132</v>
      </c>
      <c r="B6580" s="24" t="s">
        <v>114</v>
      </c>
      <c r="C6580" s="32">
        <v>24.312999999999999</v>
      </c>
      <c r="D6580" s="28">
        <v>1.9444444444444445E-2</v>
      </c>
    </row>
    <row r="6581" spans="1:4" x14ac:dyDescent="0.25">
      <c r="A6581" s="24" t="s">
        <v>132</v>
      </c>
      <c r="B6581" s="24" t="s">
        <v>115</v>
      </c>
      <c r="C6581" s="32">
        <v>23.765000000000001</v>
      </c>
      <c r="D6581" s="28">
        <v>1.9444444444444445E-2</v>
      </c>
    </row>
    <row r="6582" spans="1:4" x14ac:dyDescent="0.25">
      <c r="A6582" s="24" t="s">
        <v>132</v>
      </c>
      <c r="B6582" s="24" t="s">
        <v>116</v>
      </c>
      <c r="C6582" s="32">
        <v>21.577000000000002</v>
      </c>
      <c r="D6582" s="28">
        <v>1.8055555555555557E-2</v>
      </c>
    </row>
    <row r="6583" spans="1:4" x14ac:dyDescent="0.25">
      <c r="A6583" s="24" t="s">
        <v>132</v>
      </c>
      <c r="B6583" s="24" t="s">
        <v>117</v>
      </c>
      <c r="C6583" s="32">
        <v>28.780999999999999</v>
      </c>
      <c r="D6583" s="28">
        <v>2.2916666666666669E-2</v>
      </c>
    </row>
    <row r="6584" spans="1:4" x14ac:dyDescent="0.25">
      <c r="A6584" s="24" t="s">
        <v>132</v>
      </c>
      <c r="B6584" s="24" t="s">
        <v>118</v>
      </c>
      <c r="C6584" s="32">
        <v>28.5</v>
      </c>
      <c r="D6584" s="28">
        <v>2.2222222222222223E-2</v>
      </c>
    </row>
    <row r="6585" spans="1:4" x14ac:dyDescent="0.25">
      <c r="A6585" s="24" t="s">
        <v>132</v>
      </c>
      <c r="B6585" s="24" t="s">
        <v>119</v>
      </c>
      <c r="C6585" s="32">
        <v>42.585000000000001</v>
      </c>
      <c r="D6585" s="28">
        <v>2.9166666666666664E-2</v>
      </c>
    </row>
    <row r="6586" spans="1:4" x14ac:dyDescent="0.25">
      <c r="A6586" s="24" t="s">
        <v>132</v>
      </c>
      <c r="B6586" s="24" t="s">
        <v>120</v>
      </c>
      <c r="C6586" s="32">
        <v>45.375</v>
      </c>
      <c r="D6586" s="28">
        <v>3.2638888888888891E-2</v>
      </c>
    </row>
    <row r="6587" spans="1:4" x14ac:dyDescent="0.25">
      <c r="A6587" s="24" t="s">
        <v>132</v>
      </c>
      <c r="B6587" s="24" t="s">
        <v>121</v>
      </c>
      <c r="C6587" s="32">
        <v>59.725999999999999</v>
      </c>
      <c r="D6587" s="28">
        <v>3.9583333333333331E-2</v>
      </c>
    </row>
    <row r="6588" spans="1:4" x14ac:dyDescent="0.25">
      <c r="A6588" s="24" t="s">
        <v>132</v>
      </c>
      <c r="B6588" s="24" t="s">
        <v>122</v>
      </c>
      <c r="C6588" s="32">
        <v>45.088000000000001</v>
      </c>
      <c r="D6588" s="28">
        <v>2.9861111111111113E-2</v>
      </c>
    </row>
    <row r="6589" spans="1:4" x14ac:dyDescent="0.25">
      <c r="A6589" s="24" t="s">
        <v>132</v>
      </c>
      <c r="B6589" s="24" t="s">
        <v>123</v>
      </c>
      <c r="C6589" s="32">
        <v>53.311</v>
      </c>
      <c r="D6589" s="28">
        <v>3.6111111111111115E-2</v>
      </c>
    </row>
    <row r="6590" spans="1:4" x14ac:dyDescent="0.25">
      <c r="A6590" s="24" t="s">
        <v>132</v>
      </c>
      <c r="B6590" s="24" t="s">
        <v>124</v>
      </c>
      <c r="C6590" s="32">
        <v>53.311</v>
      </c>
      <c r="D6590" s="28">
        <v>3.6111111111111115E-2</v>
      </c>
    </row>
    <row r="6591" spans="1:4" x14ac:dyDescent="0.25">
      <c r="A6591" s="24" t="s">
        <v>132</v>
      </c>
      <c r="B6591" s="24" t="s">
        <v>125</v>
      </c>
      <c r="C6591" s="32">
        <v>7.4390000000000001</v>
      </c>
      <c r="D6591" s="28">
        <v>9.0277777777777787E-3</v>
      </c>
    </row>
    <row r="6592" spans="1:4" x14ac:dyDescent="0.25">
      <c r="A6592" s="24" t="s">
        <v>132</v>
      </c>
      <c r="B6592" s="24" t="s">
        <v>126</v>
      </c>
      <c r="C6592" s="32">
        <v>7.1769999999999996</v>
      </c>
      <c r="D6592" s="28">
        <v>8.3333333333333332E-3</v>
      </c>
    </row>
    <row r="6593" spans="1:4" x14ac:dyDescent="0.25">
      <c r="A6593" s="24" t="s">
        <v>132</v>
      </c>
      <c r="B6593" s="24" t="s">
        <v>127</v>
      </c>
      <c r="C6593" s="32">
        <v>8.1590000000000007</v>
      </c>
      <c r="D6593" s="28">
        <v>7.6388888888888886E-3</v>
      </c>
    </row>
    <row r="6594" spans="1:4" x14ac:dyDescent="0.25">
      <c r="A6594" s="24" t="s">
        <v>132</v>
      </c>
      <c r="B6594" s="24" t="s">
        <v>128</v>
      </c>
      <c r="C6594" s="32">
        <v>10.397</v>
      </c>
      <c r="D6594" s="28">
        <v>9.7222222222222224E-3</v>
      </c>
    </row>
    <row r="6595" spans="1:4" x14ac:dyDescent="0.25">
      <c r="A6595" s="24" t="s">
        <v>132</v>
      </c>
      <c r="B6595" s="24" t="s">
        <v>129</v>
      </c>
      <c r="C6595" s="32">
        <v>10.397</v>
      </c>
      <c r="D6595" s="28">
        <v>9.7222222222222224E-3</v>
      </c>
    </row>
    <row r="6596" spans="1:4" x14ac:dyDescent="0.25">
      <c r="A6596" s="24" t="s">
        <v>132</v>
      </c>
      <c r="B6596" s="24" t="s">
        <v>130</v>
      </c>
      <c r="C6596" s="32">
        <v>7.84</v>
      </c>
      <c r="D6596" s="28">
        <v>9.7222222222222224E-3</v>
      </c>
    </row>
    <row r="6597" spans="1:4" x14ac:dyDescent="0.25">
      <c r="A6597" s="24" t="s">
        <v>132</v>
      </c>
      <c r="B6597" s="24" t="s">
        <v>131</v>
      </c>
      <c r="C6597" s="32">
        <v>8.9789999999999992</v>
      </c>
      <c r="D6597" s="28">
        <v>1.0416666666666666E-2</v>
      </c>
    </row>
    <row r="6598" spans="1:4" x14ac:dyDescent="0.25">
      <c r="A6598" s="24" t="s">
        <v>132</v>
      </c>
      <c r="B6598" s="24" t="s">
        <v>132</v>
      </c>
      <c r="C6598" s="32">
        <v>0</v>
      </c>
      <c r="D6598" s="28">
        <v>0</v>
      </c>
    </row>
    <row r="6599" spans="1:4" x14ac:dyDescent="0.25">
      <c r="A6599" s="24" t="s">
        <v>132</v>
      </c>
      <c r="B6599" s="24" t="s">
        <v>133</v>
      </c>
      <c r="C6599" s="32">
        <v>18.238</v>
      </c>
      <c r="D6599" s="28">
        <v>1.8055555555555557E-2</v>
      </c>
    </row>
    <row r="6600" spans="1:4" x14ac:dyDescent="0.25">
      <c r="A6600" s="24" t="s">
        <v>132</v>
      </c>
      <c r="B6600" s="24" t="s">
        <v>134</v>
      </c>
      <c r="C6600" s="32">
        <v>17.771999999999998</v>
      </c>
      <c r="D6600" s="28">
        <v>1.7361111111111112E-2</v>
      </c>
    </row>
    <row r="6601" spans="1:4" x14ac:dyDescent="0.25">
      <c r="A6601" s="24" t="s">
        <v>132</v>
      </c>
      <c r="B6601" s="24" t="s">
        <v>135</v>
      </c>
      <c r="C6601" s="32">
        <v>18.315999999999999</v>
      </c>
      <c r="D6601" s="28">
        <v>1.8055555555555557E-2</v>
      </c>
    </row>
    <row r="6602" spans="1:4" x14ac:dyDescent="0.25">
      <c r="A6602" s="24" t="s">
        <v>132</v>
      </c>
      <c r="B6602" s="24" t="s">
        <v>136</v>
      </c>
      <c r="C6602" s="32">
        <v>18.315999999999999</v>
      </c>
      <c r="D6602" s="28">
        <v>1.8055555555555557E-2</v>
      </c>
    </row>
    <row r="6603" spans="1:4" x14ac:dyDescent="0.25">
      <c r="A6603" s="24" t="s">
        <v>132</v>
      </c>
      <c r="B6603" s="24" t="s">
        <v>137</v>
      </c>
      <c r="C6603" s="32">
        <v>17.925000000000001</v>
      </c>
      <c r="D6603" s="28">
        <v>1.8055555555555557E-2</v>
      </c>
    </row>
    <row r="6604" spans="1:4" x14ac:dyDescent="0.25">
      <c r="A6604" s="24" t="s">
        <v>132</v>
      </c>
      <c r="B6604" s="24" t="s">
        <v>138</v>
      </c>
      <c r="C6604" s="32">
        <v>23.015000000000001</v>
      </c>
      <c r="D6604" s="28">
        <v>1.9444444444444445E-2</v>
      </c>
    </row>
    <row r="6605" spans="1:4" x14ac:dyDescent="0.25">
      <c r="A6605" s="24" t="s">
        <v>132</v>
      </c>
      <c r="B6605" s="24" t="s">
        <v>139</v>
      </c>
      <c r="C6605" s="32">
        <v>26.577999999999999</v>
      </c>
      <c r="D6605" s="28">
        <v>2.2222222222222223E-2</v>
      </c>
    </row>
    <row r="6606" spans="1:4" x14ac:dyDescent="0.25">
      <c r="A6606" s="24" t="s">
        <v>132</v>
      </c>
      <c r="B6606" s="24" t="s">
        <v>140</v>
      </c>
      <c r="C6606" s="32">
        <v>23.800999999999998</v>
      </c>
      <c r="D6606" s="28">
        <v>2.013888888888889E-2</v>
      </c>
    </row>
    <row r="6607" spans="1:4" x14ac:dyDescent="0.25">
      <c r="A6607" s="24" t="s">
        <v>132</v>
      </c>
      <c r="B6607" s="24" t="s">
        <v>141</v>
      </c>
      <c r="C6607" s="32">
        <v>51.289000000000001</v>
      </c>
      <c r="D6607" s="28">
        <v>4.1666666666666664E-2</v>
      </c>
    </row>
    <row r="6608" spans="1:4" x14ac:dyDescent="0.25">
      <c r="A6608" s="24" t="s">
        <v>132</v>
      </c>
      <c r="B6608" s="24" t="s">
        <v>142</v>
      </c>
      <c r="C6608" s="32">
        <v>43.619</v>
      </c>
      <c r="D6608" s="28">
        <v>3.3333333333333333E-2</v>
      </c>
    </row>
    <row r="6609" spans="1:4" x14ac:dyDescent="0.25">
      <c r="A6609" s="24" t="s">
        <v>132</v>
      </c>
      <c r="B6609" s="24" t="s">
        <v>143</v>
      </c>
      <c r="C6609" s="32">
        <v>61.997</v>
      </c>
      <c r="D6609" s="28">
        <v>4.027777777777778E-2</v>
      </c>
    </row>
    <row r="6610" spans="1:4" x14ac:dyDescent="0.25">
      <c r="A6610" s="24" t="s">
        <v>132</v>
      </c>
      <c r="B6610" s="24" t="s">
        <v>144</v>
      </c>
      <c r="C6610" s="32">
        <v>81.113</v>
      </c>
      <c r="D6610" s="28">
        <v>5.1388888888888894E-2</v>
      </c>
    </row>
    <row r="6611" spans="1:4" x14ac:dyDescent="0.25">
      <c r="A6611" s="24" t="s">
        <v>132</v>
      </c>
      <c r="B6611" s="24" t="s">
        <v>145</v>
      </c>
      <c r="C6611" s="32">
        <v>37.822000000000003</v>
      </c>
      <c r="D6611" s="28">
        <v>2.8472222222222222E-2</v>
      </c>
    </row>
    <row r="6612" spans="1:4" x14ac:dyDescent="0.25">
      <c r="A6612" s="24" t="s">
        <v>132</v>
      </c>
      <c r="B6612" s="24" t="s">
        <v>146</v>
      </c>
      <c r="C6612" s="32">
        <v>53.280999999999999</v>
      </c>
      <c r="D6612" s="28">
        <v>3.6805555555555557E-2</v>
      </c>
    </row>
    <row r="6613" spans="1:4" x14ac:dyDescent="0.25">
      <c r="A6613" s="24" t="s">
        <v>132</v>
      </c>
      <c r="B6613" s="24" t="s">
        <v>147</v>
      </c>
      <c r="C6613" s="32">
        <v>14.492000000000001</v>
      </c>
      <c r="D6613" s="28">
        <v>1.2499999999999999E-2</v>
      </c>
    </row>
    <row r="6614" spans="1:4" x14ac:dyDescent="0.25">
      <c r="A6614" s="24" t="s">
        <v>132</v>
      </c>
      <c r="B6614" s="24" t="s">
        <v>148</v>
      </c>
      <c r="C6614" s="32">
        <v>11.666</v>
      </c>
      <c r="D6614" s="28">
        <v>1.1805555555555555E-2</v>
      </c>
    </row>
    <row r="6615" spans="1:4" x14ac:dyDescent="0.25">
      <c r="A6615" s="24" t="s">
        <v>132</v>
      </c>
      <c r="B6615" s="24" t="s">
        <v>149</v>
      </c>
      <c r="C6615" s="32">
        <v>1.534</v>
      </c>
      <c r="D6615" s="28">
        <v>2.0833333333333333E-3</v>
      </c>
    </row>
    <row r="6616" spans="1:4" x14ac:dyDescent="0.25">
      <c r="A6616" s="24" t="s">
        <v>132</v>
      </c>
      <c r="B6616" s="24" t="s">
        <v>150</v>
      </c>
      <c r="C6616" s="32">
        <v>9.7330000000000005</v>
      </c>
      <c r="D6616" s="28">
        <v>1.0416666666666666E-2</v>
      </c>
    </row>
    <row r="6617" spans="1:4" x14ac:dyDescent="0.25">
      <c r="A6617" s="24" t="s">
        <v>132</v>
      </c>
      <c r="B6617" s="24" t="s">
        <v>151</v>
      </c>
      <c r="C6617" s="32">
        <v>8.9909999999999997</v>
      </c>
      <c r="D6617" s="28">
        <v>9.7222222222222224E-3</v>
      </c>
    </row>
    <row r="6618" spans="1:4" x14ac:dyDescent="0.25">
      <c r="A6618" s="24" t="s">
        <v>132</v>
      </c>
      <c r="B6618" s="24" t="s">
        <v>152</v>
      </c>
      <c r="C6618" s="32">
        <v>13.635999999999999</v>
      </c>
      <c r="D6618" s="28">
        <v>1.4583333333333332E-2</v>
      </c>
    </row>
    <row r="6619" spans="1:4" x14ac:dyDescent="0.25">
      <c r="A6619" s="24" t="s">
        <v>132</v>
      </c>
      <c r="B6619" s="24" t="s">
        <v>153</v>
      </c>
      <c r="C6619" s="32">
        <v>18.59</v>
      </c>
      <c r="D6619" s="28">
        <v>1.8749999999999999E-2</v>
      </c>
    </row>
    <row r="6620" spans="1:4" x14ac:dyDescent="0.25">
      <c r="A6620" s="24" t="s">
        <v>132</v>
      </c>
      <c r="B6620" s="24" t="s">
        <v>154</v>
      </c>
      <c r="C6620" s="32">
        <v>13.407999999999999</v>
      </c>
      <c r="D6620" s="28">
        <v>1.2499999999999999E-2</v>
      </c>
    </row>
    <row r="6621" spans="1:4" x14ac:dyDescent="0.25">
      <c r="A6621" s="24" t="s">
        <v>132</v>
      </c>
      <c r="B6621" s="24" t="s">
        <v>155</v>
      </c>
      <c r="C6621" s="32">
        <v>9.5950000000000006</v>
      </c>
      <c r="D6621" s="28">
        <v>1.0416666666666666E-2</v>
      </c>
    </row>
    <row r="6622" spans="1:4" x14ac:dyDescent="0.25">
      <c r="A6622" s="24" t="s">
        <v>132</v>
      </c>
      <c r="B6622" s="24" t="s">
        <v>156</v>
      </c>
      <c r="C6622" s="32">
        <v>9.5790000000000006</v>
      </c>
      <c r="D6622" s="28">
        <v>1.0416666666666666E-2</v>
      </c>
    </row>
    <row r="6623" spans="1:4" x14ac:dyDescent="0.25">
      <c r="A6623" s="24" t="s">
        <v>132</v>
      </c>
      <c r="B6623" s="24" t="s">
        <v>157</v>
      </c>
      <c r="C6623" s="32">
        <v>22.844999999999999</v>
      </c>
      <c r="D6623" s="28">
        <v>2.0833333333333332E-2</v>
      </c>
    </row>
    <row r="6624" spans="1:4" x14ac:dyDescent="0.25">
      <c r="A6624" s="24" t="s">
        <v>132</v>
      </c>
      <c r="B6624" s="24" t="s">
        <v>158</v>
      </c>
      <c r="C6624" s="32">
        <v>33.598999999999997</v>
      </c>
      <c r="D6624" s="28">
        <v>2.8472222222222222E-2</v>
      </c>
    </row>
    <row r="6625" spans="1:4" x14ac:dyDescent="0.25">
      <c r="A6625" s="24" t="s">
        <v>132</v>
      </c>
      <c r="B6625" s="24" t="s">
        <v>159</v>
      </c>
      <c r="C6625" s="32">
        <v>38.969000000000001</v>
      </c>
      <c r="D6625" s="28">
        <v>3.4027777777777775E-2</v>
      </c>
    </row>
    <row r="6626" spans="1:4" x14ac:dyDescent="0.25">
      <c r="A6626" s="24" t="s">
        <v>133</v>
      </c>
      <c r="B6626" s="24" t="s">
        <v>65</v>
      </c>
      <c r="C6626" s="32">
        <v>19.373000000000001</v>
      </c>
      <c r="D6626" s="28">
        <v>1.7361111111111112E-2</v>
      </c>
    </row>
    <row r="6627" spans="1:4" x14ac:dyDescent="0.25">
      <c r="A6627" s="24" t="s">
        <v>133</v>
      </c>
      <c r="B6627" s="24" t="s">
        <v>64</v>
      </c>
      <c r="C6627" s="32">
        <v>12.278</v>
      </c>
      <c r="D6627" s="28">
        <v>1.2499999999999999E-2</v>
      </c>
    </row>
    <row r="6628" spans="1:4" x14ac:dyDescent="0.25">
      <c r="A6628" s="24" t="s">
        <v>133</v>
      </c>
      <c r="B6628" s="24" t="s">
        <v>66</v>
      </c>
      <c r="C6628" s="32">
        <v>16.376000000000001</v>
      </c>
      <c r="D6628" s="28">
        <v>1.6666666666666666E-2</v>
      </c>
    </row>
    <row r="6629" spans="1:4" x14ac:dyDescent="0.25">
      <c r="A6629" s="24" t="s">
        <v>133</v>
      </c>
      <c r="B6629" s="24" t="s">
        <v>67</v>
      </c>
      <c r="C6629" s="32">
        <v>12.657999999999999</v>
      </c>
      <c r="D6629" s="28">
        <v>1.4583333333333332E-2</v>
      </c>
    </row>
    <row r="6630" spans="1:4" x14ac:dyDescent="0.25">
      <c r="A6630" s="24" t="s">
        <v>133</v>
      </c>
      <c r="B6630" s="24" t="s">
        <v>68</v>
      </c>
      <c r="C6630" s="32">
        <v>15.28</v>
      </c>
      <c r="D6630" s="28">
        <v>1.5277777777777777E-2</v>
      </c>
    </row>
    <row r="6631" spans="1:4" x14ac:dyDescent="0.25">
      <c r="A6631" s="24" t="s">
        <v>133</v>
      </c>
      <c r="B6631" s="24" t="s">
        <v>69</v>
      </c>
      <c r="C6631" s="32">
        <v>16.079999999999998</v>
      </c>
      <c r="D6631" s="28">
        <v>1.6666666666666666E-2</v>
      </c>
    </row>
    <row r="6632" spans="1:4" x14ac:dyDescent="0.25">
      <c r="A6632" s="24" t="s">
        <v>133</v>
      </c>
      <c r="B6632" s="24" t="s">
        <v>70</v>
      </c>
      <c r="C6632" s="32">
        <v>15.744</v>
      </c>
      <c r="D6632" s="28">
        <v>1.5972222222222224E-2</v>
      </c>
    </row>
    <row r="6633" spans="1:4" x14ac:dyDescent="0.25">
      <c r="A6633" s="24" t="s">
        <v>133</v>
      </c>
      <c r="B6633" s="24" t="s">
        <v>71</v>
      </c>
      <c r="C6633" s="32">
        <v>13.029</v>
      </c>
      <c r="D6633" s="28">
        <v>1.5972222222222224E-2</v>
      </c>
    </row>
    <row r="6634" spans="1:4" x14ac:dyDescent="0.25">
      <c r="A6634" s="24" t="s">
        <v>133</v>
      </c>
      <c r="B6634" s="24" t="s">
        <v>72</v>
      </c>
      <c r="C6634" s="32">
        <v>19.619</v>
      </c>
      <c r="D6634" s="28">
        <v>1.5277777777777777E-2</v>
      </c>
    </row>
    <row r="6635" spans="1:4" x14ac:dyDescent="0.25">
      <c r="A6635" s="24" t="s">
        <v>133</v>
      </c>
      <c r="B6635" s="24" t="s">
        <v>73</v>
      </c>
      <c r="C6635" s="32">
        <v>11.577999999999999</v>
      </c>
      <c r="D6635" s="28">
        <v>1.3194444444444444E-2</v>
      </c>
    </row>
    <row r="6636" spans="1:4" x14ac:dyDescent="0.25">
      <c r="A6636" s="24" t="s">
        <v>133</v>
      </c>
      <c r="B6636" s="24" t="s">
        <v>74</v>
      </c>
      <c r="C6636" s="32">
        <v>10.835000000000001</v>
      </c>
      <c r="D6636" s="28">
        <v>1.2499999999999999E-2</v>
      </c>
    </row>
    <row r="6637" spans="1:4" x14ac:dyDescent="0.25">
      <c r="A6637" s="24" t="s">
        <v>133</v>
      </c>
      <c r="B6637" s="24" t="s">
        <v>75</v>
      </c>
      <c r="C6637" s="32">
        <v>9.8710000000000004</v>
      </c>
      <c r="D6637" s="28">
        <v>1.0416666666666666E-2</v>
      </c>
    </row>
    <row r="6638" spans="1:4" x14ac:dyDescent="0.25">
      <c r="A6638" s="24" t="s">
        <v>133</v>
      </c>
      <c r="B6638" s="24" t="s">
        <v>76</v>
      </c>
      <c r="C6638" s="32">
        <v>14.673</v>
      </c>
      <c r="D6638" s="28">
        <v>1.3888888888888888E-2</v>
      </c>
    </row>
    <row r="6639" spans="1:4" x14ac:dyDescent="0.25">
      <c r="A6639" s="24" t="s">
        <v>133</v>
      </c>
      <c r="B6639" s="24" t="s">
        <v>77</v>
      </c>
      <c r="C6639" s="32">
        <v>19.66</v>
      </c>
      <c r="D6639" s="28">
        <v>1.5972222222222224E-2</v>
      </c>
    </row>
    <row r="6640" spans="1:4" x14ac:dyDescent="0.25">
      <c r="A6640" s="24" t="s">
        <v>133</v>
      </c>
      <c r="B6640" s="24" t="s">
        <v>78</v>
      </c>
      <c r="C6640" s="32">
        <v>20.533000000000001</v>
      </c>
      <c r="D6640" s="28">
        <v>1.8055555555555557E-2</v>
      </c>
    </row>
    <row r="6641" spans="1:4" x14ac:dyDescent="0.25">
      <c r="A6641" s="24" t="s">
        <v>133</v>
      </c>
      <c r="B6641" s="24" t="s">
        <v>79</v>
      </c>
      <c r="C6641" s="32">
        <v>31.553000000000001</v>
      </c>
      <c r="D6641" s="28">
        <v>2.8472222222222222E-2</v>
      </c>
    </row>
    <row r="6642" spans="1:4" x14ac:dyDescent="0.25">
      <c r="A6642" s="24" t="s">
        <v>133</v>
      </c>
      <c r="B6642" s="24" t="s">
        <v>80</v>
      </c>
      <c r="C6642" s="32">
        <v>22.600999999999999</v>
      </c>
      <c r="D6642" s="28">
        <v>2.013888888888889E-2</v>
      </c>
    </row>
    <row r="6643" spans="1:4" x14ac:dyDescent="0.25">
      <c r="A6643" s="24" t="s">
        <v>133</v>
      </c>
      <c r="B6643" s="24" t="s">
        <v>81</v>
      </c>
      <c r="C6643" s="32">
        <v>32.189</v>
      </c>
      <c r="D6643" s="28">
        <v>2.0833333333333332E-2</v>
      </c>
    </row>
    <row r="6644" spans="1:4" x14ac:dyDescent="0.25">
      <c r="A6644" s="24" t="s">
        <v>133</v>
      </c>
      <c r="B6644" s="24" t="s">
        <v>82</v>
      </c>
      <c r="C6644" s="32">
        <v>32.241</v>
      </c>
      <c r="D6644" s="28">
        <v>2.0833333333333332E-2</v>
      </c>
    </row>
    <row r="6645" spans="1:4" x14ac:dyDescent="0.25">
      <c r="A6645" s="24" t="s">
        <v>133</v>
      </c>
      <c r="B6645" s="24" t="s">
        <v>83</v>
      </c>
      <c r="C6645" s="32">
        <v>10.231</v>
      </c>
      <c r="D6645" s="28">
        <v>1.0416666666666666E-2</v>
      </c>
    </row>
    <row r="6646" spans="1:4" x14ac:dyDescent="0.25">
      <c r="A6646" s="24" t="s">
        <v>133</v>
      </c>
      <c r="B6646" s="24" t="s">
        <v>84</v>
      </c>
      <c r="C6646" s="32">
        <v>7.7619999999999996</v>
      </c>
      <c r="D6646" s="28">
        <v>7.6388888888888886E-3</v>
      </c>
    </row>
    <row r="6647" spans="1:4" x14ac:dyDescent="0.25">
      <c r="A6647" s="24" t="s">
        <v>133</v>
      </c>
      <c r="B6647" s="24" t="s">
        <v>85</v>
      </c>
      <c r="C6647" s="32">
        <v>7.3959999999999999</v>
      </c>
      <c r="D6647" s="28">
        <v>7.6388888888888886E-3</v>
      </c>
    </row>
    <row r="6648" spans="1:4" x14ac:dyDescent="0.25">
      <c r="A6648" s="24" t="s">
        <v>133</v>
      </c>
      <c r="B6648" s="24" t="s">
        <v>86</v>
      </c>
      <c r="C6648" s="32">
        <v>7.2779999999999996</v>
      </c>
      <c r="D6648" s="28">
        <v>7.6388888888888886E-3</v>
      </c>
    </row>
    <row r="6649" spans="1:4" x14ac:dyDescent="0.25">
      <c r="A6649" s="24" t="s">
        <v>133</v>
      </c>
      <c r="B6649" s="24" t="s">
        <v>87</v>
      </c>
      <c r="C6649" s="32">
        <v>7.056</v>
      </c>
      <c r="D6649" s="28">
        <v>6.9444444444444441E-3</v>
      </c>
    </row>
    <row r="6650" spans="1:4" x14ac:dyDescent="0.25">
      <c r="A6650" s="24" t="s">
        <v>133</v>
      </c>
      <c r="B6650" s="24" t="s">
        <v>88</v>
      </c>
      <c r="C6650" s="32">
        <v>8.1349999999999998</v>
      </c>
      <c r="D6650" s="28">
        <v>8.3333333333333332E-3</v>
      </c>
    </row>
    <row r="6651" spans="1:4" x14ac:dyDescent="0.25">
      <c r="A6651" s="24" t="s">
        <v>133</v>
      </c>
      <c r="B6651" s="24" t="s">
        <v>89</v>
      </c>
      <c r="C6651" s="32">
        <v>11.824</v>
      </c>
      <c r="D6651" s="28">
        <v>1.2499999999999999E-2</v>
      </c>
    </row>
    <row r="6652" spans="1:4" x14ac:dyDescent="0.25">
      <c r="A6652" s="24" t="s">
        <v>133</v>
      </c>
      <c r="B6652" s="24" t="s">
        <v>90</v>
      </c>
      <c r="C6652" s="32">
        <v>21.414000000000001</v>
      </c>
      <c r="D6652" s="28">
        <v>2.013888888888889E-2</v>
      </c>
    </row>
    <row r="6653" spans="1:4" x14ac:dyDescent="0.25">
      <c r="A6653" s="24" t="s">
        <v>133</v>
      </c>
      <c r="B6653" s="24" t="s">
        <v>91</v>
      </c>
      <c r="C6653" s="32">
        <v>9.6829999999999998</v>
      </c>
      <c r="D6653" s="28">
        <v>9.7222222222222224E-3</v>
      </c>
    </row>
    <row r="6654" spans="1:4" x14ac:dyDescent="0.25">
      <c r="A6654" s="24" t="s">
        <v>133</v>
      </c>
      <c r="B6654" s="24" t="s">
        <v>92</v>
      </c>
      <c r="C6654" s="32">
        <v>20.672999999999998</v>
      </c>
      <c r="D6654" s="28">
        <v>1.9444444444444445E-2</v>
      </c>
    </row>
    <row r="6655" spans="1:4" x14ac:dyDescent="0.25">
      <c r="A6655" s="24" t="s">
        <v>133</v>
      </c>
      <c r="B6655" s="24" t="s">
        <v>93</v>
      </c>
      <c r="C6655" s="32">
        <v>44.404000000000003</v>
      </c>
      <c r="D6655" s="28">
        <v>3.2638888888888891E-2</v>
      </c>
    </row>
    <row r="6656" spans="1:4" x14ac:dyDescent="0.25">
      <c r="A6656" s="24" t="s">
        <v>133</v>
      </c>
      <c r="B6656" s="24" t="s">
        <v>94</v>
      </c>
      <c r="C6656" s="32">
        <v>45.033000000000001</v>
      </c>
      <c r="D6656" s="28">
        <v>3.3333333333333333E-2</v>
      </c>
    </row>
    <row r="6657" spans="1:4" x14ac:dyDescent="0.25">
      <c r="A6657" s="24" t="s">
        <v>133</v>
      </c>
      <c r="B6657" s="24" t="s">
        <v>95</v>
      </c>
      <c r="C6657" s="32">
        <v>23.158000000000001</v>
      </c>
      <c r="D6657" s="28">
        <v>2.2916666666666669E-2</v>
      </c>
    </row>
    <row r="6658" spans="1:4" x14ac:dyDescent="0.25">
      <c r="A6658" s="24" t="s">
        <v>133</v>
      </c>
      <c r="B6658" s="24" t="s">
        <v>96</v>
      </c>
      <c r="C6658" s="32">
        <v>25.097000000000001</v>
      </c>
      <c r="D6658" s="28">
        <v>2.361111111111111E-2</v>
      </c>
    </row>
    <row r="6659" spans="1:4" x14ac:dyDescent="0.25">
      <c r="A6659" s="24" t="s">
        <v>133</v>
      </c>
      <c r="B6659" s="24" t="s">
        <v>97</v>
      </c>
      <c r="C6659" s="32">
        <v>33.415999999999997</v>
      </c>
      <c r="D6659" s="28">
        <v>2.9861111111111113E-2</v>
      </c>
    </row>
    <row r="6660" spans="1:4" x14ac:dyDescent="0.25">
      <c r="A6660" s="24" t="s">
        <v>133</v>
      </c>
      <c r="B6660" s="24" t="s">
        <v>98</v>
      </c>
      <c r="C6660" s="32">
        <v>30.497</v>
      </c>
      <c r="D6660" s="28">
        <v>2.7083333333333334E-2</v>
      </c>
    </row>
    <row r="6661" spans="1:4" x14ac:dyDescent="0.25">
      <c r="A6661" s="24" t="s">
        <v>133</v>
      </c>
      <c r="B6661" s="24" t="s">
        <v>99</v>
      </c>
      <c r="C6661" s="32">
        <v>36.994999999999997</v>
      </c>
      <c r="D6661" s="28">
        <v>3.125E-2</v>
      </c>
    </row>
    <row r="6662" spans="1:4" x14ac:dyDescent="0.25">
      <c r="A6662" s="24" t="s">
        <v>133</v>
      </c>
      <c r="B6662" s="24" t="s">
        <v>100</v>
      </c>
      <c r="C6662" s="32">
        <v>26.405999999999999</v>
      </c>
      <c r="D6662" s="28">
        <v>2.361111111111111E-2</v>
      </c>
    </row>
    <row r="6663" spans="1:4" x14ac:dyDescent="0.25">
      <c r="A6663" s="24" t="s">
        <v>133</v>
      </c>
      <c r="B6663" s="24" t="s">
        <v>101</v>
      </c>
      <c r="C6663" s="32">
        <v>28.885000000000002</v>
      </c>
      <c r="D6663" s="28">
        <v>2.7777777777777776E-2</v>
      </c>
    </row>
    <row r="6664" spans="1:4" x14ac:dyDescent="0.25">
      <c r="A6664" s="24" t="s">
        <v>133</v>
      </c>
      <c r="B6664" s="24" t="s">
        <v>102</v>
      </c>
      <c r="C6664" s="32">
        <v>28.312000000000001</v>
      </c>
      <c r="D6664" s="28">
        <v>2.7083333333333334E-2</v>
      </c>
    </row>
    <row r="6665" spans="1:4" x14ac:dyDescent="0.25">
      <c r="A6665" s="24" t="s">
        <v>133</v>
      </c>
      <c r="B6665" s="24" t="s">
        <v>103</v>
      </c>
      <c r="C6665" s="32">
        <v>15.47</v>
      </c>
      <c r="D6665" s="28">
        <v>1.4583333333333332E-2</v>
      </c>
    </row>
    <row r="6666" spans="1:4" x14ac:dyDescent="0.25">
      <c r="A6666" s="24" t="s">
        <v>133</v>
      </c>
      <c r="B6666" s="24" t="s">
        <v>104</v>
      </c>
      <c r="C6666" s="32">
        <v>19.553000000000001</v>
      </c>
      <c r="D6666" s="28">
        <v>1.8055555555555557E-2</v>
      </c>
    </row>
    <row r="6667" spans="1:4" x14ac:dyDescent="0.25">
      <c r="A6667" s="24" t="s">
        <v>133</v>
      </c>
      <c r="B6667" s="24" t="s">
        <v>105</v>
      </c>
      <c r="C6667" s="32">
        <v>14.3</v>
      </c>
      <c r="D6667" s="28">
        <v>1.7361111111111112E-2</v>
      </c>
    </row>
    <row r="6668" spans="1:4" x14ac:dyDescent="0.25">
      <c r="A6668" s="24" t="s">
        <v>133</v>
      </c>
      <c r="B6668" s="24" t="s">
        <v>106</v>
      </c>
      <c r="C6668" s="32">
        <v>15.321999999999999</v>
      </c>
      <c r="D6668" s="28">
        <v>1.4583333333333332E-2</v>
      </c>
    </row>
    <row r="6669" spans="1:4" x14ac:dyDescent="0.25">
      <c r="A6669" s="24" t="s">
        <v>133</v>
      </c>
      <c r="B6669" s="24" t="s">
        <v>107</v>
      </c>
      <c r="C6669" s="32">
        <v>6.8579999999999997</v>
      </c>
      <c r="D6669" s="28">
        <v>8.3333333333333332E-3</v>
      </c>
    </row>
    <row r="6670" spans="1:4" x14ac:dyDescent="0.25">
      <c r="A6670" s="24" t="s">
        <v>133</v>
      </c>
      <c r="B6670" s="24" t="s">
        <v>108</v>
      </c>
      <c r="C6670" s="32">
        <v>5.2439999999999998</v>
      </c>
      <c r="D6670" s="28">
        <v>5.5555555555555558E-3</v>
      </c>
    </row>
    <row r="6671" spans="1:4" x14ac:dyDescent="0.25">
      <c r="A6671" s="24" t="s">
        <v>133</v>
      </c>
      <c r="B6671" s="24" t="s">
        <v>109</v>
      </c>
      <c r="C6671" s="32">
        <v>5.274</v>
      </c>
      <c r="D6671" s="28">
        <v>5.5555555555555558E-3</v>
      </c>
    </row>
    <row r="6672" spans="1:4" x14ac:dyDescent="0.25">
      <c r="A6672" s="24" t="s">
        <v>133</v>
      </c>
      <c r="B6672" s="24" t="s">
        <v>110</v>
      </c>
      <c r="C6672" s="32">
        <v>14.849</v>
      </c>
      <c r="D6672" s="28">
        <v>1.5277777777777777E-2</v>
      </c>
    </row>
    <row r="6673" spans="1:4" x14ac:dyDescent="0.25">
      <c r="A6673" s="24" t="s">
        <v>133</v>
      </c>
      <c r="B6673" s="24" t="s">
        <v>111</v>
      </c>
      <c r="C6673" s="32">
        <v>15.007999999999999</v>
      </c>
      <c r="D6673" s="28">
        <v>1.5277777777777777E-2</v>
      </c>
    </row>
    <row r="6674" spans="1:4" x14ac:dyDescent="0.25">
      <c r="A6674" s="24" t="s">
        <v>133</v>
      </c>
      <c r="B6674" s="24" t="s">
        <v>112</v>
      </c>
      <c r="C6674" s="32">
        <v>7.8380000000000001</v>
      </c>
      <c r="D6674" s="28">
        <v>1.0416666666666666E-2</v>
      </c>
    </row>
    <row r="6675" spans="1:4" x14ac:dyDescent="0.25">
      <c r="A6675" s="24" t="s">
        <v>133</v>
      </c>
      <c r="B6675" s="24" t="s">
        <v>113</v>
      </c>
      <c r="C6675" s="32">
        <v>10.721</v>
      </c>
      <c r="D6675" s="28">
        <v>1.0416666666666666E-2</v>
      </c>
    </row>
    <row r="6676" spans="1:4" x14ac:dyDescent="0.25">
      <c r="A6676" s="24" t="s">
        <v>133</v>
      </c>
      <c r="B6676" s="24" t="s">
        <v>114</v>
      </c>
      <c r="C6676" s="32">
        <v>25.667999999999999</v>
      </c>
      <c r="D6676" s="28">
        <v>2.0833333333333332E-2</v>
      </c>
    </row>
    <row r="6677" spans="1:4" x14ac:dyDescent="0.25">
      <c r="A6677" s="24" t="s">
        <v>133</v>
      </c>
      <c r="B6677" s="24" t="s">
        <v>115</v>
      </c>
      <c r="C6677" s="32">
        <v>25.518999999999998</v>
      </c>
      <c r="D6677" s="28">
        <v>2.1527777777777781E-2</v>
      </c>
    </row>
    <row r="6678" spans="1:4" x14ac:dyDescent="0.25">
      <c r="A6678" s="24" t="s">
        <v>133</v>
      </c>
      <c r="B6678" s="24" t="s">
        <v>116</v>
      </c>
      <c r="C6678" s="32">
        <v>19.754999999999999</v>
      </c>
      <c r="D6678" s="28">
        <v>1.8749999999999999E-2</v>
      </c>
    </row>
    <row r="6679" spans="1:4" x14ac:dyDescent="0.25">
      <c r="A6679" s="24" t="s">
        <v>133</v>
      </c>
      <c r="B6679" s="24" t="s">
        <v>117</v>
      </c>
      <c r="C6679" s="32">
        <v>22.661999999999999</v>
      </c>
      <c r="D6679" s="28">
        <v>2.361111111111111E-2</v>
      </c>
    </row>
    <row r="6680" spans="1:4" x14ac:dyDescent="0.25">
      <c r="A6680" s="24" t="s">
        <v>133</v>
      </c>
      <c r="B6680" s="24" t="s">
        <v>118</v>
      </c>
      <c r="C6680" s="32">
        <v>20.425000000000001</v>
      </c>
      <c r="D6680" s="28">
        <v>1.5277777777777777E-2</v>
      </c>
    </row>
    <row r="6681" spans="1:4" x14ac:dyDescent="0.25">
      <c r="A6681" s="24" t="s">
        <v>133</v>
      </c>
      <c r="B6681" s="24" t="s">
        <v>119</v>
      </c>
      <c r="C6681" s="32">
        <v>25.666</v>
      </c>
      <c r="D6681" s="28">
        <v>1.6666666666666666E-2</v>
      </c>
    </row>
    <row r="6682" spans="1:4" x14ac:dyDescent="0.25">
      <c r="A6682" s="24" t="s">
        <v>133</v>
      </c>
      <c r="B6682" s="24" t="s">
        <v>120</v>
      </c>
      <c r="C6682" s="32">
        <v>28.456</v>
      </c>
      <c r="D6682" s="28">
        <v>1.9444444444444445E-2</v>
      </c>
    </row>
    <row r="6683" spans="1:4" x14ac:dyDescent="0.25">
      <c r="A6683" s="24" t="s">
        <v>133</v>
      </c>
      <c r="B6683" s="24" t="s">
        <v>121</v>
      </c>
      <c r="C6683" s="32">
        <v>42.807000000000002</v>
      </c>
      <c r="D6683" s="28">
        <v>2.6388888888888889E-2</v>
      </c>
    </row>
    <row r="6684" spans="1:4" x14ac:dyDescent="0.25">
      <c r="A6684" s="24" t="s">
        <v>133</v>
      </c>
      <c r="B6684" s="24" t="s">
        <v>122</v>
      </c>
      <c r="C6684" s="32">
        <v>40.677999999999997</v>
      </c>
      <c r="D6684" s="28">
        <v>2.7083333333333334E-2</v>
      </c>
    </row>
    <row r="6685" spans="1:4" x14ac:dyDescent="0.25">
      <c r="A6685" s="24" t="s">
        <v>133</v>
      </c>
      <c r="B6685" s="24" t="s">
        <v>123</v>
      </c>
      <c r="C6685" s="32">
        <v>36.392000000000003</v>
      </c>
      <c r="D6685" s="28">
        <v>2.2916666666666669E-2</v>
      </c>
    </row>
    <row r="6686" spans="1:4" x14ac:dyDescent="0.25">
      <c r="A6686" s="24" t="s">
        <v>133</v>
      </c>
      <c r="B6686" s="24" t="s">
        <v>124</v>
      </c>
      <c r="C6686" s="32">
        <v>36.392000000000003</v>
      </c>
      <c r="D6686" s="28">
        <v>2.2916666666666669E-2</v>
      </c>
    </row>
    <row r="6687" spans="1:4" x14ac:dyDescent="0.25">
      <c r="A6687" s="24" t="s">
        <v>133</v>
      </c>
      <c r="B6687" s="24" t="s">
        <v>125</v>
      </c>
      <c r="C6687" s="32">
        <v>15.157</v>
      </c>
      <c r="D6687" s="28">
        <v>1.6666666666666666E-2</v>
      </c>
    </row>
    <row r="6688" spans="1:4" x14ac:dyDescent="0.25">
      <c r="A6688" s="24" t="s">
        <v>133</v>
      </c>
      <c r="B6688" s="24" t="s">
        <v>126</v>
      </c>
      <c r="C6688" s="32">
        <v>14.895</v>
      </c>
      <c r="D6688" s="28">
        <v>1.5972222222222224E-2</v>
      </c>
    </row>
    <row r="6689" spans="1:4" x14ac:dyDescent="0.25">
      <c r="A6689" s="24" t="s">
        <v>133</v>
      </c>
      <c r="B6689" s="24" t="s">
        <v>127</v>
      </c>
      <c r="C6689" s="32">
        <v>15.64</v>
      </c>
      <c r="D6689" s="28">
        <v>1.6666666666666666E-2</v>
      </c>
    </row>
    <row r="6690" spans="1:4" x14ac:dyDescent="0.25">
      <c r="A6690" s="24" t="s">
        <v>133</v>
      </c>
      <c r="B6690" s="24" t="s">
        <v>128</v>
      </c>
      <c r="C6690" s="32">
        <v>13.968</v>
      </c>
      <c r="D6690" s="28">
        <v>1.4583333333333332E-2</v>
      </c>
    </row>
    <row r="6691" spans="1:4" x14ac:dyDescent="0.25">
      <c r="A6691" s="24" t="s">
        <v>133</v>
      </c>
      <c r="B6691" s="24" t="s">
        <v>129</v>
      </c>
      <c r="C6691" s="32">
        <v>13.968</v>
      </c>
      <c r="D6691" s="28">
        <v>1.4583333333333332E-2</v>
      </c>
    </row>
    <row r="6692" spans="1:4" x14ac:dyDescent="0.25">
      <c r="A6692" s="24" t="s">
        <v>133</v>
      </c>
      <c r="B6692" s="24" t="s">
        <v>130</v>
      </c>
      <c r="C6692" s="32">
        <v>15.558</v>
      </c>
      <c r="D6692" s="28">
        <v>1.7361111111111112E-2</v>
      </c>
    </row>
    <row r="6693" spans="1:4" x14ac:dyDescent="0.25">
      <c r="A6693" s="24" t="s">
        <v>133</v>
      </c>
      <c r="B6693" s="24" t="s">
        <v>131</v>
      </c>
      <c r="C6693" s="32">
        <v>18.029</v>
      </c>
      <c r="D6693" s="28">
        <v>2.013888888888889E-2</v>
      </c>
    </row>
    <row r="6694" spans="1:4" x14ac:dyDescent="0.25">
      <c r="A6694" s="24" t="s">
        <v>133</v>
      </c>
      <c r="B6694" s="24" t="s">
        <v>132</v>
      </c>
      <c r="C6694" s="32">
        <v>18.882000000000001</v>
      </c>
      <c r="D6694" s="28">
        <v>2.013888888888889E-2</v>
      </c>
    </row>
    <row r="6695" spans="1:4" x14ac:dyDescent="0.25">
      <c r="A6695" s="24" t="s">
        <v>133</v>
      </c>
      <c r="B6695" s="24" t="s">
        <v>133</v>
      </c>
      <c r="C6695" s="32">
        <v>0</v>
      </c>
      <c r="D6695" s="28">
        <v>0</v>
      </c>
    </row>
    <row r="6696" spans="1:4" x14ac:dyDescent="0.25">
      <c r="A6696" s="24" t="s">
        <v>133</v>
      </c>
      <c r="B6696" s="24" t="s">
        <v>134</v>
      </c>
      <c r="C6696" s="32">
        <v>1.5680000000000001</v>
      </c>
      <c r="D6696" s="28">
        <v>4.1666666666666666E-3</v>
      </c>
    </row>
    <row r="6697" spans="1:4" x14ac:dyDescent="0.25">
      <c r="A6697" s="24" t="s">
        <v>133</v>
      </c>
      <c r="B6697" s="24" t="s">
        <v>135</v>
      </c>
      <c r="C6697" s="32">
        <v>6.8460000000000001</v>
      </c>
      <c r="D6697" s="28">
        <v>8.3333333333333332E-3</v>
      </c>
    </row>
    <row r="6698" spans="1:4" x14ac:dyDescent="0.25">
      <c r="A6698" s="24" t="s">
        <v>133</v>
      </c>
      <c r="B6698" s="24" t="s">
        <v>136</v>
      </c>
      <c r="C6698" s="32">
        <v>6.8460000000000001</v>
      </c>
      <c r="D6698" s="28">
        <v>8.3333333333333332E-3</v>
      </c>
    </row>
    <row r="6699" spans="1:4" x14ac:dyDescent="0.25">
      <c r="A6699" s="24" t="s">
        <v>133</v>
      </c>
      <c r="B6699" s="24" t="s">
        <v>137</v>
      </c>
      <c r="C6699" s="32">
        <v>6.4550000000000001</v>
      </c>
      <c r="D6699" s="28">
        <v>7.6388888888888886E-3</v>
      </c>
    </row>
    <row r="6700" spans="1:4" x14ac:dyDescent="0.25">
      <c r="A6700" s="24" t="s">
        <v>133</v>
      </c>
      <c r="B6700" s="24" t="s">
        <v>138</v>
      </c>
      <c r="C6700" s="32">
        <v>6.7270000000000003</v>
      </c>
      <c r="D6700" s="28">
        <v>5.5555555555555558E-3</v>
      </c>
    </row>
    <row r="6701" spans="1:4" x14ac:dyDescent="0.25">
      <c r="A6701" s="24" t="s">
        <v>133</v>
      </c>
      <c r="B6701" s="24" t="s">
        <v>139</v>
      </c>
      <c r="C6701" s="32">
        <v>16.847999999999999</v>
      </c>
      <c r="D6701" s="28">
        <v>1.1805555555555555E-2</v>
      </c>
    </row>
    <row r="6702" spans="1:4" x14ac:dyDescent="0.25">
      <c r="A6702" s="24" t="s">
        <v>133</v>
      </c>
      <c r="B6702" s="24" t="s">
        <v>140</v>
      </c>
      <c r="C6702" s="32">
        <v>16.803999999999998</v>
      </c>
      <c r="D6702" s="28">
        <v>1.2499999999999999E-2</v>
      </c>
    </row>
    <row r="6703" spans="1:4" x14ac:dyDescent="0.25">
      <c r="A6703" s="24" t="s">
        <v>133</v>
      </c>
      <c r="B6703" s="24" t="s">
        <v>141</v>
      </c>
      <c r="C6703" s="32">
        <v>41.558999999999997</v>
      </c>
      <c r="D6703" s="28">
        <v>3.0555555555555555E-2</v>
      </c>
    </row>
    <row r="6704" spans="1:4" x14ac:dyDescent="0.25">
      <c r="A6704" s="24" t="s">
        <v>133</v>
      </c>
      <c r="B6704" s="24" t="s">
        <v>142</v>
      </c>
      <c r="C6704" s="32">
        <v>39.646999999999998</v>
      </c>
      <c r="D6704" s="28">
        <v>2.361111111111111E-2</v>
      </c>
    </row>
    <row r="6705" spans="1:4" x14ac:dyDescent="0.25">
      <c r="A6705" s="24" t="s">
        <v>133</v>
      </c>
      <c r="B6705" s="24" t="s">
        <v>143</v>
      </c>
      <c r="C6705" s="32">
        <v>58.024999999999999</v>
      </c>
      <c r="D6705" s="28">
        <v>3.0555555555555555E-2</v>
      </c>
    </row>
    <row r="6706" spans="1:4" x14ac:dyDescent="0.25">
      <c r="A6706" s="24" t="s">
        <v>133</v>
      </c>
      <c r="B6706" s="24" t="s">
        <v>144</v>
      </c>
      <c r="C6706" s="32">
        <v>77.141000000000005</v>
      </c>
      <c r="D6706" s="28">
        <v>4.1666666666666664E-2</v>
      </c>
    </row>
    <row r="6707" spans="1:4" x14ac:dyDescent="0.25">
      <c r="A6707" s="24" t="s">
        <v>133</v>
      </c>
      <c r="B6707" s="24" t="s">
        <v>145</v>
      </c>
      <c r="C6707" s="32">
        <v>21.533999999999999</v>
      </c>
      <c r="D6707" s="28">
        <v>1.5277777777777777E-2</v>
      </c>
    </row>
    <row r="6708" spans="1:4" x14ac:dyDescent="0.25">
      <c r="A6708" s="24" t="s">
        <v>133</v>
      </c>
      <c r="B6708" s="24" t="s">
        <v>146</v>
      </c>
      <c r="C6708" s="32">
        <v>36.993000000000002</v>
      </c>
      <c r="D6708" s="28">
        <v>2.2916666666666669E-2</v>
      </c>
    </row>
    <row r="6709" spans="1:4" x14ac:dyDescent="0.25">
      <c r="A6709" s="24" t="s">
        <v>133</v>
      </c>
      <c r="B6709" s="24" t="s">
        <v>147</v>
      </c>
      <c r="C6709" s="32">
        <v>17.928000000000001</v>
      </c>
      <c r="D6709" s="28">
        <v>1.5972222222222224E-2</v>
      </c>
    </row>
    <row r="6710" spans="1:4" x14ac:dyDescent="0.25">
      <c r="A6710" s="24" t="s">
        <v>133</v>
      </c>
      <c r="B6710" s="24" t="s">
        <v>148</v>
      </c>
      <c r="C6710" s="32">
        <v>16.004999999999999</v>
      </c>
      <c r="D6710" s="28">
        <v>1.5972222222222224E-2</v>
      </c>
    </row>
    <row r="6711" spans="1:4" x14ac:dyDescent="0.25">
      <c r="A6711" s="24" t="s">
        <v>133</v>
      </c>
      <c r="B6711" s="24" t="s">
        <v>149</v>
      </c>
      <c r="C6711" s="32">
        <v>19.408999999999999</v>
      </c>
      <c r="D6711" s="28">
        <v>2.013888888888889E-2</v>
      </c>
    </row>
    <row r="6712" spans="1:4" x14ac:dyDescent="0.25">
      <c r="A6712" s="24" t="s">
        <v>133</v>
      </c>
      <c r="B6712" s="24" t="s">
        <v>150</v>
      </c>
      <c r="C6712" s="32">
        <v>27.38</v>
      </c>
      <c r="D6712" s="28">
        <v>2.8472222222222222E-2</v>
      </c>
    </row>
    <row r="6713" spans="1:4" x14ac:dyDescent="0.25">
      <c r="A6713" s="24" t="s">
        <v>133</v>
      </c>
      <c r="B6713" s="24" t="s">
        <v>151</v>
      </c>
      <c r="C6713" s="32">
        <v>26.638000000000002</v>
      </c>
      <c r="D6713" s="28">
        <v>2.8472222222222222E-2</v>
      </c>
    </row>
    <row r="6714" spans="1:4" x14ac:dyDescent="0.25">
      <c r="A6714" s="24" t="s">
        <v>133</v>
      </c>
      <c r="B6714" s="24" t="s">
        <v>152</v>
      </c>
      <c r="C6714" s="32">
        <v>33.531999999999996</v>
      </c>
      <c r="D6714" s="28">
        <v>3.1944444444444449E-2</v>
      </c>
    </row>
    <row r="6715" spans="1:4" x14ac:dyDescent="0.25">
      <c r="A6715" s="24" t="s">
        <v>133</v>
      </c>
      <c r="B6715" s="24" t="s">
        <v>153</v>
      </c>
      <c r="C6715" s="32">
        <v>36.237000000000002</v>
      </c>
      <c r="D6715" s="28">
        <v>3.6805555555555557E-2</v>
      </c>
    </row>
    <row r="6716" spans="1:4" x14ac:dyDescent="0.25">
      <c r="A6716" s="24" t="s">
        <v>133</v>
      </c>
      <c r="B6716" s="24" t="s">
        <v>154</v>
      </c>
      <c r="C6716" s="32">
        <v>31.055</v>
      </c>
      <c r="D6716" s="28">
        <v>3.125E-2</v>
      </c>
    </row>
    <row r="6717" spans="1:4" x14ac:dyDescent="0.25">
      <c r="A6717" s="24" t="s">
        <v>133</v>
      </c>
      <c r="B6717" s="24" t="s">
        <v>155</v>
      </c>
      <c r="C6717" s="32">
        <v>26.699000000000002</v>
      </c>
      <c r="D6717" s="28">
        <v>2.7777777777777776E-2</v>
      </c>
    </row>
    <row r="6718" spans="1:4" x14ac:dyDescent="0.25">
      <c r="A6718" s="24" t="s">
        <v>133</v>
      </c>
      <c r="B6718" s="24" t="s">
        <v>156</v>
      </c>
      <c r="C6718" s="32">
        <v>26.683</v>
      </c>
      <c r="D6718" s="28">
        <v>2.7777777777777776E-2</v>
      </c>
    </row>
    <row r="6719" spans="1:4" x14ac:dyDescent="0.25">
      <c r="A6719" s="24" t="s">
        <v>133</v>
      </c>
      <c r="B6719" s="24" t="s">
        <v>157</v>
      </c>
      <c r="C6719" s="32">
        <v>36.814999999999998</v>
      </c>
      <c r="D6719" s="28">
        <v>3.3333333333333333E-2</v>
      </c>
    </row>
    <row r="6720" spans="1:4" x14ac:dyDescent="0.25">
      <c r="A6720" s="24" t="s">
        <v>133</v>
      </c>
      <c r="B6720" s="24" t="s">
        <v>158</v>
      </c>
      <c r="C6720" s="32">
        <v>47.569000000000003</v>
      </c>
      <c r="D6720" s="28">
        <v>4.0972222222222222E-2</v>
      </c>
    </row>
    <row r="6721" spans="1:4" x14ac:dyDescent="0.25">
      <c r="A6721" s="24" t="s">
        <v>133</v>
      </c>
      <c r="B6721" s="24" t="s">
        <v>159</v>
      </c>
      <c r="C6721" s="32">
        <v>52.939</v>
      </c>
      <c r="D6721" s="28">
        <v>4.6527777777777779E-2</v>
      </c>
    </row>
    <row r="6722" spans="1:4" x14ac:dyDescent="0.25">
      <c r="A6722" s="24" t="s">
        <v>134</v>
      </c>
      <c r="B6722" s="24" t="s">
        <v>65</v>
      </c>
      <c r="C6722" s="32">
        <v>17.628</v>
      </c>
      <c r="D6722" s="28">
        <v>1.8055555555555557E-2</v>
      </c>
    </row>
    <row r="6723" spans="1:4" x14ac:dyDescent="0.25">
      <c r="A6723" s="24" t="s">
        <v>134</v>
      </c>
      <c r="B6723" s="24" t="s">
        <v>64</v>
      </c>
      <c r="C6723" s="32">
        <v>9.2899999999999991</v>
      </c>
      <c r="D6723" s="28">
        <v>1.1805555555555555E-2</v>
      </c>
    </row>
    <row r="6724" spans="1:4" x14ac:dyDescent="0.25">
      <c r="A6724" s="24" t="s">
        <v>134</v>
      </c>
      <c r="B6724" s="24" t="s">
        <v>66</v>
      </c>
      <c r="C6724" s="32">
        <v>13.57</v>
      </c>
      <c r="D6724" s="28">
        <v>1.5277777777777777E-2</v>
      </c>
    </row>
    <row r="6725" spans="1:4" x14ac:dyDescent="0.25">
      <c r="A6725" s="24" t="s">
        <v>134</v>
      </c>
      <c r="B6725" s="24" t="s">
        <v>67</v>
      </c>
      <c r="C6725" s="32">
        <v>13.997999999999999</v>
      </c>
      <c r="D6725" s="28">
        <v>1.2499999999999999E-2</v>
      </c>
    </row>
    <row r="6726" spans="1:4" x14ac:dyDescent="0.25">
      <c r="A6726" s="24" t="s">
        <v>134</v>
      </c>
      <c r="B6726" s="24" t="s">
        <v>68</v>
      </c>
      <c r="C6726" s="32">
        <v>13.862</v>
      </c>
      <c r="D6726" s="28">
        <v>1.2499999999999999E-2</v>
      </c>
    </row>
    <row r="6727" spans="1:4" x14ac:dyDescent="0.25">
      <c r="A6727" s="24" t="s">
        <v>134</v>
      </c>
      <c r="B6727" s="24" t="s">
        <v>69</v>
      </c>
      <c r="C6727" s="32">
        <v>14.662000000000001</v>
      </c>
      <c r="D6727" s="28">
        <v>1.3888888888888888E-2</v>
      </c>
    </row>
    <row r="6728" spans="1:4" x14ac:dyDescent="0.25">
      <c r="A6728" s="24" t="s">
        <v>134</v>
      </c>
      <c r="B6728" s="24" t="s">
        <v>70</v>
      </c>
      <c r="C6728" s="32">
        <v>14.326000000000001</v>
      </c>
      <c r="D6728" s="28">
        <v>1.3194444444444444E-2</v>
      </c>
    </row>
    <row r="6729" spans="1:4" x14ac:dyDescent="0.25">
      <c r="A6729" s="24" t="s">
        <v>134</v>
      </c>
      <c r="B6729" s="24" t="s">
        <v>71</v>
      </c>
      <c r="C6729" s="32">
        <v>14.292999999999999</v>
      </c>
      <c r="D6729" s="28">
        <v>1.3888888888888888E-2</v>
      </c>
    </row>
    <row r="6730" spans="1:4" x14ac:dyDescent="0.25">
      <c r="A6730" s="24" t="s">
        <v>134</v>
      </c>
      <c r="B6730" s="24" t="s">
        <v>72</v>
      </c>
      <c r="C6730" s="32">
        <v>13.462</v>
      </c>
      <c r="D6730" s="28">
        <v>1.2499999999999999E-2</v>
      </c>
    </row>
    <row r="6731" spans="1:4" x14ac:dyDescent="0.25">
      <c r="A6731" s="24" t="s">
        <v>134</v>
      </c>
      <c r="B6731" s="24" t="s">
        <v>73</v>
      </c>
      <c r="C6731" s="32">
        <v>8.7720000000000002</v>
      </c>
      <c r="D6731" s="28">
        <v>1.1805555555555555E-2</v>
      </c>
    </row>
    <row r="6732" spans="1:4" x14ac:dyDescent="0.25">
      <c r="A6732" s="24" t="s">
        <v>134</v>
      </c>
      <c r="B6732" s="24" t="s">
        <v>74</v>
      </c>
      <c r="C6732" s="32">
        <v>8.0289999999999999</v>
      </c>
      <c r="D6732" s="28">
        <v>1.1111111111111112E-2</v>
      </c>
    </row>
    <row r="6733" spans="1:4" x14ac:dyDescent="0.25">
      <c r="A6733" s="24" t="s">
        <v>134</v>
      </c>
      <c r="B6733" s="24" t="s">
        <v>75</v>
      </c>
      <c r="C6733" s="32">
        <v>7.0650000000000004</v>
      </c>
      <c r="D6733" s="28">
        <v>9.7222222222222224E-3</v>
      </c>
    </row>
    <row r="6734" spans="1:4" x14ac:dyDescent="0.25">
      <c r="A6734" s="24" t="s">
        <v>134</v>
      </c>
      <c r="B6734" s="24" t="s">
        <v>76</v>
      </c>
      <c r="C6734" s="32">
        <v>7.9139999999999997</v>
      </c>
      <c r="D6734" s="28">
        <v>1.1111111111111112E-2</v>
      </c>
    </row>
    <row r="6735" spans="1:4" x14ac:dyDescent="0.25">
      <c r="A6735" s="24" t="s">
        <v>134</v>
      </c>
      <c r="B6735" s="24" t="s">
        <v>77</v>
      </c>
      <c r="C6735" s="32">
        <v>16.515999999999998</v>
      </c>
      <c r="D6735" s="28">
        <v>1.3194444444444444E-2</v>
      </c>
    </row>
    <row r="6736" spans="1:4" x14ac:dyDescent="0.25">
      <c r="A6736" s="24" t="s">
        <v>134</v>
      </c>
      <c r="B6736" s="24" t="s">
        <v>78</v>
      </c>
      <c r="C6736" s="32">
        <v>17.388999999999999</v>
      </c>
      <c r="D6736" s="28">
        <v>1.4583333333333332E-2</v>
      </c>
    </row>
    <row r="6737" spans="1:4" x14ac:dyDescent="0.25">
      <c r="A6737" s="24" t="s">
        <v>134</v>
      </c>
      <c r="B6737" s="24" t="s">
        <v>79</v>
      </c>
      <c r="C6737" s="32">
        <v>28.244</v>
      </c>
      <c r="D6737" s="28">
        <v>2.5694444444444447E-2</v>
      </c>
    </row>
    <row r="6738" spans="1:4" x14ac:dyDescent="0.25">
      <c r="A6738" s="24" t="s">
        <v>134</v>
      </c>
      <c r="B6738" s="24" t="s">
        <v>80</v>
      </c>
      <c r="C6738" s="32">
        <v>20.856000000000002</v>
      </c>
      <c r="D6738" s="28">
        <v>2.0833333333333332E-2</v>
      </c>
    </row>
    <row r="6739" spans="1:4" x14ac:dyDescent="0.25">
      <c r="A6739" s="24" t="s">
        <v>134</v>
      </c>
      <c r="B6739" s="24" t="s">
        <v>81</v>
      </c>
      <c r="C6739" s="32">
        <v>32.694000000000003</v>
      </c>
      <c r="D6739" s="28">
        <v>2.1527777777777781E-2</v>
      </c>
    </row>
    <row r="6740" spans="1:4" x14ac:dyDescent="0.25">
      <c r="A6740" s="24" t="s">
        <v>134</v>
      </c>
      <c r="B6740" s="24" t="s">
        <v>82</v>
      </c>
      <c r="C6740" s="32">
        <v>32.746000000000002</v>
      </c>
      <c r="D6740" s="28">
        <v>2.1527777777777781E-2</v>
      </c>
    </row>
    <row r="6741" spans="1:4" x14ac:dyDescent="0.25">
      <c r="A6741" s="24" t="s">
        <v>134</v>
      </c>
      <c r="B6741" s="24" t="s">
        <v>83</v>
      </c>
      <c r="C6741" s="32">
        <v>10.736000000000001</v>
      </c>
      <c r="D6741" s="28">
        <v>1.1111111111111112E-2</v>
      </c>
    </row>
    <row r="6742" spans="1:4" x14ac:dyDescent="0.25">
      <c r="A6742" s="24" t="s">
        <v>134</v>
      </c>
      <c r="B6742" s="24" t="s">
        <v>84</v>
      </c>
      <c r="C6742" s="32">
        <v>4.9560000000000004</v>
      </c>
      <c r="D6742" s="28">
        <v>6.2499999999999995E-3</v>
      </c>
    </row>
    <row r="6743" spans="1:4" x14ac:dyDescent="0.25">
      <c r="A6743" s="24" t="s">
        <v>134</v>
      </c>
      <c r="B6743" s="24" t="s">
        <v>85</v>
      </c>
      <c r="C6743" s="32">
        <v>4.59</v>
      </c>
      <c r="D6743" s="28">
        <v>6.9444444444444441E-3</v>
      </c>
    </row>
    <row r="6744" spans="1:4" x14ac:dyDescent="0.25">
      <c r="A6744" s="24" t="s">
        <v>134</v>
      </c>
      <c r="B6744" s="24" t="s">
        <v>86</v>
      </c>
      <c r="C6744" s="32">
        <v>7.7830000000000004</v>
      </c>
      <c r="D6744" s="28">
        <v>8.3333333333333332E-3</v>
      </c>
    </row>
    <row r="6745" spans="1:4" x14ac:dyDescent="0.25">
      <c r="A6745" s="24" t="s">
        <v>134</v>
      </c>
      <c r="B6745" s="24" t="s">
        <v>87</v>
      </c>
      <c r="C6745" s="32">
        <v>7.5609999999999999</v>
      </c>
      <c r="D6745" s="28">
        <v>7.6388888888888886E-3</v>
      </c>
    </row>
    <row r="6746" spans="1:4" x14ac:dyDescent="0.25">
      <c r="A6746" s="24" t="s">
        <v>134</v>
      </c>
      <c r="B6746" s="24" t="s">
        <v>88</v>
      </c>
      <c r="C6746" s="32">
        <v>8.64</v>
      </c>
      <c r="D6746" s="28">
        <v>8.3333333333333332E-3</v>
      </c>
    </row>
    <row r="6747" spans="1:4" x14ac:dyDescent="0.25">
      <c r="A6747" s="24" t="s">
        <v>134</v>
      </c>
      <c r="B6747" s="24" t="s">
        <v>89</v>
      </c>
      <c r="C6747" s="32">
        <v>12.329000000000001</v>
      </c>
      <c r="D6747" s="28">
        <v>1.3194444444444444E-2</v>
      </c>
    </row>
    <row r="6748" spans="1:4" x14ac:dyDescent="0.25">
      <c r="A6748" s="24" t="s">
        <v>134</v>
      </c>
      <c r="B6748" s="24" t="s">
        <v>90</v>
      </c>
      <c r="C6748" s="32">
        <v>19.669</v>
      </c>
      <c r="D6748" s="28">
        <v>2.0833333333333332E-2</v>
      </c>
    </row>
    <row r="6749" spans="1:4" x14ac:dyDescent="0.25">
      <c r="A6749" s="24" t="s">
        <v>134</v>
      </c>
      <c r="B6749" s="24" t="s">
        <v>91</v>
      </c>
      <c r="C6749" s="32">
        <v>10.188000000000001</v>
      </c>
      <c r="D6749" s="28">
        <v>1.0416666666666666E-2</v>
      </c>
    </row>
    <row r="6750" spans="1:4" x14ac:dyDescent="0.25">
      <c r="A6750" s="24" t="s">
        <v>134</v>
      </c>
      <c r="B6750" s="24" t="s">
        <v>92</v>
      </c>
      <c r="C6750" s="32">
        <v>18.928000000000001</v>
      </c>
      <c r="D6750" s="28">
        <v>1.9444444444444445E-2</v>
      </c>
    </row>
    <row r="6751" spans="1:4" x14ac:dyDescent="0.25">
      <c r="A6751" s="24" t="s">
        <v>134</v>
      </c>
      <c r="B6751" s="24" t="s">
        <v>93</v>
      </c>
      <c r="C6751" s="32">
        <v>42.658999999999999</v>
      </c>
      <c r="D6751" s="28">
        <v>3.3333333333333333E-2</v>
      </c>
    </row>
    <row r="6752" spans="1:4" x14ac:dyDescent="0.25">
      <c r="A6752" s="24" t="s">
        <v>134</v>
      </c>
      <c r="B6752" s="24" t="s">
        <v>94</v>
      </c>
      <c r="C6752" s="32">
        <v>43.287999999999997</v>
      </c>
      <c r="D6752" s="28">
        <v>3.3333333333333333E-2</v>
      </c>
    </row>
    <row r="6753" spans="1:4" x14ac:dyDescent="0.25">
      <c r="A6753" s="24" t="s">
        <v>134</v>
      </c>
      <c r="B6753" s="24" t="s">
        <v>95</v>
      </c>
      <c r="C6753" s="32">
        <v>21.413</v>
      </c>
      <c r="D6753" s="28">
        <v>2.361111111111111E-2</v>
      </c>
    </row>
    <row r="6754" spans="1:4" x14ac:dyDescent="0.25">
      <c r="A6754" s="24" t="s">
        <v>134</v>
      </c>
      <c r="B6754" s="24" t="s">
        <v>96</v>
      </c>
      <c r="C6754" s="32">
        <v>23.178999999999998</v>
      </c>
      <c r="D6754" s="28">
        <v>2.2916666666666669E-2</v>
      </c>
    </row>
    <row r="6755" spans="1:4" x14ac:dyDescent="0.25">
      <c r="A6755" s="24" t="s">
        <v>134</v>
      </c>
      <c r="B6755" s="24" t="s">
        <v>97</v>
      </c>
      <c r="C6755" s="32">
        <v>31.498000000000001</v>
      </c>
      <c r="D6755" s="28">
        <v>2.9166666666666664E-2</v>
      </c>
    </row>
    <row r="6756" spans="1:4" x14ac:dyDescent="0.25">
      <c r="A6756" s="24" t="s">
        <v>134</v>
      </c>
      <c r="B6756" s="24" t="s">
        <v>98</v>
      </c>
      <c r="C6756" s="32">
        <v>28.751999999999999</v>
      </c>
      <c r="D6756" s="28">
        <v>2.7083333333333334E-2</v>
      </c>
    </row>
    <row r="6757" spans="1:4" x14ac:dyDescent="0.25">
      <c r="A6757" s="24" t="s">
        <v>134</v>
      </c>
      <c r="B6757" s="24" t="s">
        <v>99</v>
      </c>
      <c r="C6757" s="32">
        <v>33.509</v>
      </c>
      <c r="D6757" s="28">
        <v>3.1944444444444449E-2</v>
      </c>
    </row>
    <row r="6758" spans="1:4" x14ac:dyDescent="0.25">
      <c r="A6758" s="24" t="s">
        <v>134</v>
      </c>
      <c r="B6758" s="24" t="s">
        <v>100</v>
      </c>
      <c r="C6758" s="32">
        <v>24.661000000000001</v>
      </c>
      <c r="D6758" s="28">
        <v>2.361111111111111E-2</v>
      </c>
    </row>
    <row r="6759" spans="1:4" x14ac:dyDescent="0.25">
      <c r="A6759" s="24" t="s">
        <v>134</v>
      </c>
      <c r="B6759" s="24" t="s">
        <v>101</v>
      </c>
      <c r="C6759" s="32">
        <v>27.14</v>
      </c>
      <c r="D6759" s="28">
        <v>2.7777777777777776E-2</v>
      </c>
    </row>
    <row r="6760" spans="1:4" x14ac:dyDescent="0.25">
      <c r="A6760" s="24" t="s">
        <v>134</v>
      </c>
      <c r="B6760" s="24" t="s">
        <v>102</v>
      </c>
      <c r="C6760" s="32">
        <v>26.567</v>
      </c>
      <c r="D6760" s="28">
        <v>2.7777777777777776E-2</v>
      </c>
    </row>
    <row r="6761" spans="1:4" x14ac:dyDescent="0.25">
      <c r="A6761" s="24" t="s">
        <v>134</v>
      </c>
      <c r="B6761" s="24" t="s">
        <v>103</v>
      </c>
      <c r="C6761" s="32">
        <v>13.725</v>
      </c>
      <c r="D6761" s="28">
        <v>1.5277777777777777E-2</v>
      </c>
    </row>
    <row r="6762" spans="1:4" x14ac:dyDescent="0.25">
      <c r="A6762" s="24" t="s">
        <v>134</v>
      </c>
      <c r="B6762" s="24" t="s">
        <v>104</v>
      </c>
      <c r="C6762" s="32">
        <v>17.808</v>
      </c>
      <c r="D6762" s="28">
        <v>1.8749999999999999E-2</v>
      </c>
    </row>
    <row r="6763" spans="1:4" x14ac:dyDescent="0.25">
      <c r="A6763" s="24" t="s">
        <v>134</v>
      </c>
      <c r="B6763" s="24" t="s">
        <v>105</v>
      </c>
      <c r="C6763" s="32">
        <v>12.555</v>
      </c>
      <c r="D6763" s="28">
        <v>1.8055555555555557E-2</v>
      </c>
    </row>
    <row r="6764" spans="1:4" x14ac:dyDescent="0.25">
      <c r="A6764" s="24" t="s">
        <v>134</v>
      </c>
      <c r="B6764" s="24" t="s">
        <v>106</v>
      </c>
      <c r="C6764" s="32">
        <v>15.401</v>
      </c>
      <c r="D6764" s="28">
        <v>1.5277777777777777E-2</v>
      </c>
    </row>
    <row r="6765" spans="1:4" x14ac:dyDescent="0.25">
      <c r="A6765" s="24" t="s">
        <v>134</v>
      </c>
      <c r="B6765" s="24" t="s">
        <v>107</v>
      </c>
      <c r="C6765" s="32">
        <v>7.3630000000000004</v>
      </c>
      <c r="D6765" s="28">
        <v>9.0277777777777787E-3</v>
      </c>
    </row>
    <row r="6766" spans="1:4" x14ac:dyDescent="0.25">
      <c r="A6766" s="24" t="s">
        <v>134</v>
      </c>
      <c r="B6766" s="24" t="s">
        <v>108</v>
      </c>
      <c r="C6766" s="32">
        <v>5.7489999999999997</v>
      </c>
      <c r="D6766" s="28">
        <v>6.2499999999999995E-3</v>
      </c>
    </row>
    <row r="6767" spans="1:4" x14ac:dyDescent="0.25">
      <c r="A6767" s="24" t="s">
        <v>134</v>
      </c>
      <c r="B6767" s="24" t="s">
        <v>109</v>
      </c>
      <c r="C6767" s="32">
        <v>5.7789999999999999</v>
      </c>
      <c r="D6767" s="28">
        <v>6.2499999999999995E-3</v>
      </c>
    </row>
    <row r="6768" spans="1:4" x14ac:dyDescent="0.25">
      <c r="A6768" s="24" t="s">
        <v>134</v>
      </c>
      <c r="B6768" s="24" t="s">
        <v>110</v>
      </c>
      <c r="C6768" s="32">
        <v>15.353999999999999</v>
      </c>
      <c r="D6768" s="28">
        <v>1.5972222222222224E-2</v>
      </c>
    </row>
    <row r="6769" spans="1:4" x14ac:dyDescent="0.25">
      <c r="A6769" s="24" t="s">
        <v>134</v>
      </c>
      <c r="B6769" s="24" t="s">
        <v>111</v>
      </c>
      <c r="C6769" s="32">
        <v>13.263</v>
      </c>
      <c r="D6769" s="28">
        <v>1.5277777777777777E-2</v>
      </c>
    </row>
    <row r="6770" spans="1:4" x14ac:dyDescent="0.25">
      <c r="A6770" s="24" t="s">
        <v>134</v>
      </c>
      <c r="B6770" s="24" t="s">
        <v>112</v>
      </c>
      <c r="C6770" s="32">
        <v>8.343</v>
      </c>
      <c r="D6770" s="28">
        <v>1.1111111111111112E-2</v>
      </c>
    </row>
    <row r="6771" spans="1:4" x14ac:dyDescent="0.25">
      <c r="A6771" s="24" t="s">
        <v>134</v>
      </c>
      <c r="B6771" s="24" t="s">
        <v>113</v>
      </c>
      <c r="C6771" s="32">
        <v>11.226000000000001</v>
      </c>
      <c r="D6771" s="28">
        <v>1.1111111111111112E-2</v>
      </c>
    </row>
    <row r="6772" spans="1:4" x14ac:dyDescent="0.25">
      <c r="A6772" s="24" t="s">
        <v>134</v>
      </c>
      <c r="B6772" s="24" t="s">
        <v>114</v>
      </c>
      <c r="C6772" s="32">
        <v>23.922999999999998</v>
      </c>
      <c r="D6772" s="28">
        <v>2.1527777777777781E-2</v>
      </c>
    </row>
    <row r="6773" spans="1:4" x14ac:dyDescent="0.25">
      <c r="A6773" s="24" t="s">
        <v>134</v>
      </c>
      <c r="B6773" s="24" t="s">
        <v>115</v>
      </c>
      <c r="C6773" s="32">
        <v>23.774000000000001</v>
      </c>
      <c r="D6773" s="28">
        <v>2.2222222222222223E-2</v>
      </c>
    </row>
    <row r="6774" spans="1:4" x14ac:dyDescent="0.25">
      <c r="A6774" s="24" t="s">
        <v>134</v>
      </c>
      <c r="B6774" s="24" t="s">
        <v>116</v>
      </c>
      <c r="C6774" s="32">
        <v>18.010000000000002</v>
      </c>
      <c r="D6774" s="28">
        <v>1.9444444444444445E-2</v>
      </c>
    </row>
    <row r="6775" spans="1:4" x14ac:dyDescent="0.25">
      <c r="A6775" s="24" t="s">
        <v>134</v>
      </c>
      <c r="B6775" s="24" t="s">
        <v>117</v>
      </c>
      <c r="C6775" s="32">
        <v>20.917000000000002</v>
      </c>
      <c r="D6775" s="28">
        <v>2.4305555555555556E-2</v>
      </c>
    </row>
    <row r="6776" spans="1:4" x14ac:dyDescent="0.25">
      <c r="A6776" s="24" t="s">
        <v>134</v>
      </c>
      <c r="B6776" s="24" t="s">
        <v>118</v>
      </c>
      <c r="C6776" s="32">
        <v>20.93</v>
      </c>
      <c r="D6776" s="28">
        <v>1.5972222222222224E-2</v>
      </c>
    </row>
    <row r="6777" spans="1:4" x14ac:dyDescent="0.25">
      <c r="A6777" s="24" t="s">
        <v>134</v>
      </c>
      <c r="B6777" s="24" t="s">
        <v>119</v>
      </c>
      <c r="C6777" s="32">
        <v>26.170999999999999</v>
      </c>
      <c r="D6777" s="28">
        <v>1.6666666666666666E-2</v>
      </c>
    </row>
    <row r="6778" spans="1:4" x14ac:dyDescent="0.25">
      <c r="A6778" s="24" t="s">
        <v>134</v>
      </c>
      <c r="B6778" s="24" t="s">
        <v>120</v>
      </c>
      <c r="C6778" s="32">
        <v>28.960999999999999</v>
      </c>
      <c r="D6778" s="28">
        <v>2.013888888888889E-2</v>
      </c>
    </row>
    <row r="6779" spans="1:4" x14ac:dyDescent="0.25">
      <c r="A6779" s="24" t="s">
        <v>134</v>
      </c>
      <c r="B6779" s="24" t="s">
        <v>121</v>
      </c>
      <c r="C6779" s="32">
        <v>43.311999999999998</v>
      </c>
      <c r="D6779" s="28">
        <v>2.7083333333333334E-2</v>
      </c>
    </row>
    <row r="6780" spans="1:4" x14ac:dyDescent="0.25">
      <c r="A6780" s="24" t="s">
        <v>134</v>
      </c>
      <c r="B6780" s="24" t="s">
        <v>122</v>
      </c>
      <c r="C6780" s="32">
        <v>41.183</v>
      </c>
      <c r="D6780" s="28">
        <v>2.7777777777777776E-2</v>
      </c>
    </row>
    <row r="6781" spans="1:4" x14ac:dyDescent="0.25">
      <c r="A6781" s="24" t="s">
        <v>134</v>
      </c>
      <c r="B6781" s="24" t="s">
        <v>123</v>
      </c>
      <c r="C6781" s="32">
        <v>36.896999999999998</v>
      </c>
      <c r="D6781" s="28">
        <v>2.361111111111111E-2</v>
      </c>
    </row>
    <row r="6782" spans="1:4" x14ac:dyDescent="0.25">
      <c r="A6782" s="24" t="s">
        <v>134</v>
      </c>
      <c r="B6782" s="24" t="s">
        <v>124</v>
      </c>
      <c r="C6782" s="32">
        <v>36.896999999999998</v>
      </c>
      <c r="D6782" s="28">
        <v>2.361111111111111E-2</v>
      </c>
    </row>
    <row r="6783" spans="1:4" x14ac:dyDescent="0.25">
      <c r="A6783" s="24" t="s">
        <v>134</v>
      </c>
      <c r="B6783" s="24" t="s">
        <v>125</v>
      </c>
      <c r="C6783" s="32">
        <v>13.425000000000001</v>
      </c>
      <c r="D6783" s="28">
        <v>1.5972222222222224E-2</v>
      </c>
    </row>
    <row r="6784" spans="1:4" x14ac:dyDescent="0.25">
      <c r="A6784" s="24" t="s">
        <v>134</v>
      </c>
      <c r="B6784" s="24" t="s">
        <v>126</v>
      </c>
      <c r="C6784" s="32">
        <v>13.163</v>
      </c>
      <c r="D6784" s="28">
        <v>1.5277777777777777E-2</v>
      </c>
    </row>
    <row r="6785" spans="1:4" x14ac:dyDescent="0.25">
      <c r="A6785" s="24" t="s">
        <v>134</v>
      </c>
      <c r="B6785" s="24" t="s">
        <v>127</v>
      </c>
      <c r="C6785" s="32">
        <v>13.907999999999999</v>
      </c>
      <c r="D6785" s="28">
        <v>1.6666666666666666E-2</v>
      </c>
    </row>
    <row r="6786" spans="1:4" x14ac:dyDescent="0.25">
      <c r="A6786" s="24" t="s">
        <v>134</v>
      </c>
      <c r="B6786" s="24" t="s">
        <v>128</v>
      </c>
      <c r="C6786" s="32">
        <v>14.473000000000001</v>
      </c>
      <c r="D6786" s="28">
        <v>1.5277777777777777E-2</v>
      </c>
    </row>
    <row r="6787" spans="1:4" x14ac:dyDescent="0.25">
      <c r="A6787" s="24" t="s">
        <v>134</v>
      </c>
      <c r="B6787" s="24" t="s">
        <v>129</v>
      </c>
      <c r="C6787" s="32">
        <v>14.473000000000001</v>
      </c>
      <c r="D6787" s="28">
        <v>1.5277777777777777E-2</v>
      </c>
    </row>
    <row r="6788" spans="1:4" x14ac:dyDescent="0.25">
      <c r="A6788" s="24" t="s">
        <v>134</v>
      </c>
      <c r="B6788" s="24" t="s">
        <v>130</v>
      </c>
      <c r="C6788" s="32">
        <v>13.826000000000001</v>
      </c>
      <c r="D6788" s="28">
        <v>1.6666666666666666E-2</v>
      </c>
    </row>
    <row r="6789" spans="1:4" x14ac:dyDescent="0.25">
      <c r="A6789" s="24" t="s">
        <v>134</v>
      </c>
      <c r="B6789" s="24" t="s">
        <v>131</v>
      </c>
      <c r="C6789" s="32">
        <v>16.297000000000001</v>
      </c>
      <c r="D6789" s="28">
        <v>1.9444444444444445E-2</v>
      </c>
    </row>
    <row r="6790" spans="1:4" x14ac:dyDescent="0.25">
      <c r="A6790" s="24" t="s">
        <v>134</v>
      </c>
      <c r="B6790" s="24" t="s">
        <v>132</v>
      </c>
      <c r="C6790" s="32">
        <v>16.076000000000001</v>
      </c>
      <c r="D6790" s="28">
        <v>1.8749999999999999E-2</v>
      </c>
    </row>
    <row r="6791" spans="1:4" x14ac:dyDescent="0.25">
      <c r="A6791" s="24" t="s">
        <v>134</v>
      </c>
      <c r="B6791" s="24" t="s">
        <v>133</v>
      </c>
      <c r="C6791" s="32">
        <v>1.1459999999999999</v>
      </c>
      <c r="D6791" s="28">
        <v>2.0833333333333333E-3</v>
      </c>
    </row>
    <row r="6792" spans="1:4" x14ac:dyDescent="0.25">
      <c r="A6792" s="24" t="s">
        <v>134</v>
      </c>
      <c r="B6792" s="24" t="s">
        <v>134</v>
      </c>
      <c r="C6792" s="32">
        <v>0</v>
      </c>
      <c r="D6792" s="28">
        <v>0</v>
      </c>
    </row>
    <row r="6793" spans="1:4" x14ac:dyDescent="0.25">
      <c r="A6793" s="24" t="s">
        <v>134</v>
      </c>
      <c r="B6793" s="24" t="s">
        <v>135</v>
      </c>
      <c r="C6793" s="32">
        <v>3.085</v>
      </c>
      <c r="D6793" s="28">
        <v>4.8611111111111112E-3</v>
      </c>
    </row>
    <row r="6794" spans="1:4" x14ac:dyDescent="0.25">
      <c r="A6794" s="24" t="s">
        <v>134</v>
      </c>
      <c r="B6794" s="24" t="s">
        <v>136</v>
      </c>
      <c r="C6794" s="32">
        <v>3.085</v>
      </c>
      <c r="D6794" s="28">
        <v>4.8611111111111112E-3</v>
      </c>
    </row>
    <row r="6795" spans="1:4" x14ac:dyDescent="0.25">
      <c r="A6795" s="24" t="s">
        <v>134</v>
      </c>
      <c r="B6795" s="24" t="s">
        <v>137</v>
      </c>
      <c r="C6795" s="32">
        <v>3.778</v>
      </c>
      <c r="D6795" s="28">
        <v>6.2499999999999995E-3</v>
      </c>
    </row>
    <row r="6796" spans="1:4" x14ac:dyDescent="0.25">
      <c r="A6796" s="24" t="s">
        <v>134</v>
      </c>
      <c r="B6796" s="24" t="s">
        <v>138</v>
      </c>
      <c r="C6796" s="32">
        <v>7.2320000000000002</v>
      </c>
      <c r="D6796" s="28">
        <v>6.2499999999999995E-3</v>
      </c>
    </row>
    <row r="6797" spans="1:4" x14ac:dyDescent="0.25">
      <c r="A6797" s="24" t="s">
        <v>134</v>
      </c>
      <c r="B6797" s="24" t="s">
        <v>139</v>
      </c>
      <c r="C6797" s="32">
        <v>17.353000000000002</v>
      </c>
      <c r="D6797" s="28">
        <v>1.1805555555555555E-2</v>
      </c>
    </row>
    <row r="6798" spans="1:4" x14ac:dyDescent="0.25">
      <c r="A6798" s="24" t="s">
        <v>134</v>
      </c>
      <c r="B6798" s="24" t="s">
        <v>140</v>
      </c>
      <c r="C6798" s="32">
        <v>14.323</v>
      </c>
      <c r="D6798" s="28">
        <v>1.2499999999999999E-2</v>
      </c>
    </row>
    <row r="6799" spans="1:4" x14ac:dyDescent="0.25">
      <c r="A6799" s="24" t="s">
        <v>134</v>
      </c>
      <c r="B6799" s="24" t="s">
        <v>141</v>
      </c>
      <c r="C6799" s="32">
        <v>42.064</v>
      </c>
      <c r="D6799" s="28">
        <v>3.125E-2</v>
      </c>
    </row>
    <row r="6800" spans="1:4" x14ac:dyDescent="0.25">
      <c r="A6800" s="24" t="s">
        <v>134</v>
      </c>
      <c r="B6800" s="24" t="s">
        <v>142</v>
      </c>
      <c r="C6800" s="32">
        <v>40.152000000000001</v>
      </c>
      <c r="D6800" s="28">
        <v>2.361111111111111E-2</v>
      </c>
    </row>
    <row r="6801" spans="1:4" x14ac:dyDescent="0.25">
      <c r="A6801" s="24" t="s">
        <v>134</v>
      </c>
      <c r="B6801" s="24" t="s">
        <v>143</v>
      </c>
      <c r="C6801" s="32">
        <v>58.53</v>
      </c>
      <c r="D6801" s="28">
        <v>3.125E-2</v>
      </c>
    </row>
    <row r="6802" spans="1:4" x14ac:dyDescent="0.25">
      <c r="A6802" s="24" t="s">
        <v>134</v>
      </c>
      <c r="B6802" s="24" t="s">
        <v>144</v>
      </c>
      <c r="C6802" s="32">
        <v>77.646000000000001</v>
      </c>
      <c r="D6802" s="28">
        <v>4.2361111111111106E-2</v>
      </c>
    </row>
    <row r="6803" spans="1:4" x14ac:dyDescent="0.25">
      <c r="A6803" s="24" t="s">
        <v>134</v>
      </c>
      <c r="B6803" s="24" t="s">
        <v>145</v>
      </c>
      <c r="C6803" s="32">
        <v>22.039000000000001</v>
      </c>
      <c r="D6803" s="28">
        <v>1.5277777777777777E-2</v>
      </c>
    </row>
    <row r="6804" spans="1:4" x14ac:dyDescent="0.25">
      <c r="A6804" s="24" t="s">
        <v>134</v>
      </c>
      <c r="B6804" s="24" t="s">
        <v>146</v>
      </c>
      <c r="C6804" s="32">
        <v>37.497999999999998</v>
      </c>
      <c r="D6804" s="28">
        <v>2.361111111111111E-2</v>
      </c>
    </row>
    <row r="6805" spans="1:4" x14ac:dyDescent="0.25">
      <c r="A6805" s="24" t="s">
        <v>134</v>
      </c>
      <c r="B6805" s="24" t="s">
        <v>147</v>
      </c>
      <c r="C6805" s="32">
        <v>18.433</v>
      </c>
      <c r="D6805" s="28">
        <v>1.6666666666666666E-2</v>
      </c>
    </row>
    <row r="6806" spans="1:4" x14ac:dyDescent="0.25">
      <c r="A6806" s="24" t="s">
        <v>134</v>
      </c>
      <c r="B6806" s="24" t="s">
        <v>148</v>
      </c>
      <c r="C6806" s="32">
        <v>16.510000000000002</v>
      </c>
      <c r="D6806" s="28">
        <v>1.6666666666666666E-2</v>
      </c>
    </row>
    <row r="6807" spans="1:4" x14ac:dyDescent="0.25">
      <c r="A6807" s="24" t="s">
        <v>134</v>
      </c>
      <c r="B6807" s="24" t="s">
        <v>149</v>
      </c>
      <c r="C6807" s="32">
        <v>16.603000000000002</v>
      </c>
      <c r="D6807" s="28">
        <v>1.8749999999999999E-2</v>
      </c>
    </row>
    <row r="6808" spans="1:4" x14ac:dyDescent="0.25">
      <c r="A6808" s="24" t="s">
        <v>134</v>
      </c>
      <c r="B6808" s="24" t="s">
        <v>150</v>
      </c>
      <c r="C6808" s="32">
        <v>24.574000000000002</v>
      </c>
      <c r="D6808" s="28">
        <v>2.7083333333333334E-2</v>
      </c>
    </row>
    <row r="6809" spans="1:4" x14ac:dyDescent="0.25">
      <c r="A6809" s="24" t="s">
        <v>134</v>
      </c>
      <c r="B6809" s="24" t="s">
        <v>151</v>
      </c>
      <c r="C6809" s="32">
        <v>23.832000000000001</v>
      </c>
      <c r="D6809" s="28">
        <v>2.7083333333333334E-2</v>
      </c>
    </row>
    <row r="6810" spans="1:4" x14ac:dyDescent="0.25">
      <c r="A6810" s="24" t="s">
        <v>134</v>
      </c>
      <c r="B6810" s="24" t="s">
        <v>152</v>
      </c>
      <c r="C6810" s="32">
        <v>30.725999999999999</v>
      </c>
      <c r="D6810" s="28">
        <v>3.125E-2</v>
      </c>
    </row>
    <row r="6811" spans="1:4" x14ac:dyDescent="0.25">
      <c r="A6811" s="24" t="s">
        <v>134</v>
      </c>
      <c r="B6811" s="24" t="s">
        <v>153</v>
      </c>
      <c r="C6811" s="32">
        <v>33.430999999999997</v>
      </c>
      <c r="D6811" s="28">
        <v>3.6111111111111115E-2</v>
      </c>
    </row>
    <row r="6812" spans="1:4" x14ac:dyDescent="0.25">
      <c r="A6812" s="24" t="s">
        <v>134</v>
      </c>
      <c r="B6812" s="24" t="s">
        <v>154</v>
      </c>
      <c r="C6812" s="32">
        <v>28.248999999999999</v>
      </c>
      <c r="D6812" s="28">
        <v>2.9861111111111113E-2</v>
      </c>
    </row>
    <row r="6813" spans="1:4" x14ac:dyDescent="0.25">
      <c r="A6813" s="24" t="s">
        <v>134</v>
      </c>
      <c r="B6813" s="24" t="s">
        <v>155</v>
      </c>
      <c r="C6813" s="32">
        <v>23.893000000000001</v>
      </c>
      <c r="D6813" s="28">
        <v>2.7083333333333334E-2</v>
      </c>
    </row>
    <row r="6814" spans="1:4" x14ac:dyDescent="0.25">
      <c r="A6814" s="24" t="s">
        <v>134</v>
      </c>
      <c r="B6814" s="24" t="s">
        <v>156</v>
      </c>
      <c r="C6814" s="32">
        <v>23.876999999999999</v>
      </c>
      <c r="D6814" s="28">
        <v>2.7083333333333334E-2</v>
      </c>
    </row>
    <row r="6815" spans="1:4" x14ac:dyDescent="0.25">
      <c r="A6815" s="24" t="s">
        <v>134</v>
      </c>
      <c r="B6815" s="24" t="s">
        <v>157</v>
      </c>
      <c r="C6815" s="32">
        <v>34.896999999999998</v>
      </c>
      <c r="D6815" s="28">
        <v>3.2638888888888891E-2</v>
      </c>
    </row>
    <row r="6816" spans="1:4" x14ac:dyDescent="0.25">
      <c r="A6816" s="24" t="s">
        <v>134</v>
      </c>
      <c r="B6816" s="24" t="s">
        <v>158</v>
      </c>
      <c r="C6816" s="32">
        <v>45.807000000000002</v>
      </c>
      <c r="D6816" s="28">
        <v>4.1666666666666664E-2</v>
      </c>
    </row>
    <row r="6817" spans="1:4" x14ac:dyDescent="0.25">
      <c r="A6817" s="24" t="s">
        <v>134</v>
      </c>
      <c r="B6817" s="24" t="s">
        <v>159</v>
      </c>
      <c r="C6817" s="32">
        <v>51.177</v>
      </c>
      <c r="D6817" s="28">
        <v>4.7222222222222221E-2</v>
      </c>
    </row>
    <row r="6818" spans="1:4" x14ac:dyDescent="0.25">
      <c r="A6818" s="24" t="s">
        <v>135</v>
      </c>
      <c r="B6818" s="24" t="s">
        <v>65</v>
      </c>
      <c r="C6818" s="32">
        <v>21.648</v>
      </c>
      <c r="D6818" s="28">
        <v>1.8749999999999999E-2</v>
      </c>
    </row>
    <row r="6819" spans="1:4" x14ac:dyDescent="0.25">
      <c r="A6819" s="24" t="s">
        <v>135</v>
      </c>
      <c r="B6819" s="24" t="s">
        <v>64</v>
      </c>
      <c r="C6819" s="32">
        <v>9.0660000000000007</v>
      </c>
      <c r="D6819" s="28">
        <v>1.0416666666666666E-2</v>
      </c>
    </row>
    <row r="6820" spans="1:4" x14ac:dyDescent="0.25">
      <c r="A6820" s="24" t="s">
        <v>135</v>
      </c>
      <c r="B6820" s="24" t="s">
        <v>66</v>
      </c>
      <c r="C6820" s="32">
        <v>13.346</v>
      </c>
      <c r="D6820" s="28">
        <v>1.3888888888888888E-2</v>
      </c>
    </row>
    <row r="6821" spans="1:4" x14ac:dyDescent="0.25">
      <c r="A6821" s="24" t="s">
        <v>135</v>
      </c>
      <c r="B6821" s="24" t="s">
        <v>67</v>
      </c>
      <c r="C6821" s="32">
        <v>12.138999999999999</v>
      </c>
      <c r="D6821" s="28">
        <v>1.0416666666666666E-2</v>
      </c>
    </row>
    <row r="6822" spans="1:4" x14ac:dyDescent="0.25">
      <c r="A6822" s="24" t="s">
        <v>135</v>
      </c>
      <c r="B6822" s="24" t="s">
        <v>68</v>
      </c>
      <c r="C6822" s="32">
        <v>12.003</v>
      </c>
      <c r="D6822" s="28">
        <v>1.0416666666666666E-2</v>
      </c>
    </row>
    <row r="6823" spans="1:4" x14ac:dyDescent="0.25">
      <c r="A6823" s="24" t="s">
        <v>135</v>
      </c>
      <c r="B6823" s="24" t="s">
        <v>69</v>
      </c>
      <c r="C6823" s="32">
        <v>12.803000000000001</v>
      </c>
      <c r="D6823" s="28">
        <v>1.1805555555555555E-2</v>
      </c>
    </row>
    <row r="6824" spans="1:4" x14ac:dyDescent="0.25">
      <c r="A6824" s="24" t="s">
        <v>135</v>
      </c>
      <c r="B6824" s="24" t="s">
        <v>70</v>
      </c>
      <c r="C6824" s="32">
        <v>12.467000000000001</v>
      </c>
      <c r="D6824" s="28">
        <v>1.1111111111111112E-2</v>
      </c>
    </row>
    <row r="6825" spans="1:4" x14ac:dyDescent="0.25">
      <c r="A6825" s="24" t="s">
        <v>135</v>
      </c>
      <c r="B6825" s="24" t="s">
        <v>71</v>
      </c>
      <c r="C6825" s="32">
        <v>12.433999999999999</v>
      </c>
      <c r="D6825" s="28">
        <v>1.1805555555555555E-2</v>
      </c>
    </row>
    <row r="6826" spans="1:4" x14ac:dyDescent="0.25">
      <c r="A6826" s="24" t="s">
        <v>135</v>
      </c>
      <c r="B6826" s="24" t="s">
        <v>72</v>
      </c>
      <c r="C6826" s="32">
        <v>11.603</v>
      </c>
      <c r="D6826" s="28">
        <v>9.7222222222222224E-3</v>
      </c>
    </row>
    <row r="6827" spans="1:4" x14ac:dyDescent="0.25">
      <c r="A6827" s="24" t="s">
        <v>135</v>
      </c>
      <c r="B6827" s="24" t="s">
        <v>73</v>
      </c>
      <c r="C6827" s="32">
        <v>8.548</v>
      </c>
      <c r="D6827" s="28">
        <v>1.0416666666666666E-2</v>
      </c>
    </row>
    <row r="6828" spans="1:4" x14ac:dyDescent="0.25">
      <c r="A6828" s="24" t="s">
        <v>135</v>
      </c>
      <c r="B6828" s="24" t="s">
        <v>74</v>
      </c>
      <c r="C6828" s="32">
        <v>6.3029999999999999</v>
      </c>
      <c r="D6828" s="28">
        <v>7.6388888888888886E-3</v>
      </c>
    </row>
    <row r="6829" spans="1:4" x14ac:dyDescent="0.25">
      <c r="A6829" s="24" t="s">
        <v>135</v>
      </c>
      <c r="B6829" s="24" t="s">
        <v>75</v>
      </c>
      <c r="C6829" s="32">
        <v>5.3390000000000004</v>
      </c>
      <c r="D6829" s="28">
        <v>6.2499999999999995E-3</v>
      </c>
    </row>
    <row r="6830" spans="1:4" x14ac:dyDescent="0.25">
      <c r="A6830" s="24" t="s">
        <v>135</v>
      </c>
      <c r="B6830" s="24" t="s">
        <v>76</v>
      </c>
      <c r="C6830" s="32">
        <v>6.0549999999999997</v>
      </c>
      <c r="D6830" s="28">
        <v>9.0277777777777787E-3</v>
      </c>
    </row>
    <row r="6831" spans="1:4" x14ac:dyDescent="0.25">
      <c r="A6831" s="24" t="s">
        <v>135</v>
      </c>
      <c r="B6831" s="24" t="s">
        <v>77</v>
      </c>
      <c r="C6831" s="32">
        <v>14.657</v>
      </c>
      <c r="D6831" s="28">
        <v>1.1111111111111112E-2</v>
      </c>
    </row>
    <row r="6832" spans="1:4" x14ac:dyDescent="0.25">
      <c r="A6832" s="24" t="s">
        <v>135</v>
      </c>
      <c r="B6832" s="24" t="s">
        <v>78</v>
      </c>
      <c r="C6832" s="32">
        <v>15.53</v>
      </c>
      <c r="D6832" s="28">
        <v>1.2499999999999999E-2</v>
      </c>
    </row>
    <row r="6833" spans="1:4" x14ac:dyDescent="0.25">
      <c r="A6833" s="24" t="s">
        <v>135</v>
      </c>
      <c r="B6833" s="24" t="s">
        <v>79</v>
      </c>
      <c r="C6833" s="32">
        <v>26.385000000000002</v>
      </c>
      <c r="D6833" s="28">
        <v>2.361111111111111E-2</v>
      </c>
    </row>
    <row r="6834" spans="1:4" x14ac:dyDescent="0.25">
      <c r="A6834" s="24" t="s">
        <v>135</v>
      </c>
      <c r="B6834" s="24" t="s">
        <v>80</v>
      </c>
      <c r="C6834" s="32">
        <v>24.939</v>
      </c>
      <c r="D6834" s="28">
        <v>2.0833333333333332E-2</v>
      </c>
    </row>
    <row r="6835" spans="1:4" x14ac:dyDescent="0.25">
      <c r="A6835" s="24" t="s">
        <v>135</v>
      </c>
      <c r="B6835" s="24" t="s">
        <v>81</v>
      </c>
      <c r="C6835" s="32">
        <v>22.664999999999999</v>
      </c>
      <c r="D6835" s="28">
        <v>2.361111111111111E-2</v>
      </c>
    </row>
    <row r="6836" spans="1:4" x14ac:dyDescent="0.25">
      <c r="A6836" s="24" t="s">
        <v>135</v>
      </c>
      <c r="B6836" s="24" t="s">
        <v>82</v>
      </c>
      <c r="C6836" s="32">
        <v>22.716999999999999</v>
      </c>
      <c r="D6836" s="28">
        <v>2.361111111111111E-2</v>
      </c>
    </row>
    <row r="6837" spans="1:4" x14ac:dyDescent="0.25">
      <c r="A6837" s="24" t="s">
        <v>135</v>
      </c>
      <c r="B6837" s="24" t="s">
        <v>83</v>
      </c>
      <c r="C6837" s="32">
        <v>9.7360000000000007</v>
      </c>
      <c r="D6837" s="28">
        <v>9.7222222222222224E-3</v>
      </c>
    </row>
    <row r="6838" spans="1:4" x14ac:dyDescent="0.25">
      <c r="A6838" s="24" t="s">
        <v>135</v>
      </c>
      <c r="B6838" s="24" t="s">
        <v>84</v>
      </c>
      <c r="C6838" s="32">
        <v>4.7320000000000002</v>
      </c>
      <c r="D6838" s="28">
        <v>4.8611111111111112E-3</v>
      </c>
    </row>
    <row r="6839" spans="1:4" x14ac:dyDescent="0.25">
      <c r="A6839" s="24" t="s">
        <v>135</v>
      </c>
      <c r="B6839" s="24" t="s">
        <v>85</v>
      </c>
      <c r="C6839" s="32">
        <v>4.3659999999999997</v>
      </c>
      <c r="D6839" s="28">
        <v>4.8611111111111112E-3</v>
      </c>
    </row>
    <row r="6840" spans="1:4" x14ac:dyDescent="0.25">
      <c r="A6840" s="24" t="s">
        <v>135</v>
      </c>
      <c r="B6840" s="24" t="s">
        <v>86</v>
      </c>
      <c r="C6840" s="32">
        <v>8.4039999999999999</v>
      </c>
      <c r="D6840" s="28">
        <v>9.0277777777777787E-3</v>
      </c>
    </row>
    <row r="6841" spans="1:4" x14ac:dyDescent="0.25">
      <c r="A6841" s="24" t="s">
        <v>135</v>
      </c>
      <c r="B6841" s="24" t="s">
        <v>87</v>
      </c>
      <c r="C6841" s="32">
        <v>7.6310000000000002</v>
      </c>
      <c r="D6841" s="28">
        <v>9.0277777777777787E-3</v>
      </c>
    </row>
    <row r="6842" spans="1:4" x14ac:dyDescent="0.25">
      <c r="A6842" s="24" t="s">
        <v>135</v>
      </c>
      <c r="B6842" s="24" t="s">
        <v>88</v>
      </c>
      <c r="C6842" s="32">
        <v>7.9779999999999998</v>
      </c>
      <c r="D6842" s="28">
        <v>1.0416666666666666E-2</v>
      </c>
    </row>
    <row r="6843" spans="1:4" x14ac:dyDescent="0.25">
      <c r="A6843" s="24" t="s">
        <v>135</v>
      </c>
      <c r="B6843" s="24" t="s">
        <v>89</v>
      </c>
      <c r="C6843" s="32">
        <v>12.340999999999999</v>
      </c>
      <c r="D6843" s="28">
        <v>1.4583333333333332E-2</v>
      </c>
    </row>
    <row r="6844" spans="1:4" x14ac:dyDescent="0.25">
      <c r="A6844" s="24" t="s">
        <v>135</v>
      </c>
      <c r="B6844" s="24" t="s">
        <v>90</v>
      </c>
      <c r="C6844" s="32">
        <v>24.312999999999999</v>
      </c>
      <c r="D6844" s="28">
        <v>2.0833333333333332E-2</v>
      </c>
    </row>
    <row r="6845" spans="1:4" x14ac:dyDescent="0.25">
      <c r="A6845" s="24" t="s">
        <v>135</v>
      </c>
      <c r="B6845" s="24" t="s">
        <v>91</v>
      </c>
      <c r="C6845" s="32">
        <v>9.5259999999999998</v>
      </c>
      <c r="D6845" s="28">
        <v>1.2499999999999999E-2</v>
      </c>
    </row>
    <row r="6846" spans="1:4" x14ac:dyDescent="0.25">
      <c r="A6846" s="24" t="s">
        <v>135</v>
      </c>
      <c r="B6846" s="24" t="s">
        <v>92</v>
      </c>
      <c r="C6846" s="32">
        <v>22.948</v>
      </c>
      <c r="D6846" s="28">
        <v>2.013888888888889E-2</v>
      </c>
    </row>
    <row r="6847" spans="1:4" x14ac:dyDescent="0.25">
      <c r="A6847" s="24" t="s">
        <v>135</v>
      </c>
      <c r="B6847" s="24" t="s">
        <v>93</v>
      </c>
      <c r="C6847" s="32">
        <v>46.737000000000002</v>
      </c>
      <c r="D6847" s="28">
        <v>3.3333333333333333E-2</v>
      </c>
    </row>
    <row r="6848" spans="1:4" x14ac:dyDescent="0.25">
      <c r="A6848" s="24" t="s">
        <v>135</v>
      </c>
      <c r="B6848" s="24" t="s">
        <v>94</v>
      </c>
      <c r="C6848" s="32">
        <v>47.366</v>
      </c>
      <c r="D6848" s="28">
        <v>3.4027777777777775E-2</v>
      </c>
    </row>
    <row r="6849" spans="1:4" x14ac:dyDescent="0.25">
      <c r="A6849" s="24" t="s">
        <v>135</v>
      </c>
      <c r="B6849" s="24" t="s">
        <v>95</v>
      </c>
      <c r="C6849" s="32">
        <v>23.004000000000001</v>
      </c>
      <c r="D6849" s="28">
        <v>2.4305555555555556E-2</v>
      </c>
    </row>
    <row r="6850" spans="1:4" x14ac:dyDescent="0.25">
      <c r="A6850" s="24" t="s">
        <v>135</v>
      </c>
      <c r="B6850" s="24" t="s">
        <v>96</v>
      </c>
      <c r="C6850" s="32">
        <v>22.954999999999998</v>
      </c>
      <c r="D6850" s="28">
        <v>2.1527777777777781E-2</v>
      </c>
    </row>
    <row r="6851" spans="1:4" x14ac:dyDescent="0.25">
      <c r="A6851" s="24" t="s">
        <v>135</v>
      </c>
      <c r="B6851" s="24" t="s">
        <v>97</v>
      </c>
      <c r="C6851" s="32">
        <v>31.274000000000001</v>
      </c>
      <c r="D6851" s="28">
        <v>2.7777777777777776E-2</v>
      </c>
    </row>
    <row r="6852" spans="1:4" x14ac:dyDescent="0.25">
      <c r="A6852" s="24" t="s">
        <v>135</v>
      </c>
      <c r="B6852" s="24" t="s">
        <v>98</v>
      </c>
      <c r="C6852" s="32">
        <v>29.914000000000001</v>
      </c>
      <c r="D6852" s="28">
        <v>2.7083333333333334E-2</v>
      </c>
    </row>
    <row r="6853" spans="1:4" x14ac:dyDescent="0.25">
      <c r="A6853" s="24" t="s">
        <v>135</v>
      </c>
      <c r="B6853" s="24" t="s">
        <v>99</v>
      </c>
      <c r="C6853" s="32">
        <v>32.726999999999997</v>
      </c>
      <c r="D6853" s="28">
        <v>2.9166666666666664E-2</v>
      </c>
    </row>
    <row r="6854" spans="1:4" x14ac:dyDescent="0.25">
      <c r="A6854" s="24" t="s">
        <v>135</v>
      </c>
      <c r="B6854" s="24" t="s">
        <v>100</v>
      </c>
      <c r="C6854" s="32">
        <v>29.305</v>
      </c>
      <c r="D6854" s="28">
        <v>2.4305555555555556E-2</v>
      </c>
    </row>
    <row r="6855" spans="1:4" x14ac:dyDescent="0.25">
      <c r="A6855" s="24" t="s">
        <v>135</v>
      </c>
      <c r="B6855" s="24" t="s">
        <v>101</v>
      </c>
      <c r="C6855" s="32">
        <v>29.844000000000001</v>
      </c>
      <c r="D6855" s="28">
        <v>2.7083333333333334E-2</v>
      </c>
    </row>
    <row r="6856" spans="1:4" x14ac:dyDescent="0.25">
      <c r="A6856" s="24" t="s">
        <v>135</v>
      </c>
      <c r="B6856" s="24" t="s">
        <v>102</v>
      </c>
      <c r="C6856" s="32">
        <v>29.271000000000001</v>
      </c>
      <c r="D6856" s="28">
        <v>2.6388888888888889E-2</v>
      </c>
    </row>
    <row r="6857" spans="1:4" x14ac:dyDescent="0.25">
      <c r="A6857" s="24" t="s">
        <v>135</v>
      </c>
      <c r="B6857" s="24" t="s">
        <v>103</v>
      </c>
      <c r="C6857" s="32">
        <v>15.316000000000001</v>
      </c>
      <c r="D6857" s="28">
        <v>1.5972222222222224E-2</v>
      </c>
    </row>
    <row r="6858" spans="1:4" x14ac:dyDescent="0.25">
      <c r="A6858" s="24" t="s">
        <v>135</v>
      </c>
      <c r="B6858" s="24" t="s">
        <v>104</v>
      </c>
      <c r="C6858" s="32">
        <v>21.827999999999999</v>
      </c>
      <c r="D6858" s="28">
        <v>1.9444444444444445E-2</v>
      </c>
    </row>
    <row r="6859" spans="1:4" x14ac:dyDescent="0.25">
      <c r="A6859" s="24" t="s">
        <v>135</v>
      </c>
      <c r="B6859" s="24" t="s">
        <v>105</v>
      </c>
      <c r="C6859" s="32">
        <v>14.146000000000001</v>
      </c>
      <c r="D6859" s="28">
        <v>1.9444444444444445E-2</v>
      </c>
    </row>
    <row r="6860" spans="1:4" x14ac:dyDescent="0.25">
      <c r="A6860" s="24" t="s">
        <v>135</v>
      </c>
      <c r="B6860" s="24" t="s">
        <v>106</v>
      </c>
      <c r="C6860" s="32">
        <v>14.494</v>
      </c>
      <c r="D6860" s="28">
        <v>1.3888888888888888E-2</v>
      </c>
    </row>
    <row r="6861" spans="1:4" x14ac:dyDescent="0.25">
      <c r="A6861" s="24" t="s">
        <v>135</v>
      </c>
      <c r="B6861" s="24" t="s">
        <v>107</v>
      </c>
      <c r="C6861" s="32">
        <v>9.7669999999999995</v>
      </c>
      <c r="D6861" s="28">
        <v>1.1111111111111112E-2</v>
      </c>
    </row>
    <row r="6862" spans="1:4" x14ac:dyDescent="0.25">
      <c r="A6862" s="24" t="s">
        <v>135</v>
      </c>
      <c r="B6862" s="24" t="s">
        <v>108</v>
      </c>
      <c r="C6862" s="32">
        <v>8.1530000000000005</v>
      </c>
      <c r="D6862" s="28">
        <v>8.3333333333333332E-3</v>
      </c>
    </row>
    <row r="6863" spans="1:4" x14ac:dyDescent="0.25">
      <c r="A6863" s="24" t="s">
        <v>135</v>
      </c>
      <c r="B6863" s="24" t="s">
        <v>109</v>
      </c>
      <c r="C6863" s="32">
        <v>8.1829999999999998</v>
      </c>
      <c r="D6863" s="28">
        <v>8.3333333333333332E-3</v>
      </c>
    </row>
    <row r="6864" spans="1:4" x14ac:dyDescent="0.25">
      <c r="A6864" s="24" t="s">
        <v>135</v>
      </c>
      <c r="B6864" s="24" t="s">
        <v>110</v>
      </c>
      <c r="C6864" s="32">
        <v>14.021000000000001</v>
      </c>
      <c r="D6864" s="28">
        <v>1.5277777777777777E-2</v>
      </c>
    </row>
    <row r="6865" spans="1:4" x14ac:dyDescent="0.25">
      <c r="A6865" s="24" t="s">
        <v>135</v>
      </c>
      <c r="B6865" s="24" t="s">
        <v>111</v>
      </c>
      <c r="C6865" s="32">
        <v>16.018000000000001</v>
      </c>
      <c r="D6865" s="28">
        <v>1.5277777777777777E-2</v>
      </c>
    </row>
    <row r="6866" spans="1:4" x14ac:dyDescent="0.25">
      <c r="A6866" s="24" t="s">
        <v>135</v>
      </c>
      <c r="B6866" s="24" t="s">
        <v>112</v>
      </c>
      <c r="C6866" s="32">
        <v>10.747</v>
      </c>
      <c r="D6866" s="28">
        <v>1.3194444444444444E-2</v>
      </c>
    </row>
    <row r="6867" spans="1:4" x14ac:dyDescent="0.25">
      <c r="A6867" s="24" t="s">
        <v>135</v>
      </c>
      <c r="B6867" s="24" t="s">
        <v>113</v>
      </c>
      <c r="C6867" s="32">
        <v>13.63</v>
      </c>
      <c r="D6867" s="28">
        <v>1.3194444444444444E-2</v>
      </c>
    </row>
    <row r="6868" spans="1:4" x14ac:dyDescent="0.25">
      <c r="A6868" s="24" t="s">
        <v>135</v>
      </c>
      <c r="B6868" s="24" t="s">
        <v>114</v>
      </c>
      <c r="C6868" s="32">
        <v>28.006</v>
      </c>
      <c r="D6868" s="28">
        <v>2.2222222222222223E-2</v>
      </c>
    </row>
    <row r="6869" spans="1:4" x14ac:dyDescent="0.25">
      <c r="A6869" s="24" t="s">
        <v>135</v>
      </c>
      <c r="B6869" s="24" t="s">
        <v>115</v>
      </c>
      <c r="C6869" s="32">
        <v>27.856999999999999</v>
      </c>
      <c r="D6869" s="28">
        <v>2.2916666666666669E-2</v>
      </c>
    </row>
    <row r="6870" spans="1:4" x14ac:dyDescent="0.25">
      <c r="A6870" s="24" t="s">
        <v>135</v>
      </c>
      <c r="B6870" s="24" t="s">
        <v>116</v>
      </c>
      <c r="C6870" s="32">
        <v>22.03</v>
      </c>
      <c r="D6870" s="28">
        <v>2.013888888888889E-2</v>
      </c>
    </row>
    <row r="6871" spans="1:4" x14ac:dyDescent="0.25">
      <c r="A6871" s="24" t="s">
        <v>135</v>
      </c>
      <c r="B6871" s="24" t="s">
        <v>117</v>
      </c>
      <c r="C6871" s="32">
        <v>22.507999999999999</v>
      </c>
      <c r="D6871" s="28">
        <v>2.4999999999999998E-2</v>
      </c>
    </row>
    <row r="6872" spans="1:4" x14ac:dyDescent="0.25">
      <c r="A6872" s="24" t="s">
        <v>135</v>
      </c>
      <c r="B6872" s="24" t="s">
        <v>118</v>
      </c>
      <c r="C6872" s="32">
        <v>23.334</v>
      </c>
      <c r="D6872" s="28">
        <v>1.8055555555555557E-2</v>
      </c>
    </row>
    <row r="6873" spans="1:4" x14ac:dyDescent="0.25">
      <c r="A6873" s="24" t="s">
        <v>135</v>
      </c>
      <c r="B6873" s="24" t="s">
        <v>119</v>
      </c>
      <c r="C6873" s="32">
        <v>28.574999999999999</v>
      </c>
      <c r="D6873" s="28">
        <v>1.8749999999999999E-2</v>
      </c>
    </row>
    <row r="6874" spans="1:4" x14ac:dyDescent="0.25">
      <c r="A6874" s="24" t="s">
        <v>135</v>
      </c>
      <c r="B6874" s="24" t="s">
        <v>120</v>
      </c>
      <c r="C6874" s="32">
        <v>31.364999999999998</v>
      </c>
      <c r="D6874" s="28">
        <v>2.2222222222222223E-2</v>
      </c>
    </row>
    <row r="6875" spans="1:4" x14ac:dyDescent="0.25">
      <c r="A6875" s="24" t="s">
        <v>135</v>
      </c>
      <c r="B6875" s="24" t="s">
        <v>121</v>
      </c>
      <c r="C6875" s="32">
        <v>45.716000000000001</v>
      </c>
      <c r="D6875" s="28">
        <v>2.9166666666666664E-2</v>
      </c>
    </row>
    <row r="6876" spans="1:4" x14ac:dyDescent="0.25">
      <c r="A6876" s="24" t="s">
        <v>135</v>
      </c>
      <c r="B6876" s="24" t="s">
        <v>122</v>
      </c>
      <c r="C6876" s="32">
        <v>43.587000000000003</v>
      </c>
      <c r="D6876" s="28">
        <v>2.9861111111111113E-2</v>
      </c>
    </row>
    <row r="6877" spans="1:4" x14ac:dyDescent="0.25">
      <c r="A6877" s="24" t="s">
        <v>135</v>
      </c>
      <c r="B6877" s="24" t="s">
        <v>123</v>
      </c>
      <c r="C6877" s="32">
        <v>39.301000000000002</v>
      </c>
      <c r="D6877" s="28">
        <v>2.4999999999999998E-2</v>
      </c>
    </row>
    <row r="6878" spans="1:4" x14ac:dyDescent="0.25">
      <c r="A6878" s="24" t="s">
        <v>135</v>
      </c>
      <c r="B6878" s="24" t="s">
        <v>124</v>
      </c>
      <c r="C6878" s="32">
        <v>39.301000000000002</v>
      </c>
      <c r="D6878" s="28">
        <v>2.4999999999999998E-2</v>
      </c>
    </row>
    <row r="6879" spans="1:4" x14ac:dyDescent="0.25">
      <c r="A6879" s="24" t="s">
        <v>135</v>
      </c>
      <c r="B6879" s="24" t="s">
        <v>125</v>
      </c>
      <c r="C6879" s="32">
        <v>13.201000000000001</v>
      </c>
      <c r="D6879" s="28">
        <v>1.4583333333333332E-2</v>
      </c>
    </row>
    <row r="6880" spans="1:4" x14ac:dyDescent="0.25">
      <c r="A6880" s="24" t="s">
        <v>135</v>
      </c>
      <c r="B6880" s="24" t="s">
        <v>126</v>
      </c>
      <c r="C6880" s="32">
        <v>12.939</v>
      </c>
      <c r="D6880" s="28">
        <v>1.3888888888888888E-2</v>
      </c>
    </row>
    <row r="6881" spans="1:4" x14ac:dyDescent="0.25">
      <c r="A6881" s="24" t="s">
        <v>135</v>
      </c>
      <c r="B6881" s="24" t="s">
        <v>127</v>
      </c>
      <c r="C6881" s="32">
        <v>13.683999999999999</v>
      </c>
      <c r="D6881" s="28">
        <v>1.5277777777777777E-2</v>
      </c>
    </row>
    <row r="6882" spans="1:4" x14ac:dyDescent="0.25">
      <c r="A6882" s="24" t="s">
        <v>135</v>
      </c>
      <c r="B6882" s="24" t="s">
        <v>128</v>
      </c>
      <c r="C6882" s="32">
        <v>12.56</v>
      </c>
      <c r="D6882" s="28">
        <v>1.3888888888888888E-2</v>
      </c>
    </row>
    <row r="6883" spans="1:4" x14ac:dyDescent="0.25">
      <c r="A6883" s="24" t="s">
        <v>135</v>
      </c>
      <c r="B6883" s="24" t="s">
        <v>129</v>
      </c>
      <c r="C6883" s="32">
        <v>12.56</v>
      </c>
      <c r="D6883" s="28">
        <v>1.3888888888888888E-2</v>
      </c>
    </row>
    <row r="6884" spans="1:4" x14ac:dyDescent="0.25">
      <c r="A6884" s="24" t="s">
        <v>135</v>
      </c>
      <c r="B6884" s="24" t="s">
        <v>130</v>
      </c>
      <c r="C6884" s="32">
        <v>13.602</v>
      </c>
      <c r="D6884" s="28">
        <v>1.5277777777777777E-2</v>
      </c>
    </row>
    <row r="6885" spans="1:4" x14ac:dyDescent="0.25">
      <c r="A6885" s="24" t="s">
        <v>135</v>
      </c>
      <c r="B6885" s="24" t="s">
        <v>131</v>
      </c>
      <c r="C6885" s="32">
        <v>16.073</v>
      </c>
      <c r="D6885" s="28">
        <v>1.8055555555555557E-2</v>
      </c>
    </row>
    <row r="6886" spans="1:4" x14ac:dyDescent="0.25">
      <c r="A6886" s="24" t="s">
        <v>135</v>
      </c>
      <c r="B6886" s="24" t="s">
        <v>132</v>
      </c>
      <c r="C6886" s="32">
        <v>15.852</v>
      </c>
      <c r="D6886" s="28">
        <v>1.7361111111111112E-2</v>
      </c>
    </row>
    <row r="6887" spans="1:4" x14ac:dyDescent="0.25">
      <c r="A6887" s="24" t="s">
        <v>135</v>
      </c>
      <c r="B6887" s="24" t="s">
        <v>133</v>
      </c>
      <c r="C6887" s="32">
        <v>3.55</v>
      </c>
      <c r="D6887" s="28">
        <v>4.1666666666666666E-3</v>
      </c>
    </row>
    <row r="6888" spans="1:4" x14ac:dyDescent="0.25">
      <c r="A6888" s="24" t="s">
        <v>135</v>
      </c>
      <c r="B6888" s="24" t="s">
        <v>134</v>
      </c>
      <c r="C6888" s="32">
        <v>3.0840000000000001</v>
      </c>
      <c r="D6888" s="28">
        <v>3.472222222222222E-3</v>
      </c>
    </row>
    <row r="6889" spans="1:4" x14ac:dyDescent="0.25">
      <c r="A6889" s="24" t="s">
        <v>135</v>
      </c>
      <c r="B6889" s="24" t="s">
        <v>135</v>
      </c>
      <c r="C6889" s="32">
        <v>0</v>
      </c>
      <c r="D6889" s="28">
        <v>0</v>
      </c>
    </row>
    <row r="6890" spans="1:4" x14ac:dyDescent="0.25">
      <c r="A6890" s="24" t="s">
        <v>135</v>
      </c>
      <c r="B6890" s="24" t="s">
        <v>136</v>
      </c>
      <c r="C6890" s="32">
        <v>0</v>
      </c>
      <c r="D6890" s="28">
        <v>0</v>
      </c>
    </row>
    <row r="6891" spans="1:4" x14ac:dyDescent="0.25">
      <c r="A6891" s="24" t="s">
        <v>135</v>
      </c>
      <c r="B6891" s="24" t="s">
        <v>137</v>
      </c>
      <c r="C6891" s="32">
        <v>0.76900000000000002</v>
      </c>
      <c r="D6891" s="28">
        <v>1.3888888888888889E-3</v>
      </c>
    </row>
    <row r="6892" spans="1:4" x14ac:dyDescent="0.25">
      <c r="A6892" s="24" t="s">
        <v>135</v>
      </c>
      <c r="B6892" s="24" t="s">
        <v>138</v>
      </c>
      <c r="C6892" s="32">
        <v>9.6359999999999992</v>
      </c>
      <c r="D6892" s="28">
        <v>8.3333333333333332E-3</v>
      </c>
    </row>
    <row r="6893" spans="1:4" x14ac:dyDescent="0.25">
      <c r="A6893" s="24" t="s">
        <v>135</v>
      </c>
      <c r="B6893" s="24" t="s">
        <v>139</v>
      </c>
      <c r="C6893" s="32">
        <v>12.923</v>
      </c>
      <c r="D6893" s="28">
        <v>1.1805555555555555E-2</v>
      </c>
    </row>
    <row r="6894" spans="1:4" x14ac:dyDescent="0.25">
      <c r="A6894" s="24" t="s">
        <v>135</v>
      </c>
      <c r="B6894" s="24" t="s">
        <v>140</v>
      </c>
      <c r="C6894" s="32">
        <v>12.464</v>
      </c>
      <c r="D6894" s="28">
        <v>1.0416666666666666E-2</v>
      </c>
    </row>
    <row r="6895" spans="1:4" x14ac:dyDescent="0.25">
      <c r="A6895" s="24" t="s">
        <v>135</v>
      </c>
      <c r="B6895" s="24" t="s">
        <v>141</v>
      </c>
      <c r="C6895" s="32">
        <v>37.634</v>
      </c>
      <c r="D6895" s="28">
        <v>3.125E-2</v>
      </c>
    </row>
    <row r="6896" spans="1:4" x14ac:dyDescent="0.25">
      <c r="A6896" s="24" t="s">
        <v>135</v>
      </c>
      <c r="B6896" s="24" t="s">
        <v>142</v>
      </c>
      <c r="C6896" s="32">
        <v>37.006</v>
      </c>
      <c r="D6896" s="28">
        <v>2.361111111111111E-2</v>
      </c>
    </row>
    <row r="6897" spans="1:4" x14ac:dyDescent="0.25">
      <c r="A6897" s="24" t="s">
        <v>135</v>
      </c>
      <c r="B6897" s="24" t="s">
        <v>143</v>
      </c>
      <c r="C6897" s="32">
        <v>55.384</v>
      </c>
      <c r="D6897" s="28">
        <v>3.125E-2</v>
      </c>
    </row>
    <row r="6898" spans="1:4" x14ac:dyDescent="0.25">
      <c r="A6898" s="24" t="s">
        <v>135</v>
      </c>
      <c r="B6898" s="24" t="s">
        <v>144</v>
      </c>
      <c r="C6898" s="32">
        <v>74.5</v>
      </c>
      <c r="D6898" s="28">
        <v>4.2361111111111106E-2</v>
      </c>
    </row>
    <row r="6899" spans="1:4" x14ac:dyDescent="0.25">
      <c r="A6899" s="24" t="s">
        <v>135</v>
      </c>
      <c r="B6899" s="24" t="s">
        <v>145</v>
      </c>
      <c r="C6899" s="32">
        <v>24.443000000000001</v>
      </c>
      <c r="D6899" s="28">
        <v>1.7361111111111112E-2</v>
      </c>
    </row>
    <row r="6900" spans="1:4" x14ac:dyDescent="0.25">
      <c r="A6900" s="24" t="s">
        <v>135</v>
      </c>
      <c r="B6900" s="24" t="s">
        <v>146</v>
      </c>
      <c r="C6900" s="32">
        <v>39.902000000000001</v>
      </c>
      <c r="D6900" s="28">
        <v>2.4999999999999998E-2</v>
      </c>
    </row>
    <row r="6901" spans="1:4" x14ac:dyDescent="0.25">
      <c r="A6901" s="24" t="s">
        <v>135</v>
      </c>
      <c r="B6901" s="24" t="s">
        <v>147</v>
      </c>
      <c r="C6901" s="32">
        <v>16.52</v>
      </c>
      <c r="D6901" s="28">
        <v>1.5277777777777777E-2</v>
      </c>
    </row>
    <row r="6902" spans="1:4" x14ac:dyDescent="0.25">
      <c r="A6902" s="24" t="s">
        <v>135</v>
      </c>
      <c r="B6902" s="24" t="s">
        <v>148</v>
      </c>
      <c r="C6902" s="32">
        <v>14.597</v>
      </c>
      <c r="D6902" s="28">
        <v>1.5277777777777777E-2</v>
      </c>
    </row>
    <row r="6903" spans="1:4" x14ac:dyDescent="0.25">
      <c r="A6903" s="24" t="s">
        <v>135</v>
      </c>
      <c r="B6903" s="24" t="s">
        <v>149</v>
      </c>
      <c r="C6903" s="32">
        <v>16.379000000000001</v>
      </c>
      <c r="D6903" s="28">
        <v>1.7361111111111112E-2</v>
      </c>
    </row>
    <row r="6904" spans="1:4" x14ac:dyDescent="0.25">
      <c r="A6904" s="24" t="s">
        <v>135</v>
      </c>
      <c r="B6904" s="24" t="s">
        <v>150</v>
      </c>
      <c r="C6904" s="32">
        <v>29.216000000000001</v>
      </c>
      <c r="D6904" s="28">
        <v>2.5694444444444447E-2</v>
      </c>
    </row>
    <row r="6905" spans="1:4" x14ac:dyDescent="0.25">
      <c r="A6905" s="24" t="s">
        <v>135</v>
      </c>
      <c r="B6905" s="24" t="s">
        <v>151</v>
      </c>
      <c r="C6905" s="32">
        <v>27.734999999999999</v>
      </c>
      <c r="D6905" s="28">
        <v>2.5694444444444447E-2</v>
      </c>
    </row>
    <row r="6906" spans="1:4" x14ac:dyDescent="0.25">
      <c r="A6906" s="24" t="s">
        <v>135</v>
      </c>
      <c r="B6906" s="24" t="s">
        <v>152</v>
      </c>
      <c r="C6906" s="32">
        <v>30.501999999999999</v>
      </c>
      <c r="D6906" s="28">
        <v>2.9861111111111113E-2</v>
      </c>
    </row>
    <row r="6907" spans="1:4" x14ac:dyDescent="0.25">
      <c r="A6907" s="24" t="s">
        <v>135</v>
      </c>
      <c r="B6907" s="24" t="s">
        <v>153</v>
      </c>
      <c r="C6907" s="32">
        <v>33.207000000000001</v>
      </c>
      <c r="D6907" s="28">
        <v>3.4722222222222224E-2</v>
      </c>
    </row>
    <row r="6908" spans="1:4" x14ac:dyDescent="0.25">
      <c r="A6908" s="24" t="s">
        <v>135</v>
      </c>
      <c r="B6908" s="24" t="s">
        <v>154</v>
      </c>
      <c r="C6908" s="32">
        <v>28.024999999999999</v>
      </c>
      <c r="D6908" s="28">
        <v>2.8472222222222222E-2</v>
      </c>
    </row>
    <row r="6909" spans="1:4" x14ac:dyDescent="0.25">
      <c r="A6909" s="24" t="s">
        <v>135</v>
      </c>
      <c r="B6909" s="24" t="s">
        <v>155</v>
      </c>
      <c r="C6909" s="32">
        <v>28.335000000000001</v>
      </c>
      <c r="D6909" s="28">
        <v>2.4999999999999998E-2</v>
      </c>
    </row>
    <row r="6910" spans="1:4" x14ac:dyDescent="0.25">
      <c r="A6910" s="24" t="s">
        <v>135</v>
      </c>
      <c r="B6910" s="24" t="s">
        <v>156</v>
      </c>
      <c r="C6910" s="32">
        <v>28.318999999999999</v>
      </c>
      <c r="D6910" s="28">
        <v>2.4999999999999998E-2</v>
      </c>
    </row>
    <row r="6911" spans="1:4" x14ac:dyDescent="0.25">
      <c r="A6911" s="24" t="s">
        <v>135</v>
      </c>
      <c r="B6911" s="24" t="s">
        <v>157</v>
      </c>
      <c r="C6911" s="32">
        <v>34.673000000000002</v>
      </c>
      <c r="D6911" s="28">
        <v>3.125E-2</v>
      </c>
    </row>
    <row r="6912" spans="1:4" x14ac:dyDescent="0.25">
      <c r="A6912" s="24" t="s">
        <v>135</v>
      </c>
      <c r="B6912" s="24" t="s">
        <v>158</v>
      </c>
      <c r="C6912" s="32">
        <v>45.582999999999998</v>
      </c>
      <c r="D6912" s="28">
        <v>4.027777777777778E-2</v>
      </c>
    </row>
    <row r="6913" spans="1:4" x14ac:dyDescent="0.25">
      <c r="A6913" s="24" t="s">
        <v>135</v>
      </c>
      <c r="B6913" s="24" t="s">
        <v>159</v>
      </c>
      <c r="C6913" s="32">
        <v>50.953000000000003</v>
      </c>
      <c r="D6913" s="28">
        <v>4.5138888888888888E-2</v>
      </c>
    </row>
    <row r="6914" spans="1:4" x14ac:dyDescent="0.25">
      <c r="A6914" s="24" t="s">
        <v>136</v>
      </c>
      <c r="B6914" s="24" t="s">
        <v>65</v>
      </c>
      <c r="C6914" s="32">
        <v>21.648</v>
      </c>
      <c r="D6914" s="28">
        <v>1.8749999999999999E-2</v>
      </c>
    </row>
    <row r="6915" spans="1:4" x14ac:dyDescent="0.25">
      <c r="A6915" s="24" t="s">
        <v>136</v>
      </c>
      <c r="B6915" s="24" t="s">
        <v>64</v>
      </c>
      <c r="C6915" s="32">
        <v>9.0660000000000007</v>
      </c>
      <c r="D6915" s="28">
        <v>1.0416666666666666E-2</v>
      </c>
    </row>
    <row r="6916" spans="1:4" x14ac:dyDescent="0.25">
      <c r="A6916" s="24" t="s">
        <v>136</v>
      </c>
      <c r="B6916" s="24" t="s">
        <v>66</v>
      </c>
      <c r="C6916" s="32">
        <v>13.346</v>
      </c>
      <c r="D6916" s="28">
        <v>1.3888888888888888E-2</v>
      </c>
    </row>
    <row r="6917" spans="1:4" x14ac:dyDescent="0.25">
      <c r="A6917" s="24" t="s">
        <v>136</v>
      </c>
      <c r="B6917" s="24" t="s">
        <v>67</v>
      </c>
      <c r="C6917" s="32">
        <v>12.138999999999999</v>
      </c>
      <c r="D6917" s="28">
        <v>1.0416666666666666E-2</v>
      </c>
    </row>
    <row r="6918" spans="1:4" x14ac:dyDescent="0.25">
      <c r="A6918" s="24" t="s">
        <v>136</v>
      </c>
      <c r="B6918" s="24" t="s">
        <v>68</v>
      </c>
      <c r="C6918" s="32">
        <v>12.003</v>
      </c>
      <c r="D6918" s="28">
        <v>1.0416666666666666E-2</v>
      </c>
    </row>
    <row r="6919" spans="1:4" x14ac:dyDescent="0.25">
      <c r="A6919" s="24" t="s">
        <v>136</v>
      </c>
      <c r="B6919" s="24" t="s">
        <v>69</v>
      </c>
      <c r="C6919" s="32">
        <v>12.803000000000001</v>
      </c>
      <c r="D6919" s="28">
        <v>1.1805555555555555E-2</v>
      </c>
    </row>
    <row r="6920" spans="1:4" x14ac:dyDescent="0.25">
      <c r="A6920" s="24" t="s">
        <v>136</v>
      </c>
      <c r="B6920" s="24" t="s">
        <v>70</v>
      </c>
      <c r="C6920" s="32">
        <v>12.467000000000001</v>
      </c>
      <c r="D6920" s="28">
        <v>1.1111111111111112E-2</v>
      </c>
    </row>
    <row r="6921" spans="1:4" x14ac:dyDescent="0.25">
      <c r="A6921" s="24" t="s">
        <v>136</v>
      </c>
      <c r="B6921" s="24" t="s">
        <v>71</v>
      </c>
      <c r="C6921" s="32">
        <v>12.433999999999999</v>
      </c>
      <c r="D6921" s="28">
        <v>1.1805555555555555E-2</v>
      </c>
    </row>
    <row r="6922" spans="1:4" x14ac:dyDescent="0.25">
      <c r="A6922" s="24" t="s">
        <v>136</v>
      </c>
      <c r="B6922" s="24" t="s">
        <v>72</v>
      </c>
      <c r="C6922" s="32">
        <v>11.603</v>
      </c>
      <c r="D6922" s="28">
        <v>9.7222222222222224E-3</v>
      </c>
    </row>
    <row r="6923" spans="1:4" x14ac:dyDescent="0.25">
      <c r="A6923" s="24" t="s">
        <v>136</v>
      </c>
      <c r="B6923" s="24" t="s">
        <v>73</v>
      </c>
      <c r="C6923" s="32">
        <v>8.548</v>
      </c>
      <c r="D6923" s="28">
        <v>1.0416666666666666E-2</v>
      </c>
    </row>
    <row r="6924" spans="1:4" x14ac:dyDescent="0.25">
      <c r="A6924" s="24" t="s">
        <v>136</v>
      </c>
      <c r="B6924" s="24" t="s">
        <v>74</v>
      </c>
      <c r="C6924" s="32">
        <v>6.3029999999999999</v>
      </c>
      <c r="D6924" s="28">
        <v>7.6388888888888886E-3</v>
      </c>
    </row>
    <row r="6925" spans="1:4" x14ac:dyDescent="0.25">
      <c r="A6925" s="24" t="s">
        <v>136</v>
      </c>
      <c r="B6925" s="24" t="s">
        <v>75</v>
      </c>
      <c r="C6925" s="32">
        <v>5.3390000000000004</v>
      </c>
      <c r="D6925" s="28">
        <v>6.2499999999999995E-3</v>
      </c>
    </row>
    <row r="6926" spans="1:4" x14ac:dyDescent="0.25">
      <c r="A6926" s="24" t="s">
        <v>136</v>
      </c>
      <c r="B6926" s="24" t="s">
        <v>76</v>
      </c>
      <c r="C6926" s="32">
        <v>6.0549999999999997</v>
      </c>
      <c r="D6926" s="28">
        <v>9.0277777777777787E-3</v>
      </c>
    </row>
    <row r="6927" spans="1:4" x14ac:dyDescent="0.25">
      <c r="A6927" s="24" t="s">
        <v>136</v>
      </c>
      <c r="B6927" s="24" t="s">
        <v>77</v>
      </c>
      <c r="C6927" s="32">
        <v>14.657</v>
      </c>
      <c r="D6927" s="28">
        <v>1.1111111111111112E-2</v>
      </c>
    </row>
    <row r="6928" spans="1:4" x14ac:dyDescent="0.25">
      <c r="A6928" s="24" t="s">
        <v>136</v>
      </c>
      <c r="B6928" s="24" t="s">
        <v>78</v>
      </c>
      <c r="C6928" s="32">
        <v>15.53</v>
      </c>
      <c r="D6928" s="28">
        <v>1.2499999999999999E-2</v>
      </c>
    </row>
    <row r="6929" spans="1:4" x14ac:dyDescent="0.25">
      <c r="A6929" s="24" t="s">
        <v>136</v>
      </c>
      <c r="B6929" s="24" t="s">
        <v>79</v>
      </c>
      <c r="C6929" s="32">
        <v>26.385000000000002</v>
      </c>
      <c r="D6929" s="28">
        <v>2.361111111111111E-2</v>
      </c>
    </row>
    <row r="6930" spans="1:4" x14ac:dyDescent="0.25">
      <c r="A6930" s="24" t="s">
        <v>136</v>
      </c>
      <c r="B6930" s="24" t="s">
        <v>80</v>
      </c>
      <c r="C6930" s="32">
        <v>24.939</v>
      </c>
      <c r="D6930" s="28">
        <v>2.0833333333333332E-2</v>
      </c>
    </row>
    <row r="6931" spans="1:4" x14ac:dyDescent="0.25">
      <c r="A6931" s="24" t="s">
        <v>136</v>
      </c>
      <c r="B6931" s="24" t="s">
        <v>81</v>
      </c>
      <c r="C6931" s="32">
        <v>22.664999999999999</v>
      </c>
      <c r="D6931" s="28">
        <v>2.361111111111111E-2</v>
      </c>
    </row>
    <row r="6932" spans="1:4" x14ac:dyDescent="0.25">
      <c r="A6932" s="24" t="s">
        <v>136</v>
      </c>
      <c r="B6932" s="24" t="s">
        <v>82</v>
      </c>
      <c r="C6932" s="32">
        <v>22.716999999999999</v>
      </c>
      <c r="D6932" s="28">
        <v>2.361111111111111E-2</v>
      </c>
    </row>
    <row r="6933" spans="1:4" x14ac:dyDescent="0.25">
      <c r="A6933" s="24" t="s">
        <v>136</v>
      </c>
      <c r="B6933" s="24" t="s">
        <v>83</v>
      </c>
      <c r="C6933" s="32">
        <v>9.7360000000000007</v>
      </c>
      <c r="D6933" s="28">
        <v>9.7222222222222224E-3</v>
      </c>
    </row>
    <row r="6934" spans="1:4" x14ac:dyDescent="0.25">
      <c r="A6934" s="24" t="s">
        <v>136</v>
      </c>
      <c r="B6934" s="24" t="s">
        <v>84</v>
      </c>
      <c r="C6934" s="32">
        <v>4.7320000000000002</v>
      </c>
      <c r="D6934" s="28">
        <v>4.8611111111111112E-3</v>
      </c>
    </row>
    <row r="6935" spans="1:4" x14ac:dyDescent="0.25">
      <c r="A6935" s="24" t="s">
        <v>136</v>
      </c>
      <c r="B6935" s="24" t="s">
        <v>85</v>
      </c>
      <c r="C6935" s="32">
        <v>4.3659999999999997</v>
      </c>
      <c r="D6935" s="28">
        <v>4.8611111111111112E-3</v>
      </c>
    </row>
    <row r="6936" spans="1:4" x14ac:dyDescent="0.25">
      <c r="A6936" s="24" t="s">
        <v>136</v>
      </c>
      <c r="B6936" s="24" t="s">
        <v>86</v>
      </c>
      <c r="C6936" s="32">
        <v>8.4039999999999999</v>
      </c>
      <c r="D6936" s="28">
        <v>9.0277777777777787E-3</v>
      </c>
    </row>
    <row r="6937" spans="1:4" x14ac:dyDescent="0.25">
      <c r="A6937" s="24" t="s">
        <v>136</v>
      </c>
      <c r="B6937" s="24" t="s">
        <v>87</v>
      </c>
      <c r="C6937" s="32">
        <v>7.6310000000000002</v>
      </c>
      <c r="D6937" s="28">
        <v>9.0277777777777787E-3</v>
      </c>
    </row>
    <row r="6938" spans="1:4" x14ac:dyDescent="0.25">
      <c r="A6938" s="24" t="s">
        <v>136</v>
      </c>
      <c r="B6938" s="24" t="s">
        <v>88</v>
      </c>
      <c r="C6938" s="32">
        <v>7.9779999999999998</v>
      </c>
      <c r="D6938" s="28">
        <v>1.0416666666666666E-2</v>
      </c>
    </row>
    <row r="6939" spans="1:4" x14ac:dyDescent="0.25">
      <c r="A6939" s="24" t="s">
        <v>136</v>
      </c>
      <c r="B6939" s="24" t="s">
        <v>89</v>
      </c>
      <c r="C6939" s="32">
        <v>12.340999999999999</v>
      </c>
      <c r="D6939" s="28">
        <v>1.4583333333333332E-2</v>
      </c>
    </row>
    <row r="6940" spans="1:4" x14ac:dyDescent="0.25">
      <c r="A6940" s="24" t="s">
        <v>136</v>
      </c>
      <c r="B6940" s="24" t="s">
        <v>90</v>
      </c>
      <c r="C6940" s="32">
        <v>24.312999999999999</v>
      </c>
      <c r="D6940" s="28">
        <v>2.0833333333333332E-2</v>
      </c>
    </row>
    <row r="6941" spans="1:4" x14ac:dyDescent="0.25">
      <c r="A6941" s="24" t="s">
        <v>136</v>
      </c>
      <c r="B6941" s="24" t="s">
        <v>91</v>
      </c>
      <c r="C6941" s="32">
        <v>9.5259999999999998</v>
      </c>
      <c r="D6941" s="28">
        <v>1.2499999999999999E-2</v>
      </c>
    </row>
    <row r="6942" spans="1:4" x14ac:dyDescent="0.25">
      <c r="A6942" s="24" t="s">
        <v>136</v>
      </c>
      <c r="B6942" s="24" t="s">
        <v>92</v>
      </c>
      <c r="C6942" s="32">
        <v>22.948</v>
      </c>
      <c r="D6942" s="28">
        <v>2.013888888888889E-2</v>
      </c>
    </row>
    <row r="6943" spans="1:4" x14ac:dyDescent="0.25">
      <c r="A6943" s="24" t="s">
        <v>136</v>
      </c>
      <c r="B6943" s="24" t="s">
        <v>93</v>
      </c>
      <c r="C6943" s="32">
        <v>46.737000000000002</v>
      </c>
      <c r="D6943" s="28">
        <v>3.3333333333333333E-2</v>
      </c>
    </row>
    <row r="6944" spans="1:4" x14ac:dyDescent="0.25">
      <c r="A6944" s="24" t="s">
        <v>136</v>
      </c>
      <c r="B6944" s="24" t="s">
        <v>94</v>
      </c>
      <c r="C6944" s="32">
        <v>47.366</v>
      </c>
      <c r="D6944" s="28">
        <v>3.4027777777777775E-2</v>
      </c>
    </row>
    <row r="6945" spans="1:4" x14ac:dyDescent="0.25">
      <c r="A6945" s="24" t="s">
        <v>136</v>
      </c>
      <c r="B6945" s="24" t="s">
        <v>95</v>
      </c>
      <c r="C6945" s="32">
        <v>23.004000000000001</v>
      </c>
      <c r="D6945" s="28">
        <v>2.4305555555555556E-2</v>
      </c>
    </row>
    <row r="6946" spans="1:4" x14ac:dyDescent="0.25">
      <c r="A6946" s="24" t="s">
        <v>136</v>
      </c>
      <c r="B6946" s="24" t="s">
        <v>96</v>
      </c>
      <c r="C6946" s="32">
        <v>22.954999999999998</v>
      </c>
      <c r="D6946" s="28">
        <v>2.1527777777777781E-2</v>
      </c>
    </row>
    <row r="6947" spans="1:4" x14ac:dyDescent="0.25">
      <c r="A6947" s="24" t="s">
        <v>136</v>
      </c>
      <c r="B6947" s="24" t="s">
        <v>97</v>
      </c>
      <c r="C6947" s="32">
        <v>31.274000000000001</v>
      </c>
      <c r="D6947" s="28">
        <v>2.7777777777777776E-2</v>
      </c>
    </row>
    <row r="6948" spans="1:4" x14ac:dyDescent="0.25">
      <c r="A6948" s="24" t="s">
        <v>136</v>
      </c>
      <c r="B6948" s="24" t="s">
        <v>98</v>
      </c>
      <c r="C6948" s="32">
        <v>29.914000000000001</v>
      </c>
      <c r="D6948" s="28">
        <v>2.7083333333333334E-2</v>
      </c>
    </row>
    <row r="6949" spans="1:4" x14ac:dyDescent="0.25">
      <c r="A6949" s="24" t="s">
        <v>136</v>
      </c>
      <c r="B6949" s="24" t="s">
        <v>99</v>
      </c>
      <c r="C6949" s="32">
        <v>32.726999999999997</v>
      </c>
      <c r="D6949" s="28">
        <v>2.9166666666666664E-2</v>
      </c>
    </row>
    <row r="6950" spans="1:4" x14ac:dyDescent="0.25">
      <c r="A6950" s="24" t="s">
        <v>136</v>
      </c>
      <c r="B6950" s="24" t="s">
        <v>100</v>
      </c>
      <c r="C6950" s="32">
        <v>29.305</v>
      </c>
      <c r="D6950" s="28">
        <v>2.4305555555555556E-2</v>
      </c>
    </row>
    <row r="6951" spans="1:4" x14ac:dyDescent="0.25">
      <c r="A6951" s="24" t="s">
        <v>136</v>
      </c>
      <c r="B6951" s="24" t="s">
        <v>101</v>
      </c>
      <c r="C6951" s="32">
        <v>29.844000000000001</v>
      </c>
      <c r="D6951" s="28">
        <v>2.7083333333333334E-2</v>
      </c>
    </row>
    <row r="6952" spans="1:4" x14ac:dyDescent="0.25">
      <c r="A6952" s="24" t="s">
        <v>136</v>
      </c>
      <c r="B6952" s="24" t="s">
        <v>102</v>
      </c>
      <c r="C6952" s="32">
        <v>29.271000000000001</v>
      </c>
      <c r="D6952" s="28">
        <v>2.6388888888888889E-2</v>
      </c>
    </row>
    <row r="6953" spans="1:4" x14ac:dyDescent="0.25">
      <c r="A6953" s="24" t="s">
        <v>136</v>
      </c>
      <c r="B6953" s="24" t="s">
        <v>103</v>
      </c>
      <c r="C6953" s="32">
        <v>15.316000000000001</v>
      </c>
      <c r="D6953" s="28">
        <v>1.5972222222222224E-2</v>
      </c>
    </row>
    <row r="6954" spans="1:4" x14ac:dyDescent="0.25">
      <c r="A6954" s="24" t="s">
        <v>136</v>
      </c>
      <c r="B6954" s="24" t="s">
        <v>104</v>
      </c>
      <c r="C6954" s="32">
        <v>21.827999999999999</v>
      </c>
      <c r="D6954" s="28">
        <v>1.9444444444444445E-2</v>
      </c>
    </row>
    <row r="6955" spans="1:4" x14ac:dyDescent="0.25">
      <c r="A6955" s="24" t="s">
        <v>136</v>
      </c>
      <c r="B6955" s="24" t="s">
        <v>105</v>
      </c>
      <c r="C6955" s="32">
        <v>14.146000000000001</v>
      </c>
      <c r="D6955" s="28">
        <v>1.9444444444444445E-2</v>
      </c>
    </row>
    <row r="6956" spans="1:4" x14ac:dyDescent="0.25">
      <c r="A6956" s="24" t="s">
        <v>136</v>
      </c>
      <c r="B6956" s="24" t="s">
        <v>106</v>
      </c>
      <c r="C6956" s="32">
        <v>14.494</v>
      </c>
      <c r="D6956" s="28">
        <v>1.3888888888888888E-2</v>
      </c>
    </row>
    <row r="6957" spans="1:4" x14ac:dyDescent="0.25">
      <c r="A6957" s="24" t="s">
        <v>136</v>
      </c>
      <c r="B6957" s="24" t="s">
        <v>107</v>
      </c>
      <c r="C6957" s="32">
        <v>9.7669999999999995</v>
      </c>
      <c r="D6957" s="28">
        <v>1.1111111111111112E-2</v>
      </c>
    </row>
    <row r="6958" spans="1:4" x14ac:dyDescent="0.25">
      <c r="A6958" s="24" t="s">
        <v>136</v>
      </c>
      <c r="B6958" s="24" t="s">
        <v>108</v>
      </c>
      <c r="C6958" s="32">
        <v>8.1530000000000005</v>
      </c>
      <c r="D6958" s="28">
        <v>8.3333333333333332E-3</v>
      </c>
    </row>
    <row r="6959" spans="1:4" x14ac:dyDescent="0.25">
      <c r="A6959" s="24" t="s">
        <v>136</v>
      </c>
      <c r="B6959" s="24" t="s">
        <v>109</v>
      </c>
      <c r="C6959" s="32">
        <v>8.1829999999999998</v>
      </c>
      <c r="D6959" s="28">
        <v>8.3333333333333332E-3</v>
      </c>
    </row>
    <row r="6960" spans="1:4" x14ac:dyDescent="0.25">
      <c r="A6960" s="24" t="s">
        <v>136</v>
      </c>
      <c r="B6960" s="24" t="s">
        <v>110</v>
      </c>
      <c r="C6960" s="32">
        <v>14.021000000000001</v>
      </c>
      <c r="D6960" s="28">
        <v>1.5277777777777777E-2</v>
      </c>
    </row>
    <row r="6961" spans="1:4" x14ac:dyDescent="0.25">
      <c r="A6961" s="24" t="s">
        <v>136</v>
      </c>
      <c r="B6961" s="24" t="s">
        <v>111</v>
      </c>
      <c r="C6961" s="32">
        <v>16.018000000000001</v>
      </c>
      <c r="D6961" s="28">
        <v>1.5277777777777777E-2</v>
      </c>
    </row>
    <row r="6962" spans="1:4" x14ac:dyDescent="0.25">
      <c r="A6962" s="24" t="s">
        <v>136</v>
      </c>
      <c r="B6962" s="24" t="s">
        <v>112</v>
      </c>
      <c r="C6962" s="32">
        <v>10.747</v>
      </c>
      <c r="D6962" s="28">
        <v>1.3194444444444444E-2</v>
      </c>
    </row>
    <row r="6963" spans="1:4" x14ac:dyDescent="0.25">
      <c r="A6963" s="24" t="s">
        <v>136</v>
      </c>
      <c r="B6963" s="24" t="s">
        <v>113</v>
      </c>
      <c r="C6963" s="32">
        <v>13.63</v>
      </c>
      <c r="D6963" s="28">
        <v>1.3194444444444444E-2</v>
      </c>
    </row>
    <row r="6964" spans="1:4" x14ac:dyDescent="0.25">
      <c r="A6964" s="24" t="s">
        <v>136</v>
      </c>
      <c r="B6964" s="24" t="s">
        <v>114</v>
      </c>
      <c r="C6964" s="32">
        <v>28.006</v>
      </c>
      <c r="D6964" s="28">
        <v>2.2222222222222223E-2</v>
      </c>
    </row>
    <row r="6965" spans="1:4" x14ac:dyDescent="0.25">
      <c r="A6965" s="24" t="s">
        <v>136</v>
      </c>
      <c r="B6965" s="24" t="s">
        <v>115</v>
      </c>
      <c r="C6965" s="32">
        <v>27.856999999999999</v>
      </c>
      <c r="D6965" s="28">
        <v>2.2916666666666669E-2</v>
      </c>
    </row>
    <row r="6966" spans="1:4" x14ac:dyDescent="0.25">
      <c r="A6966" s="24" t="s">
        <v>136</v>
      </c>
      <c r="B6966" s="24" t="s">
        <v>116</v>
      </c>
      <c r="C6966" s="32">
        <v>22.03</v>
      </c>
      <c r="D6966" s="28">
        <v>2.013888888888889E-2</v>
      </c>
    </row>
    <row r="6967" spans="1:4" x14ac:dyDescent="0.25">
      <c r="A6967" s="24" t="s">
        <v>136</v>
      </c>
      <c r="B6967" s="24" t="s">
        <v>117</v>
      </c>
      <c r="C6967" s="32">
        <v>22.507999999999999</v>
      </c>
      <c r="D6967" s="28">
        <v>2.4999999999999998E-2</v>
      </c>
    </row>
    <row r="6968" spans="1:4" x14ac:dyDescent="0.25">
      <c r="A6968" s="24" t="s">
        <v>136</v>
      </c>
      <c r="B6968" s="24" t="s">
        <v>118</v>
      </c>
      <c r="C6968" s="32">
        <v>23.334</v>
      </c>
      <c r="D6968" s="28">
        <v>1.8055555555555557E-2</v>
      </c>
    </row>
    <row r="6969" spans="1:4" x14ac:dyDescent="0.25">
      <c r="A6969" s="24" t="s">
        <v>136</v>
      </c>
      <c r="B6969" s="24" t="s">
        <v>119</v>
      </c>
      <c r="C6969" s="32">
        <v>28.574999999999999</v>
      </c>
      <c r="D6969" s="28">
        <v>1.8749999999999999E-2</v>
      </c>
    </row>
    <row r="6970" spans="1:4" x14ac:dyDescent="0.25">
      <c r="A6970" s="24" t="s">
        <v>136</v>
      </c>
      <c r="B6970" s="24" t="s">
        <v>120</v>
      </c>
      <c r="C6970" s="32">
        <v>31.364999999999998</v>
      </c>
      <c r="D6970" s="28">
        <v>2.2222222222222223E-2</v>
      </c>
    </row>
    <row r="6971" spans="1:4" x14ac:dyDescent="0.25">
      <c r="A6971" s="24" t="s">
        <v>136</v>
      </c>
      <c r="B6971" s="24" t="s">
        <v>121</v>
      </c>
      <c r="C6971" s="32">
        <v>45.716000000000001</v>
      </c>
      <c r="D6971" s="28">
        <v>2.9166666666666664E-2</v>
      </c>
    </row>
    <row r="6972" spans="1:4" x14ac:dyDescent="0.25">
      <c r="A6972" s="24" t="s">
        <v>136</v>
      </c>
      <c r="B6972" s="24" t="s">
        <v>122</v>
      </c>
      <c r="C6972" s="32">
        <v>43.587000000000003</v>
      </c>
      <c r="D6972" s="28">
        <v>2.9861111111111113E-2</v>
      </c>
    </row>
    <row r="6973" spans="1:4" x14ac:dyDescent="0.25">
      <c r="A6973" s="24" t="s">
        <v>136</v>
      </c>
      <c r="B6973" s="24" t="s">
        <v>123</v>
      </c>
      <c r="C6973" s="32">
        <v>39.301000000000002</v>
      </c>
      <c r="D6973" s="28">
        <v>2.4999999999999998E-2</v>
      </c>
    </row>
    <row r="6974" spans="1:4" x14ac:dyDescent="0.25">
      <c r="A6974" s="24" t="s">
        <v>136</v>
      </c>
      <c r="B6974" s="24" t="s">
        <v>124</v>
      </c>
      <c r="C6974" s="32">
        <v>39.301000000000002</v>
      </c>
      <c r="D6974" s="28">
        <v>2.4999999999999998E-2</v>
      </c>
    </row>
    <row r="6975" spans="1:4" x14ac:dyDescent="0.25">
      <c r="A6975" s="24" t="s">
        <v>136</v>
      </c>
      <c r="B6975" s="24" t="s">
        <v>125</v>
      </c>
      <c r="C6975" s="32">
        <v>13.201000000000001</v>
      </c>
      <c r="D6975" s="28">
        <v>1.4583333333333332E-2</v>
      </c>
    </row>
    <row r="6976" spans="1:4" x14ac:dyDescent="0.25">
      <c r="A6976" s="24" t="s">
        <v>136</v>
      </c>
      <c r="B6976" s="24" t="s">
        <v>126</v>
      </c>
      <c r="C6976" s="32">
        <v>12.939</v>
      </c>
      <c r="D6976" s="28">
        <v>1.3888888888888888E-2</v>
      </c>
    </row>
    <row r="6977" spans="1:4" x14ac:dyDescent="0.25">
      <c r="A6977" s="24" t="s">
        <v>136</v>
      </c>
      <c r="B6977" s="24" t="s">
        <v>127</v>
      </c>
      <c r="C6977" s="32">
        <v>13.683999999999999</v>
      </c>
      <c r="D6977" s="28">
        <v>1.5277777777777777E-2</v>
      </c>
    </row>
    <row r="6978" spans="1:4" x14ac:dyDescent="0.25">
      <c r="A6978" s="24" t="s">
        <v>136</v>
      </c>
      <c r="B6978" s="24" t="s">
        <v>128</v>
      </c>
      <c r="C6978" s="32">
        <v>12.56</v>
      </c>
      <c r="D6978" s="28">
        <v>1.3888888888888888E-2</v>
      </c>
    </row>
    <row r="6979" spans="1:4" x14ac:dyDescent="0.25">
      <c r="A6979" s="24" t="s">
        <v>136</v>
      </c>
      <c r="B6979" s="24" t="s">
        <v>129</v>
      </c>
      <c r="C6979" s="32">
        <v>12.56</v>
      </c>
      <c r="D6979" s="28">
        <v>1.3888888888888888E-2</v>
      </c>
    </row>
    <row r="6980" spans="1:4" x14ac:dyDescent="0.25">
      <c r="A6980" s="24" t="s">
        <v>136</v>
      </c>
      <c r="B6980" s="24" t="s">
        <v>130</v>
      </c>
      <c r="C6980" s="32">
        <v>13.602</v>
      </c>
      <c r="D6980" s="28">
        <v>1.5277777777777777E-2</v>
      </c>
    </row>
    <row r="6981" spans="1:4" x14ac:dyDescent="0.25">
      <c r="A6981" s="24" t="s">
        <v>136</v>
      </c>
      <c r="B6981" s="24" t="s">
        <v>131</v>
      </c>
      <c r="C6981" s="32">
        <v>16.073</v>
      </c>
      <c r="D6981" s="28">
        <v>1.8055555555555557E-2</v>
      </c>
    </row>
    <row r="6982" spans="1:4" x14ac:dyDescent="0.25">
      <c r="A6982" s="24" t="s">
        <v>136</v>
      </c>
      <c r="B6982" s="24" t="s">
        <v>132</v>
      </c>
      <c r="C6982" s="32">
        <v>15.852</v>
      </c>
      <c r="D6982" s="28">
        <v>1.7361111111111112E-2</v>
      </c>
    </row>
    <row r="6983" spans="1:4" x14ac:dyDescent="0.25">
      <c r="A6983" s="24" t="s">
        <v>136</v>
      </c>
      <c r="B6983" s="24" t="s">
        <v>133</v>
      </c>
      <c r="C6983" s="32">
        <v>3.55</v>
      </c>
      <c r="D6983" s="28">
        <v>4.1666666666666666E-3</v>
      </c>
    </row>
    <row r="6984" spans="1:4" x14ac:dyDescent="0.25">
      <c r="A6984" s="24" t="s">
        <v>136</v>
      </c>
      <c r="B6984" s="24" t="s">
        <v>134</v>
      </c>
      <c r="C6984" s="32">
        <v>3.0840000000000001</v>
      </c>
      <c r="D6984" s="28">
        <v>3.472222222222222E-3</v>
      </c>
    </row>
    <row r="6985" spans="1:4" x14ac:dyDescent="0.25">
      <c r="A6985" s="24" t="s">
        <v>136</v>
      </c>
      <c r="B6985" s="24" t="s">
        <v>135</v>
      </c>
      <c r="C6985" s="32">
        <v>0</v>
      </c>
      <c r="D6985" s="28">
        <v>0</v>
      </c>
    </row>
    <row r="6986" spans="1:4" x14ac:dyDescent="0.25">
      <c r="A6986" s="24" t="s">
        <v>136</v>
      </c>
      <c r="B6986" s="24" t="s">
        <v>136</v>
      </c>
      <c r="C6986" s="32">
        <v>0</v>
      </c>
      <c r="D6986" s="28">
        <v>0</v>
      </c>
    </row>
    <row r="6987" spans="1:4" x14ac:dyDescent="0.25">
      <c r="A6987" s="24" t="s">
        <v>136</v>
      </c>
      <c r="B6987" s="24" t="s">
        <v>137</v>
      </c>
      <c r="C6987" s="32">
        <v>0.76900000000000002</v>
      </c>
      <c r="D6987" s="28">
        <v>1.3888888888888889E-3</v>
      </c>
    </row>
    <row r="6988" spans="1:4" x14ac:dyDescent="0.25">
      <c r="A6988" s="24" t="s">
        <v>136</v>
      </c>
      <c r="B6988" s="24" t="s">
        <v>138</v>
      </c>
      <c r="C6988" s="32">
        <v>9.6359999999999992</v>
      </c>
      <c r="D6988" s="28">
        <v>8.3333333333333332E-3</v>
      </c>
    </row>
    <row r="6989" spans="1:4" x14ac:dyDescent="0.25">
      <c r="A6989" s="24" t="s">
        <v>136</v>
      </c>
      <c r="B6989" s="24" t="s">
        <v>139</v>
      </c>
      <c r="C6989" s="32">
        <v>12.923</v>
      </c>
      <c r="D6989" s="28">
        <v>1.1805555555555555E-2</v>
      </c>
    </row>
    <row r="6990" spans="1:4" x14ac:dyDescent="0.25">
      <c r="A6990" s="24" t="s">
        <v>136</v>
      </c>
      <c r="B6990" s="24" t="s">
        <v>140</v>
      </c>
      <c r="C6990" s="32">
        <v>12.464</v>
      </c>
      <c r="D6990" s="28">
        <v>1.0416666666666666E-2</v>
      </c>
    </row>
    <row r="6991" spans="1:4" x14ac:dyDescent="0.25">
      <c r="A6991" s="24" t="s">
        <v>136</v>
      </c>
      <c r="B6991" s="24" t="s">
        <v>141</v>
      </c>
      <c r="C6991" s="32">
        <v>37.634</v>
      </c>
      <c r="D6991" s="28">
        <v>3.125E-2</v>
      </c>
    </row>
    <row r="6992" spans="1:4" x14ac:dyDescent="0.25">
      <c r="A6992" s="24" t="s">
        <v>136</v>
      </c>
      <c r="B6992" s="24" t="s">
        <v>142</v>
      </c>
      <c r="C6992" s="32">
        <v>37.006</v>
      </c>
      <c r="D6992" s="28">
        <v>2.361111111111111E-2</v>
      </c>
    </row>
    <row r="6993" spans="1:4" x14ac:dyDescent="0.25">
      <c r="A6993" s="24" t="s">
        <v>136</v>
      </c>
      <c r="B6993" s="24" t="s">
        <v>143</v>
      </c>
      <c r="C6993" s="32">
        <v>55.384</v>
      </c>
      <c r="D6993" s="28">
        <v>3.125E-2</v>
      </c>
    </row>
    <row r="6994" spans="1:4" x14ac:dyDescent="0.25">
      <c r="A6994" s="24" t="s">
        <v>136</v>
      </c>
      <c r="B6994" s="24" t="s">
        <v>144</v>
      </c>
      <c r="C6994" s="32">
        <v>74.5</v>
      </c>
      <c r="D6994" s="28">
        <v>4.2361111111111106E-2</v>
      </c>
    </row>
    <row r="6995" spans="1:4" x14ac:dyDescent="0.25">
      <c r="A6995" s="24" t="s">
        <v>136</v>
      </c>
      <c r="B6995" s="24" t="s">
        <v>145</v>
      </c>
      <c r="C6995" s="32">
        <v>24.443000000000001</v>
      </c>
      <c r="D6995" s="28">
        <v>1.7361111111111112E-2</v>
      </c>
    </row>
    <row r="6996" spans="1:4" x14ac:dyDescent="0.25">
      <c r="A6996" s="24" t="s">
        <v>136</v>
      </c>
      <c r="B6996" s="24" t="s">
        <v>146</v>
      </c>
      <c r="C6996" s="32">
        <v>39.902000000000001</v>
      </c>
      <c r="D6996" s="28">
        <v>2.4999999999999998E-2</v>
      </c>
    </row>
    <row r="6997" spans="1:4" x14ac:dyDescent="0.25">
      <c r="A6997" s="24" t="s">
        <v>136</v>
      </c>
      <c r="B6997" s="24" t="s">
        <v>147</v>
      </c>
      <c r="C6997" s="32">
        <v>16.52</v>
      </c>
      <c r="D6997" s="28">
        <v>1.5277777777777777E-2</v>
      </c>
    </row>
    <row r="6998" spans="1:4" x14ac:dyDescent="0.25">
      <c r="A6998" s="24" t="s">
        <v>136</v>
      </c>
      <c r="B6998" s="24" t="s">
        <v>148</v>
      </c>
      <c r="C6998" s="32">
        <v>14.597</v>
      </c>
      <c r="D6998" s="28">
        <v>1.5277777777777777E-2</v>
      </c>
    </row>
    <row r="6999" spans="1:4" x14ac:dyDescent="0.25">
      <c r="A6999" s="24" t="s">
        <v>136</v>
      </c>
      <c r="B6999" s="24" t="s">
        <v>149</v>
      </c>
      <c r="C6999" s="32">
        <v>16.379000000000001</v>
      </c>
      <c r="D6999" s="28">
        <v>1.7361111111111112E-2</v>
      </c>
    </row>
    <row r="7000" spans="1:4" x14ac:dyDescent="0.25">
      <c r="A7000" s="24" t="s">
        <v>136</v>
      </c>
      <c r="B7000" s="24" t="s">
        <v>150</v>
      </c>
      <c r="C7000" s="32">
        <v>29.216000000000001</v>
      </c>
      <c r="D7000" s="28">
        <v>2.5694444444444447E-2</v>
      </c>
    </row>
    <row r="7001" spans="1:4" x14ac:dyDescent="0.25">
      <c r="A7001" s="24" t="s">
        <v>136</v>
      </c>
      <c r="B7001" s="24" t="s">
        <v>151</v>
      </c>
      <c r="C7001" s="32">
        <v>27.734999999999999</v>
      </c>
      <c r="D7001" s="28">
        <v>2.5694444444444447E-2</v>
      </c>
    </row>
    <row r="7002" spans="1:4" x14ac:dyDescent="0.25">
      <c r="A7002" s="24" t="s">
        <v>136</v>
      </c>
      <c r="B7002" s="24" t="s">
        <v>152</v>
      </c>
      <c r="C7002" s="32">
        <v>30.501999999999999</v>
      </c>
      <c r="D7002" s="28">
        <v>2.9861111111111113E-2</v>
      </c>
    </row>
    <row r="7003" spans="1:4" x14ac:dyDescent="0.25">
      <c r="A7003" s="24" t="s">
        <v>136</v>
      </c>
      <c r="B7003" s="24" t="s">
        <v>153</v>
      </c>
      <c r="C7003" s="32">
        <v>33.207000000000001</v>
      </c>
      <c r="D7003" s="28">
        <v>3.4722222222222224E-2</v>
      </c>
    </row>
    <row r="7004" spans="1:4" x14ac:dyDescent="0.25">
      <c r="A7004" s="24" t="s">
        <v>136</v>
      </c>
      <c r="B7004" s="24" t="s">
        <v>154</v>
      </c>
      <c r="C7004" s="32">
        <v>28.024999999999999</v>
      </c>
      <c r="D7004" s="28">
        <v>2.8472222222222222E-2</v>
      </c>
    </row>
    <row r="7005" spans="1:4" x14ac:dyDescent="0.25">
      <c r="A7005" s="24" t="s">
        <v>136</v>
      </c>
      <c r="B7005" s="24" t="s">
        <v>155</v>
      </c>
      <c r="C7005" s="32">
        <v>28.335000000000001</v>
      </c>
      <c r="D7005" s="28">
        <v>2.4999999999999998E-2</v>
      </c>
    </row>
    <row r="7006" spans="1:4" x14ac:dyDescent="0.25">
      <c r="A7006" s="24" t="s">
        <v>136</v>
      </c>
      <c r="B7006" s="24" t="s">
        <v>156</v>
      </c>
      <c r="C7006" s="32">
        <v>28.318999999999999</v>
      </c>
      <c r="D7006" s="28">
        <v>2.4999999999999998E-2</v>
      </c>
    </row>
    <row r="7007" spans="1:4" x14ac:dyDescent="0.25">
      <c r="A7007" s="24" t="s">
        <v>136</v>
      </c>
      <c r="B7007" s="24" t="s">
        <v>157</v>
      </c>
      <c r="C7007" s="32">
        <v>34.673000000000002</v>
      </c>
      <c r="D7007" s="28">
        <v>3.125E-2</v>
      </c>
    </row>
    <row r="7008" spans="1:4" x14ac:dyDescent="0.25">
      <c r="A7008" s="24" t="s">
        <v>136</v>
      </c>
      <c r="B7008" s="24" t="s">
        <v>158</v>
      </c>
      <c r="C7008" s="32">
        <v>45.582999999999998</v>
      </c>
      <c r="D7008" s="28">
        <v>4.027777777777778E-2</v>
      </c>
    </row>
    <row r="7009" spans="1:4" x14ac:dyDescent="0.25">
      <c r="A7009" s="24" t="s">
        <v>136</v>
      </c>
      <c r="B7009" s="24" t="s">
        <v>159</v>
      </c>
      <c r="C7009" s="32">
        <v>50.953000000000003</v>
      </c>
      <c r="D7009" s="28">
        <v>4.5138888888888888E-2</v>
      </c>
    </row>
    <row r="7010" spans="1:4" x14ac:dyDescent="0.25">
      <c r="A7010" s="24" t="s">
        <v>137</v>
      </c>
      <c r="B7010" s="24" t="s">
        <v>65</v>
      </c>
      <c r="C7010" s="32">
        <v>21.073</v>
      </c>
      <c r="D7010" s="28">
        <v>1.8749999999999999E-2</v>
      </c>
    </row>
    <row r="7011" spans="1:4" x14ac:dyDescent="0.25">
      <c r="A7011" s="24" t="s">
        <v>137</v>
      </c>
      <c r="B7011" s="24" t="s">
        <v>64</v>
      </c>
      <c r="C7011" s="32">
        <v>9.06</v>
      </c>
      <c r="D7011" s="28">
        <v>1.0416666666666666E-2</v>
      </c>
    </row>
    <row r="7012" spans="1:4" x14ac:dyDescent="0.25">
      <c r="A7012" s="24" t="s">
        <v>137</v>
      </c>
      <c r="B7012" s="24" t="s">
        <v>66</v>
      </c>
      <c r="C7012" s="32">
        <v>13.090999999999999</v>
      </c>
      <c r="D7012" s="28">
        <v>1.3194444444444444E-2</v>
      </c>
    </row>
    <row r="7013" spans="1:4" x14ac:dyDescent="0.25">
      <c r="A7013" s="24" t="s">
        <v>137</v>
      </c>
      <c r="B7013" s="24" t="s">
        <v>67</v>
      </c>
      <c r="C7013" s="32">
        <v>10.287000000000001</v>
      </c>
      <c r="D7013" s="28">
        <v>1.1111111111111112E-2</v>
      </c>
    </row>
    <row r="7014" spans="1:4" x14ac:dyDescent="0.25">
      <c r="A7014" s="24" t="s">
        <v>137</v>
      </c>
      <c r="B7014" s="24" t="s">
        <v>68</v>
      </c>
      <c r="C7014" s="32">
        <v>10.151</v>
      </c>
      <c r="D7014" s="28">
        <v>1.1111111111111112E-2</v>
      </c>
    </row>
    <row r="7015" spans="1:4" x14ac:dyDescent="0.25">
      <c r="A7015" s="24" t="s">
        <v>137</v>
      </c>
      <c r="B7015" s="24" t="s">
        <v>69</v>
      </c>
      <c r="C7015" s="32">
        <v>10.951000000000001</v>
      </c>
      <c r="D7015" s="28">
        <v>1.1805555555555555E-2</v>
      </c>
    </row>
    <row r="7016" spans="1:4" x14ac:dyDescent="0.25">
      <c r="A7016" s="24" t="s">
        <v>137</v>
      </c>
      <c r="B7016" s="24" t="s">
        <v>70</v>
      </c>
      <c r="C7016" s="32">
        <v>10.615</v>
      </c>
      <c r="D7016" s="28">
        <v>1.1111111111111112E-2</v>
      </c>
    </row>
    <row r="7017" spans="1:4" x14ac:dyDescent="0.25">
      <c r="A7017" s="24" t="s">
        <v>137</v>
      </c>
      <c r="B7017" s="24" t="s">
        <v>71</v>
      </c>
      <c r="C7017" s="32">
        <v>10.582000000000001</v>
      </c>
      <c r="D7017" s="28">
        <v>1.1805555555555555E-2</v>
      </c>
    </row>
    <row r="7018" spans="1:4" x14ac:dyDescent="0.25">
      <c r="A7018" s="24" t="s">
        <v>137</v>
      </c>
      <c r="B7018" s="24" t="s">
        <v>72</v>
      </c>
      <c r="C7018" s="32">
        <v>9.7509999999999994</v>
      </c>
      <c r="D7018" s="28">
        <v>1.0416666666666666E-2</v>
      </c>
    </row>
    <row r="7019" spans="1:4" x14ac:dyDescent="0.25">
      <c r="A7019" s="24" t="s">
        <v>137</v>
      </c>
      <c r="B7019" s="24" t="s">
        <v>73</v>
      </c>
      <c r="C7019" s="32">
        <v>8.4700000000000006</v>
      </c>
      <c r="D7019" s="28">
        <v>9.7222222222222224E-3</v>
      </c>
    </row>
    <row r="7020" spans="1:4" x14ac:dyDescent="0.25">
      <c r="A7020" s="24" t="s">
        <v>137</v>
      </c>
      <c r="B7020" s="24" t="s">
        <v>74</v>
      </c>
      <c r="C7020" s="32">
        <v>5.5990000000000002</v>
      </c>
      <c r="D7020" s="28">
        <v>6.9444444444444441E-3</v>
      </c>
    </row>
    <row r="7021" spans="1:4" x14ac:dyDescent="0.25">
      <c r="A7021" s="24" t="s">
        <v>137</v>
      </c>
      <c r="B7021" s="24" t="s">
        <v>75</v>
      </c>
      <c r="C7021" s="32">
        <v>4.6349999999999998</v>
      </c>
      <c r="D7021" s="28">
        <v>5.5555555555555558E-3</v>
      </c>
    </row>
    <row r="7022" spans="1:4" x14ac:dyDescent="0.25">
      <c r="A7022" s="24" t="s">
        <v>137</v>
      </c>
      <c r="B7022" s="24" t="s">
        <v>76</v>
      </c>
      <c r="C7022" s="32">
        <v>6.4870000000000001</v>
      </c>
      <c r="D7022" s="28">
        <v>9.7222222222222224E-3</v>
      </c>
    </row>
    <row r="7023" spans="1:4" x14ac:dyDescent="0.25">
      <c r="A7023" s="24" t="s">
        <v>137</v>
      </c>
      <c r="B7023" s="24" t="s">
        <v>77</v>
      </c>
      <c r="C7023" s="32">
        <v>15.089</v>
      </c>
      <c r="D7023" s="28">
        <v>1.2499999999999999E-2</v>
      </c>
    </row>
    <row r="7024" spans="1:4" x14ac:dyDescent="0.25">
      <c r="A7024" s="24" t="s">
        <v>137</v>
      </c>
      <c r="B7024" s="24" t="s">
        <v>78</v>
      </c>
      <c r="C7024" s="32">
        <v>15.962</v>
      </c>
      <c r="D7024" s="28">
        <v>1.3888888888888888E-2</v>
      </c>
    </row>
    <row r="7025" spans="1:4" x14ac:dyDescent="0.25">
      <c r="A7025" s="24" t="s">
        <v>137</v>
      </c>
      <c r="B7025" s="24" t="s">
        <v>79</v>
      </c>
      <c r="C7025" s="32">
        <v>26.423999999999999</v>
      </c>
      <c r="D7025" s="28">
        <v>2.4305555555555556E-2</v>
      </c>
    </row>
    <row r="7026" spans="1:4" x14ac:dyDescent="0.25">
      <c r="A7026" s="24" t="s">
        <v>137</v>
      </c>
      <c r="B7026" s="24" t="s">
        <v>80</v>
      </c>
      <c r="C7026" s="32">
        <v>24.364000000000001</v>
      </c>
      <c r="D7026" s="28">
        <v>2.0833333333333332E-2</v>
      </c>
    </row>
    <row r="7027" spans="1:4" x14ac:dyDescent="0.25">
      <c r="A7027" s="24" t="s">
        <v>137</v>
      </c>
      <c r="B7027" s="24" t="s">
        <v>81</v>
      </c>
      <c r="C7027" s="32">
        <v>22.658999999999999</v>
      </c>
      <c r="D7027" s="28">
        <v>2.361111111111111E-2</v>
      </c>
    </row>
    <row r="7028" spans="1:4" x14ac:dyDescent="0.25">
      <c r="A7028" s="24" t="s">
        <v>137</v>
      </c>
      <c r="B7028" s="24" t="s">
        <v>82</v>
      </c>
      <c r="C7028" s="32">
        <v>22.710999999999999</v>
      </c>
      <c r="D7028" s="28">
        <v>2.361111111111111E-2</v>
      </c>
    </row>
    <row r="7029" spans="1:4" x14ac:dyDescent="0.25">
      <c r="A7029" s="24" t="s">
        <v>137</v>
      </c>
      <c r="B7029" s="24" t="s">
        <v>83</v>
      </c>
      <c r="C7029" s="32">
        <v>9.73</v>
      </c>
      <c r="D7029" s="28">
        <v>9.7222222222222224E-3</v>
      </c>
    </row>
    <row r="7030" spans="1:4" x14ac:dyDescent="0.25">
      <c r="A7030" s="24" t="s">
        <v>137</v>
      </c>
      <c r="B7030" s="24" t="s">
        <v>84</v>
      </c>
      <c r="C7030" s="32">
        <v>4.726</v>
      </c>
      <c r="D7030" s="28">
        <v>4.8611111111111112E-3</v>
      </c>
    </row>
    <row r="7031" spans="1:4" x14ac:dyDescent="0.25">
      <c r="A7031" s="24" t="s">
        <v>137</v>
      </c>
      <c r="B7031" s="24" t="s">
        <v>85</v>
      </c>
      <c r="C7031" s="32">
        <v>4.3600000000000003</v>
      </c>
      <c r="D7031" s="28">
        <v>5.5555555555555558E-3</v>
      </c>
    </row>
    <row r="7032" spans="1:4" x14ac:dyDescent="0.25">
      <c r="A7032" s="24" t="s">
        <v>137</v>
      </c>
      <c r="B7032" s="24" t="s">
        <v>86</v>
      </c>
      <c r="C7032" s="32">
        <v>8.3979999999999997</v>
      </c>
      <c r="D7032" s="28">
        <v>9.0277777777777787E-3</v>
      </c>
    </row>
    <row r="7033" spans="1:4" x14ac:dyDescent="0.25">
      <c r="A7033" s="24" t="s">
        <v>137</v>
      </c>
      <c r="B7033" s="24" t="s">
        <v>87</v>
      </c>
      <c r="C7033" s="32">
        <v>7.625</v>
      </c>
      <c r="D7033" s="28">
        <v>9.0277777777777787E-3</v>
      </c>
    </row>
    <row r="7034" spans="1:4" x14ac:dyDescent="0.25">
      <c r="A7034" s="24" t="s">
        <v>137</v>
      </c>
      <c r="B7034" s="24" t="s">
        <v>88</v>
      </c>
      <c r="C7034" s="32">
        <v>7.9720000000000004</v>
      </c>
      <c r="D7034" s="28">
        <v>1.0416666666666666E-2</v>
      </c>
    </row>
    <row r="7035" spans="1:4" x14ac:dyDescent="0.25">
      <c r="A7035" s="24" t="s">
        <v>137</v>
      </c>
      <c r="B7035" s="24" t="s">
        <v>89</v>
      </c>
      <c r="C7035" s="32">
        <v>12.335000000000001</v>
      </c>
      <c r="D7035" s="28">
        <v>1.4583333333333332E-2</v>
      </c>
    </row>
    <row r="7036" spans="1:4" x14ac:dyDescent="0.25">
      <c r="A7036" s="24" t="s">
        <v>137</v>
      </c>
      <c r="B7036" s="24" t="s">
        <v>90</v>
      </c>
      <c r="C7036" s="32">
        <v>24.306999999999999</v>
      </c>
      <c r="D7036" s="28">
        <v>2.1527777777777781E-2</v>
      </c>
    </row>
    <row r="7037" spans="1:4" x14ac:dyDescent="0.25">
      <c r="A7037" s="24" t="s">
        <v>137</v>
      </c>
      <c r="B7037" s="24" t="s">
        <v>91</v>
      </c>
      <c r="C7037" s="32">
        <v>9.52</v>
      </c>
      <c r="D7037" s="28">
        <v>1.2499999999999999E-2</v>
      </c>
    </row>
    <row r="7038" spans="1:4" x14ac:dyDescent="0.25">
      <c r="A7038" s="24" t="s">
        <v>137</v>
      </c>
      <c r="B7038" s="24" t="s">
        <v>92</v>
      </c>
      <c r="C7038" s="32">
        <v>22.942</v>
      </c>
      <c r="D7038" s="28">
        <v>2.0833333333333332E-2</v>
      </c>
    </row>
    <row r="7039" spans="1:4" x14ac:dyDescent="0.25">
      <c r="A7039" s="24" t="s">
        <v>137</v>
      </c>
      <c r="B7039" s="24" t="s">
        <v>93</v>
      </c>
      <c r="C7039" s="32">
        <v>46.731000000000002</v>
      </c>
      <c r="D7039" s="28">
        <v>3.3333333333333333E-2</v>
      </c>
    </row>
    <row r="7040" spans="1:4" x14ac:dyDescent="0.25">
      <c r="A7040" s="24" t="s">
        <v>137</v>
      </c>
      <c r="B7040" s="24" t="s">
        <v>94</v>
      </c>
      <c r="C7040" s="32">
        <v>47.36</v>
      </c>
      <c r="D7040" s="28">
        <v>3.4027777777777775E-2</v>
      </c>
    </row>
    <row r="7041" spans="1:4" x14ac:dyDescent="0.25">
      <c r="A7041" s="24" t="s">
        <v>137</v>
      </c>
      <c r="B7041" s="24" t="s">
        <v>95</v>
      </c>
      <c r="C7041" s="32">
        <v>22.998000000000001</v>
      </c>
      <c r="D7041" s="28">
        <v>2.4305555555555556E-2</v>
      </c>
    </row>
    <row r="7042" spans="1:4" x14ac:dyDescent="0.25">
      <c r="A7042" s="24" t="s">
        <v>137</v>
      </c>
      <c r="B7042" s="24" t="s">
        <v>96</v>
      </c>
      <c r="C7042" s="32">
        <v>22.949000000000002</v>
      </c>
      <c r="D7042" s="28">
        <v>2.1527777777777781E-2</v>
      </c>
    </row>
    <row r="7043" spans="1:4" x14ac:dyDescent="0.25">
      <c r="A7043" s="24" t="s">
        <v>137</v>
      </c>
      <c r="B7043" s="24" t="s">
        <v>97</v>
      </c>
      <c r="C7043" s="32">
        <v>31.268000000000001</v>
      </c>
      <c r="D7043" s="28">
        <v>2.7777777777777776E-2</v>
      </c>
    </row>
    <row r="7044" spans="1:4" x14ac:dyDescent="0.25">
      <c r="A7044" s="24" t="s">
        <v>137</v>
      </c>
      <c r="B7044" s="24" t="s">
        <v>98</v>
      </c>
      <c r="C7044" s="32">
        <v>30.49</v>
      </c>
      <c r="D7044" s="28">
        <v>2.7777777777777776E-2</v>
      </c>
    </row>
    <row r="7045" spans="1:4" x14ac:dyDescent="0.25">
      <c r="A7045" s="24" t="s">
        <v>137</v>
      </c>
      <c r="B7045" s="24" t="s">
        <v>99</v>
      </c>
      <c r="C7045" s="32">
        <v>32.720999999999997</v>
      </c>
      <c r="D7045" s="28">
        <v>2.9166666666666664E-2</v>
      </c>
    </row>
    <row r="7046" spans="1:4" x14ac:dyDescent="0.25">
      <c r="A7046" s="24" t="s">
        <v>137</v>
      </c>
      <c r="B7046" s="24" t="s">
        <v>100</v>
      </c>
      <c r="C7046" s="32">
        <v>29.298999999999999</v>
      </c>
      <c r="D7046" s="28">
        <v>2.4305555555555556E-2</v>
      </c>
    </row>
    <row r="7047" spans="1:4" x14ac:dyDescent="0.25">
      <c r="A7047" s="24" t="s">
        <v>137</v>
      </c>
      <c r="B7047" s="24" t="s">
        <v>101</v>
      </c>
      <c r="C7047" s="32">
        <v>29.838000000000001</v>
      </c>
      <c r="D7047" s="28">
        <v>2.7083333333333334E-2</v>
      </c>
    </row>
    <row r="7048" spans="1:4" x14ac:dyDescent="0.25">
      <c r="A7048" s="24" t="s">
        <v>137</v>
      </c>
      <c r="B7048" s="24" t="s">
        <v>102</v>
      </c>
      <c r="C7048" s="32">
        <v>29.265000000000001</v>
      </c>
      <c r="D7048" s="28">
        <v>2.6388888888888889E-2</v>
      </c>
    </row>
    <row r="7049" spans="1:4" x14ac:dyDescent="0.25">
      <c r="A7049" s="24" t="s">
        <v>137</v>
      </c>
      <c r="B7049" s="24" t="s">
        <v>103</v>
      </c>
      <c r="C7049" s="32">
        <v>15.31</v>
      </c>
      <c r="D7049" s="28">
        <v>1.5972222222222224E-2</v>
      </c>
    </row>
    <row r="7050" spans="1:4" x14ac:dyDescent="0.25">
      <c r="A7050" s="24" t="s">
        <v>137</v>
      </c>
      <c r="B7050" s="24" t="s">
        <v>104</v>
      </c>
      <c r="C7050" s="32">
        <v>21.821999999999999</v>
      </c>
      <c r="D7050" s="28">
        <v>1.9444444444444445E-2</v>
      </c>
    </row>
    <row r="7051" spans="1:4" x14ac:dyDescent="0.25">
      <c r="A7051" s="24" t="s">
        <v>137</v>
      </c>
      <c r="B7051" s="24" t="s">
        <v>105</v>
      </c>
      <c r="C7051" s="32">
        <v>14.14</v>
      </c>
      <c r="D7051" s="28">
        <v>1.9444444444444445E-2</v>
      </c>
    </row>
    <row r="7052" spans="1:4" x14ac:dyDescent="0.25">
      <c r="A7052" s="24" t="s">
        <v>137</v>
      </c>
      <c r="B7052" s="24" t="s">
        <v>106</v>
      </c>
      <c r="C7052" s="32">
        <v>14.488</v>
      </c>
      <c r="D7052" s="28">
        <v>1.4583333333333332E-2</v>
      </c>
    </row>
    <row r="7053" spans="1:4" x14ac:dyDescent="0.25">
      <c r="A7053" s="24" t="s">
        <v>137</v>
      </c>
      <c r="B7053" s="24" t="s">
        <v>107</v>
      </c>
      <c r="C7053" s="32">
        <v>9.7609999999999992</v>
      </c>
      <c r="D7053" s="28">
        <v>1.1111111111111112E-2</v>
      </c>
    </row>
    <row r="7054" spans="1:4" x14ac:dyDescent="0.25">
      <c r="A7054" s="24" t="s">
        <v>137</v>
      </c>
      <c r="B7054" s="24" t="s">
        <v>108</v>
      </c>
      <c r="C7054" s="32">
        <v>8.1470000000000002</v>
      </c>
      <c r="D7054" s="28">
        <v>8.3333333333333332E-3</v>
      </c>
    </row>
    <row r="7055" spans="1:4" x14ac:dyDescent="0.25">
      <c r="A7055" s="24" t="s">
        <v>137</v>
      </c>
      <c r="B7055" s="24" t="s">
        <v>109</v>
      </c>
      <c r="C7055" s="32">
        <v>8.1769999999999996</v>
      </c>
      <c r="D7055" s="28">
        <v>8.3333333333333332E-3</v>
      </c>
    </row>
    <row r="7056" spans="1:4" x14ac:dyDescent="0.25">
      <c r="A7056" s="24" t="s">
        <v>137</v>
      </c>
      <c r="B7056" s="24" t="s">
        <v>110</v>
      </c>
      <c r="C7056" s="32">
        <v>14.015000000000001</v>
      </c>
      <c r="D7056" s="28">
        <v>1.5277777777777777E-2</v>
      </c>
    </row>
    <row r="7057" spans="1:4" x14ac:dyDescent="0.25">
      <c r="A7057" s="24" t="s">
        <v>137</v>
      </c>
      <c r="B7057" s="24" t="s">
        <v>111</v>
      </c>
      <c r="C7057" s="32">
        <v>16.012</v>
      </c>
      <c r="D7057" s="28">
        <v>1.5277777777777777E-2</v>
      </c>
    </row>
    <row r="7058" spans="1:4" x14ac:dyDescent="0.25">
      <c r="A7058" s="24" t="s">
        <v>137</v>
      </c>
      <c r="B7058" s="24" t="s">
        <v>112</v>
      </c>
      <c r="C7058" s="32">
        <v>10.741</v>
      </c>
      <c r="D7058" s="28">
        <v>1.3194444444444444E-2</v>
      </c>
    </row>
    <row r="7059" spans="1:4" x14ac:dyDescent="0.25">
      <c r="A7059" s="24" t="s">
        <v>137</v>
      </c>
      <c r="B7059" s="24" t="s">
        <v>113</v>
      </c>
      <c r="C7059" s="32">
        <v>13.624000000000001</v>
      </c>
      <c r="D7059" s="28">
        <v>1.3194444444444444E-2</v>
      </c>
    </row>
    <row r="7060" spans="1:4" x14ac:dyDescent="0.25">
      <c r="A7060" s="24" t="s">
        <v>137</v>
      </c>
      <c r="B7060" s="24" t="s">
        <v>114</v>
      </c>
      <c r="C7060" s="32">
        <v>27.431000000000001</v>
      </c>
      <c r="D7060" s="28">
        <v>2.2222222222222223E-2</v>
      </c>
    </row>
    <row r="7061" spans="1:4" x14ac:dyDescent="0.25">
      <c r="A7061" s="24" t="s">
        <v>137</v>
      </c>
      <c r="B7061" s="24" t="s">
        <v>115</v>
      </c>
      <c r="C7061" s="32">
        <v>27.282</v>
      </c>
      <c r="D7061" s="28">
        <v>2.2222222222222223E-2</v>
      </c>
    </row>
    <row r="7062" spans="1:4" x14ac:dyDescent="0.25">
      <c r="A7062" s="24" t="s">
        <v>137</v>
      </c>
      <c r="B7062" s="24" t="s">
        <v>116</v>
      </c>
      <c r="C7062" s="32">
        <v>22.024000000000001</v>
      </c>
      <c r="D7062" s="28">
        <v>2.013888888888889E-2</v>
      </c>
    </row>
    <row r="7063" spans="1:4" x14ac:dyDescent="0.25">
      <c r="A7063" s="24" t="s">
        <v>137</v>
      </c>
      <c r="B7063" s="24" t="s">
        <v>117</v>
      </c>
      <c r="C7063" s="32">
        <v>22.501999999999999</v>
      </c>
      <c r="D7063" s="28">
        <v>2.5694444444444447E-2</v>
      </c>
    </row>
    <row r="7064" spans="1:4" x14ac:dyDescent="0.25">
      <c r="A7064" s="24" t="s">
        <v>137</v>
      </c>
      <c r="B7064" s="24" t="s">
        <v>118</v>
      </c>
      <c r="C7064" s="32">
        <v>23.327999999999999</v>
      </c>
      <c r="D7064" s="28">
        <v>1.8055555555555557E-2</v>
      </c>
    </row>
    <row r="7065" spans="1:4" x14ac:dyDescent="0.25">
      <c r="A7065" s="24" t="s">
        <v>137</v>
      </c>
      <c r="B7065" s="24" t="s">
        <v>119</v>
      </c>
      <c r="C7065" s="32">
        <v>28.568999999999999</v>
      </c>
      <c r="D7065" s="28">
        <v>1.8749999999999999E-2</v>
      </c>
    </row>
    <row r="7066" spans="1:4" x14ac:dyDescent="0.25">
      <c r="A7066" s="24" t="s">
        <v>137</v>
      </c>
      <c r="B7066" s="24" t="s">
        <v>120</v>
      </c>
      <c r="C7066" s="32">
        <v>31.359000000000002</v>
      </c>
      <c r="D7066" s="28">
        <v>2.2222222222222223E-2</v>
      </c>
    </row>
    <row r="7067" spans="1:4" x14ac:dyDescent="0.25">
      <c r="A7067" s="24" t="s">
        <v>137</v>
      </c>
      <c r="B7067" s="24" t="s">
        <v>121</v>
      </c>
      <c r="C7067" s="32">
        <v>45.71</v>
      </c>
      <c r="D7067" s="28">
        <v>2.9166666666666664E-2</v>
      </c>
    </row>
    <row r="7068" spans="1:4" x14ac:dyDescent="0.25">
      <c r="A7068" s="24" t="s">
        <v>137</v>
      </c>
      <c r="B7068" s="24" t="s">
        <v>122</v>
      </c>
      <c r="C7068" s="32">
        <v>43.581000000000003</v>
      </c>
      <c r="D7068" s="28">
        <v>2.9861111111111113E-2</v>
      </c>
    </row>
    <row r="7069" spans="1:4" x14ac:dyDescent="0.25">
      <c r="A7069" s="24" t="s">
        <v>137</v>
      </c>
      <c r="B7069" s="24" t="s">
        <v>123</v>
      </c>
      <c r="C7069" s="32">
        <v>39.295000000000002</v>
      </c>
      <c r="D7069" s="28">
        <v>2.5694444444444447E-2</v>
      </c>
    </row>
    <row r="7070" spans="1:4" x14ac:dyDescent="0.25">
      <c r="A7070" s="24" t="s">
        <v>137</v>
      </c>
      <c r="B7070" s="24" t="s">
        <v>124</v>
      </c>
      <c r="C7070" s="32">
        <v>39.295000000000002</v>
      </c>
      <c r="D7070" s="28">
        <v>2.5694444444444447E-2</v>
      </c>
    </row>
    <row r="7071" spans="1:4" x14ac:dyDescent="0.25">
      <c r="A7071" s="24" t="s">
        <v>137</v>
      </c>
      <c r="B7071" s="24" t="s">
        <v>125</v>
      </c>
      <c r="C7071" s="32">
        <v>13.195</v>
      </c>
      <c r="D7071" s="28">
        <v>1.4583333333333332E-2</v>
      </c>
    </row>
    <row r="7072" spans="1:4" x14ac:dyDescent="0.25">
      <c r="A7072" s="24" t="s">
        <v>137</v>
      </c>
      <c r="B7072" s="24" t="s">
        <v>126</v>
      </c>
      <c r="C7072" s="32">
        <v>12.933</v>
      </c>
      <c r="D7072" s="28">
        <v>1.3888888888888888E-2</v>
      </c>
    </row>
    <row r="7073" spans="1:4" x14ac:dyDescent="0.25">
      <c r="A7073" s="24" t="s">
        <v>137</v>
      </c>
      <c r="B7073" s="24" t="s">
        <v>127</v>
      </c>
      <c r="C7073" s="32">
        <v>13.678000000000001</v>
      </c>
      <c r="D7073" s="28">
        <v>1.5277777777777777E-2</v>
      </c>
    </row>
    <row r="7074" spans="1:4" x14ac:dyDescent="0.25">
      <c r="A7074" s="24" t="s">
        <v>137</v>
      </c>
      <c r="B7074" s="24" t="s">
        <v>128</v>
      </c>
      <c r="C7074" s="32">
        <v>12.554</v>
      </c>
      <c r="D7074" s="28">
        <v>1.3888888888888888E-2</v>
      </c>
    </row>
    <row r="7075" spans="1:4" x14ac:dyDescent="0.25">
      <c r="A7075" s="24" t="s">
        <v>137</v>
      </c>
      <c r="B7075" s="24" t="s">
        <v>129</v>
      </c>
      <c r="C7075" s="32">
        <v>12.554</v>
      </c>
      <c r="D7075" s="28">
        <v>1.3888888888888888E-2</v>
      </c>
    </row>
    <row r="7076" spans="1:4" x14ac:dyDescent="0.25">
      <c r="A7076" s="24" t="s">
        <v>137</v>
      </c>
      <c r="B7076" s="24" t="s">
        <v>130</v>
      </c>
      <c r="C7076" s="32">
        <v>13.596</v>
      </c>
      <c r="D7076" s="28">
        <v>1.5277777777777777E-2</v>
      </c>
    </row>
    <row r="7077" spans="1:4" x14ac:dyDescent="0.25">
      <c r="A7077" s="24" t="s">
        <v>137</v>
      </c>
      <c r="B7077" s="24" t="s">
        <v>131</v>
      </c>
      <c r="C7077" s="32">
        <v>16.067</v>
      </c>
      <c r="D7077" s="28">
        <v>1.8055555555555557E-2</v>
      </c>
    </row>
    <row r="7078" spans="1:4" x14ac:dyDescent="0.25">
      <c r="A7078" s="24" t="s">
        <v>137</v>
      </c>
      <c r="B7078" s="24" t="s">
        <v>132</v>
      </c>
      <c r="C7078" s="32">
        <v>15.846</v>
      </c>
      <c r="D7078" s="28">
        <v>1.7361111111111112E-2</v>
      </c>
    </row>
    <row r="7079" spans="1:4" x14ac:dyDescent="0.25">
      <c r="A7079" s="24" t="s">
        <v>137</v>
      </c>
      <c r="B7079" s="24" t="s">
        <v>133</v>
      </c>
      <c r="C7079" s="32">
        <v>3.544</v>
      </c>
      <c r="D7079" s="28">
        <v>4.1666666666666666E-3</v>
      </c>
    </row>
    <row r="7080" spans="1:4" x14ac:dyDescent="0.25">
      <c r="A7080" s="24" t="s">
        <v>137</v>
      </c>
      <c r="B7080" s="24" t="s">
        <v>134</v>
      </c>
      <c r="C7080" s="32">
        <v>3.0779999999999998</v>
      </c>
      <c r="D7080" s="28">
        <v>3.472222222222222E-3</v>
      </c>
    </row>
    <row r="7081" spans="1:4" x14ac:dyDescent="0.25">
      <c r="A7081" s="24" t="s">
        <v>137</v>
      </c>
      <c r="B7081" s="24" t="s">
        <v>135</v>
      </c>
      <c r="C7081" s="32">
        <v>1.5629999999999999</v>
      </c>
      <c r="D7081" s="28">
        <v>3.472222222222222E-3</v>
      </c>
    </row>
    <row r="7082" spans="1:4" x14ac:dyDescent="0.25">
      <c r="A7082" s="24" t="s">
        <v>137</v>
      </c>
      <c r="B7082" s="24" t="s">
        <v>136</v>
      </c>
      <c r="C7082" s="32">
        <v>1.5629999999999999</v>
      </c>
      <c r="D7082" s="28">
        <v>3.472222222222222E-3</v>
      </c>
    </row>
    <row r="7083" spans="1:4" x14ac:dyDescent="0.25">
      <c r="A7083" s="24" t="s">
        <v>137</v>
      </c>
      <c r="B7083" s="24" t="s">
        <v>137</v>
      </c>
      <c r="C7083" s="32">
        <v>0</v>
      </c>
      <c r="D7083" s="28">
        <v>0</v>
      </c>
    </row>
    <row r="7084" spans="1:4" x14ac:dyDescent="0.25">
      <c r="A7084" s="24" t="s">
        <v>137</v>
      </c>
      <c r="B7084" s="24" t="s">
        <v>138</v>
      </c>
      <c r="C7084" s="32">
        <v>9.6300000000000008</v>
      </c>
      <c r="D7084" s="28">
        <v>8.3333333333333332E-3</v>
      </c>
    </row>
    <row r="7085" spans="1:4" x14ac:dyDescent="0.25">
      <c r="A7085" s="24" t="s">
        <v>137</v>
      </c>
      <c r="B7085" s="24" t="s">
        <v>139</v>
      </c>
      <c r="C7085" s="32">
        <v>13.355</v>
      </c>
      <c r="D7085" s="28">
        <v>1.3194444444444444E-2</v>
      </c>
    </row>
    <row r="7086" spans="1:4" x14ac:dyDescent="0.25">
      <c r="A7086" s="24" t="s">
        <v>137</v>
      </c>
      <c r="B7086" s="24" t="s">
        <v>140</v>
      </c>
      <c r="C7086" s="32">
        <v>12.896000000000001</v>
      </c>
      <c r="D7086" s="28">
        <v>1.1805555555555555E-2</v>
      </c>
    </row>
    <row r="7087" spans="1:4" x14ac:dyDescent="0.25">
      <c r="A7087" s="24" t="s">
        <v>137</v>
      </c>
      <c r="B7087" s="24" t="s">
        <v>141</v>
      </c>
      <c r="C7087" s="32">
        <v>38.066000000000003</v>
      </c>
      <c r="D7087" s="28">
        <v>3.2638888888888891E-2</v>
      </c>
    </row>
    <row r="7088" spans="1:4" x14ac:dyDescent="0.25">
      <c r="A7088" s="24" t="s">
        <v>137</v>
      </c>
      <c r="B7088" s="24" t="s">
        <v>142</v>
      </c>
      <c r="C7088" s="32">
        <v>35.362000000000002</v>
      </c>
      <c r="D7088" s="28">
        <v>2.4999999999999998E-2</v>
      </c>
    </row>
    <row r="7089" spans="1:4" x14ac:dyDescent="0.25">
      <c r="A7089" s="24" t="s">
        <v>137</v>
      </c>
      <c r="B7089" s="24" t="s">
        <v>143</v>
      </c>
      <c r="C7089" s="32">
        <v>53.74</v>
      </c>
      <c r="D7089" s="28">
        <v>3.1944444444444449E-2</v>
      </c>
    </row>
    <row r="7090" spans="1:4" x14ac:dyDescent="0.25">
      <c r="A7090" s="24" t="s">
        <v>137</v>
      </c>
      <c r="B7090" s="24" t="s">
        <v>144</v>
      </c>
      <c r="C7090" s="32">
        <v>72.855999999999995</v>
      </c>
      <c r="D7090" s="28">
        <v>4.3055555555555562E-2</v>
      </c>
    </row>
    <row r="7091" spans="1:4" x14ac:dyDescent="0.25">
      <c r="A7091" s="24" t="s">
        <v>137</v>
      </c>
      <c r="B7091" s="24" t="s">
        <v>145</v>
      </c>
      <c r="C7091" s="32">
        <v>24.437000000000001</v>
      </c>
      <c r="D7091" s="28">
        <v>1.7361111111111112E-2</v>
      </c>
    </row>
    <row r="7092" spans="1:4" x14ac:dyDescent="0.25">
      <c r="A7092" s="24" t="s">
        <v>137</v>
      </c>
      <c r="B7092" s="24" t="s">
        <v>146</v>
      </c>
      <c r="C7092" s="32">
        <v>39.896000000000001</v>
      </c>
      <c r="D7092" s="28">
        <v>2.4999999999999998E-2</v>
      </c>
    </row>
    <row r="7093" spans="1:4" x14ac:dyDescent="0.25">
      <c r="A7093" s="24" t="s">
        <v>137</v>
      </c>
      <c r="B7093" s="24" t="s">
        <v>147</v>
      </c>
      <c r="C7093" s="32">
        <v>16.513999999999999</v>
      </c>
      <c r="D7093" s="28">
        <v>1.5277777777777777E-2</v>
      </c>
    </row>
    <row r="7094" spans="1:4" x14ac:dyDescent="0.25">
      <c r="A7094" s="24" t="s">
        <v>137</v>
      </c>
      <c r="B7094" s="24" t="s">
        <v>148</v>
      </c>
      <c r="C7094" s="32">
        <v>14.590999999999999</v>
      </c>
      <c r="D7094" s="28">
        <v>1.5277777777777777E-2</v>
      </c>
    </row>
    <row r="7095" spans="1:4" x14ac:dyDescent="0.25">
      <c r="A7095" s="24" t="s">
        <v>137</v>
      </c>
      <c r="B7095" s="24" t="s">
        <v>149</v>
      </c>
      <c r="C7095" s="32">
        <v>16.373000000000001</v>
      </c>
      <c r="D7095" s="28">
        <v>1.7361111111111112E-2</v>
      </c>
    </row>
    <row r="7096" spans="1:4" x14ac:dyDescent="0.25">
      <c r="A7096" s="24" t="s">
        <v>137</v>
      </c>
      <c r="B7096" s="24" t="s">
        <v>150</v>
      </c>
      <c r="C7096" s="32">
        <v>24.094999999999999</v>
      </c>
      <c r="D7096" s="28">
        <v>2.4999999999999998E-2</v>
      </c>
    </row>
    <row r="7097" spans="1:4" x14ac:dyDescent="0.25">
      <c r="A7097" s="24" t="s">
        <v>137</v>
      </c>
      <c r="B7097" s="24" t="s">
        <v>151</v>
      </c>
      <c r="C7097" s="32">
        <v>23.353000000000002</v>
      </c>
      <c r="D7097" s="28">
        <v>2.4999999999999998E-2</v>
      </c>
    </row>
    <row r="7098" spans="1:4" x14ac:dyDescent="0.25">
      <c r="A7098" s="24" t="s">
        <v>137</v>
      </c>
      <c r="B7098" s="24" t="s">
        <v>152</v>
      </c>
      <c r="C7098" s="32">
        <v>27.998000000000001</v>
      </c>
      <c r="D7098" s="28">
        <v>2.9166666666666664E-2</v>
      </c>
    </row>
    <row r="7099" spans="1:4" x14ac:dyDescent="0.25">
      <c r="A7099" s="24" t="s">
        <v>137</v>
      </c>
      <c r="B7099" s="24" t="s">
        <v>153</v>
      </c>
      <c r="C7099" s="32">
        <v>32.951999999999998</v>
      </c>
      <c r="D7099" s="28">
        <v>3.4027777777777775E-2</v>
      </c>
    </row>
    <row r="7100" spans="1:4" x14ac:dyDescent="0.25">
      <c r="A7100" s="24" t="s">
        <v>137</v>
      </c>
      <c r="B7100" s="24" t="s">
        <v>154</v>
      </c>
      <c r="C7100" s="32">
        <v>27.77</v>
      </c>
      <c r="D7100" s="28">
        <v>2.7777777777777776E-2</v>
      </c>
    </row>
    <row r="7101" spans="1:4" x14ac:dyDescent="0.25">
      <c r="A7101" s="24" t="s">
        <v>137</v>
      </c>
      <c r="B7101" s="24" t="s">
        <v>155</v>
      </c>
      <c r="C7101" s="32">
        <v>23.414000000000001</v>
      </c>
      <c r="D7101" s="28">
        <v>2.4999999999999998E-2</v>
      </c>
    </row>
    <row r="7102" spans="1:4" x14ac:dyDescent="0.25">
      <c r="A7102" s="24" t="s">
        <v>137</v>
      </c>
      <c r="B7102" s="24" t="s">
        <v>156</v>
      </c>
      <c r="C7102" s="32">
        <v>23.398</v>
      </c>
      <c r="D7102" s="28">
        <v>2.4999999999999998E-2</v>
      </c>
    </row>
    <row r="7103" spans="1:4" x14ac:dyDescent="0.25">
      <c r="A7103" s="24" t="s">
        <v>137</v>
      </c>
      <c r="B7103" s="24" t="s">
        <v>157</v>
      </c>
      <c r="C7103" s="32">
        <v>34.667000000000002</v>
      </c>
      <c r="D7103" s="28">
        <v>3.125E-2</v>
      </c>
    </row>
    <row r="7104" spans="1:4" x14ac:dyDescent="0.25">
      <c r="A7104" s="24" t="s">
        <v>137</v>
      </c>
      <c r="B7104" s="24" t="s">
        <v>158</v>
      </c>
      <c r="C7104" s="32">
        <v>45.576999999999998</v>
      </c>
      <c r="D7104" s="28">
        <v>4.027777777777778E-2</v>
      </c>
    </row>
    <row r="7105" spans="1:4" x14ac:dyDescent="0.25">
      <c r="A7105" s="24" t="s">
        <v>137</v>
      </c>
      <c r="B7105" s="24" t="s">
        <v>159</v>
      </c>
      <c r="C7105" s="32">
        <v>50.947000000000003</v>
      </c>
      <c r="D7105" s="28">
        <v>4.5833333333333337E-2</v>
      </c>
    </row>
    <row r="7106" spans="1:4" x14ac:dyDescent="0.25">
      <c r="A7106" s="24" t="s">
        <v>138</v>
      </c>
      <c r="B7106" s="24" t="s">
        <v>65</v>
      </c>
      <c r="C7106" s="32">
        <v>27.922000000000001</v>
      </c>
      <c r="D7106" s="28">
        <v>1.9444444444444445E-2</v>
      </c>
    </row>
    <row r="7107" spans="1:4" x14ac:dyDescent="0.25">
      <c r="A7107" s="24" t="s">
        <v>138</v>
      </c>
      <c r="B7107" s="24" t="s">
        <v>64</v>
      </c>
      <c r="C7107" s="32">
        <v>22.495999999999999</v>
      </c>
      <c r="D7107" s="28">
        <v>1.8055555555555557E-2</v>
      </c>
    </row>
    <row r="7108" spans="1:4" x14ac:dyDescent="0.25">
      <c r="A7108" s="24" t="s">
        <v>138</v>
      </c>
      <c r="B7108" s="24" t="s">
        <v>66</v>
      </c>
      <c r="C7108" s="32">
        <v>26.776</v>
      </c>
      <c r="D7108" s="28">
        <v>2.1527777777777781E-2</v>
      </c>
    </row>
    <row r="7109" spans="1:4" x14ac:dyDescent="0.25">
      <c r="A7109" s="24" t="s">
        <v>138</v>
      </c>
      <c r="B7109" s="24" t="s">
        <v>67</v>
      </c>
      <c r="C7109" s="32">
        <v>24.239000000000001</v>
      </c>
      <c r="D7109" s="28">
        <v>1.7361111111111112E-2</v>
      </c>
    </row>
    <row r="7110" spans="1:4" x14ac:dyDescent="0.25">
      <c r="A7110" s="24" t="s">
        <v>138</v>
      </c>
      <c r="B7110" s="24" t="s">
        <v>68</v>
      </c>
      <c r="C7110" s="32">
        <v>24.103000000000002</v>
      </c>
      <c r="D7110" s="28">
        <v>1.8055555555555557E-2</v>
      </c>
    </row>
    <row r="7111" spans="1:4" x14ac:dyDescent="0.25">
      <c r="A7111" s="24" t="s">
        <v>138</v>
      </c>
      <c r="B7111" s="24" t="s">
        <v>69</v>
      </c>
      <c r="C7111" s="32">
        <v>24.902999999999999</v>
      </c>
      <c r="D7111" s="28">
        <v>1.8749999999999999E-2</v>
      </c>
    </row>
    <row r="7112" spans="1:4" x14ac:dyDescent="0.25">
      <c r="A7112" s="24" t="s">
        <v>138</v>
      </c>
      <c r="B7112" s="24" t="s">
        <v>70</v>
      </c>
      <c r="C7112" s="32">
        <v>24.567</v>
      </c>
      <c r="D7112" s="28">
        <v>1.8055555555555557E-2</v>
      </c>
    </row>
    <row r="7113" spans="1:4" x14ac:dyDescent="0.25">
      <c r="A7113" s="24" t="s">
        <v>138</v>
      </c>
      <c r="B7113" s="24" t="s">
        <v>71</v>
      </c>
      <c r="C7113" s="32">
        <v>24.533999999999999</v>
      </c>
      <c r="D7113" s="28">
        <v>1.8749999999999999E-2</v>
      </c>
    </row>
    <row r="7114" spans="1:4" x14ac:dyDescent="0.25">
      <c r="A7114" s="24" t="s">
        <v>138</v>
      </c>
      <c r="B7114" s="24" t="s">
        <v>72</v>
      </c>
      <c r="C7114" s="32">
        <v>23.702999999999999</v>
      </c>
      <c r="D7114" s="28">
        <v>1.7361111111111112E-2</v>
      </c>
    </row>
    <row r="7115" spans="1:4" x14ac:dyDescent="0.25">
      <c r="A7115" s="24" t="s">
        <v>138</v>
      </c>
      <c r="B7115" s="24" t="s">
        <v>73</v>
      </c>
      <c r="C7115" s="32">
        <v>21.978000000000002</v>
      </c>
      <c r="D7115" s="28">
        <v>1.8055555555555557E-2</v>
      </c>
    </row>
    <row r="7116" spans="1:4" x14ac:dyDescent="0.25">
      <c r="A7116" s="24" t="s">
        <v>138</v>
      </c>
      <c r="B7116" s="24" t="s">
        <v>74</v>
      </c>
      <c r="C7116" s="32">
        <v>21.234999999999999</v>
      </c>
      <c r="D7116" s="28">
        <v>1.7361111111111112E-2</v>
      </c>
    </row>
    <row r="7117" spans="1:4" x14ac:dyDescent="0.25">
      <c r="A7117" s="24" t="s">
        <v>138</v>
      </c>
      <c r="B7117" s="24" t="s">
        <v>75</v>
      </c>
      <c r="C7117" s="32">
        <v>20.271000000000001</v>
      </c>
      <c r="D7117" s="28">
        <v>1.5972222222222224E-2</v>
      </c>
    </row>
    <row r="7118" spans="1:4" x14ac:dyDescent="0.25">
      <c r="A7118" s="24" t="s">
        <v>138</v>
      </c>
      <c r="B7118" s="24" t="s">
        <v>76</v>
      </c>
      <c r="C7118" s="32">
        <v>15.601000000000001</v>
      </c>
      <c r="D7118" s="28">
        <v>1.5972222222222224E-2</v>
      </c>
    </row>
    <row r="7119" spans="1:4" x14ac:dyDescent="0.25">
      <c r="A7119" s="24" t="s">
        <v>138</v>
      </c>
      <c r="B7119" s="24" t="s">
        <v>77</v>
      </c>
      <c r="C7119" s="32">
        <v>24.202999999999999</v>
      </c>
      <c r="D7119" s="28">
        <v>1.8055555555555557E-2</v>
      </c>
    </row>
    <row r="7120" spans="1:4" x14ac:dyDescent="0.25">
      <c r="A7120" s="24" t="s">
        <v>138</v>
      </c>
      <c r="B7120" s="24" t="s">
        <v>78</v>
      </c>
      <c r="C7120" s="32">
        <v>25.076000000000001</v>
      </c>
      <c r="D7120" s="28">
        <v>2.013888888888889E-2</v>
      </c>
    </row>
    <row r="7121" spans="1:4" x14ac:dyDescent="0.25">
      <c r="A7121" s="24" t="s">
        <v>138</v>
      </c>
      <c r="B7121" s="24" t="s">
        <v>79</v>
      </c>
      <c r="C7121" s="32">
        <v>42.664000000000001</v>
      </c>
      <c r="D7121" s="28">
        <v>2.9166666666666664E-2</v>
      </c>
    </row>
    <row r="7122" spans="1:4" x14ac:dyDescent="0.25">
      <c r="A7122" s="24" t="s">
        <v>138</v>
      </c>
      <c r="B7122" s="24" t="s">
        <v>80</v>
      </c>
      <c r="C7122" s="32">
        <v>31.236000000000001</v>
      </c>
      <c r="D7122" s="28">
        <v>2.2222222222222223E-2</v>
      </c>
    </row>
    <row r="7123" spans="1:4" x14ac:dyDescent="0.25">
      <c r="A7123" s="24" t="s">
        <v>138</v>
      </c>
      <c r="B7123" s="24" t="s">
        <v>81</v>
      </c>
      <c r="C7123" s="32">
        <v>33.496000000000002</v>
      </c>
      <c r="D7123" s="28">
        <v>2.1527777777777781E-2</v>
      </c>
    </row>
    <row r="7124" spans="1:4" x14ac:dyDescent="0.25">
      <c r="A7124" s="24" t="s">
        <v>138</v>
      </c>
      <c r="B7124" s="24" t="s">
        <v>82</v>
      </c>
      <c r="C7124" s="32">
        <v>33.548000000000002</v>
      </c>
      <c r="D7124" s="28">
        <v>2.1527777777777781E-2</v>
      </c>
    </row>
    <row r="7125" spans="1:4" x14ac:dyDescent="0.25">
      <c r="A7125" s="24" t="s">
        <v>138</v>
      </c>
      <c r="B7125" s="24" t="s">
        <v>83</v>
      </c>
      <c r="C7125" s="32">
        <v>20.689</v>
      </c>
      <c r="D7125" s="28">
        <v>1.6666666666666666E-2</v>
      </c>
    </row>
    <row r="7126" spans="1:4" x14ac:dyDescent="0.25">
      <c r="A7126" s="24" t="s">
        <v>138</v>
      </c>
      <c r="B7126" s="24" t="s">
        <v>84</v>
      </c>
      <c r="C7126" s="32">
        <v>18.161999999999999</v>
      </c>
      <c r="D7126" s="28">
        <v>1.2499999999999999E-2</v>
      </c>
    </row>
    <row r="7127" spans="1:4" x14ac:dyDescent="0.25">
      <c r="A7127" s="24" t="s">
        <v>138</v>
      </c>
      <c r="B7127" s="24" t="s">
        <v>85</v>
      </c>
      <c r="C7127" s="32">
        <v>17.795999999999999</v>
      </c>
      <c r="D7127" s="28">
        <v>1.2499999999999999E-2</v>
      </c>
    </row>
    <row r="7128" spans="1:4" x14ac:dyDescent="0.25">
      <c r="A7128" s="24" t="s">
        <v>138</v>
      </c>
      <c r="B7128" s="24" t="s">
        <v>86</v>
      </c>
      <c r="C7128" s="32">
        <v>17.736000000000001</v>
      </c>
      <c r="D7128" s="28">
        <v>1.3888888888888888E-2</v>
      </c>
    </row>
    <row r="7129" spans="1:4" x14ac:dyDescent="0.25">
      <c r="A7129" s="24" t="s">
        <v>138</v>
      </c>
      <c r="B7129" s="24" t="s">
        <v>87</v>
      </c>
      <c r="C7129" s="32">
        <v>17.513999999999999</v>
      </c>
      <c r="D7129" s="28">
        <v>1.3888888888888888E-2</v>
      </c>
    </row>
    <row r="7130" spans="1:4" x14ac:dyDescent="0.25">
      <c r="A7130" s="24" t="s">
        <v>138</v>
      </c>
      <c r="B7130" s="24" t="s">
        <v>88</v>
      </c>
      <c r="C7130" s="32">
        <v>18.593</v>
      </c>
      <c r="D7130" s="28">
        <v>1.4583333333333332E-2</v>
      </c>
    </row>
    <row r="7131" spans="1:4" x14ac:dyDescent="0.25">
      <c r="A7131" s="24" t="s">
        <v>138</v>
      </c>
      <c r="B7131" s="24" t="s">
        <v>89</v>
      </c>
      <c r="C7131" s="32">
        <v>22.574999999999999</v>
      </c>
      <c r="D7131" s="28">
        <v>1.8055555555555557E-2</v>
      </c>
    </row>
    <row r="7132" spans="1:4" x14ac:dyDescent="0.25">
      <c r="A7132" s="24" t="s">
        <v>138</v>
      </c>
      <c r="B7132" s="24" t="s">
        <v>90</v>
      </c>
      <c r="C7132" s="32">
        <v>30.859000000000002</v>
      </c>
      <c r="D7132" s="28">
        <v>2.1527777777777781E-2</v>
      </c>
    </row>
    <row r="7133" spans="1:4" x14ac:dyDescent="0.25">
      <c r="A7133" s="24" t="s">
        <v>138</v>
      </c>
      <c r="B7133" s="24" t="s">
        <v>91</v>
      </c>
      <c r="C7133" s="32">
        <v>20.140999999999998</v>
      </c>
      <c r="D7133" s="28">
        <v>1.6666666666666666E-2</v>
      </c>
    </row>
    <row r="7134" spans="1:4" x14ac:dyDescent="0.25">
      <c r="A7134" s="24" t="s">
        <v>138</v>
      </c>
      <c r="B7134" s="24" t="s">
        <v>92</v>
      </c>
      <c r="C7134" s="32">
        <v>29.308</v>
      </c>
      <c r="D7134" s="28">
        <v>2.0833333333333332E-2</v>
      </c>
    </row>
    <row r="7135" spans="1:4" x14ac:dyDescent="0.25">
      <c r="A7135" s="24" t="s">
        <v>138</v>
      </c>
      <c r="B7135" s="24" t="s">
        <v>93</v>
      </c>
      <c r="C7135" s="32">
        <v>53.039000000000001</v>
      </c>
      <c r="D7135" s="28">
        <v>3.4722222222222224E-2</v>
      </c>
    </row>
    <row r="7136" spans="1:4" x14ac:dyDescent="0.25">
      <c r="A7136" s="24" t="s">
        <v>138</v>
      </c>
      <c r="B7136" s="24" t="s">
        <v>94</v>
      </c>
      <c r="C7136" s="32">
        <v>53.667999999999999</v>
      </c>
      <c r="D7136" s="28">
        <v>3.4722222222222224E-2</v>
      </c>
    </row>
    <row r="7137" spans="1:4" x14ac:dyDescent="0.25">
      <c r="A7137" s="24" t="s">
        <v>138</v>
      </c>
      <c r="B7137" s="24" t="s">
        <v>95</v>
      </c>
      <c r="C7137" s="32">
        <v>30.765000000000001</v>
      </c>
      <c r="D7137" s="28">
        <v>2.2916666666666669E-2</v>
      </c>
    </row>
    <row r="7138" spans="1:4" x14ac:dyDescent="0.25">
      <c r="A7138" s="24" t="s">
        <v>138</v>
      </c>
      <c r="B7138" s="24" t="s">
        <v>96</v>
      </c>
      <c r="C7138" s="32">
        <v>36.384999999999998</v>
      </c>
      <c r="D7138" s="28">
        <v>2.9166666666666664E-2</v>
      </c>
    </row>
    <row r="7139" spans="1:4" x14ac:dyDescent="0.25">
      <c r="A7139" s="24" t="s">
        <v>138</v>
      </c>
      <c r="B7139" s="24" t="s">
        <v>97</v>
      </c>
      <c r="C7139" s="32">
        <v>46.497</v>
      </c>
      <c r="D7139" s="28">
        <v>3.4722222222222224E-2</v>
      </c>
    </row>
    <row r="7140" spans="1:4" x14ac:dyDescent="0.25">
      <c r="A7140" s="24" t="s">
        <v>138</v>
      </c>
      <c r="B7140" s="24" t="s">
        <v>98</v>
      </c>
      <c r="C7140" s="32">
        <v>38.436999999999998</v>
      </c>
      <c r="D7140" s="28">
        <v>2.8472222222222222E-2</v>
      </c>
    </row>
    <row r="7141" spans="1:4" x14ac:dyDescent="0.25">
      <c r="A7141" s="24" t="s">
        <v>138</v>
      </c>
      <c r="B7141" s="24" t="s">
        <v>99</v>
      </c>
      <c r="C7141" s="32">
        <v>42.856999999999999</v>
      </c>
      <c r="D7141" s="28">
        <v>3.125E-2</v>
      </c>
    </row>
    <row r="7142" spans="1:4" x14ac:dyDescent="0.25">
      <c r="A7142" s="24" t="s">
        <v>138</v>
      </c>
      <c r="B7142" s="24" t="s">
        <v>100</v>
      </c>
      <c r="C7142" s="32">
        <v>35.850999999999999</v>
      </c>
      <c r="D7142" s="28">
        <v>2.4999999999999998E-2</v>
      </c>
    </row>
    <row r="7143" spans="1:4" x14ac:dyDescent="0.25">
      <c r="A7143" s="24" t="s">
        <v>138</v>
      </c>
      <c r="B7143" s="24" t="s">
        <v>101</v>
      </c>
      <c r="C7143" s="32">
        <v>37.488</v>
      </c>
      <c r="D7143" s="28">
        <v>2.7777777777777776E-2</v>
      </c>
    </row>
    <row r="7144" spans="1:4" x14ac:dyDescent="0.25">
      <c r="A7144" s="24" t="s">
        <v>138</v>
      </c>
      <c r="B7144" s="24" t="s">
        <v>102</v>
      </c>
      <c r="C7144" s="32">
        <v>36.914999999999999</v>
      </c>
      <c r="D7144" s="28">
        <v>2.7083333333333334E-2</v>
      </c>
    </row>
    <row r="7145" spans="1:4" x14ac:dyDescent="0.25">
      <c r="A7145" s="24" t="s">
        <v>138</v>
      </c>
      <c r="B7145" s="24" t="s">
        <v>103</v>
      </c>
      <c r="C7145" s="32">
        <v>25.047000000000001</v>
      </c>
      <c r="D7145" s="28">
        <v>1.8749999999999999E-2</v>
      </c>
    </row>
    <row r="7146" spans="1:4" x14ac:dyDescent="0.25">
      <c r="A7146" s="24" t="s">
        <v>138</v>
      </c>
      <c r="B7146" s="24" t="s">
        <v>104</v>
      </c>
      <c r="C7146" s="32">
        <v>26.53</v>
      </c>
      <c r="D7146" s="28">
        <v>1.8749999999999999E-2</v>
      </c>
    </row>
    <row r="7147" spans="1:4" x14ac:dyDescent="0.25">
      <c r="A7147" s="24" t="s">
        <v>138</v>
      </c>
      <c r="B7147" s="24" t="s">
        <v>105</v>
      </c>
      <c r="C7147" s="32">
        <v>23.876999999999999</v>
      </c>
      <c r="D7147" s="28">
        <v>2.1527777777777781E-2</v>
      </c>
    </row>
    <row r="7148" spans="1:4" x14ac:dyDescent="0.25">
      <c r="A7148" s="24" t="s">
        <v>138</v>
      </c>
      <c r="B7148" s="24" t="s">
        <v>106</v>
      </c>
      <c r="C7148" s="32">
        <v>26.966000000000001</v>
      </c>
      <c r="D7148" s="28">
        <v>2.0833333333333332E-2</v>
      </c>
    </row>
    <row r="7149" spans="1:4" x14ac:dyDescent="0.25">
      <c r="A7149" s="24" t="s">
        <v>138</v>
      </c>
      <c r="B7149" s="24" t="s">
        <v>107</v>
      </c>
      <c r="C7149" s="32">
        <v>15.85</v>
      </c>
      <c r="D7149" s="28">
        <v>1.4583333333333332E-2</v>
      </c>
    </row>
    <row r="7150" spans="1:4" x14ac:dyDescent="0.25">
      <c r="A7150" s="24" t="s">
        <v>138</v>
      </c>
      <c r="B7150" s="24" t="s">
        <v>108</v>
      </c>
      <c r="C7150" s="32">
        <v>14.236000000000001</v>
      </c>
      <c r="D7150" s="28">
        <v>1.2499999999999999E-2</v>
      </c>
    </row>
    <row r="7151" spans="1:4" x14ac:dyDescent="0.25">
      <c r="A7151" s="24" t="s">
        <v>138</v>
      </c>
      <c r="B7151" s="24" t="s">
        <v>109</v>
      </c>
      <c r="C7151" s="32">
        <v>14.266</v>
      </c>
      <c r="D7151" s="28">
        <v>1.2499999999999999E-2</v>
      </c>
    </row>
    <row r="7152" spans="1:4" x14ac:dyDescent="0.25">
      <c r="A7152" s="24" t="s">
        <v>138</v>
      </c>
      <c r="B7152" s="24" t="s">
        <v>110</v>
      </c>
      <c r="C7152" s="32">
        <v>25.306999999999999</v>
      </c>
      <c r="D7152" s="28">
        <v>2.1527777777777781E-2</v>
      </c>
    </row>
    <row r="7153" spans="1:4" x14ac:dyDescent="0.25">
      <c r="A7153" s="24" t="s">
        <v>138</v>
      </c>
      <c r="B7153" s="24" t="s">
        <v>111</v>
      </c>
      <c r="C7153" s="32">
        <v>27.023</v>
      </c>
      <c r="D7153" s="28">
        <v>1.9444444444444445E-2</v>
      </c>
    </row>
    <row r="7154" spans="1:4" x14ac:dyDescent="0.25">
      <c r="A7154" s="24" t="s">
        <v>138</v>
      </c>
      <c r="B7154" s="24" t="s">
        <v>112</v>
      </c>
      <c r="C7154" s="32">
        <v>14.914</v>
      </c>
      <c r="D7154" s="28">
        <v>1.1805555555555555E-2</v>
      </c>
    </row>
    <row r="7155" spans="1:4" x14ac:dyDescent="0.25">
      <c r="A7155" s="24" t="s">
        <v>138</v>
      </c>
      <c r="B7155" s="24" t="s">
        <v>113</v>
      </c>
      <c r="C7155" s="32">
        <v>12.071999999999999</v>
      </c>
      <c r="D7155" s="28">
        <v>1.1111111111111112E-2</v>
      </c>
    </row>
    <row r="7156" spans="1:4" x14ac:dyDescent="0.25">
      <c r="A7156" s="24" t="s">
        <v>138</v>
      </c>
      <c r="B7156" s="24" t="s">
        <v>114</v>
      </c>
      <c r="C7156" s="32">
        <v>34.302999999999997</v>
      </c>
      <c r="D7156" s="28">
        <v>2.2916666666666669E-2</v>
      </c>
    </row>
    <row r="7157" spans="1:4" x14ac:dyDescent="0.25">
      <c r="A7157" s="24" t="s">
        <v>138</v>
      </c>
      <c r="B7157" s="24" t="s">
        <v>115</v>
      </c>
      <c r="C7157" s="32">
        <v>34.154000000000003</v>
      </c>
      <c r="D7157" s="28">
        <v>2.361111111111111E-2</v>
      </c>
    </row>
    <row r="7158" spans="1:4" x14ac:dyDescent="0.25">
      <c r="A7158" s="24" t="s">
        <v>138</v>
      </c>
      <c r="B7158" s="24" t="s">
        <v>116</v>
      </c>
      <c r="C7158" s="32">
        <v>28.303999999999998</v>
      </c>
      <c r="D7158" s="28">
        <v>2.0833333333333332E-2</v>
      </c>
    </row>
    <row r="7159" spans="1:4" x14ac:dyDescent="0.25">
      <c r="A7159" s="24" t="s">
        <v>138</v>
      </c>
      <c r="B7159" s="24" t="s">
        <v>117</v>
      </c>
      <c r="C7159" s="32">
        <v>35.409999999999997</v>
      </c>
      <c r="D7159" s="28">
        <v>2.361111111111111E-2</v>
      </c>
    </row>
    <row r="7160" spans="1:4" x14ac:dyDescent="0.25">
      <c r="A7160" s="24" t="s">
        <v>138</v>
      </c>
      <c r="B7160" s="24" t="s">
        <v>118</v>
      </c>
      <c r="C7160" s="32">
        <v>21.48</v>
      </c>
      <c r="D7160" s="28">
        <v>1.3888888888888888E-2</v>
      </c>
    </row>
    <row r="7161" spans="1:4" x14ac:dyDescent="0.25">
      <c r="A7161" s="24" t="s">
        <v>138</v>
      </c>
      <c r="B7161" s="24" t="s">
        <v>119</v>
      </c>
      <c r="C7161" s="32">
        <v>18.995999999999999</v>
      </c>
      <c r="D7161" s="28">
        <v>1.1805555555555555E-2</v>
      </c>
    </row>
    <row r="7162" spans="1:4" x14ac:dyDescent="0.25">
      <c r="A7162" s="24" t="s">
        <v>138</v>
      </c>
      <c r="B7162" s="24" t="s">
        <v>120</v>
      </c>
      <c r="C7162" s="32">
        <v>21.786000000000001</v>
      </c>
      <c r="D7162" s="28">
        <v>1.5277777777777777E-2</v>
      </c>
    </row>
    <row r="7163" spans="1:4" x14ac:dyDescent="0.25">
      <c r="A7163" s="24" t="s">
        <v>138</v>
      </c>
      <c r="B7163" s="24" t="s">
        <v>121</v>
      </c>
      <c r="C7163" s="32">
        <v>36.137</v>
      </c>
      <c r="D7163" s="28">
        <v>2.2222222222222223E-2</v>
      </c>
    </row>
    <row r="7164" spans="1:4" x14ac:dyDescent="0.25">
      <c r="A7164" s="24" t="s">
        <v>138</v>
      </c>
      <c r="B7164" s="24" t="s">
        <v>122</v>
      </c>
      <c r="C7164" s="32">
        <v>47.954999999999998</v>
      </c>
      <c r="D7164" s="28">
        <v>2.6388888888888889E-2</v>
      </c>
    </row>
    <row r="7165" spans="1:4" x14ac:dyDescent="0.25">
      <c r="A7165" s="24" t="s">
        <v>138</v>
      </c>
      <c r="B7165" s="24" t="s">
        <v>123</v>
      </c>
      <c r="C7165" s="32">
        <v>29.722000000000001</v>
      </c>
      <c r="D7165" s="28">
        <v>1.8055555555555557E-2</v>
      </c>
    </row>
    <row r="7166" spans="1:4" x14ac:dyDescent="0.25">
      <c r="A7166" s="24" t="s">
        <v>138</v>
      </c>
      <c r="B7166" s="24" t="s">
        <v>124</v>
      </c>
      <c r="C7166" s="32">
        <v>29.722000000000001</v>
      </c>
      <c r="D7166" s="28">
        <v>1.8055555555555557E-2</v>
      </c>
    </row>
    <row r="7167" spans="1:4" x14ac:dyDescent="0.25">
      <c r="A7167" s="24" t="s">
        <v>138</v>
      </c>
      <c r="B7167" s="24" t="s">
        <v>125</v>
      </c>
      <c r="C7167" s="32">
        <v>26.631</v>
      </c>
      <c r="D7167" s="28">
        <v>2.2222222222222223E-2</v>
      </c>
    </row>
    <row r="7168" spans="1:4" x14ac:dyDescent="0.25">
      <c r="A7168" s="24" t="s">
        <v>138</v>
      </c>
      <c r="B7168" s="24" t="s">
        <v>126</v>
      </c>
      <c r="C7168" s="32">
        <v>26.369</v>
      </c>
      <c r="D7168" s="28">
        <v>2.1527777777777781E-2</v>
      </c>
    </row>
    <row r="7169" spans="1:4" x14ac:dyDescent="0.25">
      <c r="A7169" s="24" t="s">
        <v>138</v>
      </c>
      <c r="B7169" s="24" t="s">
        <v>127</v>
      </c>
      <c r="C7169" s="32">
        <v>27.114000000000001</v>
      </c>
      <c r="D7169" s="28">
        <v>2.2222222222222223E-2</v>
      </c>
    </row>
    <row r="7170" spans="1:4" x14ac:dyDescent="0.25">
      <c r="A7170" s="24" t="s">
        <v>138</v>
      </c>
      <c r="B7170" s="24" t="s">
        <v>128</v>
      </c>
      <c r="C7170" s="32">
        <v>24.425999999999998</v>
      </c>
      <c r="D7170" s="28">
        <v>2.0833333333333332E-2</v>
      </c>
    </row>
    <row r="7171" spans="1:4" x14ac:dyDescent="0.25">
      <c r="A7171" s="24" t="s">
        <v>138</v>
      </c>
      <c r="B7171" s="24" t="s">
        <v>129</v>
      </c>
      <c r="C7171" s="32">
        <v>24.425999999999998</v>
      </c>
      <c r="D7171" s="28">
        <v>2.0833333333333332E-2</v>
      </c>
    </row>
    <row r="7172" spans="1:4" x14ac:dyDescent="0.25">
      <c r="A7172" s="24" t="s">
        <v>138</v>
      </c>
      <c r="B7172" s="24" t="s">
        <v>130</v>
      </c>
      <c r="C7172" s="32">
        <v>27.032</v>
      </c>
      <c r="D7172" s="28">
        <v>2.2916666666666669E-2</v>
      </c>
    </row>
    <row r="7173" spans="1:4" x14ac:dyDescent="0.25">
      <c r="A7173" s="24" t="s">
        <v>138</v>
      </c>
      <c r="B7173" s="24" t="s">
        <v>131</v>
      </c>
      <c r="C7173" s="32">
        <v>29.503</v>
      </c>
      <c r="D7173" s="28">
        <v>2.5694444444444447E-2</v>
      </c>
    </row>
    <row r="7174" spans="1:4" x14ac:dyDescent="0.25">
      <c r="A7174" s="24" t="s">
        <v>138</v>
      </c>
      <c r="B7174" s="24" t="s">
        <v>132</v>
      </c>
      <c r="C7174" s="32">
        <v>29.282</v>
      </c>
      <c r="D7174" s="28">
        <v>2.4999999999999998E-2</v>
      </c>
    </row>
    <row r="7175" spans="1:4" x14ac:dyDescent="0.25">
      <c r="A7175" s="24" t="s">
        <v>138</v>
      </c>
      <c r="B7175" s="24" t="s">
        <v>133</v>
      </c>
      <c r="C7175" s="32">
        <v>14.923999999999999</v>
      </c>
      <c r="D7175" s="28">
        <v>1.2499999999999999E-2</v>
      </c>
    </row>
    <row r="7176" spans="1:4" x14ac:dyDescent="0.25">
      <c r="A7176" s="24" t="s">
        <v>138</v>
      </c>
      <c r="B7176" s="24" t="s">
        <v>134</v>
      </c>
      <c r="C7176" s="32">
        <v>14.458</v>
      </c>
      <c r="D7176" s="28">
        <v>1.1805555555555555E-2</v>
      </c>
    </row>
    <row r="7177" spans="1:4" x14ac:dyDescent="0.25">
      <c r="A7177" s="24" t="s">
        <v>138</v>
      </c>
      <c r="B7177" s="24" t="s">
        <v>135</v>
      </c>
      <c r="C7177" s="32">
        <v>12.523</v>
      </c>
      <c r="D7177" s="28">
        <v>1.1111111111111112E-2</v>
      </c>
    </row>
    <row r="7178" spans="1:4" x14ac:dyDescent="0.25">
      <c r="A7178" s="24" t="s">
        <v>138</v>
      </c>
      <c r="B7178" s="24" t="s">
        <v>136</v>
      </c>
      <c r="C7178" s="32">
        <v>12.523</v>
      </c>
      <c r="D7178" s="28">
        <v>1.1111111111111112E-2</v>
      </c>
    </row>
    <row r="7179" spans="1:4" x14ac:dyDescent="0.25">
      <c r="A7179" s="24" t="s">
        <v>138</v>
      </c>
      <c r="B7179" s="24" t="s">
        <v>137</v>
      </c>
      <c r="C7179" s="32">
        <v>13.215999999999999</v>
      </c>
      <c r="D7179" s="28">
        <v>1.2499999999999999E-2</v>
      </c>
    </row>
    <row r="7180" spans="1:4" x14ac:dyDescent="0.25">
      <c r="A7180" s="24" t="s">
        <v>138</v>
      </c>
      <c r="B7180" s="24" t="s">
        <v>138</v>
      </c>
      <c r="C7180" s="32">
        <v>0</v>
      </c>
      <c r="D7180" s="28">
        <v>0</v>
      </c>
    </row>
    <row r="7181" spans="1:4" x14ac:dyDescent="0.25">
      <c r="A7181" s="24" t="s">
        <v>138</v>
      </c>
      <c r="B7181" s="24" t="s">
        <v>139</v>
      </c>
      <c r="C7181" s="32">
        <v>10.178000000000001</v>
      </c>
      <c r="D7181" s="28">
        <v>6.9444444444444441E-3</v>
      </c>
    </row>
    <row r="7182" spans="1:4" x14ac:dyDescent="0.25">
      <c r="A7182" s="24" t="s">
        <v>138</v>
      </c>
      <c r="B7182" s="24" t="s">
        <v>140</v>
      </c>
      <c r="C7182" s="32">
        <v>16.818000000000001</v>
      </c>
      <c r="D7182" s="28">
        <v>9.7222222222222224E-3</v>
      </c>
    </row>
    <row r="7183" spans="1:4" x14ac:dyDescent="0.25">
      <c r="A7183" s="24" t="s">
        <v>138</v>
      </c>
      <c r="B7183" s="24" t="s">
        <v>141</v>
      </c>
      <c r="C7183" s="32">
        <v>34.889000000000003</v>
      </c>
      <c r="D7183" s="28">
        <v>2.6388888888888889E-2</v>
      </c>
    </row>
    <row r="7184" spans="1:4" x14ac:dyDescent="0.25">
      <c r="A7184" s="24" t="s">
        <v>138</v>
      </c>
      <c r="B7184" s="24" t="s">
        <v>142</v>
      </c>
      <c r="C7184" s="32">
        <v>32.976999999999997</v>
      </c>
      <c r="D7184" s="28">
        <v>1.8749999999999999E-2</v>
      </c>
    </row>
    <row r="7185" spans="1:4" x14ac:dyDescent="0.25">
      <c r="A7185" s="24" t="s">
        <v>138</v>
      </c>
      <c r="B7185" s="24" t="s">
        <v>143</v>
      </c>
      <c r="C7185" s="32">
        <v>51.354999999999997</v>
      </c>
      <c r="D7185" s="28">
        <v>2.6388888888888889E-2</v>
      </c>
    </row>
    <row r="7186" spans="1:4" x14ac:dyDescent="0.25">
      <c r="A7186" s="24" t="s">
        <v>138</v>
      </c>
      <c r="B7186" s="24" t="s">
        <v>144</v>
      </c>
      <c r="C7186" s="32">
        <v>70.471000000000004</v>
      </c>
      <c r="D7186" s="28">
        <v>3.6805555555555557E-2</v>
      </c>
    </row>
    <row r="7187" spans="1:4" x14ac:dyDescent="0.25">
      <c r="A7187" s="24" t="s">
        <v>138</v>
      </c>
      <c r="B7187" s="24" t="s">
        <v>145</v>
      </c>
      <c r="C7187" s="32">
        <v>14.862</v>
      </c>
      <c r="D7187" s="28">
        <v>1.0416666666666666E-2</v>
      </c>
    </row>
    <row r="7188" spans="1:4" x14ac:dyDescent="0.25">
      <c r="A7188" s="24" t="s">
        <v>138</v>
      </c>
      <c r="B7188" s="24" t="s">
        <v>146</v>
      </c>
      <c r="C7188" s="32">
        <v>30.321000000000002</v>
      </c>
      <c r="D7188" s="28">
        <v>1.8749999999999999E-2</v>
      </c>
    </row>
    <row r="7189" spans="1:4" x14ac:dyDescent="0.25">
      <c r="A7189" s="24" t="s">
        <v>138</v>
      </c>
      <c r="B7189" s="24" t="s">
        <v>147</v>
      </c>
      <c r="C7189" s="32">
        <v>27.119</v>
      </c>
      <c r="D7189" s="28">
        <v>2.0833333333333332E-2</v>
      </c>
    </row>
    <row r="7190" spans="1:4" x14ac:dyDescent="0.25">
      <c r="A7190" s="24" t="s">
        <v>138</v>
      </c>
      <c r="B7190" s="24" t="s">
        <v>148</v>
      </c>
      <c r="C7190" s="32">
        <v>26.463000000000001</v>
      </c>
      <c r="D7190" s="28">
        <v>2.2222222222222223E-2</v>
      </c>
    </row>
    <row r="7191" spans="1:4" x14ac:dyDescent="0.25">
      <c r="A7191" s="24" t="s">
        <v>138</v>
      </c>
      <c r="B7191" s="24" t="s">
        <v>149</v>
      </c>
      <c r="C7191" s="32">
        <v>29.809000000000001</v>
      </c>
      <c r="D7191" s="28">
        <v>2.4999999999999998E-2</v>
      </c>
    </row>
    <row r="7192" spans="1:4" x14ac:dyDescent="0.25">
      <c r="A7192" s="24" t="s">
        <v>138</v>
      </c>
      <c r="B7192" s="24" t="s">
        <v>150</v>
      </c>
      <c r="C7192" s="32">
        <v>38.762</v>
      </c>
      <c r="D7192" s="28">
        <v>3.3333333333333333E-2</v>
      </c>
    </row>
    <row r="7193" spans="1:4" x14ac:dyDescent="0.25">
      <c r="A7193" s="24" t="s">
        <v>138</v>
      </c>
      <c r="B7193" s="24" t="s">
        <v>151</v>
      </c>
      <c r="C7193" s="32">
        <v>37.280999999999999</v>
      </c>
      <c r="D7193" s="28">
        <v>3.2638888888888891E-2</v>
      </c>
    </row>
    <row r="7194" spans="1:4" x14ac:dyDescent="0.25">
      <c r="A7194" s="24" t="s">
        <v>138</v>
      </c>
      <c r="B7194" s="24" t="s">
        <v>152</v>
      </c>
      <c r="C7194" s="32">
        <v>49.459000000000003</v>
      </c>
      <c r="D7194" s="28">
        <v>3.7499999999999999E-2</v>
      </c>
    </row>
    <row r="7195" spans="1:4" x14ac:dyDescent="0.25">
      <c r="A7195" s="24" t="s">
        <v>138</v>
      </c>
      <c r="B7195" s="24" t="s">
        <v>153</v>
      </c>
      <c r="C7195" s="32">
        <v>46.46</v>
      </c>
      <c r="D7195" s="28">
        <v>4.2361111111111106E-2</v>
      </c>
    </row>
    <row r="7196" spans="1:4" x14ac:dyDescent="0.25">
      <c r="A7196" s="24" t="s">
        <v>138</v>
      </c>
      <c r="B7196" s="24" t="s">
        <v>154</v>
      </c>
      <c r="C7196" s="32">
        <v>41.277999999999999</v>
      </c>
      <c r="D7196" s="28">
        <v>3.6111111111111115E-2</v>
      </c>
    </row>
    <row r="7197" spans="1:4" x14ac:dyDescent="0.25">
      <c r="A7197" s="24" t="s">
        <v>138</v>
      </c>
      <c r="B7197" s="24" t="s">
        <v>155</v>
      </c>
      <c r="C7197" s="32">
        <v>37.881</v>
      </c>
      <c r="D7197" s="28">
        <v>3.2638888888888891E-2</v>
      </c>
    </row>
    <row r="7198" spans="1:4" x14ac:dyDescent="0.25">
      <c r="A7198" s="24" t="s">
        <v>138</v>
      </c>
      <c r="B7198" s="24" t="s">
        <v>156</v>
      </c>
      <c r="C7198" s="32">
        <v>37.865000000000002</v>
      </c>
      <c r="D7198" s="28">
        <v>3.2638888888888891E-2</v>
      </c>
    </row>
    <row r="7199" spans="1:4" x14ac:dyDescent="0.25">
      <c r="A7199" s="24" t="s">
        <v>138</v>
      </c>
      <c r="B7199" s="24" t="s">
        <v>157</v>
      </c>
      <c r="C7199" s="32">
        <v>48.103000000000002</v>
      </c>
      <c r="D7199" s="28">
        <v>3.888888888888889E-2</v>
      </c>
    </row>
    <row r="7200" spans="1:4" x14ac:dyDescent="0.25">
      <c r="A7200" s="24" t="s">
        <v>138</v>
      </c>
      <c r="B7200" s="24" t="s">
        <v>158</v>
      </c>
      <c r="C7200" s="32">
        <v>58.027000000000001</v>
      </c>
      <c r="D7200" s="28">
        <v>4.7916666666666663E-2</v>
      </c>
    </row>
    <row r="7201" spans="1:4" x14ac:dyDescent="0.25">
      <c r="A7201" s="24" t="s">
        <v>138</v>
      </c>
      <c r="B7201" s="24" t="s">
        <v>159</v>
      </c>
      <c r="C7201" s="32">
        <v>63.881</v>
      </c>
      <c r="D7201" s="28">
        <v>4.9999999999999996E-2</v>
      </c>
    </row>
    <row r="7202" spans="1:4" x14ac:dyDescent="0.25">
      <c r="A7202" s="24" t="s">
        <v>139</v>
      </c>
      <c r="B7202" s="24" t="s">
        <v>65</v>
      </c>
      <c r="C7202" s="32">
        <v>35.484999999999999</v>
      </c>
      <c r="D7202" s="28">
        <v>2.2222222222222223E-2</v>
      </c>
    </row>
    <row r="7203" spans="1:4" x14ac:dyDescent="0.25">
      <c r="A7203" s="24" t="s">
        <v>139</v>
      </c>
      <c r="B7203" s="24" t="s">
        <v>64</v>
      </c>
      <c r="C7203" s="32">
        <v>26.669</v>
      </c>
      <c r="D7203" s="28">
        <v>1.8749999999999999E-2</v>
      </c>
    </row>
    <row r="7204" spans="1:4" x14ac:dyDescent="0.25">
      <c r="A7204" s="24" t="s">
        <v>139</v>
      </c>
      <c r="B7204" s="24" t="s">
        <v>66</v>
      </c>
      <c r="C7204" s="32">
        <v>20.768999999999998</v>
      </c>
      <c r="D7204" s="28">
        <v>1.8055555555555557E-2</v>
      </c>
    </row>
    <row r="7205" spans="1:4" x14ac:dyDescent="0.25">
      <c r="A7205" s="24" t="s">
        <v>139</v>
      </c>
      <c r="B7205" s="24" t="s">
        <v>67</v>
      </c>
      <c r="C7205" s="32">
        <v>16.893999999999998</v>
      </c>
      <c r="D7205" s="28">
        <v>1.3888888888888888E-2</v>
      </c>
    </row>
    <row r="7206" spans="1:4" x14ac:dyDescent="0.25">
      <c r="A7206" s="24" t="s">
        <v>139</v>
      </c>
      <c r="B7206" s="24" t="s">
        <v>68</v>
      </c>
      <c r="C7206" s="32">
        <v>16.757999999999999</v>
      </c>
      <c r="D7206" s="28">
        <v>1.3888888888888888E-2</v>
      </c>
    </row>
    <row r="7207" spans="1:4" x14ac:dyDescent="0.25">
      <c r="A7207" s="24" t="s">
        <v>139</v>
      </c>
      <c r="B7207" s="24" t="s">
        <v>69</v>
      </c>
      <c r="C7207" s="32">
        <v>17.558</v>
      </c>
      <c r="D7207" s="28">
        <v>1.5277777777777777E-2</v>
      </c>
    </row>
    <row r="7208" spans="1:4" x14ac:dyDescent="0.25">
      <c r="A7208" s="24" t="s">
        <v>139</v>
      </c>
      <c r="B7208" s="24" t="s">
        <v>70</v>
      </c>
      <c r="C7208" s="32">
        <v>17.222000000000001</v>
      </c>
      <c r="D7208" s="28">
        <v>1.4583333333333332E-2</v>
      </c>
    </row>
    <row r="7209" spans="1:4" x14ac:dyDescent="0.25">
      <c r="A7209" s="24" t="s">
        <v>139</v>
      </c>
      <c r="B7209" s="24" t="s">
        <v>71</v>
      </c>
      <c r="C7209" s="32">
        <v>17.189</v>
      </c>
      <c r="D7209" s="28">
        <v>1.5277777777777777E-2</v>
      </c>
    </row>
    <row r="7210" spans="1:4" x14ac:dyDescent="0.25">
      <c r="A7210" s="24" t="s">
        <v>139</v>
      </c>
      <c r="B7210" s="24" t="s">
        <v>72</v>
      </c>
      <c r="C7210" s="32">
        <v>16.358000000000001</v>
      </c>
      <c r="D7210" s="28">
        <v>1.3888888888888888E-2</v>
      </c>
    </row>
    <row r="7211" spans="1:4" x14ac:dyDescent="0.25">
      <c r="A7211" s="24" t="s">
        <v>139</v>
      </c>
      <c r="B7211" s="24" t="s">
        <v>73</v>
      </c>
      <c r="C7211" s="32">
        <v>17.465</v>
      </c>
      <c r="D7211" s="28">
        <v>1.5277777777777777E-2</v>
      </c>
    </row>
    <row r="7212" spans="1:4" x14ac:dyDescent="0.25">
      <c r="A7212" s="24" t="s">
        <v>139</v>
      </c>
      <c r="B7212" s="24" t="s">
        <v>74</v>
      </c>
      <c r="C7212" s="32">
        <v>15.295999999999999</v>
      </c>
      <c r="D7212" s="28">
        <v>1.3888888888888888E-2</v>
      </c>
    </row>
    <row r="7213" spans="1:4" x14ac:dyDescent="0.25">
      <c r="A7213" s="24" t="s">
        <v>139</v>
      </c>
      <c r="B7213" s="24" t="s">
        <v>75</v>
      </c>
      <c r="C7213" s="32">
        <v>15.558</v>
      </c>
      <c r="D7213" s="28">
        <v>1.3194444444444444E-2</v>
      </c>
    </row>
    <row r="7214" spans="1:4" x14ac:dyDescent="0.25">
      <c r="A7214" s="24" t="s">
        <v>139</v>
      </c>
      <c r="B7214" s="24" t="s">
        <v>76</v>
      </c>
      <c r="C7214" s="32">
        <v>10.93</v>
      </c>
      <c r="D7214" s="28">
        <v>1.2499999999999999E-2</v>
      </c>
    </row>
    <row r="7215" spans="1:4" x14ac:dyDescent="0.25">
      <c r="A7215" s="24" t="s">
        <v>139</v>
      </c>
      <c r="B7215" s="24" t="s">
        <v>77</v>
      </c>
      <c r="C7215" s="32">
        <v>19.326000000000001</v>
      </c>
      <c r="D7215" s="28">
        <v>1.5277777777777777E-2</v>
      </c>
    </row>
    <row r="7216" spans="1:4" x14ac:dyDescent="0.25">
      <c r="A7216" s="24" t="s">
        <v>139</v>
      </c>
      <c r="B7216" s="24" t="s">
        <v>78</v>
      </c>
      <c r="C7216" s="32">
        <v>20.199000000000002</v>
      </c>
      <c r="D7216" s="28">
        <v>1.6666666666666666E-2</v>
      </c>
    </row>
    <row r="7217" spans="1:4" x14ac:dyDescent="0.25">
      <c r="A7217" s="24" t="s">
        <v>139</v>
      </c>
      <c r="B7217" s="24" t="s">
        <v>79</v>
      </c>
      <c r="C7217" s="32">
        <v>35.607999999999997</v>
      </c>
      <c r="D7217" s="28">
        <v>2.6388888888888889E-2</v>
      </c>
    </row>
    <row r="7218" spans="1:4" x14ac:dyDescent="0.25">
      <c r="A7218" s="24" t="s">
        <v>139</v>
      </c>
      <c r="B7218" s="24" t="s">
        <v>80</v>
      </c>
      <c r="C7218" s="32">
        <v>38.798999999999999</v>
      </c>
      <c r="D7218" s="28">
        <v>2.4999999999999998E-2</v>
      </c>
    </row>
    <row r="7219" spans="1:4" x14ac:dyDescent="0.25">
      <c r="A7219" s="24" t="s">
        <v>139</v>
      </c>
      <c r="B7219" s="24" t="s">
        <v>81</v>
      </c>
      <c r="C7219" s="32">
        <v>41.058999999999997</v>
      </c>
      <c r="D7219" s="28">
        <v>2.4305555555555556E-2</v>
      </c>
    </row>
    <row r="7220" spans="1:4" x14ac:dyDescent="0.25">
      <c r="A7220" s="24" t="s">
        <v>139</v>
      </c>
      <c r="B7220" s="24" t="s">
        <v>82</v>
      </c>
      <c r="C7220" s="32">
        <v>41.110999999999997</v>
      </c>
      <c r="D7220" s="28">
        <v>2.4305555555555556E-2</v>
      </c>
    </row>
    <row r="7221" spans="1:4" x14ac:dyDescent="0.25">
      <c r="A7221" s="24" t="s">
        <v>139</v>
      </c>
      <c r="B7221" s="24" t="s">
        <v>83</v>
      </c>
      <c r="C7221" s="32">
        <v>24.861999999999998</v>
      </c>
      <c r="D7221" s="28">
        <v>1.8055555555555557E-2</v>
      </c>
    </row>
    <row r="7222" spans="1:4" x14ac:dyDescent="0.25">
      <c r="A7222" s="24" t="s">
        <v>139</v>
      </c>
      <c r="B7222" s="24" t="s">
        <v>84</v>
      </c>
      <c r="C7222" s="32">
        <v>22.335000000000001</v>
      </c>
      <c r="D7222" s="28">
        <v>1.3888888888888888E-2</v>
      </c>
    </row>
    <row r="7223" spans="1:4" x14ac:dyDescent="0.25">
      <c r="A7223" s="24" t="s">
        <v>139</v>
      </c>
      <c r="B7223" s="24" t="s">
        <v>85</v>
      </c>
      <c r="C7223" s="32">
        <v>21.969000000000001</v>
      </c>
      <c r="D7223" s="28">
        <v>1.3888888888888888E-2</v>
      </c>
    </row>
    <row r="7224" spans="1:4" x14ac:dyDescent="0.25">
      <c r="A7224" s="24" t="s">
        <v>139</v>
      </c>
      <c r="B7224" s="24" t="s">
        <v>86</v>
      </c>
      <c r="C7224" s="32">
        <v>21.908999999999999</v>
      </c>
      <c r="D7224" s="28">
        <v>1.5277777777777777E-2</v>
      </c>
    </row>
    <row r="7225" spans="1:4" x14ac:dyDescent="0.25">
      <c r="A7225" s="24" t="s">
        <v>139</v>
      </c>
      <c r="B7225" s="24" t="s">
        <v>87</v>
      </c>
      <c r="C7225" s="32">
        <v>21.687000000000001</v>
      </c>
      <c r="D7225" s="28">
        <v>1.4583333333333332E-2</v>
      </c>
    </row>
    <row r="7226" spans="1:4" x14ac:dyDescent="0.25">
      <c r="A7226" s="24" t="s">
        <v>139</v>
      </c>
      <c r="B7226" s="24" t="s">
        <v>88</v>
      </c>
      <c r="C7226" s="32">
        <v>22.765999999999998</v>
      </c>
      <c r="D7226" s="28">
        <v>1.5277777777777777E-2</v>
      </c>
    </row>
    <row r="7227" spans="1:4" x14ac:dyDescent="0.25">
      <c r="A7227" s="24" t="s">
        <v>139</v>
      </c>
      <c r="B7227" s="24" t="s">
        <v>89</v>
      </c>
      <c r="C7227" s="32">
        <v>26.454999999999998</v>
      </c>
      <c r="D7227" s="28">
        <v>2.013888888888889E-2</v>
      </c>
    </row>
    <row r="7228" spans="1:4" x14ac:dyDescent="0.25">
      <c r="A7228" s="24" t="s">
        <v>139</v>
      </c>
      <c r="B7228" s="24" t="s">
        <v>90</v>
      </c>
      <c r="C7228" s="32">
        <v>38.421999999999997</v>
      </c>
      <c r="D7228" s="28">
        <v>2.4305555555555556E-2</v>
      </c>
    </row>
    <row r="7229" spans="1:4" x14ac:dyDescent="0.25">
      <c r="A7229" s="24" t="s">
        <v>139</v>
      </c>
      <c r="B7229" s="24" t="s">
        <v>91</v>
      </c>
      <c r="C7229" s="32">
        <v>24.314</v>
      </c>
      <c r="D7229" s="28">
        <v>1.7361111111111112E-2</v>
      </c>
    </row>
    <row r="7230" spans="1:4" x14ac:dyDescent="0.25">
      <c r="A7230" s="24" t="s">
        <v>139</v>
      </c>
      <c r="B7230" s="24" t="s">
        <v>92</v>
      </c>
      <c r="C7230" s="32">
        <v>36.871000000000002</v>
      </c>
      <c r="D7230" s="28">
        <v>2.361111111111111E-2</v>
      </c>
    </row>
    <row r="7231" spans="1:4" x14ac:dyDescent="0.25">
      <c r="A7231" s="24" t="s">
        <v>139</v>
      </c>
      <c r="B7231" s="24" t="s">
        <v>93</v>
      </c>
      <c r="C7231" s="32">
        <v>60.601999999999997</v>
      </c>
      <c r="D7231" s="28">
        <v>3.7499999999999999E-2</v>
      </c>
    </row>
    <row r="7232" spans="1:4" x14ac:dyDescent="0.25">
      <c r="A7232" s="24" t="s">
        <v>139</v>
      </c>
      <c r="B7232" s="24" t="s">
        <v>94</v>
      </c>
      <c r="C7232" s="32">
        <v>61.231000000000002</v>
      </c>
      <c r="D7232" s="28">
        <v>3.8194444444444441E-2</v>
      </c>
    </row>
    <row r="7233" spans="1:4" x14ac:dyDescent="0.25">
      <c r="A7233" s="24" t="s">
        <v>139</v>
      </c>
      <c r="B7233" s="24" t="s">
        <v>95</v>
      </c>
      <c r="C7233" s="32">
        <v>38.328000000000003</v>
      </c>
      <c r="D7233" s="28">
        <v>2.5694444444444447E-2</v>
      </c>
    </row>
    <row r="7234" spans="1:4" x14ac:dyDescent="0.25">
      <c r="A7234" s="24" t="s">
        <v>139</v>
      </c>
      <c r="B7234" s="24" t="s">
        <v>96</v>
      </c>
      <c r="C7234" s="32">
        <v>40.558</v>
      </c>
      <c r="D7234" s="28">
        <v>2.9861111111111113E-2</v>
      </c>
    </row>
    <row r="7235" spans="1:4" x14ac:dyDescent="0.25">
      <c r="A7235" s="24" t="s">
        <v>139</v>
      </c>
      <c r="B7235" s="24" t="s">
        <v>97</v>
      </c>
      <c r="C7235" s="32">
        <v>48.877000000000002</v>
      </c>
      <c r="D7235" s="28">
        <v>3.6111111111111115E-2</v>
      </c>
    </row>
    <row r="7236" spans="1:4" x14ac:dyDescent="0.25">
      <c r="A7236" s="24" t="s">
        <v>139</v>
      </c>
      <c r="B7236" s="24" t="s">
        <v>98</v>
      </c>
      <c r="C7236" s="32">
        <v>46</v>
      </c>
      <c r="D7236" s="28">
        <v>3.125E-2</v>
      </c>
    </row>
    <row r="7237" spans="1:4" x14ac:dyDescent="0.25">
      <c r="A7237" s="24" t="s">
        <v>139</v>
      </c>
      <c r="B7237" s="24" t="s">
        <v>99</v>
      </c>
      <c r="C7237" s="32">
        <v>50.42</v>
      </c>
      <c r="D7237" s="28">
        <v>3.4027777777777775E-2</v>
      </c>
    </row>
    <row r="7238" spans="1:4" x14ac:dyDescent="0.25">
      <c r="A7238" s="24" t="s">
        <v>139</v>
      </c>
      <c r="B7238" s="24" t="s">
        <v>100</v>
      </c>
      <c r="C7238" s="32">
        <v>43.414000000000001</v>
      </c>
      <c r="D7238" s="28">
        <v>2.7777777777777776E-2</v>
      </c>
    </row>
    <row r="7239" spans="1:4" x14ac:dyDescent="0.25">
      <c r="A7239" s="24" t="s">
        <v>139</v>
      </c>
      <c r="B7239" s="24" t="s">
        <v>101</v>
      </c>
      <c r="C7239" s="32">
        <v>45.051000000000002</v>
      </c>
      <c r="D7239" s="28">
        <v>3.0555555555555555E-2</v>
      </c>
    </row>
    <row r="7240" spans="1:4" x14ac:dyDescent="0.25">
      <c r="A7240" s="24" t="s">
        <v>139</v>
      </c>
      <c r="B7240" s="24" t="s">
        <v>102</v>
      </c>
      <c r="C7240" s="32">
        <v>44.478000000000002</v>
      </c>
      <c r="D7240" s="28">
        <v>3.0555555555555555E-2</v>
      </c>
    </row>
    <row r="7241" spans="1:4" x14ac:dyDescent="0.25">
      <c r="A7241" s="24" t="s">
        <v>139</v>
      </c>
      <c r="B7241" s="24" t="s">
        <v>103</v>
      </c>
      <c r="C7241" s="32">
        <v>32.61</v>
      </c>
      <c r="D7241" s="28">
        <v>2.1527777777777781E-2</v>
      </c>
    </row>
    <row r="7242" spans="1:4" x14ac:dyDescent="0.25">
      <c r="A7242" s="24" t="s">
        <v>139</v>
      </c>
      <c r="B7242" s="24" t="s">
        <v>104</v>
      </c>
      <c r="C7242" s="32">
        <v>34.093000000000004</v>
      </c>
      <c r="D7242" s="28">
        <v>2.2222222222222223E-2</v>
      </c>
    </row>
    <row r="7243" spans="1:4" x14ac:dyDescent="0.25">
      <c r="A7243" s="24" t="s">
        <v>139</v>
      </c>
      <c r="B7243" s="24" t="s">
        <v>105</v>
      </c>
      <c r="C7243" s="32">
        <v>28.931000000000001</v>
      </c>
      <c r="D7243" s="28">
        <v>2.4999999999999998E-2</v>
      </c>
    </row>
    <row r="7244" spans="1:4" x14ac:dyDescent="0.25">
      <c r="A7244" s="24" t="s">
        <v>139</v>
      </c>
      <c r="B7244" s="24" t="s">
        <v>106</v>
      </c>
      <c r="C7244" s="32">
        <v>29.952999999999999</v>
      </c>
      <c r="D7244" s="28">
        <v>2.2222222222222223E-2</v>
      </c>
    </row>
    <row r="7245" spans="1:4" x14ac:dyDescent="0.25">
      <c r="A7245" s="24" t="s">
        <v>139</v>
      </c>
      <c r="B7245" s="24" t="s">
        <v>107</v>
      </c>
      <c r="C7245" s="32">
        <v>21.489000000000001</v>
      </c>
      <c r="D7245" s="28">
        <v>1.5972222222222224E-2</v>
      </c>
    </row>
    <row r="7246" spans="1:4" x14ac:dyDescent="0.25">
      <c r="A7246" s="24" t="s">
        <v>139</v>
      </c>
      <c r="B7246" s="24" t="s">
        <v>108</v>
      </c>
      <c r="C7246" s="32">
        <v>19.875</v>
      </c>
      <c r="D7246" s="28">
        <v>1.3888888888888888E-2</v>
      </c>
    </row>
    <row r="7247" spans="1:4" x14ac:dyDescent="0.25">
      <c r="A7247" s="24" t="s">
        <v>139</v>
      </c>
      <c r="B7247" s="24" t="s">
        <v>109</v>
      </c>
      <c r="C7247" s="32">
        <v>19.905000000000001</v>
      </c>
      <c r="D7247" s="28">
        <v>1.3888888888888888E-2</v>
      </c>
    </row>
    <row r="7248" spans="1:4" x14ac:dyDescent="0.25">
      <c r="A7248" s="24" t="s">
        <v>139</v>
      </c>
      <c r="B7248" s="24" t="s">
        <v>110</v>
      </c>
      <c r="C7248" s="32">
        <v>29.48</v>
      </c>
      <c r="D7248" s="28">
        <v>2.2916666666666669E-2</v>
      </c>
    </row>
    <row r="7249" spans="1:4" x14ac:dyDescent="0.25">
      <c r="A7249" s="24" t="s">
        <v>139</v>
      </c>
      <c r="B7249" s="24" t="s">
        <v>111</v>
      </c>
      <c r="C7249" s="32">
        <v>34.585999999999999</v>
      </c>
      <c r="D7249" s="28">
        <v>2.2222222222222223E-2</v>
      </c>
    </row>
    <row r="7250" spans="1:4" x14ac:dyDescent="0.25">
      <c r="A7250" s="24" t="s">
        <v>139</v>
      </c>
      <c r="B7250" s="24" t="s">
        <v>112</v>
      </c>
      <c r="C7250" s="32">
        <v>22.477</v>
      </c>
      <c r="D7250" s="28">
        <v>1.4583333333333332E-2</v>
      </c>
    </row>
    <row r="7251" spans="1:4" x14ac:dyDescent="0.25">
      <c r="A7251" s="24" t="s">
        <v>139</v>
      </c>
      <c r="B7251" s="24" t="s">
        <v>113</v>
      </c>
      <c r="C7251" s="32">
        <v>19.635000000000002</v>
      </c>
      <c r="D7251" s="28">
        <v>1.3888888888888888E-2</v>
      </c>
    </row>
    <row r="7252" spans="1:4" x14ac:dyDescent="0.25">
      <c r="A7252" s="24" t="s">
        <v>139</v>
      </c>
      <c r="B7252" s="24" t="s">
        <v>114</v>
      </c>
      <c r="C7252" s="32">
        <v>41.866</v>
      </c>
      <c r="D7252" s="28">
        <v>2.5694444444444447E-2</v>
      </c>
    </row>
    <row r="7253" spans="1:4" x14ac:dyDescent="0.25">
      <c r="A7253" s="24" t="s">
        <v>139</v>
      </c>
      <c r="B7253" s="24" t="s">
        <v>115</v>
      </c>
      <c r="C7253" s="32">
        <v>41.716999999999999</v>
      </c>
      <c r="D7253" s="28">
        <v>2.6388888888888889E-2</v>
      </c>
    </row>
    <row r="7254" spans="1:4" x14ac:dyDescent="0.25">
      <c r="A7254" s="24" t="s">
        <v>139</v>
      </c>
      <c r="B7254" s="24" t="s">
        <v>116</v>
      </c>
      <c r="C7254" s="32">
        <v>35.866999999999997</v>
      </c>
      <c r="D7254" s="28">
        <v>2.361111111111111E-2</v>
      </c>
    </row>
    <row r="7255" spans="1:4" x14ac:dyDescent="0.25">
      <c r="A7255" s="24" t="s">
        <v>139</v>
      </c>
      <c r="B7255" s="24" t="s">
        <v>117</v>
      </c>
      <c r="C7255" s="32">
        <v>42.97</v>
      </c>
      <c r="D7255" s="28">
        <v>2.6388888888888889E-2</v>
      </c>
    </row>
    <row r="7256" spans="1:4" x14ac:dyDescent="0.25">
      <c r="A7256" s="24" t="s">
        <v>139</v>
      </c>
      <c r="B7256" s="24" t="s">
        <v>118</v>
      </c>
      <c r="C7256" s="32">
        <v>29.042999999999999</v>
      </c>
      <c r="D7256" s="28">
        <v>1.6666666666666666E-2</v>
      </c>
    </row>
    <row r="7257" spans="1:4" x14ac:dyDescent="0.25">
      <c r="A7257" s="24" t="s">
        <v>139</v>
      </c>
      <c r="B7257" s="24" t="s">
        <v>119</v>
      </c>
      <c r="C7257" s="32">
        <v>26.559000000000001</v>
      </c>
      <c r="D7257" s="28">
        <v>1.4583333333333332E-2</v>
      </c>
    </row>
    <row r="7258" spans="1:4" x14ac:dyDescent="0.25">
      <c r="A7258" s="24" t="s">
        <v>139</v>
      </c>
      <c r="B7258" s="24" t="s">
        <v>120</v>
      </c>
      <c r="C7258" s="32">
        <v>29.349</v>
      </c>
      <c r="D7258" s="28">
        <v>1.8055555555555557E-2</v>
      </c>
    </row>
    <row r="7259" spans="1:4" x14ac:dyDescent="0.25">
      <c r="A7259" s="24" t="s">
        <v>139</v>
      </c>
      <c r="B7259" s="24" t="s">
        <v>121</v>
      </c>
      <c r="C7259" s="32">
        <v>43.7</v>
      </c>
      <c r="D7259" s="28">
        <v>2.4999999999999998E-2</v>
      </c>
    </row>
    <row r="7260" spans="1:4" x14ac:dyDescent="0.25">
      <c r="A7260" s="24" t="s">
        <v>139</v>
      </c>
      <c r="B7260" s="24" t="s">
        <v>122</v>
      </c>
      <c r="C7260" s="32">
        <v>55.518000000000001</v>
      </c>
      <c r="D7260" s="28">
        <v>2.9166666666666664E-2</v>
      </c>
    </row>
    <row r="7261" spans="1:4" x14ac:dyDescent="0.25">
      <c r="A7261" s="24" t="s">
        <v>139</v>
      </c>
      <c r="B7261" s="24" t="s">
        <v>123</v>
      </c>
      <c r="C7261" s="32">
        <v>37.284999999999997</v>
      </c>
      <c r="D7261" s="28">
        <v>2.1527777777777781E-2</v>
      </c>
    </row>
    <row r="7262" spans="1:4" x14ac:dyDescent="0.25">
      <c r="A7262" s="24" t="s">
        <v>139</v>
      </c>
      <c r="B7262" s="24" t="s">
        <v>124</v>
      </c>
      <c r="C7262" s="32">
        <v>37.284999999999997</v>
      </c>
      <c r="D7262" s="28">
        <v>2.1527777777777781E-2</v>
      </c>
    </row>
    <row r="7263" spans="1:4" x14ac:dyDescent="0.25">
      <c r="A7263" s="24" t="s">
        <v>139</v>
      </c>
      <c r="B7263" s="24" t="s">
        <v>125</v>
      </c>
      <c r="C7263" s="32">
        <v>30.803999999999998</v>
      </c>
      <c r="D7263" s="28">
        <v>2.361111111111111E-2</v>
      </c>
    </row>
    <row r="7264" spans="1:4" x14ac:dyDescent="0.25">
      <c r="A7264" s="24" t="s">
        <v>139</v>
      </c>
      <c r="B7264" s="24" t="s">
        <v>126</v>
      </c>
      <c r="C7264" s="32">
        <v>30.542000000000002</v>
      </c>
      <c r="D7264" s="28">
        <v>2.2222222222222223E-2</v>
      </c>
    </row>
    <row r="7265" spans="1:4" x14ac:dyDescent="0.25">
      <c r="A7265" s="24" t="s">
        <v>139</v>
      </c>
      <c r="B7265" s="24" t="s">
        <v>127</v>
      </c>
      <c r="C7265" s="32">
        <v>31.286999999999999</v>
      </c>
      <c r="D7265" s="28">
        <v>2.361111111111111E-2</v>
      </c>
    </row>
    <row r="7266" spans="1:4" x14ac:dyDescent="0.25">
      <c r="A7266" s="24" t="s">
        <v>139</v>
      </c>
      <c r="B7266" s="24" t="s">
        <v>128</v>
      </c>
      <c r="C7266" s="32">
        <v>30.163</v>
      </c>
      <c r="D7266" s="28">
        <v>2.2916666666666669E-2</v>
      </c>
    </row>
    <row r="7267" spans="1:4" x14ac:dyDescent="0.25">
      <c r="A7267" s="24" t="s">
        <v>139</v>
      </c>
      <c r="B7267" s="24" t="s">
        <v>129</v>
      </c>
      <c r="C7267" s="32">
        <v>30.163</v>
      </c>
      <c r="D7267" s="28">
        <v>2.2916666666666669E-2</v>
      </c>
    </row>
    <row r="7268" spans="1:4" x14ac:dyDescent="0.25">
      <c r="A7268" s="24" t="s">
        <v>139</v>
      </c>
      <c r="B7268" s="24" t="s">
        <v>130</v>
      </c>
      <c r="C7268" s="32">
        <v>31.204999999999998</v>
      </c>
      <c r="D7268" s="28">
        <v>2.4305555555555556E-2</v>
      </c>
    </row>
    <row r="7269" spans="1:4" x14ac:dyDescent="0.25">
      <c r="A7269" s="24" t="s">
        <v>139</v>
      </c>
      <c r="B7269" s="24" t="s">
        <v>131</v>
      </c>
      <c r="C7269" s="32">
        <v>33.676000000000002</v>
      </c>
      <c r="D7269" s="28">
        <v>2.7083333333333334E-2</v>
      </c>
    </row>
    <row r="7270" spans="1:4" x14ac:dyDescent="0.25">
      <c r="A7270" s="24" t="s">
        <v>139</v>
      </c>
      <c r="B7270" s="24" t="s">
        <v>132</v>
      </c>
      <c r="C7270" s="32">
        <v>24.276</v>
      </c>
      <c r="D7270" s="28">
        <v>2.2916666666666669E-2</v>
      </c>
    </row>
    <row r="7271" spans="1:4" x14ac:dyDescent="0.25">
      <c r="A7271" s="24" t="s">
        <v>139</v>
      </c>
      <c r="B7271" s="24" t="s">
        <v>133</v>
      </c>
      <c r="C7271" s="32">
        <v>19.776</v>
      </c>
      <c r="D7271" s="28">
        <v>1.4583333333333332E-2</v>
      </c>
    </row>
    <row r="7272" spans="1:4" x14ac:dyDescent="0.25">
      <c r="A7272" s="24" t="s">
        <v>139</v>
      </c>
      <c r="B7272" s="24" t="s">
        <v>134</v>
      </c>
      <c r="C7272" s="32">
        <v>19.309999999999999</v>
      </c>
      <c r="D7272" s="28">
        <v>1.3194444444444444E-2</v>
      </c>
    </row>
    <row r="7273" spans="1:4" x14ac:dyDescent="0.25">
      <c r="A7273" s="24" t="s">
        <v>139</v>
      </c>
      <c r="B7273" s="24" t="s">
        <v>135</v>
      </c>
      <c r="C7273" s="32">
        <v>15.433</v>
      </c>
      <c r="D7273" s="28">
        <v>1.3194444444444444E-2</v>
      </c>
    </row>
    <row r="7274" spans="1:4" x14ac:dyDescent="0.25">
      <c r="A7274" s="24" t="s">
        <v>139</v>
      </c>
      <c r="B7274" s="24" t="s">
        <v>136</v>
      </c>
      <c r="C7274" s="32">
        <v>15.433</v>
      </c>
      <c r="D7274" s="28">
        <v>1.3194444444444444E-2</v>
      </c>
    </row>
    <row r="7275" spans="1:4" x14ac:dyDescent="0.25">
      <c r="A7275" s="24" t="s">
        <v>139</v>
      </c>
      <c r="B7275" s="24" t="s">
        <v>137</v>
      </c>
      <c r="C7275" s="32">
        <v>22.404</v>
      </c>
      <c r="D7275" s="28">
        <v>1.4583333333333332E-2</v>
      </c>
    </row>
    <row r="7276" spans="1:4" x14ac:dyDescent="0.25">
      <c r="A7276" s="24" t="s">
        <v>139</v>
      </c>
      <c r="B7276" s="24" t="s">
        <v>138</v>
      </c>
      <c r="C7276" s="32">
        <v>12.294</v>
      </c>
      <c r="D7276" s="28">
        <v>1.0416666666666666E-2</v>
      </c>
    </row>
    <row r="7277" spans="1:4" x14ac:dyDescent="0.25">
      <c r="A7277" s="24" t="s">
        <v>139</v>
      </c>
      <c r="B7277" s="24" t="s">
        <v>139</v>
      </c>
      <c r="C7277" s="32">
        <v>0</v>
      </c>
      <c r="D7277" s="28">
        <v>0</v>
      </c>
    </row>
    <row r="7278" spans="1:4" x14ac:dyDescent="0.25">
      <c r="A7278" s="24" t="s">
        <v>139</v>
      </c>
      <c r="B7278" s="24" t="s">
        <v>140</v>
      </c>
      <c r="C7278" s="32">
        <v>9.7620000000000005</v>
      </c>
      <c r="D7278" s="28">
        <v>6.9444444444444441E-3</v>
      </c>
    </row>
    <row r="7279" spans="1:4" x14ac:dyDescent="0.25">
      <c r="A7279" s="24" t="s">
        <v>139</v>
      </c>
      <c r="B7279" s="24" t="s">
        <v>141</v>
      </c>
      <c r="C7279" s="32">
        <v>24.765000000000001</v>
      </c>
      <c r="D7279" s="28">
        <v>1.9444444444444445E-2</v>
      </c>
    </row>
    <row r="7280" spans="1:4" x14ac:dyDescent="0.25">
      <c r="A7280" s="24" t="s">
        <v>139</v>
      </c>
      <c r="B7280" s="24" t="s">
        <v>142</v>
      </c>
      <c r="C7280" s="32">
        <v>25.920999999999999</v>
      </c>
      <c r="D7280" s="28">
        <v>1.5972222222222224E-2</v>
      </c>
    </row>
    <row r="7281" spans="1:4" x14ac:dyDescent="0.25">
      <c r="A7281" s="24" t="s">
        <v>139</v>
      </c>
      <c r="B7281" s="24" t="s">
        <v>143</v>
      </c>
      <c r="C7281" s="32">
        <v>44.298999999999999</v>
      </c>
      <c r="D7281" s="28">
        <v>2.361111111111111E-2</v>
      </c>
    </row>
    <row r="7282" spans="1:4" x14ac:dyDescent="0.25">
      <c r="A7282" s="24" t="s">
        <v>139</v>
      </c>
      <c r="B7282" s="24" t="s">
        <v>144</v>
      </c>
      <c r="C7282" s="32">
        <v>63.414999999999999</v>
      </c>
      <c r="D7282" s="28">
        <v>3.4027777777777775E-2</v>
      </c>
    </row>
    <row r="7283" spans="1:4" x14ac:dyDescent="0.25">
      <c r="A7283" s="24" t="s">
        <v>139</v>
      </c>
      <c r="B7283" s="24" t="s">
        <v>145</v>
      </c>
      <c r="C7283" s="32">
        <v>22.838999999999999</v>
      </c>
      <c r="D7283" s="28">
        <v>1.5277777777777777E-2</v>
      </c>
    </row>
    <row r="7284" spans="1:4" x14ac:dyDescent="0.25">
      <c r="A7284" s="24" t="s">
        <v>139</v>
      </c>
      <c r="B7284" s="24" t="s">
        <v>146</v>
      </c>
      <c r="C7284" s="32">
        <v>24.225999999999999</v>
      </c>
      <c r="D7284" s="28">
        <v>1.8055555555555557E-2</v>
      </c>
    </row>
    <row r="7285" spans="1:4" x14ac:dyDescent="0.25">
      <c r="A7285" s="24" t="s">
        <v>139</v>
      </c>
      <c r="B7285" s="24" t="s">
        <v>147</v>
      </c>
      <c r="C7285" s="32">
        <v>32.558999999999997</v>
      </c>
      <c r="D7285" s="28">
        <v>2.361111111111111E-2</v>
      </c>
    </row>
    <row r="7286" spans="1:4" x14ac:dyDescent="0.25">
      <c r="A7286" s="24" t="s">
        <v>139</v>
      </c>
      <c r="B7286" s="24" t="s">
        <v>148</v>
      </c>
      <c r="C7286" s="32">
        <v>30.635999999999999</v>
      </c>
      <c r="D7286" s="28">
        <v>2.361111111111111E-2</v>
      </c>
    </row>
    <row r="7287" spans="1:4" x14ac:dyDescent="0.25">
      <c r="A7287" s="24" t="s">
        <v>139</v>
      </c>
      <c r="B7287" s="24" t="s">
        <v>149</v>
      </c>
      <c r="C7287" s="32">
        <v>25.523</v>
      </c>
      <c r="D7287" s="28">
        <v>2.361111111111111E-2</v>
      </c>
    </row>
    <row r="7288" spans="1:4" x14ac:dyDescent="0.25">
      <c r="A7288" s="24" t="s">
        <v>139</v>
      </c>
      <c r="B7288" s="24" t="s">
        <v>150</v>
      </c>
      <c r="C7288" s="32">
        <v>33.884999999999998</v>
      </c>
      <c r="D7288" s="28">
        <v>2.9861111111111113E-2</v>
      </c>
    </row>
    <row r="7289" spans="1:4" x14ac:dyDescent="0.25">
      <c r="A7289" s="24" t="s">
        <v>139</v>
      </c>
      <c r="B7289" s="24" t="s">
        <v>151</v>
      </c>
      <c r="C7289" s="32">
        <v>32.404000000000003</v>
      </c>
      <c r="D7289" s="28">
        <v>2.9166666666666664E-2</v>
      </c>
    </row>
    <row r="7290" spans="1:4" x14ac:dyDescent="0.25">
      <c r="A7290" s="24" t="s">
        <v>139</v>
      </c>
      <c r="B7290" s="24" t="s">
        <v>152</v>
      </c>
      <c r="C7290" s="32">
        <v>42.402999999999999</v>
      </c>
      <c r="D7290" s="28">
        <v>3.4722222222222224E-2</v>
      </c>
    </row>
    <row r="7291" spans="1:4" x14ac:dyDescent="0.25">
      <c r="A7291" s="24" t="s">
        <v>139</v>
      </c>
      <c r="B7291" s="24" t="s">
        <v>153</v>
      </c>
      <c r="C7291" s="32">
        <v>40.630000000000003</v>
      </c>
      <c r="D7291" s="28">
        <v>3.8194444444444441E-2</v>
      </c>
    </row>
    <row r="7292" spans="1:4" x14ac:dyDescent="0.25">
      <c r="A7292" s="24" t="s">
        <v>139</v>
      </c>
      <c r="B7292" s="24" t="s">
        <v>154</v>
      </c>
      <c r="C7292" s="32">
        <v>35.448</v>
      </c>
      <c r="D7292" s="28">
        <v>3.2638888888888891E-2</v>
      </c>
    </row>
    <row r="7293" spans="1:4" x14ac:dyDescent="0.25">
      <c r="A7293" s="24" t="s">
        <v>139</v>
      </c>
      <c r="B7293" s="24" t="s">
        <v>155</v>
      </c>
      <c r="C7293" s="32">
        <v>33.003999999999998</v>
      </c>
      <c r="D7293" s="28">
        <v>2.9166666666666664E-2</v>
      </c>
    </row>
    <row r="7294" spans="1:4" x14ac:dyDescent="0.25">
      <c r="A7294" s="24" t="s">
        <v>139</v>
      </c>
      <c r="B7294" s="24" t="s">
        <v>156</v>
      </c>
      <c r="C7294" s="32">
        <v>32.988</v>
      </c>
      <c r="D7294" s="28">
        <v>2.9166666666666664E-2</v>
      </c>
    </row>
    <row r="7295" spans="1:4" x14ac:dyDescent="0.25">
      <c r="A7295" s="24" t="s">
        <v>139</v>
      </c>
      <c r="B7295" s="24" t="s">
        <v>157</v>
      </c>
      <c r="C7295" s="32">
        <v>52.276000000000003</v>
      </c>
      <c r="D7295" s="28">
        <v>3.9583333333333331E-2</v>
      </c>
    </row>
    <row r="7296" spans="1:4" x14ac:dyDescent="0.25">
      <c r="A7296" s="24" t="s">
        <v>139</v>
      </c>
      <c r="B7296" s="24" t="s">
        <v>158</v>
      </c>
      <c r="C7296" s="32">
        <v>63.186</v>
      </c>
      <c r="D7296" s="28">
        <v>4.8611111111111112E-2</v>
      </c>
    </row>
    <row r="7297" spans="1:4" x14ac:dyDescent="0.25">
      <c r="A7297" s="24" t="s">
        <v>139</v>
      </c>
      <c r="B7297" s="24" t="s">
        <v>159</v>
      </c>
      <c r="C7297" s="32">
        <v>71.444000000000003</v>
      </c>
      <c r="D7297" s="28">
        <v>5.2777777777777778E-2</v>
      </c>
    </row>
    <row r="7298" spans="1:4" x14ac:dyDescent="0.25">
      <c r="A7298" s="24" t="s">
        <v>140</v>
      </c>
      <c r="B7298" s="24" t="s">
        <v>65</v>
      </c>
      <c r="C7298" s="32">
        <v>32.654000000000003</v>
      </c>
      <c r="D7298" s="28">
        <v>2.1527777777777781E-2</v>
      </c>
    </row>
    <row r="7299" spans="1:4" x14ac:dyDescent="0.25">
      <c r="A7299" s="24" t="s">
        <v>140</v>
      </c>
      <c r="B7299" s="24" t="s">
        <v>64</v>
      </c>
      <c r="C7299" s="32">
        <v>15.079000000000001</v>
      </c>
      <c r="D7299" s="28">
        <v>1.4583333333333332E-2</v>
      </c>
    </row>
    <row r="7300" spans="1:4" x14ac:dyDescent="0.25">
      <c r="A7300" s="24" t="s">
        <v>140</v>
      </c>
      <c r="B7300" s="24" t="s">
        <v>66</v>
      </c>
      <c r="C7300" s="32">
        <v>14.452999999999999</v>
      </c>
      <c r="D7300" s="28">
        <v>1.2499999999999999E-2</v>
      </c>
    </row>
    <row r="7301" spans="1:4" x14ac:dyDescent="0.25">
      <c r="A7301" s="24" t="s">
        <v>140</v>
      </c>
      <c r="B7301" s="24" t="s">
        <v>67</v>
      </c>
      <c r="C7301" s="32">
        <v>10.577999999999999</v>
      </c>
      <c r="D7301" s="28">
        <v>8.3333333333333332E-3</v>
      </c>
    </row>
    <row r="7302" spans="1:4" x14ac:dyDescent="0.25">
      <c r="A7302" s="24" t="s">
        <v>140</v>
      </c>
      <c r="B7302" s="24" t="s">
        <v>68</v>
      </c>
      <c r="C7302" s="32">
        <v>10.442</v>
      </c>
      <c r="D7302" s="28">
        <v>8.3333333333333332E-3</v>
      </c>
    </row>
    <row r="7303" spans="1:4" x14ac:dyDescent="0.25">
      <c r="A7303" s="24" t="s">
        <v>140</v>
      </c>
      <c r="B7303" s="24" t="s">
        <v>69</v>
      </c>
      <c r="C7303" s="32">
        <v>11.242000000000001</v>
      </c>
      <c r="D7303" s="28">
        <v>9.0277777777777787E-3</v>
      </c>
    </row>
    <row r="7304" spans="1:4" x14ac:dyDescent="0.25">
      <c r="A7304" s="24" t="s">
        <v>140</v>
      </c>
      <c r="B7304" s="24" t="s">
        <v>70</v>
      </c>
      <c r="C7304" s="32">
        <v>10.906000000000001</v>
      </c>
      <c r="D7304" s="28">
        <v>8.3333333333333332E-3</v>
      </c>
    </row>
    <row r="7305" spans="1:4" x14ac:dyDescent="0.25">
      <c r="A7305" s="24" t="s">
        <v>140</v>
      </c>
      <c r="B7305" s="24" t="s">
        <v>71</v>
      </c>
      <c r="C7305" s="32">
        <v>10.872999999999999</v>
      </c>
      <c r="D7305" s="28">
        <v>9.7222222222222224E-3</v>
      </c>
    </row>
    <row r="7306" spans="1:4" x14ac:dyDescent="0.25">
      <c r="A7306" s="24" t="s">
        <v>140</v>
      </c>
      <c r="B7306" s="24" t="s">
        <v>72</v>
      </c>
      <c r="C7306" s="32">
        <v>10.042</v>
      </c>
      <c r="D7306" s="28">
        <v>7.6388888888888886E-3</v>
      </c>
    </row>
    <row r="7307" spans="1:4" x14ac:dyDescent="0.25">
      <c r="A7307" s="24" t="s">
        <v>140</v>
      </c>
      <c r="B7307" s="24" t="s">
        <v>73</v>
      </c>
      <c r="C7307" s="32">
        <v>11.148999999999999</v>
      </c>
      <c r="D7307" s="28">
        <v>9.7222222222222224E-3</v>
      </c>
    </row>
    <row r="7308" spans="1:4" x14ac:dyDescent="0.25">
      <c r="A7308" s="24" t="s">
        <v>140</v>
      </c>
      <c r="B7308" s="24" t="s">
        <v>74</v>
      </c>
      <c r="C7308" s="32">
        <v>8.98</v>
      </c>
      <c r="D7308" s="28">
        <v>8.3333333333333332E-3</v>
      </c>
    </row>
    <row r="7309" spans="1:4" x14ac:dyDescent="0.25">
      <c r="A7309" s="24" t="s">
        <v>140</v>
      </c>
      <c r="B7309" s="24" t="s">
        <v>75</v>
      </c>
      <c r="C7309" s="32">
        <v>9.2420000000000009</v>
      </c>
      <c r="D7309" s="28">
        <v>7.6388888888888886E-3</v>
      </c>
    </row>
    <row r="7310" spans="1:4" x14ac:dyDescent="0.25">
      <c r="A7310" s="24" t="s">
        <v>140</v>
      </c>
      <c r="B7310" s="24" t="s">
        <v>76</v>
      </c>
      <c r="C7310" s="32">
        <v>7.5389999999999997</v>
      </c>
      <c r="D7310" s="28">
        <v>7.6388888888888886E-3</v>
      </c>
    </row>
    <row r="7311" spans="1:4" x14ac:dyDescent="0.25">
      <c r="A7311" s="24" t="s">
        <v>140</v>
      </c>
      <c r="B7311" s="24" t="s">
        <v>77</v>
      </c>
      <c r="C7311" s="32">
        <v>13.01</v>
      </c>
      <c r="D7311" s="28">
        <v>9.0277777777777787E-3</v>
      </c>
    </row>
    <row r="7312" spans="1:4" x14ac:dyDescent="0.25">
      <c r="A7312" s="24" t="s">
        <v>140</v>
      </c>
      <c r="B7312" s="24" t="s">
        <v>78</v>
      </c>
      <c r="C7312" s="32">
        <v>13.882999999999999</v>
      </c>
      <c r="D7312" s="28">
        <v>1.1111111111111112E-2</v>
      </c>
    </row>
    <row r="7313" spans="1:4" x14ac:dyDescent="0.25">
      <c r="A7313" s="24" t="s">
        <v>140</v>
      </c>
      <c r="B7313" s="24" t="s">
        <v>79</v>
      </c>
      <c r="C7313" s="32">
        <v>24.738</v>
      </c>
      <c r="D7313" s="28">
        <v>2.2222222222222223E-2</v>
      </c>
    </row>
    <row r="7314" spans="1:4" x14ac:dyDescent="0.25">
      <c r="A7314" s="24" t="s">
        <v>140</v>
      </c>
      <c r="B7314" s="24" t="s">
        <v>80</v>
      </c>
      <c r="C7314" s="32">
        <v>35.968000000000004</v>
      </c>
      <c r="D7314" s="28">
        <v>2.4305555555555556E-2</v>
      </c>
    </row>
    <row r="7315" spans="1:4" x14ac:dyDescent="0.25">
      <c r="A7315" s="24" t="s">
        <v>140</v>
      </c>
      <c r="B7315" s="24" t="s">
        <v>81</v>
      </c>
      <c r="C7315" s="32">
        <v>38.247</v>
      </c>
      <c r="D7315" s="28">
        <v>2.2222222222222223E-2</v>
      </c>
    </row>
    <row r="7316" spans="1:4" x14ac:dyDescent="0.25">
      <c r="A7316" s="24" t="s">
        <v>140</v>
      </c>
      <c r="B7316" s="24" t="s">
        <v>82</v>
      </c>
      <c r="C7316" s="32">
        <v>38.298999999999999</v>
      </c>
      <c r="D7316" s="28">
        <v>2.2222222222222223E-2</v>
      </c>
    </row>
    <row r="7317" spans="1:4" x14ac:dyDescent="0.25">
      <c r="A7317" s="24" t="s">
        <v>140</v>
      </c>
      <c r="B7317" s="24" t="s">
        <v>83</v>
      </c>
      <c r="C7317" s="32">
        <v>16.085999999999999</v>
      </c>
      <c r="D7317" s="28">
        <v>1.4583333333333332E-2</v>
      </c>
    </row>
    <row r="7318" spans="1:4" x14ac:dyDescent="0.25">
      <c r="A7318" s="24" t="s">
        <v>140</v>
      </c>
      <c r="B7318" s="24" t="s">
        <v>84</v>
      </c>
      <c r="C7318" s="32">
        <v>11.082000000000001</v>
      </c>
      <c r="D7318" s="28">
        <v>9.7222222222222224E-3</v>
      </c>
    </row>
    <row r="7319" spans="1:4" x14ac:dyDescent="0.25">
      <c r="A7319" s="24" t="s">
        <v>140</v>
      </c>
      <c r="B7319" s="24" t="s">
        <v>85</v>
      </c>
      <c r="C7319" s="32">
        <v>11.263999999999999</v>
      </c>
      <c r="D7319" s="28">
        <v>1.0416666666666666E-2</v>
      </c>
    </row>
    <row r="7320" spans="1:4" x14ac:dyDescent="0.25">
      <c r="A7320" s="24" t="s">
        <v>140</v>
      </c>
      <c r="B7320" s="24" t="s">
        <v>86</v>
      </c>
      <c r="C7320" s="32">
        <v>14.754</v>
      </c>
      <c r="D7320" s="28">
        <v>1.3194444444444444E-2</v>
      </c>
    </row>
    <row r="7321" spans="1:4" x14ac:dyDescent="0.25">
      <c r="A7321" s="24" t="s">
        <v>140</v>
      </c>
      <c r="B7321" s="24" t="s">
        <v>87</v>
      </c>
      <c r="C7321" s="32">
        <v>14.897</v>
      </c>
      <c r="D7321" s="28">
        <v>1.3194444444444444E-2</v>
      </c>
    </row>
    <row r="7322" spans="1:4" x14ac:dyDescent="0.25">
      <c r="A7322" s="24" t="s">
        <v>140</v>
      </c>
      <c r="B7322" s="24" t="s">
        <v>88</v>
      </c>
      <c r="C7322" s="32">
        <v>16.704999999999998</v>
      </c>
      <c r="D7322" s="28">
        <v>1.5277777777777777E-2</v>
      </c>
    </row>
    <row r="7323" spans="1:4" x14ac:dyDescent="0.25">
      <c r="A7323" s="24" t="s">
        <v>140</v>
      </c>
      <c r="B7323" s="24" t="s">
        <v>89</v>
      </c>
      <c r="C7323" s="32">
        <v>18.690999999999999</v>
      </c>
      <c r="D7323" s="28">
        <v>1.8749999999999999E-2</v>
      </c>
    </row>
    <row r="7324" spans="1:4" x14ac:dyDescent="0.25">
      <c r="A7324" s="24" t="s">
        <v>140</v>
      </c>
      <c r="B7324" s="24" t="s">
        <v>90</v>
      </c>
      <c r="C7324" s="32">
        <v>35.591000000000001</v>
      </c>
      <c r="D7324" s="28">
        <v>2.361111111111111E-2</v>
      </c>
    </row>
    <row r="7325" spans="1:4" x14ac:dyDescent="0.25">
      <c r="A7325" s="24" t="s">
        <v>140</v>
      </c>
      <c r="B7325" s="24" t="s">
        <v>91</v>
      </c>
      <c r="C7325" s="32">
        <v>17.584</v>
      </c>
      <c r="D7325" s="28">
        <v>1.7361111111111112E-2</v>
      </c>
    </row>
    <row r="7326" spans="1:4" x14ac:dyDescent="0.25">
      <c r="A7326" s="24" t="s">
        <v>140</v>
      </c>
      <c r="B7326" s="24" t="s">
        <v>92</v>
      </c>
      <c r="C7326" s="32">
        <v>34.04</v>
      </c>
      <c r="D7326" s="28">
        <v>2.361111111111111E-2</v>
      </c>
    </row>
    <row r="7327" spans="1:4" x14ac:dyDescent="0.25">
      <c r="A7327" s="24" t="s">
        <v>140</v>
      </c>
      <c r="B7327" s="24" t="s">
        <v>93</v>
      </c>
      <c r="C7327" s="32">
        <v>57.771000000000001</v>
      </c>
      <c r="D7327" s="28">
        <v>3.6805555555555557E-2</v>
      </c>
    </row>
    <row r="7328" spans="1:4" x14ac:dyDescent="0.25">
      <c r="A7328" s="24" t="s">
        <v>140</v>
      </c>
      <c r="B7328" s="24" t="s">
        <v>94</v>
      </c>
      <c r="C7328" s="32">
        <v>58.4</v>
      </c>
      <c r="D7328" s="28">
        <v>3.7499999999999999E-2</v>
      </c>
    </row>
    <row r="7329" spans="1:4" x14ac:dyDescent="0.25">
      <c r="A7329" s="24" t="s">
        <v>140</v>
      </c>
      <c r="B7329" s="24" t="s">
        <v>95</v>
      </c>
      <c r="C7329" s="32">
        <v>35.497</v>
      </c>
      <c r="D7329" s="28">
        <v>2.5694444444444447E-2</v>
      </c>
    </row>
    <row r="7330" spans="1:4" x14ac:dyDescent="0.25">
      <c r="A7330" s="24" t="s">
        <v>140</v>
      </c>
      <c r="B7330" s="24" t="s">
        <v>96</v>
      </c>
      <c r="C7330" s="32">
        <v>28.968</v>
      </c>
      <c r="D7330" s="28">
        <v>2.5694444444444447E-2</v>
      </c>
    </row>
    <row r="7331" spans="1:4" x14ac:dyDescent="0.25">
      <c r="A7331" s="24" t="s">
        <v>140</v>
      </c>
      <c r="B7331" s="24" t="s">
        <v>97</v>
      </c>
      <c r="C7331" s="32">
        <v>36.26</v>
      </c>
      <c r="D7331" s="28">
        <v>3.2638888888888891E-2</v>
      </c>
    </row>
    <row r="7332" spans="1:4" x14ac:dyDescent="0.25">
      <c r="A7332" s="24" t="s">
        <v>140</v>
      </c>
      <c r="B7332" s="24" t="s">
        <v>98</v>
      </c>
      <c r="C7332" s="32">
        <v>35.755000000000003</v>
      </c>
      <c r="D7332" s="28">
        <v>2.9861111111111113E-2</v>
      </c>
    </row>
    <row r="7333" spans="1:4" x14ac:dyDescent="0.25">
      <c r="A7333" s="24" t="s">
        <v>140</v>
      </c>
      <c r="B7333" s="24" t="s">
        <v>99</v>
      </c>
      <c r="C7333" s="32">
        <v>37.520000000000003</v>
      </c>
      <c r="D7333" s="28">
        <v>3.4722222222222224E-2</v>
      </c>
    </row>
    <row r="7334" spans="1:4" x14ac:dyDescent="0.25">
      <c r="A7334" s="24" t="s">
        <v>140</v>
      </c>
      <c r="B7334" s="24" t="s">
        <v>100</v>
      </c>
      <c r="C7334" s="32">
        <v>40.582999999999998</v>
      </c>
      <c r="D7334" s="28">
        <v>2.7083333333333334E-2</v>
      </c>
    </row>
    <row r="7335" spans="1:4" x14ac:dyDescent="0.25">
      <c r="A7335" s="24" t="s">
        <v>140</v>
      </c>
      <c r="B7335" s="24" t="s">
        <v>101</v>
      </c>
      <c r="C7335" s="32">
        <v>42.22</v>
      </c>
      <c r="D7335" s="28">
        <v>3.0555555555555555E-2</v>
      </c>
    </row>
    <row r="7336" spans="1:4" x14ac:dyDescent="0.25">
      <c r="A7336" s="24" t="s">
        <v>140</v>
      </c>
      <c r="B7336" s="24" t="s">
        <v>102</v>
      </c>
      <c r="C7336" s="32">
        <v>41.646999999999998</v>
      </c>
      <c r="D7336" s="28">
        <v>2.9861111111111113E-2</v>
      </c>
    </row>
    <row r="7337" spans="1:4" x14ac:dyDescent="0.25">
      <c r="A7337" s="24" t="s">
        <v>140</v>
      </c>
      <c r="B7337" s="24" t="s">
        <v>103</v>
      </c>
      <c r="C7337" s="32">
        <v>24.056000000000001</v>
      </c>
      <c r="D7337" s="28">
        <v>2.1527777777777781E-2</v>
      </c>
    </row>
    <row r="7338" spans="1:4" x14ac:dyDescent="0.25">
      <c r="A7338" s="24" t="s">
        <v>140</v>
      </c>
      <c r="B7338" s="24" t="s">
        <v>104</v>
      </c>
      <c r="C7338" s="32">
        <v>31.262</v>
      </c>
      <c r="D7338" s="28">
        <v>2.1527777777777781E-2</v>
      </c>
    </row>
    <row r="7339" spans="1:4" x14ac:dyDescent="0.25">
      <c r="A7339" s="24" t="s">
        <v>140</v>
      </c>
      <c r="B7339" s="24" t="s">
        <v>105</v>
      </c>
      <c r="C7339" s="32">
        <v>20.768999999999998</v>
      </c>
      <c r="D7339" s="28">
        <v>2.361111111111111E-2</v>
      </c>
    </row>
    <row r="7340" spans="1:4" x14ac:dyDescent="0.25">
      <c r="A7340" s="24" t="s">
        <v>140</v>
      </c>
      <c r="B7340" s="24" t="s">
        <v>106</v>
      </c>
      <c r="C7340" s="32">
        <v>20.998999999999999</v>
      </c>
      <c r="D7340" s="28">
        <v>1.9444444444444445E-2</v>
      </c>
    </row>
    <row r="7341" spans="1:4" x14ac:dyDescent="0.25">
      <c r="A7341" s="24" t="s">
        <v>140</v>
      </c>
      <c r="B7341" s="24" t="s">
        <v>107</v>
      </c>
      <c r="C7341" s="32">
        <v>19.201000000000001</v>
      </c>
      <c r="D7341" s="28">
        <v>1.5972222222222224E-2</v>
      </c>
    </row>
    <row r="7342" spans="1:4" x14ac:dyDescent="0.25">
      <c r="A7342" s="24" t="s">
        <v>140</v>
      </c>
      <c r="B7342" s="24" t="s">
        <v>108</v>
      </c>
      <c r="C7342" s="32">
        <v>17.587</v>
      </c>
      <c r="D7342" s="28">
        <v>1.3194444444444444E-2</v>
      </c>
    </row>
    <row r="7343" spans="1:4" x14ac:dyDescent="0.25">
      <c r="A7343" s="24" t="s">
        <v>140</v>
      </c>
      <c r="B7343" s="24" t="s">
        <v>109</v>
      </c>
      <c r="C7343" s="32">
        <v>17.617000000000001</v>
      </c>
      <c r="D7343" s="28">
        <v>1.3194444444444444E-2</v>
      </c>
    </row>
    <row r="7344" spans="1:4" x14ac:dyDescent="0.25">
      <c r="A7344" s="24" t="s">
        <v>140</v>
      </c>
      <c r="B7344" s="24" t="s">
        <v>110</v>
      </c>
      <c r="C7344" s="32">
        <v>20.827999999999999</v>
      </c>
      <c r="D7344" s="28">
        <v>1.9444444444444445E-2</v>
      </c>
    </row>
    <row r="7345" spans="1:4" x14ac:dyDescent="0.25">
      <c r="A7345" s="24" t="s">
        <v>140</v>
      </c>
      <c r="B7345" s="24" t="s">
        <v>111</v>
      </c>
      <c r="C7345" s="32">
        <v>22.523</v>
      </c>
      <c r="D7345" s="28">
        <v>2.013888888888889E-2</v>
      </c>
    </row>
    <row r="7346" spans="1:4" x14ac:dyDescent="0.25">
      <c r="A7346" s="24" t="s">
        <v>140</v>
      </c>
      <c r="B7346" s="24" t="s">
        <v>112</v>
      </c>
      <c r="C7346" s="32">
        <v>19.646000000000001</v>
      </c>
      <c r="D7346" s="28">
        <v>1.3888888888888888E-2</v>
      </c>
    </row>
    <row r="7347" spans="1:4" x14ac:dyDescent="0.25">
      <c r="A7347" s="24" t="s">
        <v>140</v>
      </c>
      <c r="B7347" s="24" t="s">
        <v>113</v>
      </c>
      <c r="C7347" s="32">
        <v>16.779</v>
      </c>
      <c r="D7347" s="28">
        <v>1.1805555555555555E-2</v>
      </c>
    </row>
    <row r="7348" spans="1:4" x14ac:dyDescent="0.25">
      <c r="A7348" s="24" t="s">
        <v>140</v>
      </c>
      <c r="B7348" s="24" t="s">
        <v>114</v>
      </c>
      <c r="C7348" s="32">
        <v>39.034999999999997</v>
      </c>
      <c r="D7348" s="28">
        <v>2.4999999999999998E-2</v>
      </c>
    </row>
    <row r="7349" spans="1:4" x14ac:dyDescent="0.25">
      <c r="A7349" s="24" t="s">
        <v>140</v>
      </c>
      <c r="B7349" s="24" t="s">
        <v>115</v>
      </c>
      <c r="C7349" s="32">
        <v>38.886000000000003</v>
      </c>
      <c r="D7349" s="28">
        <v>2.5694444444444447E-2</v>
      </c>
    </row>
    <row r="7350" spans="1:4" x14ac:dyDescent="0.25">
      <c r="A7350" s="24" t="s">
        <v>140</v>
      </c>
      <c r="B7350" s="24" t="s">
        <v>116</v>
      </c>
      <c r="C7350" s="32">
        <v>33.036000000000001</v>
      </c>
      <c r="D7350" s="28">
        <v>2.2916666666666669E-2</v>
      </c>
    </row>
    <row r="7351" spans="1:4" x14ac:dyDescent="0.25">
      <c r="A7351" s="24" t="s">
        <v>140</v>
      </c>
      <c r="B7351" s="24" t="s">
        <v>117</v>
      </c>
      <c r="C7351" s="32">
        <v>40.158000000000001</v>
      </c>
      <c r="D7351" s="28">
        <v>2.4999999999999998E-2</v>
      </c>
    </row>
    <row r="7352" spans="1:4" x14ac:dyDescent="0.25">
      <c r="A7352" s="24" t="s">
        <v>140</v>
      </c>
      <c r="B7352" s="24" t="s">
        <v>118</v>
      </c>
      <c r="C7352" s="32">
        <v>26.483000000000001</v>
      </c>
      <c r="D7352" s="28">
        <v>1.6666666666666666E-2</v>
      </c>
    </row>
    <row r="7353" spans="1:4" x14ac:dyDescent="0.25">
      <c r="A7353" s="24" t="s">
        <v>140</v>
      </c>
      <c r="B7353" s="24" t="s">
        <v>119</v>
      </c>
      <c r="C7353" s="32">
        <v>31.140999999999998</v>
      </c>
      <c r="D7353" s="28">
        <v>1.9444444444444445E-2</v>
      </c>
    </row>
    <row r="7354" spans="1:4" x14ac:dyDescent="0.25">
      <c r="A7354" s="24" t="s">
        <v>140</v>
      </c>
      <c r="B7354" s="24" t="s">
        <v>120</v>
      </c>
      <c r="C7354" s="32">
        <v>33.930999999999997</v>
      </c>
      <c r="D7354" s="28">
        <v>2.2222222222222223E-2</v>
      </c>
    </row>
    <row r="7355" spans="1:4" x14ac:dyDescent="0.25">
      <c r="A7355" s="24" t="s">
        <v>140</v>
      </c>
      <c r="B7355" s="24" t="s">
        <v>121</v>
      </c>
      <c r="C7355" s="32">
        <v>48.281999999999996</v>
      </c>
      <c r="D7355" s="28">
        <v>2.9166666666666664E-2</v>
      </c>
    </row>
    <row r="7356" spans="1:4" x14ac:dyDescent="0.25">
      <c r="A7356" s="24" t="s">
        <v>140</v>
      </c>
      <c r="B7356" s="24" t="s">
        <v>122</v>
      </c>
      <c r="C7356" s="32">
        <v>46.735999999999997</v>
      </c>
      <c r="D7356" s="28">
        <v>2.8472222222222222E-2</v>
      </c>
    </row>
    <row r="7357" spans="1:4" x14ac:dyDescent="0.25">
      <c r="A7357" s="24" t="s">
        <v>140</v>
      </c>
      <c r="B7357" s="24" t="s">
        <v>123</v>
      </c>
      <c r="C7357" s="32">
        <v>41.866999999999997</v>
      </c>
      <c r="D7357" s="28">
        <v>2.5694444444444447E-2</v>
      </c>
    </row>
    <row r="7358" spans="1:4" x14ac:dyDescent="0.25">
      <c r="A7358" s="24" t="s">
        <v>140</v>
      </c>
      <c r="B7358" s="24" t="s">
        <v>124</v>
      </c>
      <c r="C7358" s="32">
        <v>41.866999999999997</v>
      </c>
      <c r="D7358" s="28">
        <v>2.5694444444444447E-2</v>
      </c>
    </row>
    <row r="7359" spans="1:4" x14ac:dyDescent="0.25">
      <c r="A7359" s="24" t="s">
        <v>140</v>
      </c>
      <c r="B7359" s="24" t="s">
        <v>125</v>
      </c>
      <c r="C7359" s="32">
        <v>18.184000000000001</v>
      </c>
      <c r="D7359" s="28">
        <v>1.8749999999999999E-2</v>
      </c>
    </row>
    <row r="7360" spans="1:4" x14ac:dyDescent="0.25">
      <c r="A7360" s="24" t="s">
        <v>140</v>
      </c>
      <c r="B7360" s="24" t="s">
        <v>126</v>
      </c>
      <c r="C7360" s="32">
        <v>17.922000000000001</v>
      </c>
      <c r="D7360" s="28">
        <v>1.8055555555555557E-2</v>
      </c>
    </row>
    <row r="7361" spans="1:4" x14ac:dyDescent="0.25">
      <c r="A7361" s="24" t="s">
        <v>140</v>
      </c>
      <c r="B7361" s="24" t="s">
        <v>127</v>
      </c>
      <c r="C7361" s="32">
        <v>18.667000000000002</v>
      </c>
      <c r="D7361" s="28">
        <v>1.8749999999999999E-2</v>
      </c>
    </row>
    <row r="7362" spans="1:4" x14ac:dyDescent="0.25">
      <c r="A7362" s="24" t="s">
        <v>140</v>
      </c>
      <c r="B7362" s="24" t="s">
        <v>128</v>
      </c>
      <c r="C7362" s="32">
        <v>18.331</v>
      </c>
      <c r="D7362" s="28">
        <v>1.8055555555555557E-2</v>
      </c>
    </row>
    <row r="7363" spans="1:4" x14ac:dyDescent="0.25">
      <c r="A7363" s="24" t="s">
        <v>140</v>
      </c>
      <c r="B7363" s="24" t="s">
        <v>129</v>
      </c>
      <c r="C7363" s="32">
        <v>18.331</v>
      </c>
      <c r="D7363" s="28">
        <v>1.8055555555555557E-2</v>
      </c>
    </row>
    <row r="7364" spans="1:4" x14ac:dyDescent="0.25">
      <c r="A7364" s="24" t="s">
        <v>140</v>
      </c>
      <c r="B7364" s="24" t="s">
        <v>130</v>
      </c>
      <c r="C7364" s="32">
        <v>18.585000000000001</v>
      </c>
      <c r="D7364" s="28">
        <v>1.9444444444444445E-2</v>
      </c>
    </row>
    <row r="7365" spans="1:4" x14ac:dyDescent="0.25">
      <c r="A7365" s="24" t="s">
        <v>140</v>
      </c>
      <c r="B7365" s="24" t="s">
        <v>131</v>
      </c>
      <c r="C7365" s="32">
        <v>21.056000000000001</v>
      </c>
      <c r="D7365" s="28">
        <v>2.2222222222222223E-2</v>
      </c>
    </row>
    <row r="7366" spans="1:4" x14ac:dyDescent="0.25">
      <c r="A7366" s="24" t="s">
        <v>140</v>
      </c>
      <c r="B7366" s="24" t="s">
        <v>132</v>
      </c>
      <c r="C7366" s="32">
        <v>17.96</v>
      </c>
      <c r="D7366" s="28">
        <v>1.7361111111111112E-2</v>
      </c>
    </row>
    <row r="7367" spans="1:4" x14ac:dyDescent="0.25">
      <c r="A7367" s="24" t="s">
        <v>140</v>
      </c>
      <c r="B7367" s="24" t="s">
        <v>133</v>
      </c>
      <c r="C7367" s="32">
        <v>12.789</v>
      </c>
      <c r="D7367" s="28">
        <v>1.1111111111111112E-2</v>
      </c>
    </row>
    <row r="7368" spans="1:4" x14ac:dyDescent="0.25">
      <c r="A7368" s="24" t="s">
        <v>140</v>
      </c>
      <c r="B7368" s="24" t="s">
        <v>134</v>
      </c>
      <c r="C7368" s="32">
        <v>12.323</v>
      </c>
      <c r="D7368" s="28">
        <v>1.0416666666666666E-2</v>
      </c>
    </row>
    <row r="7369" spans="1:4" x14ac:dyDescent="0.25">
      <c r="A7369" s="24" t="s">
        <v>140</v>
      </c>
      <c r="B7369" s="24" t="s">
        <v>135</v>
      </c>
      <c r="C7369" s="32">
        <v>10.388</v>
      </c>
      <c r="D7369" s="28">
        <v>9.0277777777777787E-3</v>
      </c>
    </row>
    <row r="7370" spans="1:4" x14ac:dyDescent="0.25">
      <c r="A7370" s="24" t="s">
        <v>140</v>
      </c>
      <c r="B7370" s="24" t="s">
        <v>136</v>
      </c>
      <c r="C7370" s="32">
        <v>10.388</v>
      </c>
      <c r="D7370" s="28">
        <v>9.0277777777777787E-3</v>
      </c>
    </row>
    <row r="7371" spans="1:4" x14ac:dyDescent="0.25">
      <c r="A7371" s="24" t="s">
        <v>140</v>
      </c>
      <c r="B7371" s="24" t="s">
        <v>137</v>
      </c>
      <c r="C7371" s="32">
        <v>11.081</v>
      </c>
      <c r="D7371" s="28">
        <v>1.0416666666666666E-2</v>
      </c>
    </row>
    <row r="7372" spans="1:4" x14ac:dyDescent="0.25">
      <c r="A7372" s="24" t="s">
        <v>140</v>
      </c>
      <c r="B7372" s="24" t="s">
        <v>138</v>
      </c>
      <c r="C7372" s="32">
        <v>12.637</v>
      </c>
      <c r="D7372" s="28">
        <v>9.0277777777777787E-3</v>
      </c>
    </row>
    <row r="7373" spans="1:4" x14ac:dyDescent="0.25">
      <c r="A7373" s="24" t="s">
        <v>140</v>
      </c>
      <c r="B7373" s="24" t="s">
        <v>139</v>
      </c>
      <c r="C7373" s="32">
        <v>9.6850000000000005</v>
      </c>
      <c r="D7373" s="28">
        <v>7.6388888888888886E-3</v>
      </c>
    </row>
    <row r="7374" spans="1:4" x14ac:dyDescent="0.25">
      <c r="A7374" s="24" t="s">
        <v>140</v>
      </c>
      <c r="B7374" s="24" t="s">
        <v>140</v>
      </c>
      <c r="C7374" s="32">
        <v>0</v>
      </c>
      <c r="D7374" s="28">
        <v>0</v>
      </c>
    </row>
    <row r="7375" spans="1:4" x14ac:dyDescent="0.25">
      <c r="A7375" s="24" t="s">
        <v>140</v>
      </c>
      <c r="B7375" s="24" t="s">
        <v>141</v>
      </c>
      <c r="C7375" s="32">
        <v>34.396000000000001</v>
      </c>
      <c r="D7375" s="28">
        <v>2.7083333333333334E-2</v>
      </c>
    </row>
    <row r="7376" spans="1:4" x14ac:dyDescent="0.25">
      <c r="A7376" s="24" t="s">
        <v>140</v>
      </c>
      <c r="B7376" s="24" t="s">
        <v>142</v>
      </c>
      <c r="C7376" s="32">
        <v>30.395</v>
      </c>
      <c r="D7376" s="28">
        <v>2.0833333333333332E-2</v>
      </c>
    </row>
    <row r="7377" spans="1:4" x14ac:dyDescent="0.25">
      <c r="A7377" s="24" t="s">
        <v>140</v>
      </c>
      <c r="B7377" s="24" t="s">
        <v>143</v>
      </c>
      <c r="C7377" s="32">
        <v>48.773000000000003</v>
      </c>
      <c r="D7377" s="28">
        <v>2.8472222222222222E-2</v>
      </c>
    </row>
    <row r="7378" spans="1:4" x14ac:dyDescent="0.25">
      <c r="A7378" s="24" t="s">
        <v>140</v>
      </c>
      <c r="B7378" s="24" t="s">
        <v>144</v>
      </c>
      <c r="C7378" s="32">
        <v>67.888999999999996</v>
      </c>
      <c r="D7378" s="28">
        <v>3.9583333333333331E-2</v>
      </c>
    </row>
    <row r="7379" spans="1:4" x14ac:dyDescent="0.25">
      <c r="A7379" s="24" t="s">
        <v>140</v>
      </c>
      <c r="B7379" s="24" t="s">
        <v>145</v>
      </c>
      <c r="C7379" s="32">
        <v>27.449000000000002</v>
      </c>
      <c r="D7379" s="28">
        <v>1.8055555555555557E-2</v>
      </c>
    </row>
    <row r="7380" spans="1:4" x14ac:dyDescent="0.25">
      <c r="A7380" s="24" t="s">
        <v>140</v>
      </c>
      <c r="B7380" s="24" t="s">
        <v>146</v>
      </c>
      <c r="C7380" s="32">
        <v>33.856999999999999</v>
      </c>
      <c r="D7380" s="28">
        <v>2.4999999999999998E-2</v>
      </c>
    </row>
    <row r="7381" spans="1:4" x14ac:dyDescent="0.25">
      <c r="A7381" s="24" t="s">
        <v>140</v>
      </c>
      <c r="B7381" s="24" t="s">
        <v>147</v>
      </c>
      <c r="C7381" s="32">
        <v>22.417999999999999</v>
      </c>
      <c r="D7381" s="28">
        <v>1.9444444444444445E-2</v>
      </c>
    </row>
    <row r="7382" spans="1:4" x14ac:dyDescent="0.25">
      <c r="A7382" s="24" t="s">
        <v>140</v>
      </c>
      <c r="B7382" s="24" t="s">
        <v>148</v>
      </c>
      <c r="C7382" s="32">
        <v>20.495000000000001</v>
      </c>
      <c r="D7382" s="28">
        <v>1.9444444444444445E-2</v>
      </c>
    </row>
    <row r="7383" spans="1:4" x14ac:dyDescent="0.25">
      <c r="A7383" s="24" t="s">
        <v>140</v>
      </c>
      <c r="B7383" s="24" t="s">
        <v>149</v>
      </c>
      <c r="C7383" s="32">
        <v>19.207000000000001</v>
      </c>
      <c r="D7383" s="28">
        <v>1.8055555555555557E-2</v>
      </c>
    </row>
    <row r="7384" spans="1:4" x14ac:dyDescent="0.25">
      <c r="A7384" s="24" t="s">
        <v>140</v>
      </c>
      <c r="B7384" s="24" t="s">
        <v>150</v>
      </c>
      <c r="C7384" s="32">
        <v>25.457000000000001</v>
      </c>
      <c r="D7384" s="28">
        <v>2.4305555555555556E-2</v>
      </c>
    </row>
    <row r="7385" spans="1:4" x14ac:dyDescent="0.25">
      <c r="A7385" s="24" t="s">
        <v>140</v>
      </c>
      <c r="B7385" s="24" t="s">
        <v>151</v>
      </c>
      <c r="C7385" s="32">
        <v>26.088000000000001</v>
      </c>
      <c r="D7385" s="28">
        <v>2.361111111111111E-2</v>
      </c>
    </row>
    <row r="7386" spans="1:4" x14ac:dyDescent="0.25">
      <c r="A7386" s="24" t="s">
        <v>140</v>
      </c>
      <c r="B7386" s="24" t="s">
        <v>152</v>
      </c>
      <c r="C7386" s="32">
        <v>29.36</v>
      </c>
      <c r="D7386" s="28">
        <v>2.8472222222222222E-2</v>
      </c>
    </row>
    <row r="7387" spans="1:4" x14ac:dyDescent="0.25">
      <c r="A7387" s="24" t="s">
        <v>140</v>
      </c>
      <c r="B7387" s="24" t="s">
        <v>153</v>
      </c>
      <c r="C7387" s="32">
        <v>34.314</v>
      </c>
      <c r="D7387" s="28">
        <v>3.2638888888888891E-2</v>
      </c>
    </row>
    <row r="7388" spans="1:4" x14ac:dyDescent="0.25">
      <c r="A7388" s="24" t="s">
        <v>140</v>
      </c>
      <c r="B7388" s="24" t="s">
        <v>154</v>
      </c>
      <c r="C7388" s="32">
        <v>29.132000000000001</v>
      </c>
      <c r="D7388" s="28">
        <v>2.6388888888888889E-2</v>
      </c>
    </row>
    <row r="7389" spans="1:4" x14ac:dyDescent="0.25">
      <c r="A7389" s="24" t="s">
        <v>140</v>
      </c>
      <c r="B7389" s="24" t="s">
        <v>155</v>
      </c>
      <c r="C7389" s="32">
        <v>24.776</v>
      </c>
      <c r="D7389" s="28">
        <v>2.361111111111111E-2</v>
      </c>
    </row>
    <row r="7390" spans="1:4" x14ac:dyDescent="0.25">
      <c r="A7390" s="24" t="s">
        <v>140</v>
      </c>
      <c r="B7390" s="24" t="s">
        <v>156</v>
      </c>
      <c r="C7390" s="32">
        <v>24.76</v>
      </c>
      <c r="D7390" s="28">
        <v>2.361111111111111E-2</v>
      </c>
    </row>
    <row r="7391" spans="1:4" x14ac:dyDescent="0.25">
      <c r="A7391" s="24" t="s">
        <v>140</v>
      </c>
      <c r="B7391" s="24" t="s">
        <v>157</v>
      </c>
      <c r="C7391" s="32">
        <v>40.686</v>
      </c>
      <c r="D7391" s="28">
        <v>3.5416666666666666E-2</v>
      </c>
    </row>
    <row r="7392" spans="1:4" x14ac:dyDescent="0.25">
      <c r="A7392" s="24" t="s">
        <v>140</v>
      </c>
      <c r="B7392" s="24" t="s">
        <v>158</v>
      </c>
      <c r="C7392" s="32">
        <v>50.124000000000002</v>
      </c>
      <c r="D7392" s="28">
        <v>4.3055555555555562E-2</v>
      </c>
    </row>
    <row r="7393" spans="1:4" x14ac:dyDescent="0.25">
      <c r="A7393" s="24" t="s">
        <v>140</v>
      </c>
      <c r="B7393" s="24" t="s">
        <v>159</v>
      </c>
      <c r="C7393" s="32">
        <v>55.59</v>
      </c>
      <c r="D7393" s="28">
        <v>4.9305555555555554E-2</v>
      </c>
    </row>
    <row r="7394" spans="1:4" x14ac:dyDescent="0.25">
      <c r="A7394" s="24" t="s">
        <v>141</v>
      </c>
      <c r="B7394" s="24" t="s">
        <v>65</v>
      </c>
      <c r="C7394" s="32">
        <v>59.28</v>
      </c>
      <c r="D7394" s="28">
        <v>4.027777777777778E-2</v>
      </c>
    </row>
    <row r="7395" spans="1:4" x14ac:dyDescent="0.25">
      <c r="A7395" s="24" t="s">
        <v>141</v>
      </c>
      <c r="B7395" s="24" t="s">
        <v>64</v>
      </c>
      <c r="C7395" s="32">
        <v>50.463999999999999</v>
      </c>
      <c r="D7395" s="28">
        <v>3.7499999999999999E-2</v>
      </c>
    </row>
    <row r="7396" spans="1:4" x14ac:dyDescent="0.25">
      <c r="A7396" s="24" t="s">
        <v>141</v>
      </c>
      <c r="B7396" s="24" t="s">
        <v>66</v>
      </c>
      <c r="C7396" s="32">
        <v>44.564</v>
      </c>
      <c r="D7396" s="28">
        <v>3.6111111111111115E-2</v>
      </c>
    </row>
    <row r="7397" spans="1:4" x14ac:dyDescent="0.25">
      <c r="A7397" s="24" t="s">
        <v>141</v>
      </c>
      <c r="B7397" s="24" t="s">
        <v>67</v>
      </c>
      <c r="C7397" s="32">
        <v>40.689</v>
      </c>
      <c r="D7397" s="28">
        <v>3.2638888888888891E-2</v>
      </c>
    </row>
    <row r="7398" spans="1:4" x14ac:dyDescent="0.25">
      <c r="A7398" s="24" t="s">
        <v>141</v>
      </c>
      <c r="B7398" s="24" t="s">
        <v>68</v>
      </c>
      <c r="C7398" s="32">
        <v>40.552999999999997</v>
      </c>
      <c r="D7398" s="28">
        <v>3.2638888888888891E-2</v>
      </c>
    </row>
    <row r="7399" spans="1:4" x14ac:dyDescent="0.25">
      <c r="A7399" s="24" t="s">
        <v>141</v>
      </c>
      <c r="B7399" s="24" t="s">
        <v>69</v>
      </c>
      <c r="C7399" s="32">
        <v>41.353000000000002</v>
      </c>
      <c r="D7399" s="28">
        <v>3.3333333333333333E-2</v>
      </c>
    </row>
    <row r="7400" spans="1:4" x14ac:dyDescent="0.25">
      <c r="A7400" s="24" t="s">
        <v>141</v>
      </c>
      <c r="B7400" s="24" t="s">
        <v>70</v>
      </c>
      <c r="C7400" s="32">
        <v>41.017000000000003</v>
      </c>
      <c r="D7400" s="28">
        <v>3.2638888888888891E-2</v>
      </c>
    </row>
    <row r="7401" spans="1:4" x14ac:dyDescent="0.25">
      <c r="A7401" s="24" t="s">
        <v>141</v>
      </c>
      <c r="B7401" s="24" t="s">
        <v>71</v>
      </c>
      <c r="C7401" s="32">
        <v>40.984000000000002</v>
      </c>
      <c r="D7401" s="28">
        <v>3.3333333333333333E-2</v>
      </c>
    </row>
    <row r="7402" spans="1:4" x14ac:dyDescent="0.25">
      <c r="A7402" s="24" t="s">
        <v>141</v>
      </c>
      <c r="B7402" s="24" t="s">
        <v>72</v>
      </c>
      <c r="C7402" s="32">
        <v>40.152999999999999</v>
      </c>
      <c r="D7402" s="28">
        <v>3.1944444444444449E-2</v>
      </c>
    </row>
    <row r="7403" spans="1:4" x14ac:dyDescent="0.25">
      <c r="A7403" s="24" t="s">
        <v>141</v>
      </c>
      <c r="B7403" s="24" t="s">
        <v>73</v>
      </c>
      <c r="C7403" s="32">
        <v>41.26</v>
      </c>
      <c r="D7403" s="28">
        <v>3.4027777777777775E-2</v>
      </c>
    </row>
    <row r="7404" spans="1:4" x14ac:dyDescent="0.25">
      <c r="A7404" s="24" t="s">
        <v>141</v>
      </c>
      <c r="B7404" s="24" t="s">
        <v>74</v>
      </c>
      <c r="C7404" s="32">
        <v>39.091000000000001</v>
      </c>
      <c r="D7404" s="28">
        <v>3.2638888888888891E-2</v>
      </c>
    </row>
    <row r="7405" spans="1:4" x14ac:dyDescent="0.25">
      <c r="A7405" s="24" t="s">
        <v>141</v>
      </c>
      <c r="B7405" s="24" t="s">
        <v>75</v>
      </c>
      <c r="C7405" s="32">
        <v>39.353000000000002</v>
      </c>
      <c r="D7405" s="28">
        <v>3.1944444444444449E-2</v>
      </c>
    </row>
    <row r="7406" spans="1:4" x14ac:dyDescent="0.25">
      <c r="A7406" s="24" t="s">
        <v>141</v>
      </c>
      <c r="B7406" s="24" t="s">
        <v>76</v>
      </c>
      <c r="C7406" s="32">
        <v>34.725000000000001</v>
      </c>
      <c r="D7406" s="28">
        <v>3.125E-2</v>
      </c>
    </row>
    <row r="7407" spans="1:4" x14ac:dyDescent="0.25">
      <c r="A7407" s="24" t="s">
        <v>141</v>
      </c>
      <c r="B7407" s="24" t="s">
        <v>77</v>
      </c>
      <c r="C7407" s="32">
        <v>43.121000000000002</v>
      </c>
      <c r="D7407" s="28">
        <v>3.3333333333333333E-2</v>
      </c>
    </row>
    <row r="7408" spans="1:4" x14ac:dyDescent="0.25">
      <c r="A7408" s="24" t="s">
        <v>141</v>
      </c>
      <c r="B7408" s="24" t="s">
        <v>78</v>
      </c>
      <c r="C7408" s="32">
        <v>43.994</v>
      </c>
      <c r="D7408" s="28">
        <v>3.5416666666666666E-2</v>
      </c>
    </row>
    <row r="7409" spans="1:4" x14ac:dyDescent="0.25">
      <c r="A7409" s="24" t="s">
        <v>141</v>
      </c>
      <c r="B7409" s="24" t="s">
        <v>79</v>
      </c>
      <c r="C7409" s="32">
        <v>59.402999999999999</v>
      </c>
      <c r="D7409" s="28">
        <v>4.5138888888888888E-2</v>
      </c>
    </row>
    <row r="7410" spans="1:4" x14ac:dyDescent="0.25">
      <c r="A7410" s="24" t="s">
        <v>141</v>
      </c>
      <c r="B7410" s="24" t="s">
        <v>80</v>
      </c>
      <c r="C7410" s="32">
        <v>62.594000000000001</v>
      </c>
      <c r="D7410" s="28">
        <v>4.3055555555555562E-2</v>
      </c>
    </row>
    <row r="7411" spans="1:4" x14ac:dyDescent="0.25">
      <c r="A7411" s="24" t="s">
        <v>141</v>
      </c>
      <c r="B7411" s="24" t="s">
        <v>81</v>
      </c>
      <c r="C7411" s="32">
        <v>64.853999999999999</v>
      </c>
      <c r="D7411" s="28">
        <v>4.3055555555555562E-2</v>
      </c>
    </row>
    <row r="7412" spans="1:4" x14ac:dyDescent="0.25">
      <c r="A7412" s="24" t="s">
        <v>141</v>
      </c>
      <c r="B7412" s="24" t="s">
        <v>82</v>
      </c>
      <c r="C7412" s="32">
        <v>64.906000000000006</v>
      </c>
      <c r="D7412" s="28">
        <v>4.3055555555555562E-2</v>
      </c>
    </row>
    <row r="7413" spans="1:4" x14ac:dyDescent="0.25">
      <c r="A7413" s="24" t="s">
        <v>141</v>
      </c>
      <c r="B7413" s="24" t="s">
        <v>83</v>
      </c>
      <c r="C7413" s="32">
        <v>48.656999999999996</v>
      </c>
      <c r="D7413" s="28">
        <v>3.6111111111111115E-2</v>
      </c>
    </row>
    <row r="7414" spans="1:4" x14ac:dyDescent="0.25">
      <c r="A7414" s="24" t="s">
        <v>141</v>
      </c>
      <c r="B7414" s="24" t="s">
        <v>84</v>
      </c>
      <c r="C7414" s="32">
        <v>46.13</v>
      </c>
      <c r="D7414" s="28">
        <v>3.1944444444444449E-2</v>
      </c>
    </row>
    <row r="7415" spans="1:4" x14ac:dyDescent="0.25">
      <c r="A7415" s="24" t="s">
        <v>141</v>
      </c>
      <c r="B7415" s="24" t="s">
        <v>85</v>
      </c>
      <c r="C7415" s="32">
        <v>45.764000000000003</v>
      </c>
      <c r="D7415" s="28">
        <v>3.2638888888888891E-2</v>
      </c>
    </row>
    <row r="7416" spans="1:4" x14ac:dyDescent="0.25">
      <c r="A7416" s="24" t="s">
        <v>141</v>
      </c>
      <c r="B7416" s="24" t="s">
        <v>86</v>
      </c>
      <c r="C7416" s="32">
        <v>45.704000000000001</v>
      </c>
      <c r="D7416" s="28">
        <v>3.4027777777777775E-2</v>
      </c>
    </row>
    <row r="7417" spans="1:4" x14ac:dyDescent="0.25">
      <c r="A7417" s="24" t="s">
        <v>141</v>
      </c>
      <c r="B7417" s="24" t="s">
        <v>87</v>
      </c>
      <c r="C7417" s="32">
        <v>45.481999999999999</v>
      </c>
      <c r="D7417" s="28">
        <v>3.3333333333333333E-2</v>
      </c>
    </row>
    <row r="7418" spans="1:4" x14ac:dyDescent="0.25">
      <c r="A7418" s="24" t="s">
        <v>141</v>
      </c>
      <c r="B7418" s="24" t="s">
        <v>88</v>
      </c>
      <c r="C7418" s="32">
        <v>46.561</v>
      </c>
      <c r="D7418" s="28">
        <v>3.4027777777777775E-2</v>
      </c>
    </row>
    <row r="7419" spans="1:4" x14ac:dyDescent="0.25">
      <c r="A7419" s="24" t="s">
        <v>141</v>
      </c>
      <c r="B7419" s="24" t="s">
        <v>89</v>
      </c>
      <c r="C7419" s="32">
        <v>50.25</v>
      </c>
      <c r="D7419" s="28">
        <v>3.888888888888889E-2</v>
      </c>
    </row>
    <row r="7420" spans="1:4" x14ac:dyDescent="0.25">
      <c r="A7420" s="24" t="s">
        <v>141</v>
      </c>
      <c r="B7420" s="24" t="s">
        <v>90</v>
      </c>
      <c r="C7420" s="32">
        <v>62.216999999999999</v>
      </c>
      <c r="D7420" s="28">
        <v>4.3055555555555562E-2</v>
      </c>
    </row>
    <row r="7421" spans="1:4" x14ac:dyDescent="0.25">
      <c r="A7421" s="24" t="s">
        <v>141</v>
      </c>
      <c r="B7421" s="24" t="s">
        <v>91</v>
      </c>
      <c r="C7421" s="32">
        <v>48.109000000000002</v>
      </c>
      <c r="D7421" s="28">
        <v>3.6111111111111115E-2</v>
      </c>
    </row>
    <row r="7422" spans="1:4" x14ac:dyDescent="0.25">
      <c r="A7422" s="24" t="s">
        <v>141</v>
      </c>
      <c r="B7422" s="24" t="s">
        <v>92</v>
      </c>
      <c r="C7422" s="32">
        <v>60.665999999999997</v>
      </c>
      <c r="D7422" s="28">
        <v>4.2361111111111106E-2</v>
      </c>
    </row>
    <row r="7423" spans="1:4" x14ac:dyDescent="0.25">
      <c r="A7423" s="24" t="s">
        <v>141</v>
      </c>
      <c r="B7423" s="24" t="s">
        <v>93</v>
      </c>
      <c r="C7423" s="32">
        <v>84.397000000000006</v>
      </c>
      <c r="D7423" s="28">
        <v>5.5555555555555552E-2</v>
      </c>
    </row>
    <row r="7424" spans="1:4" x14ac:dyDescent="0.25">
      <c r="A7424" s="24" t="s">
        <v>141</v>
      </c>
      <c r="B7424" s="24" t="s">
        <v>94</v>
      </c>
      <c r="C7424" s="32">
        <v>85.025999999999996</v>
      </c>
      <c r="D7424" s="28">
        <v>5.6250000000000001E-2</v>
      </c>
    </row>
    <row r="7425" spans="1:4" x14ac:dyDescent="0.25">
      <c r="A7425" s="24" t="s">
        <v>141</v>
      </c>
      <c r="B7425" s="24" t="s">
        <v>95</v>
      </c>
      <c r="C7425" s="32">
        <v>62.122999999999998</v>
      </c>
      <c r="D7425" s="28">
        <v>4.4444444444444446E-2</v>
      </c>
    </row>
    <row r="7426" spans="1:4" x14ac:dyDescent="0.25">
      <c r="A7426" s="24" t="s">
        <v>141</v>
      </c>
      <c r="B7426" s="24" t="s">
        <v>96</v>
      </c>
      <c r="C7426" s="32">
        <v>64.352999999999994</v>
      </c>
      <c r="D7426" s="28">
        <v>4.8611111111111112E-2</v>
      </c>
    </row>
    <row r="7427" spans="1:4" x14ac:dyDescent="0.25">
      <c r="A7427" s="24" t="s">
        <v>141</v>
      </c>
      <c r="B7427" s="24" t="s">
        <v>97</v>
      </c>
      <c r="C7427" s="32">
        <v>72.671999999999997</v>
      </c>
      <c r="D7427" s="28">
        <v>5.486111111111111E-2</v>
      </c>
    </row>
    <row r="7428" spans="1:4" x14ac:dyDescent="0.25">
      <c r="A7428" s="24" t="s">
        <v>141</v>
      </c>
      <c r="B7428" s="24" t="s">
        <v>98</v>
      </c>
      <c r="C7428" s="32">
        <v>69.795000000000002</v>
      </c>
      <c r="D7428" s="28">
        <v>4.9999999999999996E-2</v>
      </c>
    </row>
    <row r="7429" spans="1:4" x14ac:dyDescent="0.25">
      <c r="A7429" s="24" t="s">
        <v>141</v>
      </c>
      <c r="B7429" s="24" t="s">
        <v>99</v>
      </c>
      <c r="C7429" s="32">
        <v>74.215000000000003</v>
      </c>
      <c r="D7429" s="28">
        <v>5.2777777777777778E-2</v>
      </c>
    </row>
    <row r="7430" spans="1:4" x14ac:dyDescent="0.25">
      <c r="A7430" s="24" t="s">
        <v>141</v>
      </c>
      <c r="B7430" s="24" t="s">
        <v>100</v>
      </c>
      <c r="C7430" s="32">
        <v>67.209000000000003</v>
      </c>
      <c r="D7430" s="28">
        <v>4.6527777777777779E-2</v>
      </c>
    </row>
    <row r="7431" spans="1:4" x14ac:dyDescent="0.25">
      <c r="A7431" s="24" t="s">
        <v>141</v>
      </c>
      <c r="B7431" s="24" t="s">
        <v>101</v>
      </c>
      <c r="C7431" s="32">
        <v>68.846000000000004</v>
      </c>
      <c r="D7431" s="28">
        <v>4.9305555555555554E-2</v>
      </c>
    </row>
    <row r="7432" spans="1:4" x14ac:dyDescent="0.25">
      <c r="A7432" s="24" t="s">
        <v>141</v>
      </c>
      <c r="B7432" s="24" t="s">
        <v>102</v>
      </c>
      <c r="C7432" s="32">
        <v>68.272999999999996</v>
      </c>
      <c r="D7432" s="28">
        <v>4.8611111111111112E-2</v>
      </c>
    </row>
    <row r="7433" spans="1:4" x14ac:dyDescent="0.25">
      <c r="A7433" s="24" t="s">
        <v>141</v>
      </c>
      <c r="B7433" s="24" t="s">
        <v>103</v>
      </c>
      <c r="C7433" s="32">
        <v>56.405000000000001</v>
      </c>
      <c r="D7433" s="28">
        <v>4.027777777777778E-2</v>
      </c>
    </row>
    <row r="7434" spans="1:4" x14ac:dyDescent="0.25">
      <c r="A7434" s="24" t="s">
        <v>141</v>
      </c>
      <c r="B7434" s="24" t="s">
        <v>104</v>
      </c>
      <c r="C7434" s="32">
        <v>57.887999999999998</v>
      </c>
      <c r="D7434" s="28">
        <v>4.027777777777778E-2</v>
      </c>
    </row>
    <row r="7435" spans="1:4" x14ac:dyDescent="0.25">
      <c r="A7435" s="24" t="s">
        <v>141</v>
      </c>
      <c r="B7435" s="24" t="s">
        <v>105</v>
      </c>
      <c r="C7435" s="32">
        <v>55.234999999999999</v>
      </c>
      <c r="D7435" s="28">
        <v>4.3055555555555562E-2</v>
      </c>
    </row>
    <row r="7436" spans="1:4" x14ac:dyDescent="0.25">
      <c r="A7436" s="24" t="s">
        <v>141</v>
      </c>
      <c r="B7436" s="24" t="s">
        <v>106</v>
      </c>
      <c r="C7436" s="32">
        <v>53.322000000000003</v>
      </c>
      <c r="D7436" s="28">
        <v>4.0972222222222222E-2</v>
      </c>
    </row>
    <row r="7437" spans="1:4" x14ac:dyDescent="0.25">
      <c r="A7437" s="24" t="s">
        <v>141</v>
      </c>
      <c r="B7437" s="24" t="s">
        <v>107</v>
      </c>
      <c r="C7437" s="32">
        <v>45.283999999999999</v>
      </c>
      <c r="D7437" s="28">
        <v>3.4722222222222224E-2</v>
      </c>
    </row>
    <row r="7438" spans="1:4" x14ac:dyDescent="0.25">
      <c r="A7438" s="24" t="s">
        <v>141</v>
      </c>
      <c r="B7438" s="24" t="s">
        <v>108</v>
      </c>
      <c r="C7438" s="32">
        <v>43.67</v>
      </c>
      <c r="D7438" s="28">
        <v>3.1944444444444449E-2</v>
      </c>
    </row>
    <row r="7439" spans="1:4" x14ac:dyDescent="0.25">
      <c r="A7439" s="24" t="s">
        <v>141</v>
      </c>
      <c r="B7439" s="24" t="s">
        <v>109</v>
      </c>
      <c r="C7439" s="32">
        <v>43.7</v>
      </c>
      <c r="D7439" s="28">
        <v>3.1944444444444449E-2</v>
      </c>
    </row>
    <row r="7440" spans="1:4" x14ac:dyDescent="0.25">
      <c r="A7440" s="24" t="s">
        <v>141</v>
      </c>
      <c r="B7440" s="24" t="s">
        <v>110</v>
      </c>
      <c r="C7440" s="32">
        <v>53.274999999999999</v>
      </c>
      <c r="D7440" s="28">
        <v>4.1666666666666664E-2</v>
      </c>
    </row>
    <row r="7441" spans="1:4" x14ac:dyDescent="0.25">
      <c r="A7441" s="24" t="s">
        <v>141</v>
      </c>
      <c r="B7441" s="24" t="s">
        <v>111</v>
      </c>
      <c r="C7441" s="32">
        <v>58.381</v>
      </c>
      <c r="D7441" s="28">
        <v>4.0972222222222222E-2</v>
      </c>
    </row>
    <row r="7442" spans="1:4" x14ac:dyDescent="0.25">
      <c r="A7442" s="24" t="s">
        <v>141</v>
      </c>
      <c r="B7442" s="24" t="s">
        <v>112</v>
      </c>
      <c r="C7442" s="32">
        <v>46.271999999999998</v>
      </c>
      <c r="D7442" s="28">
        <v>3.3333333333333333E-2</v>
      </c>
    </row>
    <row r="7443" spans="1:4" x14ac:dyDescent="0.25">
      <c r="A7443" s="24" t="s">
        <v>141</v>
      </c>
      <c r="B7443" s="24" t="s">
        <v>113</v>
      </c>
      <c r="C7443" s="32">
        <v>43.43</v>
      </c>
      <c r="D7443" s="28">
        <v>3.1944444444444449E-2</v>
      </c>
    </row>
    <row r="7444" spans="1:4" x14ac:dyDescent="0.25">
      <c r="A7444" s="24" t="s">
        <v>141</v>
      </c>
      <c r="B7444" s="24" t="s">
        <v>114</v>
      </c>
      <c r="C7444" s="32">
        <v>65.661000000000001</v>
      </c>
      <c r="D7444" s="28">
        <v>4.4444444444444446E-2</v>
      </c>
    </row>
    <row r="7445" spans="1:4" x14ac:dyDescent="0.25">
      <c r="A7445" s="24" t="s">
        <v>141</v>
      </c>
      <c r="B7445" s="24" t="s">
        <v>115</v>
      </c>
      <c r="C7445" s="32">
        <v>65.512</v>
      </c>
      <c r="D7445" s="28">
        <v>4.5138888888888888E-2</v>
      </c>
    </row>
    <row r="7446" spans="1:4" x14ac:dyDescent="0.25">
      <c r="A7446" s="24" t="s">
        <v>141</v>
      </c>
      <c r="B7446" s="24" t="s">
        <v>116</v>
      </c>
      <c r="C7446" s="32">
        <v>59.661999999999999</v>
      </c>
      <c r="D7446" s="28">
        <v>4.1666666666666664E-2</v>
      </c>
    </row>
    <row r="7447" spans="1:4" x14ac:dyDescent="0.25">
      <c r="A7447" s="24" t="s">
        <v>141</v>
      </c>
      <c r="B7447" s="24" t="s">
        <v>117</v>
      </c>
      <c r="C7447" s="32">
        <v>66.765000000000001</v>
      </c>
      <c r="D7447" s="28">
        <v>4.5138888888888888E-2</v>
      </c>
    </row>
    <row r="7448" spans="1:4" x14ac:dyDescent="0.25">
      <c r="A7448" s="24" t="s">
        <v>141</v>
      </c>
      <c r="B7448" s="24" t="s">
        <v>118</v>
      </c>
      <c r="C7448" s="32">
        <v>52.838000000000001</v>
      </c>
      <c r="D7448" s="28">
        <v>3.5416666666666666E-2</v>
      </c>
    </row>
    <row r="7449" spans="1:4" x14ac:dyDescent="0.25">
      <c r="A7449" s="24" t="s">
        <v>141</v>
      </c>
      <c r="B7449" s="24" t="s">
        <v>119</v>
      </c>
      <c r="C7449" s="32">
        <v>50.353999999999999</v>
      </c>
      <c r="D7449" s="28">
        <v>3.3333333333333333E-2</v>
      </c>
    </row>
    <row r="7450" spans="1:4" x14ac:dyDescent="0.25">
      <c r="A7450" s="24" t="s">
        <v>141</v>
      </c>
      <c r="B7450" s="24" t="s">
        <v>120</v>
      </c>
      <c r="C7450" s="32">
        <v>53.143999999999998</v>
      </c>
      <c r="D7450" s="28">
        <v>3.6805555555555557E-2</v>
      </c>
    </row>
    <row r="7451" spans="1:4" x14ac:dyDescent="0.25">
      <c r="A7451" s="24" t="s">
        <v>141</v>
      </c>
      <c r="B7451" s="24" t="s">
        <v>121</v>
      </c>
      <c r="C7451" s="32">
        <v>67.495000000000005</v>
      </c>
      <c r="D7451" s="28">
        <v>4.3750000000000004E-2</v>
      </c>
    </row>
    <row r="7452" spans="1:4" x14ac:dyDescent="0.25">
      <c r="A7452" s="24" t="s">
        <v>141</v>
      </c>
      <c r="B7452" s="24" t="s">
        <v>122</v>
      </c>
      <c r="C7452" s="32">
        <v>79.313000000000002</v>
      </c>
      <c r="D7452" s="28">
        <v>4.7916666666666663E-2</v>
      </c>
    </row>
    <row r="7453" spans="1:4" x14ac:dyDescent="0.25">
      <c r="A7453" s="24" t="s">
        <v>141</v>
      </c>
      <c r="B7453" s="24" t="s">
        <v>123</v>
      </c>
      <c r="C7453" s="32">
        <v>61.08</v>
      </c>
      <c r="D7453" s="28">
        <v>3.9583333333333331E-2</v>
      </c>
    </row>
    <row r="7454" spans="1:4" x14ac:dyDescent="0.25">
      <c r="A7454" s="24" t="s">
        <v>141</v>
      </c>
      <c r="B7454" s="24" t="s">
        <v>124</v>
      </c>
      <c r="C7454" s="32">
        <v>61.08</v>
      </c>
      <c r="D7454" s="28">
        <v>3.9583333333333331E-2</v>
      </c>
    </row>
    <row r="7455" spans="1:4" x14ac:dyDescent="0.25">
      <c r="A7455" s="24" t="s">
        <v>141</v>
      </c>
      <c r="B7455" s="24" t="s">
        <v>125</v>
      </c>
      <c r="C7455" s="32">
        <v>54.598999999999997</v>
      </c>
      <c r="D7455" s="28">
        <v>4.1666666666666664E-2</v>
      </c>
    </row>
    <row r="7456" spans="1:4" x14ac:dyDescent="0.25">
      <c r="A7456" s="24" t="s">
        <v>141</v>
      </c>
      <c r="B7456" s="24" t="s">
        <v>126</v>
      </c>
      <c r="C7456" s="32">
        <v>54.337000000000003</v>
      </c>
      <c r="D7456" s="28">
        <v>4.0972222222222222E-2</v>
      </c>
    </row>
    <row r="7457" spans="1:4" x14ac:dyDescent="0.25">
      <c r="A7457" s="24" t="s">
        <v>141</v>
      </c>
      <c r="B7457" s="24" t="s">
        <v>127</v>
      </c>
      <c r="C7457" s="32">
        <v>55.082000000000001</v>
      </c>
      <c r="D7457" s="28">
        <v>4.2361111111111106E-2</v>
      </c>
    </row>
    <row r="7458" spans="1:4" x14ac:dyDescent="0.25">
      <c r="A7458" s="24" t="s">
        <v>141</v>
      </c>
      <c r="B7458" s="24" t="s">
        <v>128</v>
      </c>
      <c r="C7458" s="32">
        <v>52.393999999999998</v>
      </c>
      <c r="D7458" s="28">
        <v>4.0972222222222222E-2</v>
      </c>
    </row>
    <row r="7459" spans="1:4" x14ac:dyDescent="0.25">
      <c r="A7459" s="24" t="s">
        <v>141</v>
      </c>
      <c r="B7459" s="24" t="s">
        <v>129</v>
      </c>
      <c r="C7459" s="32">
        <v>52.393999999999998</v>
      </c>
      <c r="D7459" s="28">
        <v>4.0972222222222222E-2</v>
      </c>
    </row>
    <row r="7460" spans="1:4" x14ac:dyDescent="0.25">
      <c r="A7460" s="24" t="s">
        <v>141</v>
      </c>
      <c r="B7460" s="24" t="s">
        <v>130</v>
      </c>
      <c r="C7460" s="32">
        <v>55</v>
      </c>
      <c r="D7460" s="28">
        <v>4.3055555555555562E-2</v>
      </c>
    </row>
    <row r="7461" spans="1:4" x14ac:dyDescent="0.25">
      <c r="A7461" s="24" t="s">
        <v>141</v>
      </c>
      <c r="B7461" s="24" t="s">
        <v>131</v>
      </c>
      <c r="C7461" s="32">
        <v>57.470999999999997</v>
      </c>
      <c r="D7461" s="28">
        <v>4.5138888888888888E-2</v>
      </c>
    </row>
    <row r="7462" spans="1:4" x14ac:dyDescent="0.25">
      <c r="A7462" s="24" t="s">
        <v>141</v>
      </c>
      <c r="B7462" s="24" t="s">
        <v>132</v>
      </c>
      <c r="C7462" s="32">
        <v>48.070999999999998</v>
      </c>
      <c r="D7462" s="28">
        <v>4.1666666666666664E-2</v>
      </c>
    </row>
    <row r="7463" spans="1:4" x14ac:dyDescent="0.25">
      <c r="A7463" s="24" t="s">
        <v>141</v>
      </c>
      <c r="B7463" s="24" t="s">
        <v>133</v>
      </c>
      <c r="C7463" s="32">
        <v>43.570999999999998</v>
      </c>
      <c r="D7463" s="28">
        <v>3.2638888888888891E-2</v>
      </c>
    </row>
    <row r="7464" spans="1:4" x14ac:dyDescent="0.25">
      <c r="A7464" s="24" t="s">
        <v>141</v>
      </c>
      <c r="B7464" s="24" t="s">
        <v>134</v>
      </c>
      <c r="C7464" s="32">
        <v>43.104999999999997</v>
      </c>
      <c r="D7464" s="28">
        <v>3.1944444444444449E-2</v>
      </c>
    </row>
    <row r="7465" spans="1:4" x14ac:dyDescent="0.25">
      <c r="A7465" s="24" t="s">
        <v>141</v>
      </c>
      <c r="B7465" s="24" t="s">
        <v>135</v>
      </c>
      <c r="C7465" s="32">
        <v>39.228000000000002</v>
      </c>
      <c r="D7465" s="28">
        <v>3.1944444444444449E-2</v>
      </c>
    </row>
    <row r="7466" spans="1:4" x14ac:dyDescent="0.25">
      <c r="A7466" s="24" t="s">
        <v>141</v>
      </c>
      <c r="B7466" s="24" t="s">
        <v>136</v>
      </c>
      <c r="C7466" s="32">
        <v>39.228000000000002</v>
      </c>
      <c r="D7466" s="28">
        <v>3.1944444444444449E-2</v>
      </c>
    </row>
    <row r="7467" spans="1:4" x14ac:dyDescent="0.25">
      <c r="A7467" s="24" t="s">
        <v>141</v>
      </c>
      <c r="B7467" s="24" t="s">
        <v>137</v>
      </c>
      <c r="C7467" s="32">
        <v>46.198999999999998</v>
      </c>
      <c r="D7467" s="28">
        <v>3.3333333333333333E-2</v>
      </c>
    </row>
    <row r="7468" spans="1:4" x14ac:dyDescent="0.25">
      <c r="A7468" s="24" t="s">
        <v>141</v>
      </c>
      <c r="B7468" s="24" t="s">
        <v>138</v>
      </c>
      <c r="C7468" s="32">
        <v>36.088999999999999</v>
      </c>
      <c r="D7468" s="28">
        <v>2.9166666666666664E-2</v>
      </c>
    </row>
    <row r="7469" spans="1:4" x14ac:dyDescent="0.25">
      <c r="A7469" s="24" t="s">
        <v>141</v>
      </c>
      <c r="B7469" s="24" t="s">
        <v>139</v>
      </c>
      <c r="C7469" s="32">
        <v>25.541</v>
      </c>
      <c r="D7469" s="28">
        <v>2.0833333333333332E-2</v>
      </c>
    </row>
    <row r="7470" spans="1:4" x14ac:dyDescent="0.25">
      <c r="A7470" s="24" t="s">
        <v>141</v>
      </c>
      <c r="B7470" s="24" t="s">
        <v>140</v>
      </c>
      <c r="C7470" s="32">
        <v>33.557000000000002</v>
      </c>
      <c r="D7470" s="28">
        <v>2.5694444444444447E-2</v>
      </c>
    </row>
    <row r="7471" spans="1:4" x14ac:dyDescent="0.25">
      <c r="A7471" s="24" t="s">
        <v>141</v>
      </c>
      <c r="B7471" s="24" t="s">
        <v>141</v>
      </c>
      <c r="C7471" s="32">
        <v>0</v>
      </c>
      <c r="D7471" s="28">
        <v>0</v>
      </c>
    </row>
    <row r="7472" spans="1:4" x14ac:dyDescent="0.25">
      <c r="A7472" s="24" t="s">
        <v>141</v>
      </c>
      <c r="B7472" s="24" t="s">
        <v>142</v>
      </c>
      <c r="C7472" s="32">
        <v>25.552</v>
      </c>
      <c r="D7472" s="28">
        <v>2.2916666666666669E-2</v>
      </c>
    </row>
    <row r="7473" spans="1:4" x14ac:dyDescent="0.25">
      <c r="A7473" s="24" t="s">
        <v>141</v>
      </c>
      <c r="B7473" s="24" t="s">
        <v>143</v>
      </c>
      <c r="C7473" s="32">
        <v>23.198</v>
      </c>
      <c r="D7473" s="28">
        <v>1.8749999999999999E-2</v>
      </c>
    </row>
    <row r="7474" spans="1:4" x14ac:dyDescent="0.25">
      <c r="A7474" s="24" t="s">
        <v>141</v>
      </c>
      <c r="B7474" s="24" t="s">
        <v>144</v>
      </c>
      <c r="C7474" s="32">
        <v>42.314</v>
      </c>
      <c r="D7474" s="28">
        <v>2.9861111111111113E-2</v>
      </c>
    </row>
    <row r="7475" spans="1:4" x14ac:dyDescent="0.25">
      <c r="A7475" s="24" t="s">
        <v>141</v>
      </c>
      <c r="B7475" s="24" t="s">
        <v>145</v>
      </c>
      <c r="C7475" s="32">
        <v>25.059000000000001</v>
      </c>
      <c r="D7475" s="28">
        <v>2.1527777777777781E-2</v>
      </c>
    </row>
    <row r="7476" spans="1:4" x14ac:dyDescent="0.25">
      <c r="A7476" s="24" t="s">
        <v>141</v>
      </c>
      <c r="B7476" s="24" t="s">
        <v>146</v>
      </c>
      <c r="C7476" s="32">
        <v>16.286999999999999</v>
      </c>
      <c r="D7476" s="28">
        <v>1.5277777777777777E-2</v>
      </c>
    </row>
    <row r="7477" spans="1:4" x14ac:dyDescent="0.25">
      <c r="A7477" s="24" t="s">
        <v>141</v>
      </c>
      <c r="B7477" s="24" t="s">
        <v>147</v>
      </c>
      <c r="C7477" s="32">
        <v>56.353999999999999</v>
      </c>
      <c r="D7477" s="28">
        <v>4.1666666666666664E-2</v>
      </c>
    </row>
    <row r="7478" spans="1:4" x14ac:dyDescent="0.25">
      <c r="A7478" s="24" t="s">
        <v>141</v>
      </c>
      <c r="B7478" s="24" t="s">
        <v>148</v>
      </c>
      <c r="C7478" s="32">
        <v>54.430999999999997</v>
      </c>
      <c r="D7478" s="28">
        <v>4.2361111111111106E-2</v>
      </c>
    </row>
    <row r="7479" spans="1:4" x14ac:dyDescent="0.25">
      <c r="A7479" s="24" t="s">
        <v>141</v>
      </c>
      <c r="B7479" s="24" t="s">
        <v>149</v>
      </c>
      <c r="C7479" s="32">
        <v>49.317999999999998</v>
      </c>
      <c r="D7479" s="28">
        <v>4.2361111111111106E-2</v>
      </c>
    </row>
    <row r="7480" spans="1:4" x14ac:dyDescent="0.25">
      <c r="A7480" s="24" t="s">
        <v>141</v>
      </c>
      <c r="B7480" s="24" t="s">
        <v>150</v>
      </c>
      <c r="C7480" s="32">
        <v>55.567999999999998</v>
      </c>
      <c r="D7480" s="28">
        <v>4.8611111111111112E-2</v>
      </c>
    </row>
    <row r="7481" spans="1:4" x14ac:dyDescent="0.25">
      <c r="A7481" s="24" t="s">
        <v>141</v>
      </c>
      <c r="B7481" s="24" t="s">
        <v>151</v>
      </c>
      <c r="C7481" s="32">
        <v>57.47</v>
      </c>
      <c r="D7481" s="28">
        <v>4.8611111111111112E-2</v>
      </c>
    </row>
    <row r="7482" spans="1:4" x14ac:dyDescent="0.25">
      <c r="A7482" s="24" t="s">
        <v>141</v>
      </c>
      <c r="B7482" s="24" t="s">
        <v>152</v>
      </c>
      <c r="C7482" s="32">
        <v>66.197999999999993</v>
      </c>
      <c r="D7482" s="28">
        <v>5.2777777777777778E-2</v>
      </c>
    </row>
    <row r="7483" spans="1:4" x14ac:dyDescent="0.25">
      <c r="A7483" s="24" t="s">
        <v>141</v>
      </c>
      <c r="B7483" s="24" t="s">
        <v>153</v>
      </c>
      <c r="C7483" s="32">
        <v>64.424999999999997</v>
      </c>
      <c r="D7483" s="28">
        <v>5.6944444444444443E-2</v>
      </c>
    </row>
    <row r="7484" spans="1:4" x14ac:dyDescent="0.25">
      <c r="A7484" s="24" t="s">
        <v>141</v>
      </c>
      <c r="B7484" s="24" t="s">
        <v>154</v>
      </c>
      <c r="C7484" s="32">
        <v>61.887</v>
      </c>
      <c r="D7484" s="28">
        <v>5.1388888888888894E-2</v>
      </c>
    </row>
    <row r="7485" spans="1:4" x14ac:dyDescent="0.25">
      <c r="A7485" s="24" t="s">
        <v>141</v>
      </c>
      <c r="B7485" s="24" t="s">
        <v>155</v>
      </c>
      <c r="C7485" s="32">
        <v>61.136000000000003</v>
      </c>
      <c r="D7485" s="28">
        <v>4.8611111111111112E-2</v>
      </c>
    </row>
    <row r="7486" spans="1:4" x14ac:dyDescent="0.25">
      <c r="A7486" s="24" t="s">
        <v>141</v>
      </c>
      <c r="B7486" s="24" t="s">
        <v>156</v>
      </c>
      <c r="C7486" s="32">
        <v>61.12</v>
      </c>
      <c r="D7486" s="28">
        <v>4.8611111111111112E-2</v>
      </c>
    </row>
    <row r="7487" spans="1:4" x14ac:dyDescent="0.25">
      <c r="A7487" s="24" t="s">
        <v>141</v>
      </c>
      <c r="B7487" s="24" t="s">
        <v>157</v>
      </c>
      <c r="C7487" s="32">
        <v>76.070999999999998</v>
      </c>
      <c r="D7487" s="28">
        <v>5.8333333333333327E-2</v>
      </c>
    </row>
    <row r="7488" spans="1:4" x14ac:dyDescent="0.25">
      <c r="A7488" s="24" t="s">
        <v>141</v>
      </c>
      <c r="B7488" s="24" t="s">
        <v>158</v>
      </c>
      <c r="C7488" s="32">
        <v>85.995000000000005</v>
      </c>
      <c r="D7488" s="28">
        <v>6.7361111111111108E-2</v>
      </c>
    </row>
    <row r="7489" spans="1:4" x14ac:dyDescent="0.25">
      <c r="A7489" s="24" t="s">
        <v>141</v>
      </c>
      <c r="B7489" s="24" t="s">
        <v>159</v>
      </c>
      <c r="C7489" s="32">
        <v>95.239000000000004</v>
      </c>
      <c r="D7489" s="28">
        <v>7.0833333333333331E-2</v>
      </c>
    </row>
    <row r="7490" spans="1:4" x14ac:dyDescent="0.25">
      <c r="A7490" s="24" t="s">
        <v>142</v>
      </c>
      <c r="B7490" s="24" t="s">
        <v>65</v>
      </c>
      <c r="C7490" s="32">
        <v>59.302</v>
      </c>
      <c r="D7490" s="28">
        <v>3.4027777777777775E-2</v>
      </c>
    </row>
    <row r="7491" spans="1:4" x14ac:dyDescent="0.25">
      <c r="A7491" s="24" t="s">
        <v>142</v>
      </c>
      <c r="B7491" s="24" t="s">
        <v>64</v>
      </c>
      <c r="C7491" s="32">
        <v>41.668999999999997</v>
      </c>
      <c r="D7491" s="28">
        <v>2.9861111111111113E-2</v>
      </c>
    </row>
    <row r="7492" spans="1:4" x14ac:dyDescent="0.25">
      <c r="A7492" s="24" t="s">
        <v>142</v>
      </c>
      <c r="B7492" s="24" t="s">
        <v>66</v>
      </c>
      <c r="C7492" s="32">
        <v>44.252000000000002</v>
      </c>
      <c r="D7492" s="28">
        <v>2.9861111111111113E-2</v>
      </c>
    </row>
    <row r="7493" spans="1:4" x14ac:dyDescent="0.25">
      <c r="A7493" s="24" t="s">
        <v>142</v>
      </c>
      <c r="B7493" s="24" t="s">
        <v>67</v>
      </c>
      <c r="C7493" s="32">
        <v>36.381</v>
      </c>
      <c r="D7493" s="28">
        <v>2.4305555555555556E-2</v>
      </c>
    </row>
    <row r="7494" spans="1:4" x14ac:dyDescent="0.25">
      <c r="A7494" s="24" t="s">
        <v>142</v>
      </c>
      <c r="B7494" s="24" t="s">
        <v>68</v>
      </c>
      <c r="C7494" s="32">
        <v>36.244999999999997</v>
      </c>
      <c r="D7494" s="28">
        <v>2.4305555555555556E-2</v>
      </c>
    </row>
    <row r="7495" spans="1:4" x14ac:dyDescent="0.25">
      <c r="A7495" s="24" t="s">
        <v>142</v>
      </c>
      <c r="B7495" s="24" t="s">
        <v>69</v>
      </c>
      <c r="C7495" s="32">
        <v>37.045000000000002</v>
      </c>
      <c r="D7495" s="28">
        <v>2.4999999999999998E-2</v>
      </c>
    </row>
    <row r="7496" spans="1:4" x14ac:dyDescent="0.25">
      <c r="A7496" s="24" t="s">
        <v>142</v>
      </c>
      <c r="B7496" s="24" t="s">
        <v>70</v>
      </c>
      <c r="C7496" s="32">
        <v>36.709000000000003</v>
      </c>
      <c r="D7496" s="28">
        <v>2.4305555555555556E-2</v>
      </c>
    </row>
    <row r="7497" spans="1:4" x14ac:dyDescent="0.25">
      <c r="A7497" s="24" t="s">
        <v>142</v>
      </c>
      <c r="B7497" s="24" t="s">
        <v>71</v>
      </c>
      <c r="C7497" s="32">
        <v>36.676000000000002</v>
      </c>
      <c r="D7497" s="28">
        <v>2.4999999999999998E-2</v>
      </c>
    </row>
    <row r="7498" spans="1:4" x14ac:dyDescent="0.25">
      <c r="A7498" s="24" t="s">
        <v>142</v>
      </c>
      <c r="B7498" s="24" t="s">
        <v>72</v>
      </c>
      <c r="C7498" s="32">
        <v>35.844999999999999</v>
      </c>
      <c r="D7498" s="28">
        <v>2.361111111111111E-2</v>
      </c>
    </row>
    <row r="7499" spans="1:4" x14ac:dyDescent="0.25">
      <c r="A7499" s="24" t="s">
        <v>142</v>
      </c>
      <c r="B7499" s="24" t="s">
        <v>73</v>
      </c>
      <c r="C7499" s="32">
        <v>36.951999999999998</v>
      </c>
      <c r="D7499" s="28">
        <v>2.5694444444444447E-2</v>
      </c>
    </row>
    <row r="7500" spans="1:4" x14ac:dyDescent="0.25">
      <c r="A7500" s="24" t="s">
        <v>142</v>
      </c>
      <c r="B7500" s="24" t="s">
        <v>74</v>
      </c>
      <c r="C7500" s="32">
        <v>34.776000000000003</v>
      </c>
      <c r="D7500" s="28">
        <v>2.361111111111111E-2</v>
      </c>
    </row>
    <row r="7501" spans="1:4" x14ac:dyDescent="0.25">
      <c r="A7501" s="24" t="s">
        <v>142</v>
      </c>
      <c r="B7501" s="24" t="s">
        <v>75</v>
      </c>
      <c r="C7501" s="32">
        <v>35.037999999999997</v>
      </c>
      <c r="D7501" s="28">
        <v>2.2916666666666669E-2</v>
      </c>
    </row>
    <row r="7502" spans="1:4" x14ac:dyDescent="0.25">
      <c r="A7502" s="24" t="s">
        <v>142</v>
      </c>
      <c r="B7502" s="24" t="s">
        <v>76</v>
      </c>
      <c r="C7502" s="32">
        <v>34.508000000000003</v>
      </c>
      <c r="D7502" s="28">
        <v>2.361111111111111E-2</v>
      </c>
    </row>
    <row r="7503" spans="1:4" x14ac:dyDescent="0.25">
      <c r="A7503" s="24" t="s">
        <v>142</v>
      </c>
      <c r="B7503" s="24" t="s">
        <v>77</v>
      </c>
      <c r="C7503" s="32">
        <v>37.512</v>
      </c>
      <c r="D7503" s="28">
        <v>2.4305555555555556E-2</v>
      </c>
    </row>
    <row r="7504" spans="1:4" x14ac:dyDescent="0.25">
      <c r="A7504" s="24" t="s">
        <v>142</v>
      </c>
      <c r="B7504" s="24" t="s">
        <v>78</v>
      </c>
      <c r="C7504" s="32">
        <v>35.505000000000003</v>
      </c>
      <c r="D7504" s="28">
        <v>2.0833333333333332E-2</v>
      </c>
    </row>
    <row r="7505" spans="1:4" x14ac:dyDescent="0.25">
      <c r="A7505" s="24" t="s">
        <v>142</v>
      </c>
      <c r="B7505" s="24" t="s">
        <v>79</v>
      </c>
      <c r="C7505" s="32">
        <v>43.566000000000003</v>
      </c>
      <c r="D7505" s="28">
        <v>3.0555555555555555E-2</v>
      </c>
    </row>
    <row r="7506" spans="1:4" x14ac:dyDescent="0.25">
      <c r="A7506" s="24" t="s">
        <v>142</v>
      </c>
      <c r="B7506" s="24" t="s">
        <v>80</v>
      </c>
      <c r="C7506" s="32">
        <v>62.616</v>
      </c>
      <c r="D7506" s="28">
        <v>3.6805555555555557E-2</v>
      </c>
    </row>
    <row r="7507" spans="1:4" x14ac:dyDescent="0.25">
      <c r="A7507" s="24" t="s">
        <v>142</v>
      </c>
      <c r="B7507" s="24" t="s">
        <v>81</v>
      </c>
      <c r="C7507" s="32">
        <v>64.876000000000005</v>
      </c>
      <c r="D7507" s="28">
        <v>3.6111111111111115E-2</v>
      </c>
    </row>
    <row r="7508" spans="1:4" x14ac:dyDescent="0.25">
      <c r="A7508" s="24" t="s">
        <v>142</v>
      </c>
      <c r="B7508" s="24" t="s">
        <v>82</v>
      </c>
      <c r="C7508" s="32">
        <v>64.927999999999997</v>
      </c>
      <c r="D7508" s="28">
        <v>3.6111111111111115E-2</v>
      </c>
    </row>
    <row r="7509" spans="1:4" x14ac:dyDescent="0.25">
      <c r="A7509" s="24" t="s">
        <v>142</v>
      </c>
      <c r="B7509" s="24" t="s">
        <v>83</v>
      </c>
      <c r="C7509" s="32">
        <v>42.338999999999999</v>
      </c>
      <c r="D7509" s="28">
        <v>2.9861111111111113E-2</v>
      </c>
    </row>
    <row r="7510" spans="1:4" x14ac:dyDescent="0.25">
      <c r="A7510" s="24" t="s">
        <v>142</v>
      </c>
      <c r="B7510" s="24" t="s">
        <v>84</v>
      </c>
      <c r="C7510" s="32">
        <v>36.878</v>
      </c>
      <c r="D7510" s="28">
        <v>2.4999999999999998E-2</v>
      </c>
    </row>
    <row r="7511" spans="1:4" x14ac:dyDescent="0.25">
      <c r="A7511" s="24" t="s">
        <v>142</v>
      </c>
      <c r="B7511" s="24" t="s">
        <v>85</v>
      </c>
      <c r="C7511" s="32">
        <v>37.06</v>
      </c>
      <c r="D7511" s="28">
        <v>2.5694444444444447E-2</v>
      </c>
    </row>
    <row r="7512" spans="1:4" x14ac:dyDescent="0.25">
      <c r="A7512" s="24" t="s">
        <v>142</v>
      </c>
      <c r="B7512" s="24" t="s">
        <v>86</v>
      </c>
      <c r="C7512" s="32">
        <v>45.725999999999999</v>
      </c>
      <c r="D7512" s="28">
        <v>2.7083333333333334E-2</v>
      </c>
    </row>
    <row r="7513" spans="1:4" x14ac:dyDescent="0.25">
      <c r="A7513" s="24" t="s">
        <v>142</v>
      </c>
      <c r="B7513" s="24" t="s">
        <v>87</v>
      </c>
      <c r="C7513" s="32">
        <v>45.503999999999998</v>
      </c>
      <c r="D7513" s="28">
        <v>2.6388888888888889E-2</v>
      </c>
    </row>
    <row r="7514" spans="1:4" x14ac:dyDescent="0.25">
      <c r="A7514" s="24" t="s">
        <v>142</v>
      </c>
      <c r="B7514" s="24" t="s">
        <v>88</v>
      </c>
      <c r="C7514" s="32">
        <v>46.582999999999998</v>
      </c>
      <c r="D7514" s="28">
        <v>2.7083333333333334E-2</v>
      </c>
    </row>
    <row r="7515" spans="1:4" x14ac:dyDescent="0.25">
      <c r="A7515" s="24" t="s">
        <v>142</v>
      </c>
      <c r="B7515" s="24" t="s">
        <v>89</v>
      </c>
      <c r="C7515" s="32">
        <v>50.271999999999998</v>
      </c>
      <c r="D7515" s="28">
        <v>3.1944444444444449E-2</v>
      </c>
    </row>
    <row r="7516" spans="1:4" x14ac:dyDescent="0.25">
      <c r="A7516" s="24" t="s">
        <v>142</v>
      </c>
      <c r="B7516" s="24" t="s">
        <v>90</v>
      </c>
      <c r="C7516" s="32">
        <v>62.238999999999997</v>
      </c>
      <c r="D7516" s="28">
        <v>3.6111111111111115E-2</v>
      </c>
    </row>
    <row r="7517" spans="1:4" x14ac:dyDescent="0.25">
      <c r="A7517" s="24" t="s">
        <v>142</v>
      </c>
      <c r="B7517" s="24" t="s">
        <v>91</v>
      </c>
      <c r="C7517" s="32">
        <v>48.131</v>
      </c>
      <c r="D7517" s="28">
        <v>2.9166666666666664E-2</v>
      </c>
    </row>
    <row r="7518" spans="1:4" x14ac:dyDescent="0.25">
      <c r="A7518" s="24" t="s">
        <v>142</v>
      </c>
      <c r="B7518" s="24" t="s">
        <v>92</v>
      </c>
      <c r="C7518" s="32">
        <v>60.688000000000002</v>
      </c>
      <c r="D7518" s="28">
        <v>3.5416666666666666E-2</v>
      </c>
    </row>
    <row r="7519" spans="1:4" x14ac:dyDescent="0.25">
      <c r="A7519" s="24" t="s">
        <v>142</v>
      </c>
      <c r="B7519" s="24" t="s">
        <v>93</v>
      </c>
      <c r="C7519" s="32">
        <v>84.418999999999997</v>
      </c>
      <c r="D7519" s="28">
        <v>4.9305555555555554E-2</v>
      </c>
    </row>
    <row r="7520" spans="1:4" x14ac:dyDescent="0.25">
      <c r="A7520" s="24" t="s">
        <v>142</v>
      </c>
      <c r="B7520" s="24" t="s">
        <v>94</v>
      </c>
      <c r="C7520" s="32">
        <v>85.048000000000002</v>
      </c>
      <c r="D7520" s="28">
        <v>4.9999999999999996E-2</v>
      </c>
    </row>
    <row r="7521" spans="1:4" x14ac:dyDescent="0.25">
      <c r="A7521" s="24" t="s">
        <v>142</v>
      </c>
      <c r="B7521" s="24" t="s">
        <v>95</v>
      </c>
      <c r="C7521" s="32">
        <v>62.145000000000003</v>
      </c>
      <c r="D7521" s="28">
        <v>3.7499999999999999E-2</v>
      </c>
    </row>
    <row r="7522" spans="1:4" x14ac:dyDescent="0.25">
      <c r="A7522" s="24" t="s">
        <v>142</v>
      </c>
      <c r="B7522" s="24" t="s">
        <v>96</v>
      </c>
      <c r="C7522" s="32">
        <v>55.558</v>
      </c>
      <c r="D7522" s="28">
        <v>4.0972222222222222E-2</v>
      </c>
    </row>
    <row r="7523" spans="1:4" x14ac:dyDescent="0.25">
      <c r="A7523" s="24" t="s">
        <v>142</v>
      </c>
      <c r="B7523" s="24" t="s">
        <v>97</v>
      </c>
      <c r="C7523" s="32">
        <v>63.877000000000002</v>
      </c>
      <c r="D7523" s="28">
        <v>4.7222222222222221E-2</v>
      </c>
    </row>
    <row r="7524" spans="1:4" x14ac:dyDescent="0.25">
      <c r="A7524" s="24" t="s">
        <v>142</v>
      </c>
      <c r="B7524" s="24" t="s">
        <v>98</v>
      </c>
      <c r="C7524" s="32">
        <v>69.816999999999993</v>
      </c>
      <c r="D7524" s="28">
        <v>4.3055555555555562E-2</v>
      </c>
    </row>
    <row r="7525" spans="1:4" x14ac:dyDescent="0.25">
      <c r="A7525" s="24" t="s">
        <v>142</v>
      </c>
      <c r="B7525" s="24" t="s">
        <v>99</v>
      </c>
      <c r="C7525" s="32">
        <v>74.236999999999995</v>
      </c>
      <c r="D7525" s="28">
        <v>4.5833333333333337E-2</v>
      </c>
    </row>
    <row r="7526" spans="1:4" x14ac:dyDescent="0.25">
      <c r="A7526" s="24" t="s">
        <v>142</v>
      </c>
      <c r="B7526" s="24" t="s">
        <v>100</v>
      </c>
      <c r="C7526" s="32">
        <v>67.230999999999995</v>
      </c>
      <c r="D7526" s="28">
        <v>3.9583333333333331E-2</v>
      </c>
    </row>
    <row r="7527" spans="1:4" x14ac:dyDescent="0.25">
      <c r="A7527" s="24" t="s">
        <v>142</v>
      </c>
      <c r="B7527" s="24" t="s">
        <v>101</v>
      </c>
      <c r="C7527" s="32">
        <v>68.867999999999995</v>
      </c>
      <c r="D7527" s="28">
        <v>4.2361111111111106E-2</v>
      </c>
    </row>
    <row r="7528" spans="1:4" x14ac:dyDescent="0.25">
      <c r="A7528" s="24" t="s">
        <v>142</v>
      </c>
      <c r="B7528" s="24" t="s">
        <v>102</v>
      </c>
      <c r="C7528" s="32">
        <v>68.295000000000002</v>
      </c>
      <c r="D7528" s="28">
        <v>4.1666666666666664E-2</v>
      </c>
    </row>
    <row r="7529" spans="1:4" x14ac:dyDescent="0.25">
      <c r="A7529" s="24" t="s">
        <v>142</v>
      </c>
      <c r="B7529" s="24" t="s">
        <v>103</v>
      </c>
      <c r="C7529" s="32">
        <v>56.427</v>
      </c>
      <c r="D7529" s="28">
        <v>3.3333333333333333E-2</v>
      </c>
    </row>
    <row r="7530" spans="1:4" x14ac:dyDescent="0.25">
      <c r="A7530" s="24" t="s">
        <v>142</v>
      </c>
      <c r="B7530" s="24" t="s">
        <v>104</v>
      </c>
      <c r="C7530" s="32">
        <v>57.91</v>
      </c>
      <c r="D7530" s="28">
        <v>3.3333333333333333E-2</v>
      </c>
    </row>
    <row r="7531" spans="1:4" x14ac:dyDescent="0.25">
      <c r="A7531" s="24" t="s">
        <v>142</v>
      </c>
      <c r="B7531" s="24" t="s">
        <v>105</v>
      </c>
      <c r="C7531" s="32">
        <v>52.747999999999998</v>
      </c>
      <c r="D7531" s="28">
        <v>3.6805555555555557E-2</v>
      </c>
    </row>
    <row r="7532" spans="1:4" x14ac:dyDescent="0.25">
      <c r="A7532" s="24" t="s">
        <v>142</v>
      </c>
      <c r="B7532" s="24" t="s">
        <v>106</v>
      </c>
      <c r="C7532" s="32">
        <v>53.344000000000001</v>
      </c>
      <c r="D7532" s="28">
        <v>3.4027777777777775E-2</v>
      </c>
    </row>
    <row r="7533" spans="1:4" x14ac:dyDescent="0.25">
      <c r="A7533" s="24" t="s">
        <v>142</v>
      </c>
      <c r="B7533" s="24" t="s">
        <v>107</v>
      </c>
      <c r="C7533" s="32">
        <v>45.305999999999997</v>
      </c>
      <c r="D7533" s="28">
        <v>2.7777777777777776E-2</v>
      </c>
    </row>
    <row r="7534" spans="1:4" x14ac:dyDescent="0.25">
      <c r="A7534" s="24" t="s">
        <v>142</v>
      </c>
      <c r="B7534" s="24" t="s">
        <v>108</v>
      </c>
      <c r="C7534" s="32">
        <v>43.692</v>
      </c>
      <c r="D7534" s="28">
        <v>2.4999999999999998E-2</v>
      </c>
    </row>
    <row r="7535" spans="1:4" x14ac:dyDescent="0.25">
      <c r="A7535" s="24" t="s">
        <v>142</v>
      </c>
      <c r="B7535" s="24" t="s">
        <v>109</v>
      </c>
      <c r="C7535" s="32">
        <v>43.722000000000001</v>
      </c>
      <c r="D7535" s="28">
        <v>2.4999999999999998E-2</v>
      </c>
    </row>
    <row r="7536" spans="1:4" x14ac:dyDescent="0.25">
      <c r="A7536" s="24" t="s">
        <v>142</v>
      </c>
      <c r="B7536" s="24" t="s">
        <v>110</v>
      </c>
      <c r="C7536" s="32">
        <v>53.296999999999997</v>
      </c>
      <c r="D7536" s="28">
        <v>3.4722222222222224E-2</v>
      </c>
    </row>
    <row r="7537" spans="1:4" x14ac:dyDescent="0.25">
      <c r="A7537" s="24" t="s">
        <v>142</v>
      </c>
      <c r="B7537" s="24" t="s">
        <v>111</v>
      </c>
      <c r="C7537" s="32">
        <v>58.402999999999999</v>
      </c>
      <c r="D7537" s="28">
        <v>3.4027777777777775E-2</v>
      </c>
    </row>
    <row r="7538" spans="1:4" x14ac:dyDescent="0.25">
      <c r="A7538" s="24" t="s">
        <v>142</v>
      </c>
      <c r="B7538" s="24" t="s">
        <v>112</v>
      </c>
      <c r="C7538" s="32">
        <v>46.293999999999997</v>
      </c>
      <c r="D7538" s="28">
        <v>2.6388888888888889E-2</v>
      </c>
    </row>
    <row r="7539" spans="1:4" x14ac:dyDescent="0.25">
      <c r="A7539" s="24" t="s">
        <v>142</v>
      </c>
      <c r="B7539" s="24" t="s">
        <v>113</v>
      </c>
      <c r="C7539" s="32">
        <v>43.451999999999998</v>
      </c>
      <c r="D7539" s="28">
        <v>2.5694444444444447E-2</v>
      </c>
    </row>
    <row r="7540" spans="1:4" x14ac:dyDescent="0.25">
      <c r="A7540" s="24" t="s">
        <v>142</v>
      </c>
      <c r="B7540" s="24" t="s">
        <v>114</v>
      </c>
      <c r="C7540" s="32">
        <v>65.683000000000007</v>
      </c>
      <c r="D7540" s="28">
        <v>3.7499999999999999E-2</v>
      </c>
    </row>
    <row r="7541" spans="1:4" x14ac:dyDescent="0.25">
      <c r="A7541" s="24" t="s">
        <v>142</v>
      </c>
      <c r="B7541" s="24" t="s">
        <v>115</v>
      </c>
      <c r="C7541" s="32">
        <v>65.534000000000006</v>
      </c>
      <c r="D7541" s="28">
        <v>3.8194444444444441E-2</v>
      </c>
    </row>
    <row r="7542" spans="1:4" x14ac:dyDescent="0.25">
      <c r="A7542" s="24" t="s">
        <v>142</v>
      </c>
      <c r="B7542" s="24" t="s">
        <v>116</v>
      </c>
      <c r="C7542" s="32">
        <v>59.683999999999997</v>
      </c>
      <c r="D7542" s="28">
        <v>3.5416666666666666E-2</v>
      </c>
    </row>
    <row r="7543" spans="1:4" x14ac:dyDescent="0.25">
      <c r="A7543" s="24" t="s">
        <v>142</v>
      </c>
      <c r="B7543" s="24" t="s">
        <v>117</v>
      </c>
      <c r="C7543" s="32">
        <v>66.787000000000006</v>
      </c>
      <c r="D7543" s="28">
        <v>3.888888888888889E-2</v>
      </c>
    </row>
    <row r="7544" spans="1:4" x14ac:dyDescent="0.25">
      <c r="A7544" s="24" t="s">
        <v>142</v>
      </c>
      <c r="B7544" s="24" t="s">
        <v>118</v>
      </c>
      <c r="C7544" s="32">
        <v>52.86</v>
      </c>
      <c r="D7544" s="28">
        <v>2.8472222222222222E-2</v>
      </c>
    </row>
    <row r="7545" spans="1:4" x14ac:dyDescent="0.25">
      <c r="A7545" s="24" t="s">
        <v>142</v>
      </c>
      <c r="B7545" s="24" t="s">
        <v>119</v>
      </c>
      <c r="C7545" s="32">
        <v>50.375999999999998</v>
      </c>
      <c r="D7545" s="28">
        <v>2.6388888888888889E-2</v>
      </c>
    </row>
    <row r="7546" spans="1:4" x14ac:dyDescent="0.25">
      <c r="A7546" s="24" t="s">
        <v>142</v>
      </c>
      <c r="B7546" s="24" t="s">
        <v>120</v>
      </c>
      <c r="C7546" s="32">
        <v>53.165999999999997</v>
      </c>
      <c r="D7546" s="28">
        <v>2.9861111111111113E-2</v>
      </c>
    </row>
    <row r="7547" spans="1:4" x14ac:dyDescent="0.25">
      <c r="A7547" s="24" t="s">
        <v>142</v>
      </c>
      <c r="B7547" s="24" t="s">
        <v>121</v>
      </c>
      <c r="C7547" s="32">
        <v>67.516999999999996</v>
      </c>
      <c r="D7547" s="28">
        <v>3.6805555555555557E-2</v>
      </c>
    </row>
    <row r="7548" spans="1:4" x14ac:dyDescent="0.25">
      <c r="A7548" s="24" t="s">
        <v>142</v>
      </c>
      <c r="B7548" s="24" t="s">
        <v>122</v>
      </c>
      <c r="C7548" s="32">
        <v>79.334999999999994</v>
      </c>
      <c r="D7548" s="28">
        <v>4.0972222222222222E-2</v>
      </c>
    </row>
    <row r="7549" spans="1:4" x14ac:dyDescent="0.25">
      <c r="A7549" s="24" t="s">
        <v>142</v>
      </c>
      <c r="B7549" s="24" t="s">
        <v>123</v>
      </c>
      <c r="C7549" s="32">
        <v>61.101999999999997</v>
      </c>
      <c r="D7549" s="28">
        <v>3.3333333333333333E-2</v>
      </c>
    </row>
    <row r="7550" spans="1:4" x14ac:dyDescent="0.25">
      <c r="A7550" s="24" t="s">
        <v>142</v>
      </c>
      <c r="B7550" s="24" t="s">
        <v>124</v>
      </c>
      <c r="C7550" s="32">
        <v>61.101999999999997</v>
      </c>
      <c r="D7550" s="28">
        <v>3.3333333333333333E-2</v>
      </c>
    </row>
    <row r="7551" spans="1:4" x14ac:dyDescent="0.25">
      <c r="A7551" s="24" t="s">
        <v>142</v>
      </c>
      <c r="B7551" s="24" t="s">
        <v>125</v>
      </c>
      <c r="C7551" s="32">
        <v>45.804000000000002</v>
      </c>
      <c r="D7551" s="28">
        <v>3.4722222222222224E-2</v>
      </c>
    </row>
    <row r="7552" spans="1:4" x14ac:dyDescent="0.25">
      <c r="A7552" s="24" t="s">
        <v>142</v>
      </c>
      <c r="B7552" s="24" t="s">
        <v>126</v>
      </c>
      <c r="C7552" s="32">
        <v>45.542000000000002</v>
      </c>
      <c r="D7552" s="28">
        <v>3.3333333333333333E-2</v>
      </c>
    </row>
    <row r="7553" spans="1:4" x14ac:dyDescent="0.25">
      <c r="A7553" s="24" t="s">
        <v>142</v>
      </c>
      <c r="B7553" s="24" t="s">
        <v>127</v>
      </c>
      <c r="C7553" s="32">
        <v>46.286999999999999</v>
      </c>
      <c r="D7553" s="28">
        <v>3.4722222222222224E-2</v>
      </c>
    </row>
    <row r="7554" spans="1:4" x14ac:dyDescent="0.25">
      <c r="A7554" s="24" t="s">
        <v>142</v>
      </c>
      <c r="B7554" s="24" t="s">
        <v>128</v>
      </c>
      <c r="C7554" s="32">
        <v>45.162999999999997</v>
      </c>
      <c r="D7554" s="28">
        <v>3.3333333333333333E-2</v>
      </c>
    </row>
    <row r="7555" spans="1:4" x14ac:dyDescent="0.25">
      <c r="A7555" s="24" t="s">
        <v>142</v>
      </c>
      <c r="B7555" s="24" t="s">
        <v>129</v>
      </c>
      <c r="C7555" s="32">
        <v>45.162999999999997</v>
      </c>
      <c r="D7555" s="28">
        <v>3.3333333333333333E-2</v>
      </c>
    </row>
    <row r="7556" spans="1:4" x14ac:dyDescent="0.25">
      <c r="A7556" s="24" t="s">
        <v>142</v>
      </c>
      <c r="B7556" s="24" t="s">
        <v>130</v>
      </c>
      <c r="C7556" s="32">
        <v>46.204999999999998</v>
      </c>
      <c r="D7556" s="28">
        <v>3.5416666666666666E-2</v>
      </c>
    </row>
    <row r="7557" spans="1:4" x14ac:dyDescent="0.25">
      <c r="A7557" s="24" t="s">
        <v>142</v>
      </c>
      <c r="B7557" s="24" t="s">
        <v>131</v>
      </c>
      <c r="C7557" s="32">
        <v>48.676000000000002</v>
      </c>
      <c r="D7557" s="28">
        <v>3.7499999999999999E-2</v>
      </c>
    </row>
    <row r="7558" spans="1:4" x14ac:dyDescent="0.25">
      <c r="A7558" s="24" t="s">
        <v>142</v>
      </c>
      <c r="B7558" s="24" t="s">
        <v>132</v>
      </c>
      <c r="C7558" s="32">
        <v>45.106000000000002</v>
      </c>
      <c r="D7558" s="28">
        <v>3.2638888888888891E-2</v>
      </c>
    </row>
    <row r="7559" spans="1:4" x14ac:dyDescent="0.25">
      <c r="A7559" s="24" t="s">
        <v>142</v>
      </c>
      <c r="B7559" s="24" t="s">
        <v>133</v>
      </c>
      <c r="C7559" s="32">
        <v>43.593000000000004</v>
      </c>
      <c r="D7559" s="28">
        <v>2.6388888888888889E-2</v>
      </c>
    </row>
    <row r="7560" spans="1:4" x14ac:dyDescent="0.25">
      <c r="A7560" s="24" t="s">
        <v>142</v>
      </c>
      <c r="B7560" s="24" t="s">
        <v>134</v>
      </c>
      <c r="C7560" s="32">
        <v>43.127000000000002</v>
      </c>
      <c r="D7560" s="28">
        <v>2.4999999999999998E-2</v>
      </c>
    </row>
    <row r="7561" spans="1:4" x14ac:dyDescent="0.25">
      <c r="A7561" s="24" t="s">
        <v>142</v>
      </c>
      <c r="B7561" s="24" t="s">
        <v>135</v>
      </c>
      <c r="C7561" s="32">
        <v>36.932000000000002</v>
      </c>
      <c r="D7561" s="28">
        <v>2.4999999999999998E-2</v>
      </c>
    </row>
    <row r="7562" spans="1:4" x14ac:dyDescent="0.25">
      <c r="A7562" s="24" t="s">
        <v>142</v>
      </c>
      <c r="B7562" s="24" t="s">
        <v>136</v>
      </c>
      <c r="C7562" s="32">
        <v>36.932000000000002</v>
      </c>
      <c r="D7562" s="28">
        <v>2.4999999999999998E-2</v>
      </c>
    </row>
    <row r="7563" spans="1:4" x14ac:dyDescent="0.25">
      <c r="A7563" s="24" t="s">
        <v>142</v>
      </c>
      <c r="B7563" s="24" t="s">
        <v>137</v>
      </c>
      <c r="C7563" s="32">
        <v>37.179000000000002</v>
      </c>
      <c r="D7563" s="28">
        <v>2.5694444444444447E-2</v>
      </c>
    </row>
    <row r="7564" spans="1:4" x14ac:dyDescent="0.25">
      <c r="A7564" s="24" t="s">
        <v>142</v>
      </c>
      <c r="B7564" s="24" t="s">
        <v>138</v>
      </c>
      <c r="C7564" s="32">
        <v>36.811</v>
      </c>
      <c r="D7564" s="28">
        <v>2.2916666666666669E-2</v>
      </c>
    </row>
    <row r="7565" spans="1:4" x14ac:dyDescent="0.25">
      <c r="A7565" s="24" t="s">
        <v>142</v>
      </c>
      <c r="B7565" s="24" t="s">
        <v>139</v>
      </c>
      <c r="C7565" s="32">
        <v>25.678000000000001</v>
      </c>
      <c r="D7565" s="28">
        <v>1.5277777777777777E-2</v>
      </c>
    </row>
    <row r="7566" spans="1:4" x14ac:dyDescent="0.25">
      <c r="A7566" s="24" t="s">
        <v>142</v>
      </c>
      <c r="B7566" s="24" t="s">
        <v>140</v>
      </c>
      <c r="C7566" s="32">
        <v>26.866</v>
      </c>
      <c r="D7566" s="28">
        <v>1.6666666666666666E-2</v>
      </c>
    </row>
    <row r="7567" spans="1:4" x14ac:dyDescent="0.25">
      <c r="A7567" s="24" t="s">
        <v>142</v>
      </c>
      <c r="B7567" s="24" t="s">
        <v>141</v>
      </c>
      <c r="C7567" s="32">
        <v>23.082000000000001</v>
      </c>
      <c r="D7567" s="28">
        <v>2.0833333333333332E-2</v>
      </c>
    </row>
    <row r="7568" spans="1:4" x14ac:dyDescent="0.25">
      <c r="A7568" s="24" t="s">
        <v>142</v>
      </c>
      <c r="B7568" s="24" t="s">
        <v>142</v>
      </c>
      <c r="C7568" s="32">
        <v>0</v>
      </c>
      <c r="D7568" s="28">
        <v>0</v>
      </c>
    </row>
    <row r="7569" spans="1:4" x14ac:dyDescent="0.25">
      <c r="A7569" s="24" t="s">
        <v>142</v>
      </c>
      <c r="B7569" s="24" t="s">
        <v>143</v>
      </c>
      <c r="C7569" s="32">
        <v>21.556000000000001</v>
      </c>
      <c r="D7569" s="28">
        <v>1.2499999999999999E-2</v>
      </c>
    </row>
    <row r="7570" spans="1:4" x14ac:dyDescent="0.25">
      <c r="A7570" s="24" t="s">
        <v>142</v>
      </c>
      <c r="B7570" s="24" t="s">
        <v>144</v>
      </c>
      <c r="C7570" s="32">
        <v>40.671999999999997</v>
      </c>
      <c r="D7570" s="28">
        <v>2.2916666666666669E-2</v>
      </c>
    </row>
    <row r="7571" spans="1:4" x14ac:dyDescent="0.25">
      <c r="A7571" s="24" t="s">
        <v>142</v>
      </c>
      <c r="B7571" s="24" t="s">
        <v>145</v>
      </c>
      <c r="C7571" s="32">
        <v>36.35</v>
      </c>
      <c r="D7571" s="28">
        <v>2.8472222222222222E-2</v>
      </c>
    </row>
    <row r="7572" spans="1:4" x14ac:dyDescent="0.25">
      <c r="A7572" s="24" t="s">
        <v>142</v>
      </c>
      <c r="B7572" s="24" t="s">
        <v>146</v>
      </c>
      <c r="C7572" s="32">
        <v>37.99</v>
      </c>
      <c r="D7572" s="28">
        <v>3.0555555555555555E-2</v>
      </c>
    </row>
    <row r="7573" spans="1:4" x14ac:dyDescent="0.25">
      <c r="A7573" s="24" t="s">
        <v>142</v>
      </c>
      <c r="B7573" s="24" t="s">
        <v>147</v>
      </c>
      <c r="C7573" s="32">
        <v>49.134</v>
      </c>
      <c r="D7573" s="28">
        <v>3.5416666666666666E-2</v>
      </c>
    </row>
    <row r="7574" spans="1:4" x14ac:dyDescent="0.25">
      <c r="A7574" s="24" t="s">
        <v>142</v>
      </c>
      <c r="B7574" s="24" t="s">
        <v>148</v>
      </c>
      <c r="C7574" s="32">
        <v>47.210999999999999</v>
      </c>
      <c r="D7574" s="28">
        <v>3.5416666666666666E-2</v>
      </c>
    </row>
    <row r="7575" spans="1:4" x14ac:dyDescent="0.25">
      <c r="A7575" s="24" t="s">
        <v>142</v>
      </c>
      <c r="B7575" s="24" t="s">
        <v>149</v>
      </c>
      <c r="C7575" s="32">
        <v>46.377000000000002</v>
      </c>
      <c r="D7575" s="28">
        <v>3.3333333333333333E-2</v>
      </c>
    </row>
    <row r="7576" spans="1:4" x14ac:dyDescent="0.25">
      <c r="A7576" s="24" t="s">
        <v>142</v>
      </c>
      <c r="B7576" s="24" t="s">
        <v>150</v>
      </c>
      <c r="C7576" s="32">
        <v>46.18</v>
      </c>
      <c r="D7576" s="28">
        <v>3.4722222222222224E-2</v>
      </c>
    </row>
    <row r="7577" spans="1:4" x14ac:dyDescent="0.25">
      <c r="A7577" s="24" t="s">
        <v>142</v>
      </c>
      <c r="B7577" s="24" t="s">
        <v>151</v>
      </c>
      <c r="C7577" s="32">
        <v>46.262</v>
      </c>
      <c r="D7577" s="28">
        <v>3.4722222222222224E-2</v>
      </c>
    </row>
    <row r="7578" spans="1:4" x14ac:dyDescent="0.25">
      <c r="A7578" s="24" t="s">
        <v>142</v>
      </c>
      <c r="B7578" s="24" t="s">
        <v>152</v>
      </c>
      <c r="C7578" s="32">
        <v>50.360999999999997</v>
      </c>
      <c r="D7578" s="28">
        <v>3.8194444444444441E-2</v>
      </c>
    </row>
    <row r="7579" spans="1:4" x14ac:dyDescent="0.25">
      <c r="A7579" s="24" t="s">
        <v>142</v>
      </c>
      <c r="B7579" s="24" t="s">
        <v>153</v>
      </c>
      <c r="C7579" s="32">
        <v>58.603999999999999</v>
      </c>
      <c r="D7579" s="28">
        <v>4.7222222222222221E-2</v>
      </c>
    </row>
    <row r="7580" spans="1:4" x14ac:dyDescent="0.25">
      <c r="A7580" s="24" t="s">
        <v>142</v>
      </c>
      <c r="B7580" s="24" t="s">
        <v>154</v>
      </c>
      <c r="C7580" s="32">
        <v>53.421999999999997</v>
      </c>
      <c r="D7580" s="28">
        <v>4.0972222222222222E-2</v>
      </c>
    </row>
    <row r="7581" spans="1:4" x14ac:dyDescent="0.25">
      <c r="A7581" s="24" t="s">
        <v>142</v>
      </c>
      <c r="B7581" s="24" t="s">
        <v>155</v>
      </c>
      <c r="C7581" s="32">
        <v>45.298999999999999</v>
      </c>
      <c r="D7581" s="28">
        <v>3.3333333333333333E-2</v>
      </c>
    </row>
    <row r="7582" spans="1:4" x14ac:dyDescent="0.25">
      <c r="A7582" s="24" t="s">
        <v>142</v>
      </c>
      <c r="B7582" s="24" t="s">
        <v>156</v>
      </c>
      <c r="C7582" s="32">
        <v>45.283000000000001</v>
      </c>
      <c r="D7582" s="28">
        <v>3.3333333333333333E-2</v>
      </c>
    </row>
    <row r="7583" spans="1:4" x14ac:dyDescent="0.25">
      <c r="A7583" s="24" t="s">
        <v>142</v>
      </c>
      <c r="B7583" s="24" t="s">
        <v>157</v>
      </c>
      <c r="C7583" s="32">
        <v>67.275999999999996</v>
      </c>
      <c r="D7583" s="28">
        <v>5.0694444444444452E-2</v>
      </c>
    </row>
    <row r="7584" spans="1:4" x14ac:dyDescent="0.25">
      <c r="A7584" s="24" t="s">
        <v>142</v>
      </c>
      <c r="B7584" s="24" t="s">
        <v>158</v>
      </c>
      <c r="C7584" s="32">
        <v>84.460999999999999</v>
      </c>
      <c r="D7584" s="28">
        <v>6.1111111111111116E-2</v>
      </c>
    </row>
    <row r="7585" spans="1:4" x14ac:dyDescent="0.25">
      <c r="A7585" s="24" t="s">
        <v>142</v>
      </c>
      <c r="B7585" s="24" t="s">
        <v>159</v>
      </c>
      <c r="C7585" s="32">
        <v>83.555999999999997</v>
      </c>
      <c r="D7585" s="28">
        <v>6.5277777777777782E-2</v>
      </c>
    </row>
    <row r="7586" spans="1:4" x14ac:dyDescent="0.25">
      <c r="A7586" s="24" t="s">
        <v>143</v>
      </c>
      <c r="B7586" s="24" t="s">
        <v>65</v>
      </c>
      <c r="C7586" s="32">
        <v>76.096000000000004</v>
      </c>
      <c r="D7586" s="28">
        <v>4.1666666666666664E-2</v>
      </c>
    </row>
    <row r="7587" spans="1:4" x14ac:dyDescent="0.25">
      <c r="A7587" s="24" t="s">
        <v>143</v>
      </c>
      <c r="B7587" s="24" t="s">
        <v>64</v>
      </c>
      <c r="C7587" s="32">
        <v>58.463000000000001</v>
      </c>
      <c r="D7587" s="28">
        <v>3.8194444444444441E-2</v>
      </c>
    </row>
    <row r="7588" spans="1:4" x14ac:dyDescent="0.25">
      <c r="A7588" s="24" t="s">
        <v>143</v>
      </c>
      <c r="B7588" s="24" t="s">
        <v>66</v>
      </c>
      <c r="C7588" s="32">
        <v>61.045999999999999</v>
      </c>
      <c r="D7588" s="28">
        <v>3.8194444444444441E-2</v>
      </c>
    </row>
    <row r="7589" spans="1:4" x14ac:dyDescent="0.25">
      <c r="A7589" s="24" t="s">
        <v>143</v>
      </c>
      <c r="B7589" s="24" t="s">
        <v>67</v>
      </c>
      <c r="C7589" s="32">
        <v>53.174999999999997</v>
      </c>
      <c r="D7589" s="28">
        <v>3.1944444444444449E-2</v>
      </c>
    </row>
    <row r="7590" spans="1:4" x14ac:dyDescent="0.25">
      <c r="A7590" s="24" t="s">
        <v>143</v>
      </c>
      <c r="B7590" s="24" t="s">
        <v>68</v>
      </c>
      <c r="C7590" s="32">
        <v>53.039000000000001</v>
      </c>
      <c r="D7590" s="28">
        <v>3.1944444444444449E-2</v>
      </c>
    </row>
    <row r="7591" spans="1:4" x14ac:dyDescent="0.25">
      <c r="A7591" s="24" t="s">
        <v>143</v>
      </c>
      <c r="B7591" s="24" t="s">
        <v>69</v>
      </c>
      <c r="C7591" s="32">
        <v>53.838999999999999</v>
      </c>
      <c r="D7591" s="28">
        <v>3.3333333333333333E-2</v>
      </c>
    </row>
    <row r="7592" spans="1:4" x14ac:dyDescent="0.25">
      <c r="A7592" s="24" t="s">
        <v>143</v>
      </c>
      <c r="B7592" s="24" t="s">
        <v>70</v>
      </c>
      <c r="C7592" s="32">
        <v>53.503</v>
      </c>
      <c r="D7592" s="28">
        <v>3.2638888888888891E-2</v>
      </c>
    </row>
    <row r="7593" spans="1:4" x14ac:dyDescent="0.25">
      <c r="A7593" s="24" t="s">
        <v>143</v>
      </c>
      <c r="B7593" s="24" t="s">
        <v>71</v>
      </c>
      <c r="C7593" s="32">
        <v>53.47</v>
      </c>
      <c r="D7593" s="28">
        <v>3.3333333333333333E-2</v>
      </c>
    </row>
    <row r="7594" spans="1:4" x14ac:dyDescent="0.25">
      <c r="A7594" s="24" t="s">
        <v>143</v>
      </c>
      <c r="B7594" s="24" t="s">
        <v>72</v>
      </c>
      <c r="C7594" s="32">
        <v>52.639000000000003</v>
      </c>
      <c r="D7594" s="28">
        <v>3.1944444444444449E-2</v>
      </c>
    </row>
    <row r="7595" spans="1:4" x14ac:dyDescent="0.25">
      <c r="A7595" s="24" t="s">
        <v>143</v>
      </c>
      <c r="B7595" s="24" t="s">
        <v>73</v>
      </c>
      <c r="C7595" s="32">
        <v>53.746000000000002</v>
      </c>
      <c r="D7595" s="28">
        <v>3.3333333333333333E-2</v>
      </c>
    </row>
    <row r="7596" spans="1:4" x14ac:dyDescent="0.25">
      <c r="A7596" s="24" t="s">
        <v>143</v>
      </c>
      <c r="B7596" s="24" t="s">
        <v>74</v>
      </c>
      <c r="C7596" s="32">
        <v>51.57</v>
      </c>
      <c r="D7596" s="28">
        <v>3.125E-2</v>
      </c>
    </row>
    <row r="7597" spans="1:4" x14ac:dyDescent="0.25">
      <c r="A7597" s="24" t="s">
        <v>143</v>
      </c>
      <c r="B7597" s="24" t="s">
        <v>75</v>
      </c>
      <c r="C7597" s="32">
        <v>51.832000000000001</v>
      </c>
      <c r="D7597" s="28">
        <v>3.0555555555555555E-2</v>
      </c>
    </row>
    <row r="7598" spans="1:4" x14ac:dyDescent="0.25">
      <c r="A7598" s="24" t="s">
        <v>143</v>
      </c>
      <c r="B7598" s="24" t="s">
        <v>76</v>
      </c>
      <c r="C7598" s="32">
        <v>51.302</v>
      </c>
      <c r="D7598" s="28">
        <v>3.125E-2</v>
      </c>
    </row>
    <row r="7599" spans="1:4" x14ac:dyDescent="0.25">
      <c r="A7599" s="24" t="s">
        <v>143</v>
      </c>
      <c r="B7599" s="24" t="s">
        <v>77</v>
      </c>
      <c r="C7599" s="32">
        <v>54.305999999999997</v>
      </c>
      <c r="D7599" s="28">
        <v>3.1944444444444449E-2</v>
      </c>
    </row>
    <row r="7600" spans="1:4" x14ac:dyDescent="0.25">
      <c r="A7600" s="24" t="s">
        <v>143</v>
      </c>
      <c r="B7600" s="24" t="s">
        <v>78</v>
      </c>
      <c r="C7600" s="32">
        <v>55.179000000000002</v>
      </c>
      <c r="D7600" s="28">
        <v>3.4027777777777775E-2</v>
      </c>
    </row>
    <row r="7601" spans="1:4" x14ac:dyDescent="0.25">
      <c r="A7601" s="24" t="s">
        <v>143</v>
      </c>
      <c r="B7601" s="24" t="s">
        <v>79</v>
      </c>
      <c r="C7601" s="32">
        <v>60.36</v>
      </c>
      <c r="D7601" s="28">
        <v>3.8194444444444441E-2</v>
      </c>
    </row>
    <row r="7602" spans="1:4" x14ac:dyDescent="0.25">
      <c r="A7602" s="24" t="s">
        <v>143</v>
      </c>
      <c r="B7602" s="24" t="s">
        <v>80</v>
      </c>
      <c r="C7602" s="32">
        <v>79.41</v>
      </c>
      <c r="D7602" s="28">
        <v>4.4444444444444446E-2</v>
      </c>
    </row>
    <row r="7603" spans="1:4" x14ac:dyDescent="0.25">
      <c r="A7603" s="24" t="s">
        <v>143</v>
      </c>
      <c r="B7603" s="24" t="s">
        <v>81</v>
      </c>
      <c r="C7603" s="32">
        <v>81.67</v>
      </c>
      <c r="D7603" s="28">
        <v>4.3750000000000004E-2</v>
      </c>
    </row>
    <row r="7604" spans="1:4" x14ac:dyDescent="0.25">
      <c r="A7604" s="24" t="s">
        <v>143</v>
      </c>
      <c r="B7604" s="24" t="s">
        <v>82</v>
      </c>
      <c r="C7604" s="32">
        <v>81.721999999999994</v>
      </c>
      <c r="D7604" s="28">
        <v>4.4444444444444446E-2</v>
      </c>
    </row>
    <row r="7605" spans="1:4" x14ac:dyDescent="0.25">
      <c r="A7605" s="24" t="s">
        <v>143</v>
      </c>
      <c r="B7605" s="24" t="s">
        <v>83</v>
      </c>
      <c r="C7605" s="32">
        <v>59.133000000000003</v>
      </c>
      <c r="D7605" s="28">
        <v>3.7499999999999999E-2</v>
      </c>
    </row>
    <row r="7606" spans="1:4" x14ac:dyDescent="0.25">
      <c r="A7606" s="24" t="s">
        <v>143</v>
      </c>
      <c r="B7606" s="24" t="s">
        <v>84</v>
      </c>
      <c r="C7606" s="32">
        <v>53.671999999999997</v>
      </c>
      <c r="D7606" s="28">
        <v>3.2638888888888891E-2</v>
      </c>
    </row>
    <row r="7607" spans="1:4" x14ac:dyDescent="0.25">
      <c r="A7607" s="24" t="s">
        <v>143</v>
      </c>
      <c r="B7607" s="24" t="s">
        <v>85</v>
      </c>
      <c r="C7607" s="32">
        <v>62.58</v>
      </c>
      <c r="D7607" s="28">
        <v>3.3333333333333333E-2</v>
      </c>
    </row>
    <row r="7608" spans="1:4" x14ac:dyDescent="0.25">
      <c r="A7608" s="24" t="s">
        <v>143</v>
      </c>
      <c r="B7608" s="24" t="s">
        <v>86</v>
      </c>
      <c r="C7608" s="32">
        <v>62.52</v>
      </c>
      <c r="D7608" s="28">
        <v>3.4722222222222224E-2</v>
      </c>
    </row>
    <row r="7609" spans="1:4" x14ac:dyDescent="0.25">
      <c r="A7609" s="24" t="s">
        <v>143</v>
      </c>
      <c r="B7609" s="24" t="s">
        <v>87</v>
      </c>
      <c r="C7609" s="32">
        <v>62.298000000000002</v>
      </c>
      <c r="D7609" s="28">
        <v>3.4722222222222224E-2</v>
      </c>
    </row>
    <row r="7610" spans="1:4" x14ac:dyDescent="0.25">
      <c r="A7610" s="24" t="s">
        <v>143</v>
      </c>
      <c r="B7610" s="24" t="s">
        <v>88</v>
      </c>
      <c r="C7610" s="32">
        <v>63.377000000000002</v>
      </c>
      <c r="D7610" s="28">
        <v>3.5416666666666666E-2</v>
      </c>
    </row>
    <row r="7611" spans="1:4" x14ac:dyDescent="0.25">
      <c r="A7611" s="24" t="s">
        <v>143</v>
      </c>
      <c r="B7611" s="24" t="s">
        <v>89</v>
      </c>
      <c r="C7611" s="32">
        <v>67.066000000000003</v>
      </c>
      <c r="D7611" s="28">
        <v>3.9583333333333331E-2</v>
      </c>
    </row>
    <row r="7612" spans="1:4" x14ac:dyDescent="0.25">
      <c r="A7612" s="24" t="s">
        <v>143</v>
      </c>
      <c r="B7612" s="24" t="s">
        <v>90</v>
      </c>
      <c r="C7612" s="32">
        <v>79.033000000000001</v>
      </c>
      <c r="D7612" s="28">
        <v>4.4444444444444446E-2</v>
      </c>
    </row>
    <row r="7613" spans="1:4" x14ac:dyDescent="0.25">
      <c r="A7613" s="24" t="s">
        <v>143</v>
      </c>
      <c r="B7613" s="24" t="s">
        <v>91</v>
      </c>
      <c r="C7613" s="32">
        <v>64.924999999999997</v>
      </c>
      <c r="D7613" s="28">
        <v>3.7499999999999999E-2</v>
      </c>
    </row>
    <row r="7614" spans="1:4" x14ac:dyDescent="0.25">
      <c r="A7614" s="24" t="s">
        <v>143</v>
      </c>
      <c r="B7614" s="24" t="s">
        <v>92</v>
      </c>
      <c r="C7614" s="32">
        <v>77.481999999999999</v>
      </c>
      <c r="D7614" s="28">
        <v>4.3750000000000004E-2</v>
      </c>
    </row>
    <row r="7615" spans="1:4" x14ac:dyDescent="0.25">
      <c r="A7615" s="24" t="s">
        <v>143</v>
      </c>
      <c r="B7615" s="24" t="s">
        <v>93</v>
      </c>
      <c r="C7615" s="32">
        <v>101.21299999999999</v>
      </c>
      <c r="D7615" s="28">
        <v>5.6944444444444443E-2</v>
      </c>
    </row>
    <row r="7616" spans="1:4" x14ac:dyDescent="0.25">
      <c r="A7616" s="24" t="s">
        <v>143</v>
      </c>
      <c r="B7616" s="24" t="s">
        <v>94</v>
      </c>
      <c r="C7616" s="32">
        <v>101.842</v>
      </c>
      <c r="D7616" s="28">
        <v>5.7638888888888885E-2</v>
      </c>
    </row>
    <row r="7617" spans="1:4" x14ac:dyDescent="0.25">
      <c r="A7617" s="24" t="s">
        <v>143</v>
      </c>
      <c r="B7617" s="24" t="s">
        <v>95</v>
      </c>
      <c r="C7617" s="32">
        <v>78.938999999999993</v>
      </c>
      <c r="D7617" s="28">
        <v>4.5833333333333337E-2</v>
      </c>
    </row>
    <row r="7618" spans="1:4" x14ac:dyDescent="0.25">
      <c r="A7618" s="24" t="s">
        <v>143</v>
      </c>
      <c r="B7618" s="24" t="s">
        <v>96</v>
      </c>
      <c r="C7618" s="32">
        <v>70.537999999999997</v>
      </c>
      <c r="D7618" s="28">
        <v>4.9999999999999996E-2</v>
      </c>
    </row>
    <row r="7619" spans="1:4" x14ac:dyDescent="0.25">
      <c r="A7619" s="24" t="s">
        <v>143</v>
      </c>
      <c r="B7619" s="24" t="s">
        <v>97</v>
      </c>
      <c r="C7619" s="32">
        <v>78.856999999999999</v>
      </c>
      <c r="D7619" s="28">
        <v>5.6250000000000001E-2</v>
      </c>
    </row>
    <row r="7620" spans="1:4" x14ac:dyDescent="0.25">
      <c r="A7620" s="24" t="s">
        <v>143</v>
      </c>
      <c r="B7620" s="24" t="s">
        <v>98</v>
      </c>
      <c r="C7620" s="32">
        <v>86.611000000000004</v>
      </c>
      <c r="D7620" s="28">
        <v>5.0694444444444452E-2</v>
      </c>
    </row>
    <row r="7621" spans="1:4" x14ac:dyDescent="0.25">
      <c r="A7621" s="24" t="s">
        <v>143</v>
      </c>
      <c r="B7621" s="24" t="s">
        <v>99</v>
      </c>
      <c r="C7621" s="32">
        <v>91.031000000000006</v>
      </c>
      <c r="D7621" s="28">
        <v>5.4166666666666669E-2</v>
      </c>
    </row>
    <row r="7622" spans="1:4" x14ac:dyDescent="0.25">
      <c r="A7622" s="24" t="s">
        <v>143</v>
      </c>
      <c r="B7622" s="24" t="s">
        <v>100</v>
      </c>
      <c r="C7622" s="32">
        <v>84.025000000000006</v>
      </c>
      <c r="D7622" s="28">
        <v>4.7222222222222221E-2</v>
      </c>
    </row>
    <row r="7623" spans="1:4" x14ac:dyDescent="0.25">
      <c r="A7623" s="24" t="s">
        <v>143</v>
      </c>
      <c r="B7623" s="24" t="s">
        <v>101</v>
      </c>
      <c r="C7623" s="32">
        <v>85.662000000000006</v>
      </c>
      <c r="D7623" s="28">
        <v>5.0694444444444452E-2</v>
      </c>
    </row>
    <row r="7624" spans="1:4" x14ac:dyDescent="0.25">
      <c r="A7624" s="24" t="s">
        <v>143</v>
      </c>
      <c r="B7624" s="24" t="s">
        <v>102</v>
      </c>
      <c r="C7624" s="32">
        <v>85.088999999999999</v>
      </c>
      <c r="D7624" s="28">
        <v>4.9999999999999996E-2</v>
      </c>
    </row>
    <row r="7625" spans="1:4" x14ac:dyDescent="0.25">
      <c r="A7625" s="24" t="s">
        <v>143</v>
      </c>
      <c r="B7625" s="24" t="s">
        <v>103</v>
      </c>
      <c r="C7625" s="32">
        <v>73.221000000000004</v>
      </c>
      <c r="D7625" s="28">
        <v>4.1666666666666664E-2</v>
      </c>
    </row>
    <row r="7626" spans="1:4" x14ac:dyDescent="0.25">
      <c r="A7626" s="24" t="s">
        <v>143</v>
      </c>
      <c r="B7626" s="24" t="s">
        <v>104</v>
      </c>
      <c r="C7626" s="32">
        <v>74.703999999999994</v>
      </c>
      <c r="D7626" s="28">
        <v>4.1666666666666664E-2</v>
      </c>
    </row>
    <row r="7627" spans="1:4" x14ac:dyDescent="0.25">
      <c r="A7627" s="24" t="s">
        <v>143</v>
      </c>
      <c r="B7627" s="24" t="s">
        <v>105</v>
      </c>
      <c r="C7627" s="32">
        <v>69.542000000000002</v>
      </c>
      <c r="D7627" s="28">
        <v>4.5138888888888888E-2</v>
      </c>
    </row>
    <row r="7628" spans="1:4" x14ac:dyDescent="0.25">
      <c r="A7628" s="24" t="s">
        <v>143</v>
      </c>
      <c r="B7628" s="24" t="s">
        <v>106</v>
      </c>
      <c r="C7628" s="32">
        <v>70.138000000000005</v>
      </c>
      <c r="D7628" s="28">
        <v>4.1666666666666664E-2</v>
      </c>
    </row>
    <row r="7629" spans="1:4" x14ac:dyDescent="0.25">
      <c r="A7629" s="24" t="s">
        <v>143</v>
      </c>
      <c r="B7629" s="24" t="s">
        <v>107</v>
      </c>
      <c r="C7629" s="32">
        <v>62.1</v>
      </c>
      <c r="D7629" s="28">
        <v>3.6111111111111115E-2</v>
      </c>
    </row>
    <row r="7630" spans="1:4" x14ac:dyDescent="0.25">
      <c r="A7630" s="24" t="s">
        <v>143</v>
      </c>
      <c r="B7630" s="24" t="s">
        <v>108</v>
      </c>
      <c r="C7630" s="32">
        <v>60.485999999999997</v>
      </c>
      <c r="D7630" s="28">
        <v>3.3333333333333333E-2</v>
      </c>
    </row>
    <row r="7631" spans="1:4" x14ac:dyDescent="0.25">
      <c r="A7631" s="24" t="s">
        <v>143</v>
      </c>
      <c r="B7631" s="24" t="s">
        <v>109</v>
      </c>
      <c r="C7631" s="32">
        <v>60.515999999999998</v>
      </c>
      <c r="D7631" s="28">
        <v>3.3333333333333333E-2</v>
      </c>
    </row>
    <row r="7632" spans="1:4" x14ac:dyDescent="0.25">
      <c r="A7632" s="24" t="s">
        <v>143</v>
      </c>
      <c r="B7632" s="24" t="s">
        <v>110</v>
      </c>
      <c r="C7632" s="32">
        <v>69.665000000000006</v>
      </c>
      <c r="D7632" s="28">
        <v>4.3055555555555562E-2</v>
      </c>
    </row>
    <row r="7633" spans="1:4" x14ac:dyDescent="0.25">
      <c r="A7633" s="24" t="s">
        <v>143</v>
      </c>
      <c r="B7633" s="24" t="s">
        <v>111</v>
      </c>
      <c r="C7633" s="32">
        <v>75.197000000000003</v>
      </c>
      <c r="D7633" s="28">
        <v>4.1666666666666664E-2</v>
      </c>
    </row>
    <row r="7634" spans="1:4" x14ac:dyDescent="0.25">
      <c r="A7634" s="24" t="s">
        <v>143</v>
      </c>
      <c r="B7634" s="24" t="s">
        <v>112</v>
      </c>
      <c r="C7634" s="32">
        <v>63.088000000000001</v>
      </c>
      <c r="D7634" s="28">
        <v>3.4027777777777775E-2</v>
      </c>
    </row>
    <row r="7635" spans="1:4" x14ac:dyDescent="0.25">
      <c r="A7635" s="24" t="s">
        <v>143</v>
      </c>
      <c r="B7635" s="24" t="s">
        <v>113</v>
      </c>
      <c r="C7635" s="32">
        <v>60.246000000000002</v>
      </c>
      <c r="D7635" s="28">
        <v>3.3333333333333333E-2</v>
      </c>
    </row>
    <row r="7636" spans="1:4" x14ac:dyDescent="0.25">
      <c r="A7636" s="24" t="s">
        <v>143</v>
      </c>
      <c r="B7636" s="24" t="s">
        <v>114</v>
      </c>
      <c r="C7636" s="32">
        <v>82.477000000000004</v>
      </c>
      <c r="D7636" s="28">
        <v>4.5833333333333337E-2</v>
      </c>
    </row>
    <row r="7637" spans="1:4" x14ac:dyDescent="0.25">
      <c r="A7637" s="24" t="s">
        <v>143</v>
      </c>
      <c r="B7637" s="24" t="s">
        <v>115</v>
      </c>
      <c r="C7637" s="32">
        <v>82.328000000000003</v>
      </c>
      <c r="D7637" s="28">
        <v>4.5833333333333337E-2</v>
      </c>
    </row>
    <row r="7638" spans="1:4" x14ac:dyDescent="0.25">
      <c r="A7638" s="24" t="s">
        <v>143</v>
      </c>
      <c r="B7638" s="24" t="s">
        <v>116</v>
      </c>
      <c r="C7638" s="32">
        <v>76.477999999999994</v>
      </c>
      <c r="D7638" s="28">
        <v>4.3055555555555562E-2</v>
      </c>
    </row>
    <row r="7639" spans="1:4" x14ac:dyDescent="0.25">
      <c r="A7639" s="24" t="s">
        <v>143</v>
      </c>
      <c r="B7639" s="24" t="s">
        <v>117</v>
      </c>
      <c r="C7639" s="32">
        <v>83.581000000000003</v>
      </c>
      <c r="D7639" s="28">
        <v>4.6527777777777779E-2</v>
      </c>
    </row>
    <row r="7640" spans="1:4" x14ac:dyDescent="0.25">
      <c r="A7640" s="24" t="s">
        <v>143</v>
      </c>
      <c r="B7640" s="24" t="s">
        <v>118</v>
      </c>
      <c r="C7640" s="32">
        <v>69.653999999999996</v>
      </c>
      <c r="D7640" s="28">
        <v>3.6111111111111115E-2</v>
      </c>
    </row>
    <row r="7641" spans="1:4" x14ac:dyDescent="0.25">
      <c r="A7641" s="24" t="s">
        <v>143</v>
      </c>
      <c r="B7641" s="24" t="s">
        <v>119</v>
      </c>
      <c r="C7641" s="32">
        <v>67.17</v>
      </c>
      <c r="D7641" s="28">
        <v>3.4722222222222224E-2</v>
      </c>
    </row>
    <row r="7642" spans="1:4" x14ac:dyDescent="0.25">
      <c r="A7642" s="24" t="s">
        <v>143</v>
      </c>
      <c r="B7642" s="24" t="s">
        <v>120</v>
      </c>
      <c r="C7642" s="32">
        <v>69.959999999999994</v>
      </c>
      <c r="D7642" s="28">
        <v>3.7499999999999999E-2</v>
      </c>
    </row>
    <row r="7643" spans="1:4" x14ac:dyDescent="0.25">
      <c r="A7643" s="24" t="s">
        <v>143</v>
      </c>
      <c r="B7643" s="24" t="s">
        <v>121</v>
      </c>
      <c r="C7643" s="32">
        <v>84.314999999999998</v>
      </c>
      <c r="D7643" s="28">
        <v>4.4444444444444446E-2</v>
      </c>
    </row>
    <row r="7644" spans="1:4" x14ac:dyDescent="0.25">
      <c r="A7644" s="24" t="s">
        <v>143</v>
      </c>
      <c r="B7644" s="24" t="s">
        <v>122</v>
      </c>
      <c r="C7644" s="32">
        <v>96.129000000000005</v>
      </c>
      <c r="D7644" s="28">
        <v>4.8611111111111112E-2</v>
      </c>
    </row>
    <row r="7645" spans="1:4" x14ac:dyDescent="0.25">
      <c r="A7645" s="24" t="s">
        <v>143</v>
      </c>
      <c r="B7645" s="24" t="s">
        <v>123</v>
      </c>
      <c r="C7645" s="32">
        <v>77.896000000000001</v>
      </c>
      <c r="D7645" s="28">
        <v>4.0972222222222222E-2</v>
      </c>
    </row>
    <row r="7646" spans="1:4" x14ac:dyDescent="0.25">
      <c r="A7646" s="24" t="s">
        <v>143</v>
      </c>
      <c r="B7646" s="24" t="s">
        <v>124</v>
      </c>
      <c r="C7646" s="32">
        <v>77.896000000000001</v>
      </c>
      <c r="D7646" s="28">
        <v>4.0972222222222222E-2</v>
      </c>
    </row>
    <row r="7647" spans="1:4" x14ac:dyDescent="0.25">
      <c r="A7647" s="24" t="s">
        <v>143</v>
      </c>
      <c r="B7647" s="24" t="s">
        <v>125</v>
      </c>
      <c r="C7647" s="32">
        <v>62.597999999999999</v>
      </c>
      <c r="D7647" s="28">
        <v>4.2361111111111106E-2</v>
      </c>
    </row>
    <row r="7648" spans="1:4" x14ac:dyDescent="0.25">
      <c r="A7648" s="24" t="s">
        <v>143</v>
      </c>
      <c r="B7648" s="24" t="s">
        <v>126</v>
      </c>
      <c r="C7648" s="32">
        <v>62.335999999999999</v>
      </c>
      <c r="D7648" s="28">
        <v>4.1666666666666664E-2</v>
      </c>
    </row>
    <row r="7649" spans="1:4" x14ac:dyDescent="0.25">
      <c r="A7649" s="24" t="s">
        <v>143</v>
      </c>
      <c r="B7649" s="24" t="s">
        <v>127</v>
      </c>
      <c r="C7649" s="32">
        <v>63.081000000000003</v>
      </c>
      <c r="D7649" s="28">
        <v>4.2361111111111106E-2</v>
      </c>
    </row>
    <row r="7650" spans="1:4" x14ac:dyDescent="0.25">
      <c r="A7650" s="24" t="s">
        <v>143</v>
      </c>
      <c r="B7650" s="24" t="s">
        <v>128</v>
      </c>
      <c r="C7650" s="32">
        <v>61.715000000000003</v>
      </c>
      <c r="D7650" s="28">
        <v>4.1666666666666664E-2</v>
      </c>
    </row>
    <row r="7651" spans="1:4" x14ac:dyDescent="0.25">
      <c r="A7651" s="24" t="s">
        <v>143</v>
      </c>
      <c r="B7651" s="24" t="s">
        <v>129</v>
      </c>
      <c r="C7651" s="32">
        <v>61.715000000000003</v>
      </c>
      <c r="D7651" s="28">
        <v>4.1666666666666664E-2</v>
      </c>
    </row>
    <row r="7652" spans="1:4" x14ac:dyDescent="0.25">
      <c r="A7652" s="24" t="s">
        <v>143</v>
      </c>
      <c r="B7652" s="24" t="s">
        <v>130</v>
      </c>
      <c r="C7652" s="32">
        <v>62.999000000000002</v>
      </c>
      <c r="D7652" s="28">
        <v>4.3055555555555562E-2</v>
      </c>
    </row>
    <row r="7653" spans="1:4" x14ac:dyDescent="0.25">
      <c r="A7653" s="24" t="s">
        <v>143</v>
      </c>
      <c r="B7653" s="24" t="s">
        <v>131</v>
      </c>
      <c r="C7653" s="32">
        <v>65.47</v>
      </c>
      <c r="D7653" s="28">
        <v>4.5833333333333337E-2</v>
      </c>
    </row>
    <row r="7654" spans="1:4" x14ac:dyDescent="0.25">
      <c r="A7654" s="24" t="s">
        <v>143</v>
      </c>
      <c r="B7654" s="24" t="s">
        <v>132</v>
      </c>
      <c r="C7654" s="32">
        <v>61.9</v>
      </c>
      <c r="D7654" s="28">
        <v>4.027777777777778E-2</v>
      </c>
    </row>
    <row r="7655" spans="1:4" x14ac:dyDescent="0.25">
      <c r="A7655" s="24" t="s">
        <v>143</v>
      </c>
      <c r="B7655" s="24" t="s">
        <v>133</v>
      </c>
      <c r="C7655" s="32">
        <v>60.387</v>
      </c>
      <c r="D7655" s="28">
        <v>3.4027777777777775E-2</v>
      </c>
    </row>
    <row r="7656" spans="1:4" x14ac:dyDescent="0.25">
      <c r="A7656" s="24" t="s">
        <v>143</v>
      </c>
      <c r="B7656" s="24" t="s">
        <v>134</v>
      </c>
      <c r="C7656" s="32">
        <v>59.920999999999999</v>
      </c>
      <c r="D7656" s="28">
        <v>3.3333333333333333E-2</v>
      </c>
    </row>
    <row r="7657" spans="1:4" x14ac:dyDescent="0.25">
      <c r="A7657" s="24" t="s">
        <v>143</v>
      </c>
      <c r="B7657" s="24" t="s">
        <v>135</v>
      </c>
      <c r="C7657" s="32">
        <v>53.725999999999999</v>
      </c>
      <c r="D7657" s="28">
        <v>3.2638888888888891E-2</v>
      </c>
    </row>
    <row r="7658" spans="1:4" x14ac:dyDescent="0.25">
      <c r="A7658" s="24" t="s">
        <v>143</v>
      </c>
      <c r="B7658" s="24" t="s">
        <v>136</v>
      </c>
      <c r="C7658" s="32">
        <v>53.725999999999999</v>
      </c>
      <c r="D7658" s="28">
        <v>3.2638888888888891E-2</v>
      </c>
    </row>
    <row r="7659" spans="1:4" x14ac:dyDescent="0.25">
      <c r="A7659" s="24" t="s">
        <v>143</v>
      </c>
      <c r="B7659" s="24" t="s">
        <v>137</v>
      </c>
      <c r="C7659" s="32">
        <v>53.972999999999999</v>
      </c>
      <c r="D7659" s="28">
        <v>3.4027777777777775E-2</v>
      </c>
    </row>
    <row r="7660" spans="1:4" x14ac:dyDescent="0.25">
      <c r="A7660" s="24" t="s">
        <v>143</v>
      </c>
      <c r="B7660" s="24" t="s">
        <v>138</v>
      </c>
      <c r="C7660" s="32">
        <v>53.604999999999997</v>
      </c>
      <c r="D7660" s="28">
        <v>3.125E-2</v>
      </c>
    </row>
    <row r="7661" spans="1:4" x14ac:dyDescent="0.25">
      <c r="A7661" s="24" t="s">
        <v>143</v>
      </c>
      <c r="B7661" s="24" t="s">
        <v>139</v>
      </c>
      <c r="C7661" s="32">
        <v>42.472000000000001</v>
      </c>
      <c r="D7661" s="28">
        <v>2.361111111111111E-2</v>
      </c>
    </row>
    <row r="7662" spans="1:4" x14ac:dyDescent="0.25">
      <c r="A7662" s="24" t="s">
        <v>143</v>
      </c>
      <c r="B7662" s="24" t="s">
        <v>140</v>
      </c>
      <c r="C7662" s="32">
        <v>43.66</v>
      </c>
      <c r="D7662" s="28">
        <v>2.4999999999999998E-2</v>
      </c>
    </row>
    <row r="7663" spans="1:4" x14ac:dyDescent="0.25">
      <c r="A7663" s="24" t="s">
        <v>143</v>
      </c>
      <c r="B7663" s="24" t="s">
        <v>141</v>
      </c>
      <c r="C7663" s="32">
        <v>23.329000000000001</v>
      </c>
      <c r="D7663" s="28">
        <v>1.8749999999999999E-2</v>
      </c>
    </row>
    <row r="7664" spans="1:4" x14ac:dyDescent="0.25">
      <c r="A7664" s="24" t="s">
        <v>143</v>
      </c>
      <c r="B7664" s="24" t="s">
        <v>142</v>
      </c>
      <c r="C7664" s="32">
        <v>21.942</v>
      </c>
      <c r="D7664" s="28">
        <v>1.5277777777777777E-2</v>
      </c>
    </row>
    <row r="7665" spans="1:4" x14ac:dyDescent="0.25">
      <c r="A7665" s="24" t="s">
        <v>143</v>
      </c>
      <c r="B7665" s="24" t="s">
        <v>143</v>
      </c>
      <c r="C7665" s="32">
        <v>0</v>
      </c>
      <c r="D7665" s="28">
        <v>0</v>
      </c>
    </row>
    <row r="7666" spans="1:4" x14ac:dyDescent="0.25">
      <c r="A7666" s="24" t="s">
        <v>143</v>
      </c>
      <c r="B7666" s="24" t="s">
        <v>144</v>
      </c>
      <c r="C7666" s="32">
        <v>19.608000000000001</v>
      </c>
      <c r="D7666" s="28">
        <v>1.1805555555555555E-2</v>
      </c>
    </row>
    <row r="7667" spans="1:4" x14ac:dyDescent="0.25">
      <c r="A7667" s="24" t="s">
        <v>143</v>
      </c>
      <c r="B7667" s="24" t="s">
        <v>145</v>
      </c>
      <c r="C7667" s="32">
        <v>47.594999999999999</v>
      </c>
      <c r="D7667" s="28">
        <v>3.3333333333333333E-2</v>
      </c>
    </row>
    <row r="7668" spans="1:4" x14ac:dyDescent="0.25">
      <c r="A7668" s="24" t="s">
        <v>143</v>
      </c>
      <c r="B7668" s="24" t="s">
        <v>146</v>
      </c>
      <c r="C7668" s="32">
        <v>37.356000000000002</v>
      </c>
      <c r="D7668" s="28">
        <v>3.0555555555555555E-2</v>
      </c>
    </row>
    <row r="7669" spans="1:4" x14ac:dyDescent="0.25">
      <c r="A7669" s="24" t="s">
        <v>143</v>
      </c>
      <c r="B7669" s="24" t="s">
        <v>147</v>
      </c>
      <c r="C7669" s="32">
        <v>65.927999999999997</v>
      </c>
      <c r="D7669" s="28">
        <v>4.3055555555555562E-2</v>
      </c>
    </row>
    <row r="7670" spans="1:4" x14ac:dyDescent="0.25">
      <c r="A7670" s="24" t="s">
        <v>143</v>
      </c>
      <c r="B7670" s="24" t="s">
        <v>148</v>
      </c>
      <c r="C7670" s="32">
        <v>64.004999999999995</v>
      </c>
      <c r="D7670" s="28">
        <v>4.3055555555555562E-2</v>
      </c>
    </row>
    <row r="7671" spans="1:4" x14ac:dyDescent="0.25">
      <c r="A7671" s="24" t="s">
        <v>143</v>
      </c>
      <c r="B7671" s="24" t="s">
        <v>149</v>
      </c>
      <c r="C7671" s="32">
        <v>63.170999999999999</v>
      </c>
      <c r="D7671" s="28">
        <v>4.1666666666666664E-2</v>
      </c>
    </row>
    <row r="7672" spans="1:4" x14ac:dyDescent="0.25">
      <c r="A7672" s="24" t="s">
        <v>143</v>
      </c>
      <c r="B7672" s="24" t="s">
        <v>150</v>
      </c>
      <c r="C7672" s="32">
        <v>62.973999999999997</v>
      </c>
      <c r="D7672" s="28">
        <v>4.2361111111111106E-2</v>
      </c>
    </row>
    <row r="7673" spans="1:4" x14ac:dyDescent="0.25">
      <c r="A7673" s="24" t="s">
        <v>143</v>
      </c>
      <c r="B7673" s="24" t="s">
        <v>151</v>
      </c>
      <c r="C7673" s="32">
        <v>63.055999999999997</v>
      </c>
      <c r="D7673" s="28">
        <v>4.3055555555555562E-2</v>
      </c>
    </row>
    <row r="7674" spans="1:4" x14ac:dyDescent="0.25">
      <c r="A7674" s="24" t="s">
        <v>143</v>
      </c>
      <c r="B7674" s="24" t="s">
        <v>152</v>
      </c>
      <c r="C7674" s="32">
        <v>67.155000000000001</v>
      </c>
      <c r="D7674" s="28">
        <v>4.5833333333333337E-2</v>
      </c>
    </row>
    <row r="7675" spans="1:4" x14ac:dyDescent="0.25">
      <c r="A7675" s="24" t="s">
        <v>143</v>
      </c>
      <c r="B7675" s="24" t="s">
        <v>153</v>
      </c>
      <c r="C7675" s="32">
        <v>75.397999999999996</v>
      </c>
      <c r="D7675" s="28">
        <v>5.5555555555555552E-2</v>
      </c>
    </row>
    <row r="7676" spans="1:4" x14ac:dyDescent="0.25">
      <c r="A7676" s="24" t="s">
        <v>143</v>
      </c>
      <c r="B7676" s="24" t="s">
        <v>154</v>
      </c>
      <c r="C7676" s="32">
        <v>70.215999999999994</v>
      </c>
      <c r="D7676" s="28">
        <v>4.9305555555555554E-2</v>
      </c>
    </row>
    <row r="7677" spans="1:4" x14ac:dyDescent="0.25">
      <c r="A7677" s="24" t="s">
        <v>143</v>
      </c>
      <c r="B7677" s="24" t="s">
        <v>155</v>
      </c>
      <c r="C7677" s="32">
        <v>62.093000000000004</v>
      </c>
      <c r="D7677" s="28">
        <v>4.1666666666666664E-2</v>
      </c>
    </row>
    <row r="7678" spans="1:4" x14ac:dyDescent="0.25">
      <c r="A7678" s="24" t="s">
        <v>143</v>
      </c>
      <c r="B7678" s="24" t="s">
        <v>156</v>
      </c>
      <c r="C7678" s="32">
        <v>62.076999999999998</v>
      </c>
      <c r="D7678" s="28">
        <v>4.1666666666666664E-2</v>
      </c>
    </row>
    <row r="7679" spans="1:4" x14ac:dyDescent="0.25">
      <c r="A7679" s="24" t="s">
        <v>143</v>
      </c>
      <c r="B7679" s="24" t="s">
        <v>157</v>
      </c>
      <c r="C7679" s="32">
        <v>81.307000000000002</v>
      </c>
      <c r="D7679" s="28">
        <v>5.9722222222222225E-2</v>
      </c>
    </row>
    <row r="7680" spans="1:4" x14ac:dyDescent="0.25">
      <c r="A7680" s="24" t="s">
        <v>143</v>
      </c>
      <c r="B7680" s="24" t="s">
        <v>158</v>
      </c>
      <c r="C7680" s="32">
        <v>101.255</v>
      </c>
      <c r="D7680" s="28">
        <v>6.9444444444444434E-2</v>
      </c>
    </row>
    <row r="7681" spans="1:4" x14ac:dyDescent="0.25">
      <c r="A7681" s="24" t="s">
        <v>143</v>
      </c>
      <c r="B7681" s="24" t="s">
        <v>159</v>
      </c>
      <c r="C7681" s="32">
        <v>100.35</v>
      </c>
      <c r="D7681" s="28">
        <v>7.2916666666666671E-2</v>
      </c>
    </row>
    <row r="7682" spans="1:4" x14ac:dyDescent="0.25">
      <c r="A7682" s="24" t="s">
        <v>144</v>
      </c>
      <c r="B7682" s="24" t="s">
        <v>65</v>
      </c>
      <c r="C7682" s="32">
        <v>93.227000000000004</v>
      </c>
      <c r="D7682" s="28">
        <v>4.9999999999999996E-2</v>
      </c>
    </row>
    <row r="7683" spans="1:4" x14ac:dyDescent="0.25">
      <c r="A7683" s="24" t="s">
        <v>144</v>
      </c>
      <c r="B7683" s="24" t="s">
        <v>64</v>
      </c>
      <c r="C7683" s="32">
        <v>75.593999999999994</v>
      </c>
      <c r="D7683" s="28">
        <v>4.6527777777777779E-2</v>
      </c>
    </row>
    <row r="7684" spans="1:4" x14ac:dyDescent="0.25">
      <c r="A7684" s="24" t="s">
        <v>144</v>
      </c>
      <c r="B7684" s="24" t="s">
        <v>66</v>
      </c>
      <c r="C7684" s="32">
        <v>77.001000000000005</v>
      </c>
      <c r="D7684" s="28">
        <v>4.6527777777777779E-2</v>
      </c>
    </row>
    <row r="7685" spans="1:4" x14ac:dyDescent="0.25">
      <c r="A7685" s="24" t="s">
        <v>144</v>
      </c>
      <c r="B7685" s="24" t="s">
        <v>67</v>
      </c>
      <c r="C7685" s="32">
        <v>70.305999999999997</v>
      </c>
      <c r="D7685" s="28">
        <v>4.027777777777778E-2</v>
      </c>
    </row>
    <row r="7686" spans="1:4" x14ac:dyDescent="0.25">
      <c r="A7686" s="24" t="s">
        <v>144</v>
      </c>
      <c r="B7686" s="24" t="s">
        <v>68</v>
      </c>
      <c r="C7686" s="32">
        <v>70.17</v>
      </c>
      <c r="D7686" s="28">
        <v>4.027777777777778E-2</v>
      </c>
    </row>
    <row r="7687" spans="1:4" x14ac:dyDescent="0.25">
      <c r="A7687" s="24" t="s">
        <v>144</v>
      </c>
      <c r="B7687" s="24" t="s">
        <v>69</v>
      </c>
      <c r="C7687" s="32">
        <v>70.97</v>
      </c>
      <c r="D7687" s="28">
        <v>4.1666666666666664E-2</v>
      </c>
    </row>
    <row r="7688" spans="1:4" x14ac:dyDescent="0.25">
      <c r="A7688" s="24" t="s">
        <v>144</v>
      </c>
      <c r="B7688" s="24" t="s">
        <v>70</v>
      </c>
      <c r="C7688" s="32">
        <v>70.634</v>
      </c>
      <c r="D7688" s="28">
        <v>4.0972222222222222E-2</v>
      </c>
    </row>
    <row r="7689" spans="1:4" x14ac:dyDescent="0.25">
      <c r="A7689" s="24" t="s">
        <v>144</v>
      </c>
      <c r="B7689" s="24" t="s">
        <v>71</v>
      </c>
      <c r="C7689" s="32">
        <v>70.600999999999999</v>
      </c>
      <c r="D7689" s="28">
        <v>4.1666666666666664E-2</v>
      </c>
    </row>
    <row r="7690" spans="1:4" x14ac:dyDescent="0.25">
      <c r="A7690" s="24" t="s">
        <v>144</v>
      </c>
      <c r="B7690" s="24" t="s">
        <v>72</v>
      </c>
      <c r="C7690" s="32">
        <v>69.77</v>
      </c>
      <c r="D7690" s="28">
        <v>4.027777777777778E-2</v>
      </c>
    </row>
    <row r="7691" spans="1:4" x14ac:dyDescent="0.25">
      <c r="A7691" s="24" t="s">
        <v>144</v>
      </c>
      <c r="B7691" s="24" t="s">
        <v>73</v>
      </c>
      <c r="C7691" s="32">
        <v>70.876999999999995</v>
      </c>
      <c r="D7691" s="28">
        <v>4.1666666666666664E-2</v>
      </c>
    </row>
    <row r="7692" spans="1:4" x14ac:dyDescent="0.25">
      <c r="A7692" s="24" t="s">
        <v>144</v>
      </c>
      <c r="B7692" s="24" t="s">
        <v>74</v>
      </c>
      <c r="C7692" s="32">
        <v>68.700999999999993</v>
      </c>
      <c r="D7692" s="28">
        <v>3.9583333333333331E-2</v>
      </c>
    </row>
    <row r="7693" spans="1:4" x14ac:dyDescent="0.25">
      <c r="A7693" s="24" t="s">
        <v>144</v>
      </c>
      <c r="B7693" s="24" t="s">
        <v>75</v>
      </c>
      <c r="C7693" s="32">
        <v>68.962999999999994</v>
      </c>
      <c r="D7693" s="28">
        <v>3.888888888888889E-2</v>
      </c>
    </row>
    <row r="7694" spans="1:4" x14ac:dyDescent="0.25">
      <c r="A7694" s="24" t="s">
        <v>144</v>
      </c>
      <c r="B7694" s="24" t="s">
        <v>76</v>
      </c>
      <c r="C7694" s="32">
        <v>68.433000000000007</v>
      </c>
      <c r="D7694" s="28">
        <v>3.9583333333333331E-2</v>
      </c>
    </row>
    <row r="7695" spans="1:4" x14ac:dyDescent="0.25">
      <c r="A7695" s="24" t="s">
        <v>144</v>
      </c>
      <c r="B7695" s="24" t="s">
        <v>77</v>
      </c>
      <c r="C7695" s="32">
        <v>71.436999999999998</v>
      </c>
      <c r="D7695" s="28">
        <v>4.027777777777778E-2</v>
      </c>
    </row>
    <row r="7696" spans="1:4" x14ac:dyDescent="0.25">
      <c r="A7696" s="24" t="s">
        <v>144</v>
      </c>
      <c r="B7696" s="24" t="s">
        <v>78</v>
      </c>
      <c r="C7696" s="32">
        <v>69.430000000000007</v>
      </c>
      <c r="D7696" s="28">
        <v>3.6805555555555557E-2</v>
      </c>
    </row>
    <row r="7697" spans="1:4" x14ac:dyDescent="0.25">
      <c r="A7697" s="24" t="s">
        <v>144</v>
      </c>
      <c r="B7697" s="24" t="s">
        <v>79</v>
      </c>
      <c r="C7697" s="32">
        <v>77.491</v>
      </c>
      <c r="D7697" s="28">
        <v>4.6527777777777779E-2</v>
      </c>
    </row>
    <row r="7698" spans="1:4" x14ac:dyDescent="0.25">
      <c r="A7698" s="24" t="s">
        <v>144</v>
      </c>
      <c r="B7698" s="24" t="s">
        <v>80</v>
      </c>
      <c r="C7698" s="32">
        <v>96.540999999999997</v>
      </c>
      <c r="D7698" s="28">
        <v>5.2777777777777778E-2</v>
      </c>
    </row>
    <row r="7699" spans="1:4" x14ac:dyDescent="0.25">
      <c r="A7699" s="24" t="s">
        <v>144</v>
      </c>
      <c r="B7699" s="24" t="s">
        <v>81</v>
      </c>
      <c r="C7699" s="32">
        <v>98.801000000000002</v>
      </c>
      <c r="D7699" s="28">
        <v>5.2083333333333336E-2</v>
      </c>
    </row>
    <row r="7700" spans="1:4" x14ac:dyDescent="0.25">
      <c r="A7700" s="24" t="s">
        <v>144</v>
      </c>
      <c r="B7700" s="24" t="s">
        <v>82</v>
      </c>
      <c r="C7700" s="32">
        <v>98.852999999999994</v>
      </c>
      <c r="D7700" s="28">
        <v>5.2083333333333336E-2</v>
      </c>
    </row>
    <row r="7701" spans="1:4" x14ac:dyDescent="0.25">
      <c r="A7701" s="24" t="s">
        <v>144</v>
      </c>
      <c r="B7701" s="24" t="s">
        <v>83</v>
      </c>
      <c r="C7701" s="32">
        <v>76.263999999999996</v>
      </c>
      <c r="D7701" s="28">
        <v>4.5833333333333337E-2</v>
      </c>
    </row>
    <row r="7702" spans="1:4" x14ac:dyDescent="0.25">
      <c r="A7702" s="24" t="s">
        <v>144</v>
      </c>
      <c r="B7702" s="24" t="s">
        <v>84</v>
      </c>
      <c r="C7702" s="32">
        <v>70.802999999999997</v>
      </c>
      <c r="D7702" s="28">
        <v>4.0972222222222222E-2</v>
      </c>
    </row>
    <row r="7703" spans="1:4" x14ac:dyDescent="0.25">
      <c r="A7703" s="24" t="s">
        <v>144</v>
      </c>
      <c r="B7703" s="24" t="s">
        <v>85</v>
      </c>
      <c r="C7703" s="32">
        <v>79.710999999999999</v>
      </c>
      <c r="D7703" s="28">
        <v>4.1666666666666664E-2</v>
      </c>
    </row>
    <row r="7704" spans="1:4" x14ac:dyDescent="0.25">
      <c r="A7704" s="24" t="s">
        <v>144</v>
      </c>
      <c r="B7704" s="24" t="s">
        <v>86</v>
      </c>
      <c r="C7704" s="32">
        <v>79.650999999999996</v>
      </c>
      <c r="D7704" s="28">
        <v>4.3055555555555562E-2</v>
      </c>
    </row>
    <row r="7705" spans="1:4" x14ac:dyDescent="0.25">
      <c r="A7705" s="24" t="s">
        <v>144</v>
      </c>
      <c r="B7705" s="24" t="s">
        <v>87</v>
      </c>
      <c r="C7705" s="32">
        <v>79.429000000000002</v>
      </c>
      <c r="D7705" s="28">
        <v>4.3055555555555562E-2</v>
      </c>
    </row>
    <row r="7706" spans="1:4" x14ac:dyDescent="0.25">
      <c r="A7706" s="24" t="s">
        <v>144</v>
      </c>
      <c r="B7706" s="24" t="s">
        <v>88</v>
      </c>
      <c r="C7706" s="32">
        <v>80.507999999999996</v>
      </c>
      <c r="D7706" s="28">
        <v>4.3750000000000004E-2</v>
      </c>
    </row>
    <row r="7707" spans="1:4" x14ac:dyDescent="0.25">
      <c r="A7707" s="24" t="s">
        <v>144</v>
      </c>
      <c r="B7707" s="24" t="s">
        <v>89</v>
      </c>
      <c r="C7707" s="32">
        <v>84.197000000000003</v>
      </c>
      <c r="D7707" s="28">
        <v>4.7916666666666663E-2</v>
      </c>
    </row>
    <row r="7708" spans="1:4" x14ac:dyDescent="0.25">
      <c r="A7708" s="24" t="s">
        <v>144</v>
      </c>
      <c r="B7708" s="24" t="s">
        <v>90</v>
      </c>
      <c r="C7708" s="32">
        <v>96.164000000000001</v>
      </c>
      <c r="D7708" s="28">
        <v>5.2777777777777778E-2</v>
      </c>
    </row>
    <row r="7709" spans="1:4" x14ac:dyDescent="0.25">
      <c r="A7709" s="24" t="s">
        <v>144</v>
      </c>
      <c r="B7709" s="24" t="s">
        <v>91</v>
      </c>
      <c r="C7709" s="32">
        <v>82.055999999999997</v>
      </c>
      <c r="D7709" s="28">
        <v>4.5833333333333337E-2</v>
      </c>
    </row>
    <row r="7710" spans="1:4" x14ac:dyDescent="0.25">
      <c r="A7710" s="24" t="s">
        <v>144</v>
      </c>
      <c r="B7710" s="24" t="s">
        <v>92</v>
      </c>
      <c r="C7710" s="32">
        <v>94.613</v>
      </c>
      <c r="D7710" s="28">
        <v>5.2083333333333336E-2</v>
      </c>
    </row>
    <row r="7711" spans="1:4" x14ac:dyDescent="0.25">
      <c r="A7711" s="24" t="s">
        <v>144</v>
      </c>
      <c r="B7711" s="24" t="s">
        <v>93</v>
      </c>
      <c r="C7711" s="32">
        <v>118.348</v>
      </c>
      <c r="D7711" s="28">
        <v>6.5277777777777782E-2</v>
      </c>
    </row>
    <row r="7712" spans="1:4" x14ac:dyDescent="0.25">
      <c r="A7712" s="24" t="s">
        <v>144</v>
      </c>
      <c r="B7712" s="24" t="s">
        <v>94</v>
      </c>
      <c r="C7712" s="32">
        <v>118.977</v>
      </c>
      <c r="D7712" s="28">
        <v>6.5972222222222224E-2</v>
      </c>
    </row>
    <row r="7713" spans="1:4" x14ac:dyDescent="0.25">
      <c r="A7713" s="24" t="s">
        <v>144</v>
      </c>
      <c r="B7713" s="24" t="s">
        <v>95</v>
      </c>
      <c r="C7713" s="32">
        <v>96.07</v>
      </c>
      <c r="D7713" s="28">
        <v>5.4166666666666669E-2</v>
      </c>
    </row>
    <row r="7714" spans="1:4" x14ac:dyDescent="0.25">
      <c r="A7714" s="24" t="s">
        <v>144</v>
      </c>
      <c r="B7714" s="24" t="s">
        <v>96</v>
      </c>
      <c r="C7714" s="32">
        <v>89.638999999999996</v>
      </c>
      <c r="D7714" s="28">
        <v>5.8333333333333327E-2</v>
      </c>
    </row>
    <row r="7715" spans="1:4" x14ac:dyDescent="0.25">
      <c r="A7715" s="24" t="s">
        <v>144</v>
      </c>
      <c r="B7715" s="24" t="s">
        <v>97</v>
      </c>
      <c r="C7715" s="32">
        <v>97.957999999999998</v>
      </c>
      <c r="D7715" s="28">
        <v>6.458333333333334E-2</v>
      </c>
    </row>
    <row r="7716" spans="1:4" x14ac:dyDescent="0.25">
      <c r="A7716" s="24" t="s">
        <v>144</v>
      </c>
      <c r="B7716" s="24" t="s">
        <v>98</v>
      </c>
      <c r="C7716" s="32">
        <v>103.742</v>
      </c>
      <c r="D7716" s="28">
        <v>5.9027777777777783E-2</v>
      </c>
    </row>
    <row r="7717" spans="1:4" x14ac:dyDescent="0.25">
      <c r="A7717" s="24" t="s">
        <v>144</v>
      </c>
      <c r="B7717" s="24" t="s">
        <v>99</v>
      </c>
      <c r="C7717" s="32">
        <v>108.16200000000001</v>
      </c>
      <c r="D7717" s="28">
        <v>6.25E-2</v>
      </c>
    </row>
    <row r="7718" spans="1:4" x14ac:dyDescent="0.25">
      <c r="A7718" s="24" t="s">
        <v>144</v>
      </c>
      <c r="B7718" s="24" t="s">
        <v>100</v>
      </c>
      <c r="C7718" s="32">
        <v>101.15600000000001</v>
      </c>
      <c r="D7718" s="28">
        <v>5.5555555555555552E-2</v>
      </c>
    </row>
    <row r="7719" spans="1:4" x14ac:dyDescent="0.25">
      <c r="A7719" s="24" t="s">
        <v>144</v>
      </c>
      <c r="B7719" s="24" t="s">
        <v>101</v>
      </c>
      <c r="C7719" s="32">
        <v>102.79300000000001</v>
      </c>
      <c r="D7719" s="28">
        <v>5.9027777777777783E-2</v>
      </c>
    </row>
    <row r="7720" spans="1:4" x14ac:dyDescent="0.25">
      <c r="A7720" s="24" t="s">
        <v>144</v>
      </c>
      <c r="B7720" s="24" t="s">
        <v>102</v>
      </c>
      <c r="C7720" s="32">
        <v>102.22</v>
      </c>
      <c r="D7720" s="28">
        <v>5.8333333333333327E-2</v>
      </c>
    </row>
    <row r="7721" spans="1:4" x14ac:dyDescent="0.25">
      <c r="A7721" s="24" t="s">
        <v>144</v>
      </c>
      <c r="B7721" s="24" t="s">
        <v>103</v>
      </c>
      <c r="C7721" s="32">
        <v>90.352000000000004</v>
      </c>
      <c r="D7721" s="28">
        <v>4.9999999999999996E-2</v>
      </c>
    </row>
    <row r="7722" spans="1:4" x14ac:dyDescent="0.25">
      <c r="A7722" s="24" t="s">
        <v>144</v>
      </c>
      <c r="B7722" s="24" t="s">
        <v>104</v>
      </c>
      <c r="C7722" s="32">
        <v>91.834999999999994</v>
      </c>
      <c r="D7722" s="28">
        <v>4.9999999999999996E-2</v>
      </c>
    </row>
    <row r="7723" spans="1:4" x14ac:dyDescent="0.25">
      <c r="A7723" s="24" t="s">
        <v>144</v>
      </c>
      <c r="B7723" s="24" t="s">
        <v>105</v>
      </c>
      <c r="C7723" s="32">
        <v>86.673000000000002</v>
      </c>
      <c r="D7723" s="28">
        <v>5.347222222222222E-2</v>
      </c>
    </row>
    <row r="7724" spans="1:4" x14ac:dyDescent="0.25">
      <c r="A7724" s="24" t="s">
        <v>144</v>
      </c>
      <c r="B7724" s="24" t="s">
        <v>106</v>
      </c>
      <c r="C7724" s="32">
        <v>87.269000000000005</v>
      </c>
      <c r="D7724" s="28">
        <v>4.9999999999999996E-2</v>
      </c>
    </row>
    <row r="7725" spans="1:4" x14ac:dyDescent="0.25">
      <c r="A7725" s="24" t="s">
        <v>144</v>
      </c>
      <c r="B7725" s="24" t="s">
        <v>107</v>
      </c>
      <c r="C7725" s="32">
        <v>79.230999999999995</v>
      </c>
      <c r="D7725" s="28">
        <v>4.4444444444444446E-2</v>
      </c>
    </row>
    <row r="7726" spans="1:4" x14ac:dyDescent="0.25">
      <c r="A7726" s="24" t="s">
        <v>144</v>
      </c>
      <c r="B7726" s="24" t="s">
        <v>108</v>
      </c>
      <c r="C7726" s="32">
        <v>77.617000000000004</v>
      </c>
      <c r="D7726" s="28">
        <v>4.1666666666666664E-2</v>
      </c>
    </row>
    <row r="7727" spans="1:4" x14ac:dyDescent="0.25">
      <c r="A7727" s="24" t="s">
        <v>144</v>
      </c>
      <c r="B7727" s="24" t="s">
        <v>109</v>
      </c>
      <c r="C7727" s="32">
        <v>77.647000000000006</v>
      </c>
      <c r="D7727" s="28">
        <v>4.1666666666666664E-2</v>
      </c>
    </row>
    <row r="7728" spans="1:4" x14ac:dyDescent="0.25">
      <c r="A7728" s="24" t="s">
        <v>144</v>
      </c>
      <c r="B7728" s="24" t="s">
        <v>110</v>
      </c>
      <c r="C7728" s="32">
        <v>86.796000000000006</v>
      </c>
      <c r="D7728" s="28">
        <v>5.0694444444444452E-2</v>
      </c>
    </row>
    <row r="7729" spans="1:4" x14ac:dyDescent="0.25">
      <c r="A7729" s="24" t="s">
        <v>144</v>
      </c>
      <c r="B7729" s="24" t="s">
        <v>111</v>
      </c>
      <c r="C7729" s="32">
        <v>92.328000000000003</v>
      </c>
      <c r="D7729" s="28">
        <v>4.9999999999999996E-2</v>
      </c>
    </row>
    <row r="7730" spans="1:4" x14ac:dyDescent="0.25">
      <c r="A7730" s="24" t="s">
        <v>144</v>
      </c>
      <c r="B7730" s="24" t="s">
        <v>112</v>
      </c>
      <c r="C7730" s="32">
        <v>80.218999999999994</v>
      </c>
      <c r="D7730" s="28">
        <v>4.2361111111111106E-2</v>
      </c>
    </row>
    <row r="7731" spans="1:4" x14ac:dyDescent="0.25">
      <c r="A7731" s="24" t="s">
        <v>144</v>
      </c>
      <c r="B7731" s="24" t="s">
        <v>113</v>
      </c>
      <c r="C7731" s="32">
        <v>77.376999999999995</v>
      </c>
      <c r="D7731" s="28">
        <v>4.1666666666666664E-2</v>
      </c>
    </row>
    <row r="7732" spans="1:4" x14ac:dyDescent="0.25">
      <c r="A7732" s="24" t="s">
        <v>144</v>
      </c>
      <c r="B7732" s="24" t="s">
        <v>114</v>
      </c>
      <c r="C7732" s="32">
        <v>99.608000000000004</v>
      </c>
      <c r="D7732" s="28">
        <v>5.4166666666666669E-2</v>
      </c>
    </row>
    <row r="7733" spans="1:4" x14ac:dyDescent="0.25">
      <c r="A7733" s="24" t="s">
        <v>144</v>
      </c>
      <c r="B7733" s="24" t="s">
        <v>115</v>
      </c>
      <c r="C7733" s="32">
        <v>99.459000000000003</v>
      </c>
      <c r="D7733" s="28">
        <v>5.4166666666666669E-2</v>
      </c>
    </row>
    <row r="7734" spans="1:4" x14ac:dyDescent="0.25">
      <c r="A7734" s="24" t="s">
        <v>144</v>
      </c>
      <c r="B7734" s="24" t="s">
        <v>116</v>
      </c>
      <c r="C7734" s="32">
        <v>93.608999999999995</v>
      </c>
      <c r="D7734" s="28">
        <v>5.1388888888888894E-2</v>
      </c>
    </row>
    <row r="7735" spans="1:4" x14ac:dyDescent="0.25">
      <c r="A7735" s="24" t="s">
        <v>144</v>
      </c>
      <c r="B7735" s="24" t="s">
        <v>117</v>
      </c>
      <c r="C7735" s="32">
        <v>100.712</v>
      </c>
      <c r="D7735" s="28">
        <v>5.486111111111111E-2</v>
      </c>
    </row>
    <row r="7736" spans="1:4" x14ac:dyDescent="0.25">
      <c r="A7736" s="24" t="s">
        <v>144</v>
      </c>
      <c r="B7736" s="24" t="s">
        <v>118</v>
      </c>
      <c r="C7736" s="32">
        <v>86.784999999999997</v>
      </c>
      <c r="D7736" s="28">
        <v>4.4444444444444446E-2</v>
      </c>
    </row>
    <row r="7737" spans="1:4" x14ac:dyDescent="0.25">
      <c r="A7737" s="24" t="s">
        <v>144</v>
      </c>
      <c r="B7737" s="24" t="s">
        <v>119</v>
      </c>
      <c r="C7737" s="32">
        <v>84.301000000000002</v>
      </c>
      <c r="D7737" s="28">
        <v>4.3055555555555562E-2</v>
      </c>
    </row>
    <row r="7738" spans="1:4" x14ac:dyDescent="0.25">
      <c r="A7738" s="24" t="s">
        <v>144</v>
      </c>
      <c r="B7738" s="24" t="s">
        <v>120</v>
      </c>
      <c r="C7738" s="32">
        <v>87.090999999999994</v>
      </c>
      <c r="D7738" s="28">
        <v>4.5833333333333337E-2</v>
      </c>
    </row>
    <row r="7739" spans="1:4" x14ac:dyDescent="0.25">
      <c r="A7739" s="24" t="s">
        <v>144</v>
      </c>
      <c r="B7739" s="24" t="s">
        <v>121</v>
      </c>
      <c r="C7739" s="32">
        <v>101.44199999999999</v>
      </c>
      <c r="D7739" s="28">
        <v>5.2777777777777778E-2</v>
      </c>
    </row>
    <row r="7740" spans="1:4" x14ac:dyDescent="0.25">
      <c r="A7740" s="24" t="s">
        <v>144</v>
      </c>
      <c r="B7740" s="24" t="s">
        <v>122</v>
      </c>
      <c r="C7740" s="32">
        <v>113.26</v>
      </c>
      <c r="D7740" s="28">
        <v>5.6944444444444443E-2</v>
      </c>
    </row>
    <row r="7741" spans="1:4" x14ac:dyDescent="0.25">
      <c r="A7741" s="24" t="s">
        <v>144</v>
      </c>
      <c r="B7741" s="24" t="s">
        <v>123</v>
      </c>
      <c r="C7741" s="32">
        <v>95.031000000000006</v>
      </c>
      <c r="D7741" s="28">
        <v>4.9305555555555554E-2</v>
      </c>
    </row>
    <row r="7742" spans="1:4" x14ac:dyDescent="0.25">
      <c r="A7742" s="24" t="s">
        <v>144</v>
      </c>
      <c r="B7742" s="24" t="s">
        <v>124</v>
      </c>
      <c r="C7742" s="32">
        <v>95.031000000000006</v>
      </c>
      <c r="D7742" s="28">
        <v>4.9305555555555554E-2</v>
      </c>
    </row>
    <row r="7743" spans="1:4" x14ac:dyDescent="0.25">
      <c r="A7743" s="24" t="s">
        <v>144</v>
      </c>
      <c r="B7743" s="24" t="s">
        <v>125</v>
      </c>
      <c r="C7743" s="32">
        <v>79.728999999999999</v>
      </c>
      <c r="D7743" s="28">
        <v>5.0694444444444452E-2</v>
      </c>
    </row>
    <row r="7744" spans="1:4" x14ac:dyDescent="0.25">
      <c r="A7744" s="24" t="s">
        <v>144</v>
      </c>
      <c r="B7744" s="24" t="s">
        <v>126</v>
      </c>
      <c r="C7744" s="32">
        <v>79.466999999999999</v>
      </c>
      <c r="D7744" s="28">
        <v>4.9999999999999996E-2</v>
      </c>
    </row>
    <row r="7745" spans="1:4" x14ac:dyDescent="0.25">
      <c r="A7745" s="24" t="s">
        <v>144</v>
      </c>
      <c r="B7745" s="24" t="s">
        <v>127</v>
      </c>
      <c r="C7745" s="32">
        <v>80.212000000000003</v>
      </c>
      <c r="D7745" s="28">
        <v>5.0694444444444452E-2</v>
      </c>
    </row>
    <row r="7746" spans="1:4" x14ac:dyDescent="0.25">
      <c r="A7746" s="24" t="s">
        <v>144</v>
      </c>
      <c r="B7746" s="24" t="s">
        <v>128</v>
      </c>
      <c r="C7746" s="32">
        <v>78.846000000000004</v>
      </c>
      <c r="D7746" s="28">
        <v>4.9999999999999996E-2</v>
      </c>
    </row>
    <row r="7747" spans="1:4" x14ac:dyDescent="0.25">
      <c r="A7747" s="24" t="s">
        <v>144</v>
      </c>
      <c r="B7747" s="24" t="s">
        <v>129</v>
      </c>
      <c r="C7747" s="32">
        <v>78.846000000000004</v>
      </c>
      <c r="D7747" s="28">
        <v>4.9999999999999996E-2</v>
      </c>
    </row>
    <row r="7748" spans="1:4" x14ac:dyDescent="0.25">
      <c r="A7748" s="24" t="s">
        <v>144</v>
      </c>
      <c r="B7748" s="24" t="s">
        <v>130</v>
      </c>
      <c r="C7748" s="32">
        <v>80.13</v>
      </c>
      <c r="D7748" s="28">
        <v>5.1388888888888894E-2</v>
      </c>
    </row>
    <row r="7749" spans="1:4" x14ac:dyDescent="0.25">
      <c r="A7749" s="24" t="s">
        <v>144</v>
      </c>
      <c r="B7749" s="24" t="s">
        <v>131</v>
      </c>
      <c r="C7749" s="32">
        <v>82.600999999999999</v>
      </c>
      <c r="D7749" s="28">
        <v>5.4166666666666669E-2</v>
      </c>
    </row>
    <row r="7750" spans="1:4" x14ac:dyDescent="0.25">
      <c r="A7750" s="24" t="s">
        <v>144</v>
      </c>
      <c r="B7750" s="24" t="s">
        <v>132</v>
      </c>
      <c r="C7750" s="32">
        <v>79.031000000000006</v>
      </c>
      <c r="D7750" s="28">
        <v>4.8611111111111112E-2</v>
      </c>
    </row>
    <row r="7751" spans="1:4" x14ac:dyDescent="0.25">
      <c r="A7751" s="24" t="s">
        <v>144</v>
      </c>
      <c r="B7751" s="24" t="s">
        <v>133</v>
      </c>
      <c r="C7751" s="32">
        <v>77.518000000000001</v>
      </c>
      <c r="D7751" s="28">
        <v>4.2361111111111106E-2</v>
      </c>
    </row>
    <row r="7752" spans="1:4" x14ac:dyDescent="0.25">
      <c r="A7752" s="24" t="s">
        <v>144</v>
      </c>
      <c r="B7752" s="24" t="s">
        <v>134</v>
      </c>
      <c r="C7752" s="32">
        <v>77.052000000000007</v>
      </c>
      <c r="D7752" s="28">
        <v>4.1666666666666664E-2</v>
      </c>
    </row>
    <row r="7753" spans="1:4" x14ac:dyDescent="0.25">
      <c r="A7753" s="24" t="s">
        <v>144</v>
      </c>
      <c r="B7753" s="24" t="s">
        <v>135</v>
      </c>
      <c r="C7753" s="32">
        <v>70.856999999999999</v>
      </c>
      <c r="D7753" s="28">
        <v>4.0972222222222222E-2</v>
      </c>
    </row>
    <row r="7754" spans="1:4" x14ac:dyDescent="0.25">
      <c r="A7754" s="24" t="s">
        <v>144</v>
      </c>
      <c r="B7754" s="24" t="s">
        <v>136</v>
      </c>
      <c r="C7754" s="32">
        <v>70.856999999999999</v>
      </c>
      <c r="D7754" s="28">
        <v>4.0972222222222222E-2</v>
      </c>
    </row>
    <row r="7755" spans="1:4" x14ac:dyDescent="0.25">
      <c r="A7755" s="24" t="s">
        <v>144</v>
      </c>
      <c r="B7755" s="24" t="s">
        <v>137</v>
      </c>
      <c r="C7755" s="32">
        <v>71.103999999999999</v>
      </c>
      <c r="D7755" s="28">
        <v>4.2361111111111106E-2</v>
      </c>
    </row>
    <row r="7756" spans="1:4" x14ac:dyDescent="0.25">
      <c r="A7756" s="24" t="s">
        <v>144</v>
      </c>
      <c r="B7756" s="24" t="s">
        <v>138</v>
      </c>
      <c r="C7756" s="32">
        <v>70.736000000000004</v>
      </c>
      <c r="D7756" s="28">
        <v>3.9583333333333331E-2</v>
      </c>
    </row>
    <row r="7757" spans="1:4" x14ac:dyDescent="0.25">
      <c r="A7757" s="24" t="s">
        <v>144</v>
      </c>
      <c r="B7757" s="24" t="s">
        <v>139</v>
      </c>
      <c r="C7757" s="32">
        <v>59.603000000000002</v>
      </c>
      <c r="D7757" s="28">
        <v>3.125E-2</v>
      </c>
    </row>
    <row r="7758" spans="1:4" x14ac:dyDescent="0.25">
      <c r="A7758" s="24" t="s">
        <v>144</v>
      </c>
      <c r="B7758" s="24" t="s">
        <v>140</v>
      </c>
      <c r="C7758" s="32">
        <v>60.790999999999997</v>
      </c>
      <c r="D7758" s="28">
        <v>3.3333333333333333E-2</v>
      </c>
    </row>
    <row r="7759" spans="1:4" x14ac:dyDescent="0.25">
      <c r="A7759" s="24" t="s">
        <v>144</v>
      </c>
      <c r="B7759" s="24" t="s">
        <v>141</v>
      </c>
      <c r="C7759" s="32">
        <v>40.46</v>
      </c>
      <c r="D7759" s="28">
        <v>2.7083333333333334E-2</v>
      </c>
    </row>
    <row r="7760" spans="1:4" x14ac:dyDescent="0.25">
      <c r="A7760" s="24" t="s">
        <v>144</v>
      </c>
      <c r="B7760" s="24" t="s">
        <v>142</v>
      </c>
      <c r="C7760" s="32">
        <v>39.073</v>
      </c>
      <c r="D7760" s="28">
        <v>2.361111111111111E-2</v>
      </c>
    </row>
    <row r="7761" spans="1:4" x14ac:dyDescent="0.25">
      <c r="A7761" s="24" t="s">
        <v>144</v>
      </c>
      <c r="B7761" s="24" t="s">
        <v>143</v>
      </c>
      <c r="C7761" s="32">
        <v>24.815999999999999</v>
      </c>
      <c r="D7761" s="28">
        <v>1.4583333333333332E-2</v>
      </c>
    </row>
    <row r="7762" spans="1:4" x14ac:dyDescent="0.25">
      <c r="A7762" s="24" t="s">
        <v>144</v>
      </c>
      <c r="B7762" s="24" t="s">
        <v>144</v>
      </c>
      <c r="C7762" s="32">
        <v>0</v>
      </c>
      <c r="D7762" s="28">
        <v>0</v>
      </c>
    </row>
    <row r="7763" spans="1:4" x14ac:dyDescent="0.25">
      <c r="A7763" s="24" t="s">
        <v>144</v>
      </c>
      <c r="B7763" s="24" t="s">
        <v>145</v>
      </c>
      <c r="C7763" s="32">
        <v>64.725999999999999</v>
      </c>
      <c r="D7763" s="28">
        <v>4.1666666666666664E-2</v>
      </c>
    </row>
    <row r="7764" spans="1:4" x14ac:dyDescent="0.25">
      <c r="A7764" s="24" t="s">
        <v>144</v>
      </c>
      <c r="B7764" s="24" t="s">
        <v>146</v>
      </c>
      <c r="C7764" s="32">
        <v>54.570999999999998</v>
      </c>
      <c r="D7764" s="28">
        <v>4.027777777777778E-2</v>
      </c>
    </row>
    <row r="7765" spans="1:4" x14ac:dyDescent="0.25">
      <c r="A7765" s="24" t="s">
        <v>144</v>
      </c>
      <c r="B7765" s="24" t="s">
        <v>147</v>
      </c>
      <c r="C7765" s="32">
        <v>83.058999999999997</v>
      </c>
      <c r="D7765" s="28">
        <v>5.1388888888888894E-2</v>
      </c>
    </row>
    <row r="7766" spans="1:4" x14ac:dyDescent="0.25">
      <c r="A7766" s="24" t="s">
        <v>144</v>
      </c>
      <c r="B7766" s="24" t="s">
        <v>148</v>
      </c>
      <c r="C7766" s="32">
        <v>81.135999999999996</v>
      </c>
      <c r="D7766" s="28">
        <v>5.1388888888888894E-2</v>
      </c>
    </row>
    <row r="7767" spans="1:4" x14ac:dyDescent="0.25">
      <c r="A7767" s="24" t="s">
        <v>144</v>
      </c>
      <c r="B7767" s="24" t="s">
        <v>149</v>
      </c>
      <c r="C7767" s="32">
        <v>80.302000000000007</v>
      </c>
      <c r="D7767" s="28">
        <v>4.9999999999999996E-2</v>
      </c>
    </row>
    <row r="7768" spans="1:4" x14ac:dyDescent="0.25">
      <c r="A7768" s="24" t="s">
        <v>144</v>
      </c>
      <c r="B7768" s="24" t="s">
        <v>150</v>
      </c>
      <c r="C7768" s="32">
        <v>80.105000000000004</v>
      </c>
      <c r="D7768" s="28">
        <v>5.0694444444444452E-2</v>
      </c>
    </row>
    <row r="7769" spans="1:4" x14ac:dyDescent="0.25">
      <c r="A7769" s="24" t="s">
        <v>144</v>
      </c>
      <c r="B7769" s="24" t="s">
        <v>151</v>
      </c>
      <c r="C7769" s="32">
        <v>80.186999999999998</v>
      </c>
      <c r="D7769" s="28">
        <v>5.1388888888888894E-2</v>
      </c>
    </row>
    <row r="7770" spans="1:4" x14ac:dyDescent="0.25">
      <c r="A7770" s="24" t="s">
        <v>144</v>
      </c>
      <c r="B7770" s="24" t="s">
        <v>152</v>
      </c>
      <c r="C7770" s="32">
        <v>84.286000000000001</v>
      </c>
      <c r="D7770" s="28">
        <v>5.4166666666666669E-2</v>
      </c>
    </row>
    <row r="7771" spans="1:4" x14ac:dyDescent="0.25">
      <c r="A7771" s="24" t="s">
        <v>144</v>
      </c>
      <c r="B7771" s="24" t="s">
        <v>153</v>
      </c>
      <c r="C7771" s="32">
        <v>92.528999999999996</v>
      </c>
      <c r="D7771" s="28">
        <v>6.3194444444444442E-2</v>
      </c>
    </row>
    <row r="7772" spans="1:4" x14ac:dyDescent="0.25">
      <c r="A7772" s="24" t="s">
        <v>144</v>
      </c>
      <c r="B7772" s="24" t="s">
        <v>154</v>
      </c>
      <c r="C7772" s="32">
        <v>87.346999999999994</v>
      </c>
      <c r="D7772" s="28">
        <v>5.7638888888888885E-2</v>
      </c>
    </row>
    <row r="7773" spans="1:4" x14ac:dyDescent="0.25">
      <c r="A7773" s="24" t="s">
        <v>144</v>
      </c>
      <c r="B7773" s="24" t="s">
        <v>155</v>
      </c>
      <c r="C7773" s="32">
        <v>79.224000000000004</v>
      </c>
      <c r="D7773" s="28">
        <v>4.9999999999999996E-2</v>
      </c>
    </row>
    <row r="7774" spans="1:4" x14ac:dyDescent="0.25">
      <c r="A7774" s="24" t="s">
        <v>144</v>
      </c>
      <c r="B7774" s="24" t="s">
        <v>156</v>
      </c>
      <c r="C7774" s="32">
        <v>79.207999999999998</v>
      </c>
      <c r="D7774" s="28">
        <v>4.9999999999999996E-2</v>
      </c>
    </row>
    <row r="7775" spans="1:4" x14ac:dyDescent="0.25">
      <c r="A7775" s="24" t="s">
        <v>144</v>
      </c>
      <c r="B7775" s="24" t="s">
        <v>157</v>
      </c>
      <c r="C7775" s="32">
        <v>101.357</v>
      </c>
      <c r="D7775" s="28">
        <v>6.805555555555555E-2</v>
      </c>
    </row>
    <row r="7776" spans="1:4" x14ac:dyDescent="0.25">
      <c r="A7776" s="24" t="s">
        <v>144</v>
      </c>
      <c r="B7776" s="24" t="s">
        <v>158</v>
      </c>
      <c r="C7776" s="32">
        <v>109.852</v>
      </c>
      <c r="D7776" s="28">
        <v>7.5694444444444439E-2</v>
      </c>
    </row>
    <row r="7777" spans="1:4" x14ac:dyDescent="0.25">
      <c r="A7777" s="24" t="s">
        <v>144</v>
      </c>
      <c r="B7777" s="24" t="s">
        <v>159</v>
      </c>
      <c r="C7777" s="32">
        <v>117.48099999999999</v>
      </c>
      <c r="D7777" s="28">
        <v>8.1250000000000003E-2</v>
      </c>
    </row>
    <row r="7778" spans="1:4" x14ac:dyDescent="0.25">
      <c r="A7778" s="24" t="s">
        <v>145</v>
      </c>
      <c r="B7778" s="24" t="s">
        <v>65</v>
      </c>
      <c r="C7778" s="32">
        <v>39.518999999999998</v>
      </c>
      <c r="D7778" s="28">
        <v>2.4999999999999998E-2</v>
      </c>
    </row>
    <row r="7779" spans="1:4" x14ac:dyDescent="0.25">
      <c r="A7779" s="24" t="s">
        <v>145</v>
      </c>
      <c r="B7779" s="24" t="s">
        <v>64</v>
      </c>
      <c r="C7779" s="32">
        <v>30.53</v>
      </c>
      <c r="D7779" s="28">
        <v>2.0833333333333332E-2</v>
      </c>
    </row>
    <row r="7780" spans="1:4" x14ac:dyDescent="0.25">
      <c r="A7780" s="24" t="s">
        <v>145</v>
      </c>
      <c r="B7780" s="24" t="s">
        <v>66</v>
      </c>
      <c r="C7780" s="32">
        <v>34.633000000000003</v>
      </c>
      <c r="D7780" s="28">
        <v>2.4305555555555556E-2</v>
      </c>
    </row>
    <row r="7781" spans="1:4" x14ac:dyDescent="0.25">
      <c r="A7781" s="24" t="s">
        <v>145</v>
      </c>
      <c r="B7781" s="24" t="s">
        <v>67</v>
      </c>
      <c r="C7781" s="32">
        <v>33.255000000000003</v>
      </c>
      <c r="D7781" s="28">
        <v>2.1527777777777781E-2</v>
      </c>
    </row>
    <row r="7782" spans="1:4" x14ac:dyDescent="0.25">
      <c r="A7782" s="24" t="s">
        <v>145</v>
      </c>
      <c r="B7782" s="24" t="s">
        <v>68</v>
      </c>
      <c r="C7782" s="32">
        <v>33.119</v>
      </c>
      <c r="D7782" s="28">
        <v>2.2222222222222223E-2</v>
      </c>
    </row>
    <row r="7783" spans="1:4" x14ac:dyDescent="0.25">
      <c r="A7783" s="24" t="s">
        <v>145</v>
      </c>
      <c r="B7783" s="24" t="s">
        <v>69</v>
      </c>
      <c r="C7783" s="32">
        <v>33.918999999999997</v>
      </c>
      <c r="D7783" s="28">
        <v>2.2916666666666669E-2</v>
      </c>
    </row>
    <row r="7784" spans="1:4" x14ac:dyDescent="0.25">
      <c r="A7784" s="24" t="s">
        <v>145</v>
      </c>
      <c r="B7784" s="24" t="s">
        <v>70</v>
      </c>
      <c r="C7784" s="32">
        <v>33.582999999999998</v>
      </c>
      <c r="D7784" s="28">
        <v>2.2222222222222223E-2</v>
      </c>
    </row>
    <row r="7785" spans="1:4" x14ac:dyDescent="0.25">
      <c r="A7785" s="24" t="s">
        <v>145</v>
      </c>
      <c r="B7785" s="24" t="s">
        <v>71</v>
      </c>
      <c r="C7785" s="32">
        <v>33.549999999999997</v>
      </c>
      <c r="D7785" s="28">
        <v>2.2916666666666669E-2</v>
      </c>
    </row>
    <row r="7786" spans="1:4" x14ac:dyDescent="0.25">
      <c r="A7786" s="24" t="s">
        <v>145</v>
      </c>
      <c r="B7786" s="24" t="s">
        <v>72</v>
      </c>
      <c r="C7786" s="32">
        <v>32.719000000000001</v>
      </c>
      <c r="D7786" s="28">
        <v>2.1527777777777781E-2</v>
      </c>
    </row>
    <row r="7787" spans="1:4" x14ac:dyDescent="0.25">
      <c r="A7787" s="24" t="s">
        <v>145</v>
      </c>
      <c r="B7787" s="24" t="s">
        <v>73</v>
      </c>
      <c r="C7787" s="32">
        <v>30.012</v>
      </c>
      <c r="D7787" s="28">
        <v>2.0833333333333332E-2</v>
      </c>
    </row>
    <row r="7788" spans="1:4" x14ac:dyDescent="0.25">
      <c r="A7788" s="24" t="s">
        <v>145</v>
      </c>
      <c r="B7788" s="24" t="s">
        <v>74</v>
      </c>
      <c r="C7788" s="32">
        <v>29.268999999999998</v>
      </c>
      <c r="D7788" s="28">
        <v>2.013888888888889E-2</v>
      </c>
    </row>
    <row r="7789" spans="1:4" x14ac:dyDescent="0.25">
      <c r="A7789" s="24" t="s">
        <v>145</v>
      </c>
      <c r="B7789" s="24" t="s">
        <v>75</v>
      </c>
      <c r="C7789" s="32">
        <v>28.305</v>
      </c>
      <c r="D7789" s="28">
        <v>1.8055555555555557E-2</v>
      </c>
    </row>
    <row r="7790" spans="1:4" x14ac:dyDescent="0.25">
      <c r="A7790" s="24" t="s">
        <v>145</v>
      </c>
      <c r="B7790" s="24" t="s">
        <v>76</v>
      </c>
      <c r="C7790" s="32">
        <v>27.773</v>
      </c>
      <c r="D7790" s="28">
        <v>2.0833333333333332E-2</v>
      </c>
    </row>
    <row r="7791" spans="1:4" x14ac:dyDescent="0.25">
      <c r="A7791" s="24" t="s">
        <v>145</v>
      </c>
      <c r="B7791" s="24" t="s">
        <v>77</v>
      </c>
      <c r="C7791" s="32">
        <v>35.686999999999998</v>
      </c>
      <c r="D7791" s="28">
        <v>2.2916666666666669E-2</v>
      </c>
    </row>
    <row r="7792" spans="1:4" x14ac:dyDescent="0.25">
      <c r="A7792" s="24" t="s">
        <v>145</v>
      </c>
      <c r="B7792" s="24" t="s">
        <v>78</v>
      </c>
      <c r="C7792" s="32">
        <v>36.56</v>
      </c>
      <c r="D7792" s="28">
        <v>2.4999999999999998E-2</v>
      </c>
    </row>
    <row r="7793" spans="1:4" x14ac:dyDescent="0.25">
      <c r="A7793" s="24" t="s">
        <v>145</v>
      </c>
      <c r="B7793" s="24" t="s">
        <v>79</v>
      </c>
      <c r="C7793" s="32">
        <v>47.414999999999999</v>
      </c>
      <c r="D7793" s="28">
        <v>3.6111111111111115E-2</v>
      </c>
    </row>
    <row r="7794" spans="1:4" x14ac:dyDescent="0.25">
      <c r="A7794" s="24" t="s">
        <v>145</v>
      </c>
      <c r="B7794" s="24" t="s">
        <v>80</v>
      </c>
      <c r="C7794" s="32">
        <v>42.832999999999998</v>
      </c>
      <c r="D7794" s="28">
        <v>2.7777777777777776E-2</v>
      </c>
    </row>
    <row r="7795" spans="1:4" x14ac:dyDescent="0.25">
      <c r="A7795" s="24" t="s">
        <v>145</v>
      </c>
      <c r="B7795" s="24" t="s">
        <v>81</v>
      </c>
      <c r="C7795" s="32">
        <v>45.295000000000002</v>
      </c>
      <c r="D7795" s="28">
        <v>2.7083333333333334E-2</v>
      </c>
    </row>
    <row r="7796" spans="1:4" x14ac:dyDescent="0.25">
      <c r="A7796" s="24" t="s">
        <v>145</v>
      </c>
      <c r="B7796" s="24" t="s">
        <v>82</v>
      </c>
      <c r="C7796" s="32">
        <v>45.347000000000001</v>
      </c>
      <c r="D7796" s="28">
        <v>2.7083333333333334E-2</v>
      </c>
    </row>
    <row r="7797" spans="1:4" x14ac:dyDescent="0.25">
      <c r="A7797" s="24" t="s">
        <v>145</v>
      </c>
      <c r="B7797" s="24" t="s">
        <v>83</v>
      </c>
      <c r="C7797" s="32">
        <v>28.722999999999999</v>
      </c>
      <c r="D7797" s="28">
        <v>1.9444444444444445E-2</v>
      </c>
    </row>
    <row r="7798" spans="1:4" x14ac:dyDescent="0.25">
      <c r="A7798" s="24" t="s">
        <v>145</v>
      </c>
      <c r="B7798" s="24" t="s">
        <v>84</v>
      </c>
      <c r="C7798" s="32">
        <v>26.196000000000002</v>
      </c>
      <c r="D7798" s="28">
        <v>1.5277777777777777E-2</v>
      </c>
    </row>
    <row r="7799" spans="1:4" x14ac:dyDescent="0.25">
      <c r="A7799" s="24" t="s">
        <v>145</v>
      </c>
      <c r="B7799" s="24" t="s">
        <v>85</v>
      </c>
      <c r="C7799" s="32">
        <v>25.83</v>
      </c>
      <c r="D7799" s="28">
        <v>1.5277777777777777E-2</v>
      </c>
    </row>
    <row r="7800" spans="1:4" x14ac:dyDescent="0.25">
      <c r="A7800" s="24" t="s">
        <v>145</v>
      </c>
      <c r="B7800" s="24" t="s">
        <v>86</v>
      </c>
      <c r="C7800" s="32">
        <v>25.77</v>
      </c>
      <c r="D7800" s="28">
        <v>1.6666666666666666E-2</v>
      </c>
    </row>
    <row r="7801" spans="1:4" x14ac:dyDescent="0.25">
      <c r="A7801" s="24" t="s">
        <v>145</v>
      </c>
      <c r="B7801" s="24" t="s">
        <v>87</v>
      </c>
      <c r="C7801" s="32">
        <v>25.547999999999998</v>
      </c>
      <c r="D7801" s="28">
        <v>1.6666666666666666E-2</v>
      </c>
    </row>
    <row r="7802" spans="1:4" x14ac:dyDescent="0.25">
      <c r="A7802" s="24" t="s">
        <v>145</v>
      </c>
      <c r="B7802" s="24" t="s">
        <v>88</v>
      </c>
      <c r="C7802" s="32">
        <v>26.626999999999999</v>
      </c>
      <c r="D7802" s="28">
        <v>1.7361111111111112E-2</v>
      </c>
    </row>
    <row r="7803" spans="1:4" x14ac:dyDescent="0.25">
      <c r="A7803" s="24" t="s">
        <v>145</v>
      </c>
      <c r="B7803" s="24" t="s">
        <v>89</v>
      </c>
      <c r="C7803" s="32">
        <v>30.315999999999999</v>
      </c>
      <c r="D7803" s="28">
        <v>2.1527777777777781E-2</v>
      </c>
    </row>
    <row r="7804" spans="1:4" x14ac:dyDescent="0.25">
      <c r="A7804" s="24" t="s">
        <v>145</v>
      </c>
      <c r="B7804" s="24" t="s">
        <v>90</v>
      </c>
      <c r="C7804" s="32">
        <v>42.456000000000003</v>
      </c>
      <c r="D7804" s="28">
        <v>2.7777777777777776E-2</v>
      </c>
    </row>
    <row r="7805" spans="1:4" x14ac:dyDescent="0.25">
      <c r="A7805" s="24" t="s">
        <v>145</v>
      </c>
      <c r="B7805" s="24" t="s">
        <v>91</v>
      </c>
      <c r="C7805" s="32">
        <v>28.175000000000001</v>
      </c>
      <c r="D7805" s="28">
        <v>1.9444444444444445E-2</v>
      </c>
    </row>
    <row r="7806" spans="1:4" x14ac:dyDescent="0.25">
      <c r="A7806" s="24" t="s">
        <v>145</v>
      </c>
      <c r="B7806" s="24" t="s">
        <v>92</v>
      </c>
      <c r="C7806" s="32">
        <v>40.905000000000001</v>
      </c>
      <c r="D7806" s="28">
        <v>2.7083333333333334E-2</v>
      </c>
    </row>
    <row r="7807" spans="1:4" x14ac:dyDescent="0.25">
      <c r="A7807" s="24" t="s">
        <v>145</v>
      </c>
      <c r="B7807" s="24" t="s">
        <v>93</v>
      </c>
      <c r="C7807" s="32">
        <v>64.635999999999996</v>
      </c>
      <c r="D7807" s="28">
        <v>4.027777777777778E-2</v>
      </c>
    </row>
    <row r="7808" spans="1:4" x14ac:dyDescent="0.25">
      <c r="A7808" s="24" t="s">
        <v>145</v>
      </c>
      <c r="B7808" s="24" t="s">
        <v>94</v>
      </c>
      <c r="C7808" s="32">
        <v>65.265000000000001</v>
      </c>
      <c r="D7808" s="28">
        <v>4.0972222222222222E-2</v>
      </c>
    </row>
    <row r="7809" spans="1:4" x14ac:dyDescent="0.25">
      <c r="A7809" s="24" t="s">
        <v>145</v>
      </c>
      <c r="B7809" s="24" t="s">
        <v>95</v>
      </c>
      <c r="C7809" s="32">
        <v>42.362000000000002</v>
      </c>
      <c r="D7809" s="28">
        <v>2.9166666666666664E-2</v>
      </c>
    </row>
    <row r="7810" spans="1:4" x14ac:dyDescent="0.25">
      <c r="A7810" s="24" t="s">
        <v>145</v>
      </c>
      <c r="B7810" s="24" t="s">
        <v>96</v>
      </c>
      <c r="C7810" s="32">
        <v>44.418999999999997</v>
      </c>
      <c r="D7810" s="28">
        <v>3.1944444444444449E-2</v>
      </c>
    </row>
    <row r="7811" spans="1:4" x14ac:dyDescent="0.25">
      <c r="A7811" s="24" t="s">
        <v>145</v>
      </c>
      <c r="B7811" s="24" t="s">
        <v>97</v>
      </c>
      <c r="C7811" s="32">
        <v>51.908000000000001</v>
      </c>
      <c r="D7811" s="28">
        <v>3.888888888888889E-2</v>
      </c>
    </row>
    <row r="7812" spans="1:4" x14ac:dyDescent="0.25">
      <c r="A7812" s="24" t="s">
        <v>145</v>
      </c>
      <c r="B7812" s="24" t="s">
        <v>98</v>
      </c>
      <c r="C7812" s="32">
        <v>50.033999999999999</v>
      </c>
      <c r="D7812" s="28">
        <v>3.4027777777777775E-2</v>
      </c>
    </row>
    <row r="7813" spans="1:4" x14ac:dyDescent="0.25">
      <c r="A7813" s="24" t="s">
        <v>145</v>
      </c>
      <c r="B7813" s="24" t="s">
        <v>99</v>
      </c>
      <c r="C7813" s="32">
        <v>54.454000000000001</v>
      </c>
      <c r="D7813" s="28">
        <v>3.7499999999999999E-2</v>
      </c>
    </row>
    <row r="7814" spans="1:4" x14ac:dyDescent="0.25">
      <c r="A7814" s="24" t="s">
        <v>145</v>
      </c>
      <c r="B7814" s="24" t="s">
        <v>100</v>
      </c>
      <c r="C7814" s="32">
        <v>47.448</v>
      </c>
      <c r="D7814" s="28">
        <v>3.125E-2</v>
      </c>
    </row>
    <row r="7815" spans="1:4" x14ac:dyDescent="0.25">
      <c r="A7815" s="24" t="s">
        <v>145</v>
      </c>
      <c r="B7815" s="24" t="s">
        <v>101</v>
      </c>
      <c r="C7815" s="32">
        <v>49.085000000000001</v>
      </c>
      <c r="D7815" s="28">
        <v>3.4027777777777775E-2</v>
      </c>
    </row>
    <row r="7816" spans="1:4" x14ac:dyDescent="0.25">
      <c r="A7816" s="24" t="s">
        <v>145</v>
      </c>
      <c r="B7816" s="24" t="s">
        <v>102</v>
      </c>
      <c r="C7816" s="32">
        <v>48.512</v>
      </c>
      <c r="D7816" s="28">
        <v>3.3333333333333333E-2</v>
      </c>
    </row>
    <row r="7817" spans="1:4" x14ac:dyDescent="0.25">
      <c r="A7817" s="24" t="s">
        <v>145</v>
      </c>
      <c r="B7817" s="24" t="s">
        <v>103</v>
      </c>
      <c r="C7817" s="32">
        <v>33.962000000000003</v>
      </c>
      <c r="D7817" s="28">
        <v>2.361111111111111E-2</v>
      </c>
    </row>
    <row r="7818" spans="1:4" x14ac:dyDescent="0.25">
      <c r="A7818" s="24" t="s">
        <v>145</v>
      </c>
      <c r="B7818" s="24" t="s">
        <v>104</v>
      </c>
      <c r="C7818" s="32">
        <v>38.127000000000002</v>
      </c>
      <c r="D7818" s="28">
        <v>2.4999999999999998E-2</v>
      </c>
    </row>
    <row r="7819" spans="1:4" x14ac:dyDescent="0.25">
      <c r="A7819" s="24" t="s">
        <v>145</v>
      </c>
      <c r="B7819" s="24" t="s">
        <v>105</v>
      </c>
      <c r="C7819" s="32">
        <v>32.792000000000002</v>
      </c>
      <c r="D7819" s="28">
        <v>2.7083333333333334E-2</v>
      </c>
    </row>
    <row r="7820" spans="1:4" x14ac:dyDescent="0.25">
      <c r="A7820" s="24" t="s">
        <v>145</v>
      </c>
      <c r="B7820" s="24" t="s">
        <v>106</v>
      </c>
      <c r="C7820" s="32">
        <v>33.387999999999998</v>
      </c>
      <c r="D7820" s="28">
        <v>2.361111111111111E-2</v>
      </c>
    </row>
    <row r="7821" spans="1:4" x14ac:dyDescent="0.25">
      <c r="A7821" s="24" t="s">
        <v>145</v>
      </c>
      <c r="B7821" s="24" t="s">
        <v>107</v>
      </c>
      <c r="C7821" s="32">
        <v>25.35</v>
      </c>
      <c r="D7821" s="28">
        <v>1.8055555555555557E-2</v>
      </c>
    </row>
    <row r="7822" spans="1:4" x14ac:dyDescent="0.25">
      <c r="A7822" s="24" t="s">
        <v>145</v>
      </c>
      <c r="B7822" s="24" t="s">
        <v>108</v>
      </c>
      <c r="C7822" s="32">
        <v>23.736000000000001</v>
      </c>
      <c r="D7822" s="28">
        <v>1.5277777777777777E-2</v>
      </c>
    </row>
    <row r="7823" spans="1:4" x14ac:dyDescent="0.25">
      <c r="A7823" s="24" t="s">
        <v>145</v>
      </c>
      <c r="B7823" s="24" t="s">
        <v>109</v>
      </c>
      <c r="C7823" s="32">
        <v>23.765999999999998</v>
      </c>
      <c r="D7823" s="28">
        <v>1.5277777777777777E-2</v>
      </c>
    </row>
    <row r="7824" spans="1:4" x14ac:dyDescent="0.25">
      <c r="A7824" s="24" t="s">
        <v>145</v>
      </c>
      <c r="B7824" s="24" t="s">
        <v>110</v>
      </c>
      <c r="C7824" s="32">
        <v>33.341000000000001</v>
      </c>
      <c r="D7824" s="28">
        <v>2.4305555555555556E-2</v>
      </c>
    </row>
    <row r="7825" spans="1:4" x14ac:dyDescent="0.25">
      <c r="A7825" s="24" t="s">
        <v>145</v>
      </c>
      <c r="B7825" s="24" t="s">
        <v>111</v>
      </c>
      <c r="C7825" s="32">
        <v>33.5</v>
      </c>
      <c r="D7825" s="28">
        <v>2.4305555555555556E-2</v>
      </c>
    </row>
    <row r="7826" spans="1:4" x14ac:dyDescent="0.25">
      <c r="A7826" s="24" t="s">
        <v>145</v>
      </c>
      <c r="B7826" s="24" t="s">
        <v>112</v>
      </c>
      <c r="C7826" s="32">
        <v>26.510999999999999</v>
      </c>
      <c r="D7826" s="28">
        <v>1.7361111111111112E-2</v>
      </c>
    </row>
    <row r="7827" spans="1:4" x14ac:dyDescent="0.25">
      <c r="A7827" s="24" t="s">
        <v>145</v>
      </c>
      <c r="B7827" s="24" t="s">
        <v>113</v>
      </c>
      <c r="C7827" s="32">
        <v>23.827000000000002</v>
      </c>
      <c r="D7827" s="28">
        <v>1.6666666666666666E-2</v>
      </c>
    </row>
    <row r="7828" spans="1:4" x14ac:dyDescent="0.25">
      <c r="A7828" s="24" t="s">
        <v>145</v>
      </c>
      <c r="B7828" s="24" t="s">
        <v>114</v>
      </c>
      <c r="C7828" s="32">
        <v>45.9</v>
      </c>
      <c r="D7828" s="28">
        <v>2.9166666666666664E-2</v>
      </c>
    </row>
    <row r="7829" spans="1:4" x14ac:dyDescent="0.25">
      <c r="A7829" s="24" t="s">
        <v>145</v>
      </c>
      <c r="B7829" s="24" t="s">
        <v>115</v>
      </c>
      <c r="C7829" s="32">
        <v>45.750999999999998</v>
      </c>
      <c r="D7829" s="28">
        <v>2.9861111111111113E-2</v>
      </c>
    </row>
    <row r="7830" spans="1:4" x14ac:dyDescent="0.25">
      <c r="A7830" s="24" t="s">
        <v>145</v>
      </c>
      <c r="B7830" s="24" t="s">
        <v>116</v>
      </c>
      <c r="C7830" s="32">
        <v>39.901000000000003</v>
      </c>
      <c r="D7830" s="28">
        <v>2.6388888888888889E-2</v>
      </c>
    </row>
    <row r="7831" spans="1:4" x14ac:dyDescent="0.25">
      <c r="A7831" s="24" t="s">
        <v>145</v>
      </c>
      <c r="B7831" s="24" t="s">
        <v>117</v>
      </c>
      <c r="C7831" s="32">
        <v>47.209000000000003</v>
      </c>
      <c r="D7831" s="28">
        <v>2.9166666666666664E-2</v>
      </c>
    </row>
    <row r="7832" spans="1:4" x14ac:dyDescent="0.25">
      <c r="A7832" s="24" t="s">
        <v>145</v>
      </c>
      <c r="B7832" s="24" t="s">
        <v>118</v>
      </c>
      <c r="C7832" s="32">
        <v>33.076999999999998</v>
      </c>
      <c r="D7832" s="28">
        <v>2.013888888888889E-2</v>
      </c>
    </row>
    <row r="7833" spans="1:4" x14ac:dyDescent="0.25">
      <c r="A7833" s="24" t="s">
        <v>145</v>
      </c>
      <c r="B7833" s="24" t="s">
        <v>119</v>
      </c>
      <c r="C7833" s="32">
        <v>30.593</v>
      </c>
      <c r="D7833" s="28">
        <v>1.8055555555555557E-2</v>
      </c>
    </row>
    <row r="7834" spans="1:4" x14ac:dyDescent="0.25">
      <c r="A7834" s="24" t="s">
        <v>145</v>
      </c>
      <c r="B7834" s="24" t="s">
        <v>120</v>
      </c>
      <c r="C7834" s="32">
        <v>33.383000000000003</v>
      </c>
      <c r="D7834" s="28">
        <v>2.1527777777777781E-2</v>
      </c>
    </row>
    <row r="7835" spans="1:4" x14ac:dyDescent="0.25">
      <c r="A7835" s="24" t="s">
        <v>145</v>
      </c>
      <c r="B7835" s="24" t="s">
        <v>121</v>
      </c>
      <c r="C7835" s="32">
        <v>47.734000000000002</v>
      </c>
      <c r="D7835" s="28">
        <v>2.8472222222222222E-2</v>
      </c>
    </row>
    <row r="7836" spans="1:4" x14ac:dyDescent="0.25">
      <c r="A7836" s="24" t="s">
        <v>145</v>
      </c>
      <c r="B7836" s="24" t="s">
        <v>122</v>
      </c>
      <c r="C7836" s="32">
        <v>59.552</v>
      </c>
      <c r="D7836" s="28">
        <v>3.2638888888888891E-2</v>
      </c>
    </row>
    <row r="7837" spans="1:4" x14ac:dyDescent="0.25">
      <c r="A7837" s="24" t="s">
        <v>145</v>
      </c>
      <c r="B7837" s="24" t="s">
        <v>123</v>
      </c>
      <c r="C7837" s="32">
        <v>41.319000000000003</v>
      </c>
      <c r="D7837" s="28">
        <v>2.4305555555555556E-2</v>
      </c>
    </row>
    <row r="7838" spans="1:4" x14ac:dyDescent="0.25">
      <c r="A7838" s="24" t="s">
        <v>145</v>
      </c>
      <c r="B7838" s="24" t="s">
        <v>124</v>
      </c>
      <c r="C7838" s="32">
        <v>41.319000000000003</v>
      </c>
      <c r="D7838" s="28">
        <v>2.4305555555555556E-2</v>
      </c>
    </row>
    <row r="7839" spans="1:4" x14ac:dyDescent="0.25">
      <c r="A7839" s="24" t="s">
        <v>145</v>
      </c>
      <c r="B7839" s="24" t="s">
        <v>125</v>
      </c>
      <c r="C7839" s="32">
        <v>34.664999999999999</v>
      </c>
      <c r="D7839" s="28">
        <v>2.4999999999999998E-2</v>
      </c>
    </row>
    <row r="7840" spans="1:4" x14ac:dyDescent="0.25">
      <c r="A7840" s="24" t="s">
        <v>145</v>
      </c>
      <c r="B7840" s="24" t="s">
        <v>126</v>
      </c>
      <c r="C7840" s="32">
        <v>34.402999999999999</v>
      </c>
      <c r="D7840" s="28">
        <v>2.4305555555555556E-2</v>
      </c>
    </row>
    <row r="7841" spans="1:4" x14ac:dyDescent="0.25">
      <c r="A7841" s="24" t="s">
        <v>145</v>
      </c>
      <c r="B7841" s="24" t="s">
        <v>127</v>
      </c>
      <c r="C7841" s="32">
        <v>35.148000000000003</v>
      </c>
      <c r="D7841" s="28">
        <v>2.4999999999999998E-2</v>
      </c>
    </row>
    <row r="7842" spans="1:4" x14ac:dyDescent="0.25">
      <c r="A7842" s="24" t="s">
        <v>145</v>
      </c>
      <c r="B7842" s="24" t="s">
        <v>128</v>
      </c>
      <c r="C7842" s="32">
        <v>32.46</v>
      </c>
      <c r="D7842" s="28">
        <v>2.361111111111111E-2</v>
      </c>
    </row>
    <row r="7843" spans="1:4" x14ac:dyDescent="0.25">
      <c r="A7843" s="24" t="s">
        <v>145</v>
      </c>
      <c r="B7843" s="24" t="s">
        <v>129</v>
      </c>
      <c r="C7843" s="32">
        <v>32.46</v>
      </c>
      <c r="D7843" s="28">
        <v>2.361111111111111E-2</v>
      </c>
    </row>
    <row r="7844" spans="1:4" x14ac:dyDescent="0.25">
      <c r="A7844" s="24" t="s">
        <v>145</v>
      </c>
      <c r="B7844" s="24" t="s">
        <v>130</v>
      </c>
      <c r="C7844" s="32">
        <v>35.066000000000003</v>
      </c>
      <c r="D7844" s="28">
        <v>2.5694444444444447E-2</v>
      </c>
    </row>
    <row r="7845" spans="1:4" x14ac:dyDescent="0.25">
      <c r="A7845" s="24" t="s">
        <v>145</v>
      </c>
      <c r="B7845" s="24" t="s">
        <v>131</v>
      </c>
      <c r="C7845" s="32">
        <v>37.536999999999999</v>
      </c>
      <c r="D7845" s="28">
        <v>2.8472222222222222E-2</v>
      </c>
    </row>
    <row r="7846" spans="1:4" x14ac:dyDescent="0.25">
      <c r="A7846" s="24" t="s">
        <v>145</v>
      </c>
      <c r="B7846" s="24" t="s">
        <v>132</v>
      </c>
      <c r="C7846" s="32">
        <v>37.316000000000003</v>
      </c>
      <c r="D7846" s="28">
        <v>2.7777777777777776E-2</v>
      </c>
    </row>
    <row r="7847" spans="1:4" x14ac:dyDescent="0.25">
      <c r="A7847" s="24" t="s">
        <v>145</v>
      </c>
      <c r="B7847" s="24" t="s">
        <v>133</v>
      </c>
      <c r="C7847" s="32">
        <v>23.638999999999999</v>
      </c>
      <c r="D7847" s="28">
        <v>1.6666666666666666E-2</v>
      </c>
    </row>
    <row r="7848" spans="1:4" x14ac:dyDescent="0.25">
      <c r="A7848" s="24" t="s">
        <v>145</v>
      </c>
      <c r="B7848" s="24" t="s">
        <v>134</v>
      </c>
      <c r="C7848" s="32">
        <v>23.172999999999998</v>
      </c>
      <c r="D7848" s="28">
        <v>1.5277777777777777E-2</v>
      </c>
    </row>
    <row r="7849" spans="1:4" x14ac:dyDescent="0.25">
      <c r="A7849" s="24" t="s">
        <v>145</v>
      </c>
      <c r="B7849" s="24" t="s">
        <v>135</v>
      </c>
      <c r="C7849" s="32">
        <v>26.655999999999999</v>
      </c>
      <c r="D7849" s="28">
        <v>1.6666666666666666E-2</v>
      </c>
    </row>
    <row r="7850" spans="1:4" x14ac:dyDescent="0.25">
      <c r="A7850" s="24" t="s">
        <v>145</v>
      </c>
      <c r="B7850" s="24" t="s">
        <v>136</v>
      </c>
      <c r="C7850" s="32">
        <v>26.655999999999999</v>
      </c>
      <c r="D7850" s="28">
        <v>1.6666666666666666E-2</v>
      </c>
    </row>
    <row r="7851" spans="1:4" x14ac:dyDescent="0.25">
      <c r="A7851" s="24" t="s">
        <v>145</v>
      </c>
      <c r="B7851" s="24" t="s">
        <v>137</v>
      </c>
      <c r="C7851" s="32">
        <v>26.265000000000001</v>
      </c>
      <c r="D7851" s="28">
        <v>1.5972222222222224E-2</v>
      </c>
    </row>
    <row r="7852" spans="1:4" x14ac:dyDescent="0.25">
      <c r="A7852" s="24" t="s">
        <v>145</v>
      </c>
      <c r="B7852" s="24" t="s">
        <v>138</v>
      </c>
      <c r="C7852" s="32">
        <v>20.007000000000001</v>
      </c>
      <c r="D7852" s="28">
        <v>1.3888888888888888E-2</v>
      </c>
    </row>
    <row r="7853" spans="1:4" x14ac:dyDescent="0.25">
      <c r="A7853" s="24" t="s">
        <v>145</v>
      </c>
      <c r="B7853" s="24" t="s">
        <v>139</v>
      </c>
      <c r="C7853" s="32">
        <v>23.474</v>
      </c>
      <c r="D7853" s="28">
        <v>1.5277777777777777E-2</v>
      </c>
    </row>
    <row r="7854" spans="1:4" x14ac:dyDescent="0.25">
      <c r="A7854" s="24" t="s">
        <v>145</v>
      </c>
      <c r="B7854" s="24" t="s">
        <v>140</v>
      </c>
      <c r="C7854" s="32">
        <v>30.114000000000001</v>
      </c>
      <c r="D7854" s="28">
        <v>1.7361111111111112E-2</v>
      </c>
    </row>
    <row r="7855" spans="1:4" x14ac:dyDescent="0.25">
      <c r="A7855" s="24" t="s">
        <v>145</v>
      </c>
      <c r="B7855" s="24" t="s">
        <v>141</v>
      </c>
      <c r="C7855" s="32">
        <v>25.131</v>
      </c>
      <c r="D7855" s="28">
        <v>2.2222222222222223E-2</v>
      </c>
    </row>
    <row r="7856" spans="1:4" x14ac:dyDescent="0.25">
      <c r="A7856" s="24" t="s">
        <v>145</v>
      </c>
      <c r="B7856" s="24" t="s">
        <v>142</v>
      </c>
      <c r="C7856" s="32">
        <v>46.273000000000003</v>
      </c>
      <c r="D7856" s="28">
        <v>2.7083333333333334E-2</v>
      </c>
    </row>
    <row r="7857" spans="1:4" x14ac:dyDescent="0.25">
      <c r="A7857" s="24" t="s">
        <v>145</v>
      </c>
      <c r="B7857" s="24" t="s">
        <v>143</v>
      </c>
      <c r="C7857" s="32">
        <v>64.650999999999996</v>
      </c>
      <c r="D7857" s="28">
        <v>3.4027777777777775E-2</v>
      </c>
    </row>
    <row r="7858" spans="1:4" x14ac:dyDescent="0.25">
      <c r="A7858" s="24" t="s">
        <v>145</v>
      </c>
      <c r="B7858" s="24" t="s">
        <v>144</v>
      </c>
      <c r="C7858" s="32">
        <v>83.766999999999996</v>
      </c>
      <c r="D7858" s="28">
        <v>4.5138888888888888E-2</v>
      </c>
    </row>
    <row r="7859" spans="1:4" x14ac:dyDescent="0.25">
      <c r="A7859" s="24" t="s">
        <v>145</v>
      </c>
      <c r="B7859" s="24" t="s">
        <v>145</v>
      </c>
      <c r="C7859" s="32">
        <v>0</v>
      </c>
      <c r="D7859" s="28">
        <v>0</v>
      </c>
    </row>
    <row r="7860" spans="1:4" x14ac:dyDescent="0.25">
      <c r="A7860" s="24" t="s">
        <v>145</v>
      </c>
      <c r="B7860" s="24" t="s">
        <v>146</v>
      </c>
      <c r="C7860" s="32">
        <v>21.690999999999999</v>
      </c>
      <c r="D7860" s="28">
        <v>1.6666666666666666E-2</v>
      </c>
    </row>
    <row r="7861" spans="1:4" x14ac:dyDescent="0.25">
      <c r="A7861" s="24" t="s">
        <v>145</v>
      </c>
      <c r="B7861" s="24" t="s">
        <v>147</v>
      </c>
      <c r="C7861" s="32">
        <v>36.42</v>
      </c>
      <c r="D7861" s="28">
        <v>2.4999999999999998E-2</v>
      </c>
    </row>
    <row r="7862" spans="1:4" x14ac:dyDescent="0.25">
      <c r="A7862" s="24" t="s">
        <v>145</v>
      </c>
      <c r="B7862" s="24" t="s">
        <v>148</v>
      </c>
      <c r="C7862" s="32">
        <v>34.497</v>
      </c>
      <c r="D7862" s="28">
        <v>2.4999999999999998E-2</v>
      </c>
    </row>
    <row r="7863" spans="1:4" x14ac:dyDescent="0.25">
      <c r="A7863" s="24" t="s">
        <v>145</v>
      </c>
      <c r="B7863" s="24" t="s">
        <v>149</v>
      </c>
      <c r="C7863" s="32">
        <v>37.843000000000004</v>
      </c>
      <c r="D7863" s="28">
        <v>2.7777777777777776E-2</v>
      </c>
    </row>
    <row r="7864" spans="1:4" x14ac:dyDescent="0.25">
      <c r="A7864" s="24" t="s">
        <v>145</v>
      </c>
      <c r="B7864" s="24" t="s">
        <v>150</v>
      </c>
      <c r="C7864" s="32">
        <v>45.814</v>
      </c>
      <c r="D7864" s="28">
        <v>3.6111111111111115E-2</v>
      </c>
    </row>
    <row r="7865" spans="1:4" x14ac:dyDescent="0.25">
      <c r="A7865" s="24" t="s">
        <v>145</v>
      </c>
      <c r="B7865" s="24" t="s">
        <v>151</v>
      </c>
      <c r="C7865" s="32">
        <v>45.072000000000003</v>
      </c>
      <c r="D7865" s="28">
        <v>3.6111111111111115E-2</v>
      </c>
    </row>
    <row r="7866" spans="1:4" x14ac:dyDescent="0.25">
      <c r="A7866" s="24" t="s">
        <v>145</v>
      </c>
      <c r="B7866" s="24" t="s">
        <v>152</v>
      </c>
      <c r="C7866" s="32">
        <v>51.966000000000001</v>
      </c>
      <c r="D7866" s="28">
        <v>3.9583333333333331E-2</v>
      </c>
    </row>
    <row r="7867" spans="1:4" x14ac:dyDescent="0.25">
      <c r="A7867" s="24" t="s">
        <v>145</v>
      </c>
      <c r="B7867" s="24" t="s">
        <v>153</v>
      </c>
      <c r="C7867" s="32">
        <v>54.494</v>
      </c>
      <c r="D7867" s="28">
        <v>4.4444444444444446E-2</v>
      </c>
    </row>
    <row r="7868" spans="1:4" x14ac:dyDescent="0.25">
      <c r="A7868" s="24" t="s">
        <v>145</v>
      </c>
      <c r="B7868" s="24" t="s">
        <v>154</v>
      </c>
      <c r="C7868" s="32">
        <v>49.311999999999998</v>
      </c>
      <c r="D7868" s="28">
        <v>3.888888888888889E-2</v>
      </c>
    </row>
    <row r="7869" spans="1:4" x14ac:dyDescent="0.25">
      <c r="A7869" s="24" t="s">
        <v>145</v>
      </c>
      <c r="B7869" s="24" t="s">
        <v>155</v>
      </c>
      <c r="C7869" s="32">
        <v>45.133000000000003</v>
      </c>
      <c r="D7869" s="28">
        <v>3.5416666666666666E-2</v>
      </c>
    </row>
    <row r="7870" spans="1:4" x14ac:dyDescent="0.25">
      <c r="A7870" s="24" t="s">
        <v>145</v>
      </c>
      <c r="B7870" s="24" t="s">
        <v>156</v>
      </c>
      <c r="C7870" s="32">
        <v>45.116999999999997</v>
      </c>
      <c r="D7870" s="28">
        <v>3.5416666666666666E-2</v>
      </c>
    </row>
    <row r="7871" spans="1:4" x14ac:dyDescent="0.25">
      <c r="A7871" s="24" t="s">
        <v>145</v>
      </c>
      <c r="B7871" s="24" t="s">
        <v>157</v>
      </c>
      <c r="C7871" s="32">
        <v>55.307000000000002</v>
      </c>
      <c r="D7871" s="28">
        <v>4.2361111111111106E-2</v>
      </c>
    </row>
    <row r="7872" spans="1:4" x14ac:dyDescent="0.25">
      <c r="A7872" s="24" t="s">
        <v>145</v>
      </c>
      <c r="B7872" s="24" t="s">
        <v>158</v>
      </c>
      <c r="C7872" s="32">
        <v>66.061000000000007</v>
      </c>
      <c r="D7872" s="28">
        <v>4.9999999999999996E-2</v>
      </c>
    </row>
    <row r="7873" spans="1:4" x14ac:dyDescent="0.25">
      <c r="A7873" s="24" t="s">
        <v>145</v>
      </c>
      <c r="B7873" s="24" t="s">
        <v>159</v>
      </c>
      <c r="C7873" s="32">
        <v>71.430999999999997</v>
      </c>
      <c r="D7873" s="28">
        <v>5.5555555555555552E-2</v>
      </c>
    </row>
    <row r="7874" spans="1:4" x14ac:dyDescent="0.25">
      <c r="A7874" s="24" t="s">
        <v>146</v>
      </c>
      <c r="B7874" s="24" t="s">
        <v>65</v>
      </c>
      <c r="C7874" s="32">
        <v>55.51</v>
      </c>
      <c r="D7874" s="28">
        <v>3.4027777777777775E-2</v>
      </c>
    </row>
    <row r="7875" spans="1:4" x14ac:dyDescent="0.25">
      <c r="A7875" s="24" t="s">
        <v>146</v>
      </c>
      <c r="B7875" s="24" t="s">
        <v>64</v>
      </c>
      <c r="C7875" s="32">
        <v>46.521000000000001</v>
      </c>
      <c r="D7875" s="28">
        <v>2.9861111111111113E-2</v>
      </c>
    </row>
    <row r="7876" spans="1:4" x14ac:dyDescent="0.25">
      <c r="A7876" s="24" t="s">
        <v>146</v>
      </c>
      <c r="B7876" s="24" t="s">
        <v>66</v>
      </c>
      <c r="C7876" s="32">
        <v>50.624000000000002</v>
      </c>
      <c r="D7876" s="28">
        <v>3.3333333333333333E-2</v>
      </c>
    </row>
    <row r="7877" spans="1:4" x14ac:dyDescent="0.25">
      <c r="A7877" s="24" t="s">
        <v>146</v>
      </c>
      <c r="B7877" s="24" t="s">
        <v>67</v>
      </c>
      <c r="C7877" s="32">
        <v>49.246000000000002</v>
      </c>
      <c r="D7877" s="28">
        <v>3.0555555555555555E-2</v>
      </c>
    </row>
    <row r="7878" spans="1:4" x14ac:dyDescent="0.25">
      <c r="A7878" s="24" t="s">
        <v>146</v>
      </c>
      <c r="B7878" s="24" t="s">
        <v>68</v>
      </c>
      <c r="C7878" s="32">
        <v>49.11</v>
      </c>
      <c r="D7878" s="28">
        <v>3.0555555555555555E-2</v>
      </c>
    </row>
    <row r="7879" spans="1:4" x14ac:dyDescent="0.25">
      <c r="A7879" s="24" t="s">
        <v>146</v>
      </c>
      <c r="B7879" s="24" t="s">
        <v>69</v>
      </c>
      <c r="C7879" s="32">
        <v>49.91</v>
      </c>
      <c r="D7879" s="28">
        <v>3.1944444444444449E-2</v>
      </c>
    </row>
    <row r="7880" spans="1:4" x14ac:dyDescent="0.25">
      <c r="A7880" s="24" t="s">
        <v>146</v>
      </c>
      <c r="B7880" s="24" t="s">
        <v>70</v>
      </c>
      <c r="C7880" s="32">
        <v>49.573999999999998</v>
      </c>
      <c r="D7880" s="28">
        <v>3.125E-2</v>
      </c>
    </row>
    <row r="7881" spans="1:4" x14ac:dyDescent="0.25">
      <c r="A7881" s="24" t="s">
        <v>146</v>
      </c>
      <c r="B7881" s="24" t="s">
        <v>71</v>
      </c>
      <c r="C7881" s="32">
        <v>49.540999999999997</v>
      </c>
      <c r="D7881" s="28">
        <v>3.1944444444444449E-2</v>
      </c>
    </row>
    <row r="7882" spans="1:4" x14ac:dyDescent="0.25">
      <c r="A7882" s="24" t="s">
        <v>146</v>
      </c>
      <c r="B7882" s="24" t="s">
        <v>72</v>
      </c>
      <c r="C7882" s="32">
        <v>48.71</v>
      </c>
      <c r="D7882" s="28">
        <v>3.0555555555555555E-2</v>
      </c>
    </row>
    <row r="7883" spans="1:4" x14ac:dyDescent="0.25">
      <c r="A7883" s="24" t="s">
        <v>146</v>
      </c>
      <c r="B7883" s="24" t="s">
        <v>73</v>
      </c>
      <c r="C7883" s="32">
        <v>46.003</v>
      </c>
      <c r="D7883" s="28">
        <v>2.9861111111111113E-2</v>
      </c>
    </row>
    <row r="7884" spans="1:4" x14ac:dyDescent="0.25">
      <c r="A7884" s="24" t="s">
        <v>146</v>
      </c>
      <c r="B7884" s="24" t="s">
        <v>74</v>
      </c>
      <c r="C7884" s="32">
        <v>45.26</v>
      </c>
      <c r="D7884" s="28">
        <v>2.8472222222222222E-2</v>
      </c>
    </row>
    <row r="7885" spans="1:4" x14ac:dyDescent="0.25">
      <c r="A7885" s="24" t="s">
        <v>146</v>
      </c>
      <c r="B7885" s="24" t="s">
        <v>75</v>
      </c>
      <c r="C7885" s="32">
        <v>44.295999999999999</v>
      </c>
      <c r="D7885" s="28">
        <v>2.7083333333333334E-2</v>
      </c>
    </row>
    <row r="7886" spans="1:4" x14ac:dyDescent="0.25">
      <c r="A7886" s="24" t="s">
        <v>146</v>
      </c>
      <c r="B7886" s="24" t="s">
        <v>76</v>
      </c>
      <c r="C7886" s="32">
        <v>43.764000000000003</v>
      </c>
      <c r="D7886" s="28">
        <v>2.9166666666666664E-2</v>
      </c>
    </row>
    <row r="7887" spans="1:4" x14ac:dyDescent="0.25">
      <c r="A7887" s="24" t="s">
        <v>146</v>
      </c>
      <c r="B7887" s="24" t="s">
        <v>77</v>
      </c>
      <c r="C7887" s="32">
        <v>51.677999999999997</v>
      </c>
      <c r="D7887" s="28">
        <v>3.1944444444444449E-2</v>
      </c>
    </row>
    <row r="7888" spans="1:4" x14ac:dyDescent="0.25">
      <c r="A7888" s="24" t="s">
        <v>146</v>
      </c>
      <c r="B7888" s="24" t="s">
        <v>78</v>
      </c>
      <c r="C7888" s="32">
        <v>52.551000000000002</v>
      </c>
      <c r="D7888" s="28">
        <v>3.3333333333333333E-2</v>
      </c>
    </row>
    <row r="7889" spans="1:4" x14ac:dyDescent="0.25">
      <c r="A7889" s="24" t="s">
        <v>146</v>
      </c>
      <c r="B7889" s="24" t="s">
        <v>79</v>
      </c>
      <c r="C7889" s="32">
        <v>63.405999999999999</v>
      </c>
      <c r="D7889" s="28">
        <v>4.4444444444444446E-2</v>
      </c>
    </row>
    <row r="7890" spans="1:4" x14ac:dyDescent="0.25">
      <c r="A7890" s="24" t="s">
        <v>146</v>
      </c>
      <c r="B7890" s="24" t="s">
        <v>80</v>
      </c>
      <c r="C7890" s="32">
        <v>58.823999999999998</v>
      </c>
      <c r="D7890" s="28">
        <v>3.6805555555555557E-2</v>
      </c>
    </row>
    <row r="7891" spans="1:4" x14ac:dyDescent="0.25">
      <c r="A7891" s="24" t="s">
        <v>146</v>
      </c>
      <c r="B7891" s="24" t="s">
        <v>81</v>
      </c>
      <c r="C7891" s="32">
        <v>61.286000000000001</v>
      </c>
      <c r="D7891" s="28">
        <v>3.6111111111111115E-2</v>
      </c>
    </row>
    <row r="7892" spans="1:4" x14ac:dyDescent="0.25">
      <c r="A7892" s="24" t="s">
        <v>146</v>
      </c>
      <c r="B7892" s="24" t="s">
        <v>82</v>
      </c>
      <c r="C7892" s="32">
        <v>61.338000000000001</v>
      </c>
      <c r="D7892" s="28">
        <v>3.6111111111111115E-2</v>
      </c>
    </row>
    <row r="7893" spans="1:4" x14ac:dyDescent="0.25">
      <c r="A7893" s="24" t="s">
        <v>146</v>
      </c>
      <c r="B7893" s="24" t="s">
        <v>83</v>
      </c>
      <c r="C7893" s="32">
        <v>44.713999999999999</v>
      </c>
      <c r="D7893" s="28">
        <v>2.8472222222222222E-2</v>
      </c>
    </row>
    <row r="7894" spans="1:4" x14ac:dyDescent="0.25">
      <c r="A7894" s="24" t="s">
        <v>146</v>
      </c>
      <c r="B7894" s="24" t="s">
        <v>84</v>
      </c>
      <c r="C7894" s="32">
        <v>42.186999999999998</v>
      </c>
      <c r="D7894" s="28">
        <v>2.4305555555555556E-2</v>
      </c>
    </row>
    <row r="7895" spans="1:4" x14ac:dyDescent="0.25">
      <c r="A7895" s="24" t="s">
        <v>146</v>
      </c>
      <c r="B7895" s="24" t="s">
        <v>85</v>
      </c>
      <c r="C7895" s="32">
        <v>41.820999999999998</v>
      </c>
      <c r="D7895" s="28">
        <v>2.4305555555555556E-2</v>
      </c>
    </row>
    <row r="7896" spans="1:4" x14ac:dyDescent="0.25">
      <c r="A7896" s="24" t="s">
        <v>146</v>
      </c>
      <c r="B7896" s="24" t="s">
        <v>86</v>
      </c>
      <c r="C7896" s="32">
        <v>41.761000000000003</v>
      </c>
      <c r="D7896" s="28">
        <v>2.5694444444444447E-2</v>
      </c>
    </row>
    <row r="7897" spans="1:4" x14ac:dyDescent="0.25">
      <c r="A7897" s="24" t="s">
        <v>146</v>
      </c>
      <c r="B7897" s="24" t="s">
        <v>87</v>
      </c>
      <c r="C7897" s="32">
        <v>41.539000000000001</v>
      </c>
      <c r="D7897" s="28">
        <v>2.5694444444444447E-2</v>
      </c>
    </row>
    <row r="7898" spans="1:4" x14ac:dyDescent="0.25">
      <c r="A7898" s="24" t="s">
        <v>146</v>
      </c>
      <c r="B7898" s="24" t="s">
        <v>88</v>
      </c>
      <c r="C7898" s="32">
        <v>42.618000000000002</v>
      </c>
      <c r="D7898" s="28">
        <v>2.6388888888888889E-2</v>
      </c>
    </row>
    <row r="7899" spans="1:4" x14ac:dyDescent="0.25">
      <c r="A7899" s="24" t="s">
        <v>146</v>
      </c>
      <c r="B7899" s="24" t="s">
        <v>89</v>
      </c>
      <c r="C7899" s="32">
        <v>46.307000000000002</v>
      </c>
      <c r="D7899" s="28">
        <v>3.0555555555555555E-2</v>
      </c>
    </row>
    <row r="7900" spans="1:4" x14ac:dyDescent="0.25">
      <c r="A7900" s="24" t="s">
        <v>146</v>
      </c>
      <c r="B7900" s="24" t="s">
        <v>90</v>
      </c>
      <c r="C7900" s="32">
        <v>58.447000000000003</v>
      </c>
      <c r="D7900" s="28">
        <v>3.6805555555555557E-2</v>
      </c>
    </row>
    <row r="7901" spans="1:4" x14ac:dyDescent="0.25">
      <c r="A7901" s="24" t="s">
        <v>146</v>
      </c>
      <c r="B7901" s="24" t="s">
        <v>91</v>
      </c>
      <c r="C7901" s="32">
        <v>44.165999999999997</v>
      </c>
      <c r="D7901" s="28">
        <v>2.8472222222222222E-2</v>
      </c>
    </row>
    <row r="7902" spans="1:4" x14ac:dyDescent="0.25">
      <c r="A7902" s="24" t="s">
        <v>146</v>
      </c>
      <c r="B7902" s="24" t="s">
        <v>92</v>
      </c>
      <c r="C7902" s="32">
        <v>56.896000000000001</v>
      </c>
      <c r="D7902" s="28">
        <v>3.6111111111111115E-2</v>
      </c>
    </row>
    <row r="7903" spans="1:4" x14ac:dyDescent="0.25">
      <c r="A7903" s="24" t="s">
        <v>146</v>
      </c>
      <c r="B7903" s="24" t="s">
        <v>93</v>
      </c>
      <c r="C7903" s="32">
        <v>80.626999999999995</v>
      </c>
      <c r="D7903" s="28">
        <v>4.9305555555555554E-2</v>
      </c>
    </row>
    <row r="7904" spans="1:4" x14ac:dyDescent="0.25">
      <c r="A7904" s="24" t="s">
        <v>146</v>
      </c>
      <c r="B7904" s="24" t="s">
        <v>94</v>
      </c>
      <c r="C7904" s="32">
        <v>81.256</v>
      </c>
      <c r="D7904" s="28">
        <v>4.9999999999999996E-2</v>
      </c>
    </row>
    <row r="7905" spans="1:4" x14ac:dyDescent="0.25">
      <c r="A7905" s="24" t="s">
        <v>146</v>
      </c>
      <c r="B7905" s="24" t="s">
        <v>95</v>
      </c>
      <c r="C7905" s="32">
        <v>58.353000000000002</v>
      </c>
      <c r="D7905" s="28">
        <v>3.8194444444444441E-2</v>
      </c>
    </row>
    <row r="7906" spans="1:4" x14ac:dyDescent="0.25">
      <c r="A7906" s="24" t="s">
        <v>146</v>
      </c>
      <c r="B7906" s="24" t="s">
        <v>96</v>
      </c>
      <c r="C7906" s="32">
        <v>60.41</v>
      </c>
      <c r="D7906" s="28">
        <v>4.027777777777778E-2</v>
      </c>
    </row>
    <row r="7907" spans="1:4" x14ac:dyDescent="0.25">
      <c r="A7907" s="24" t="s">
        <v>146</v>
      </c>
      <c r="B7907" s="24" t="s">
        <v>97</v>
      </c>
      <c r="C7907" s="32">
        <v>67.899000000000001</v>
      </c>
      <c r="D7907" s="28">
        <v>4.7916666666666663E-2</v>
      </c>
    </row>
    <row r="7908" spans="1:4" x14ac:dyDescent="0.25">
      <c r="A7908" s="24" t="s">
        <v>146</v>
      </c>
      <c r="B7908" s="24" t="s">
        <v>98</v>
      </c>
      <c r="C7908" s="32">
        <v>66.025000000000006</v>
      </c>
      <c r="D7908" s="28">
        <v>4.3055555555555562E-2</v>
      </c>
    </row>
    <row r="7909" spans="1:4" x14ac:dyDescent="0.25">
      <c r="A7909" s="24" t="s">
        <v>146</v>
      </c>
      <c r="B7909" s="24" t="s">
        <v>99</v>
      </c>
      <c r="C7909" s="32">
        <v>70.444999999999993</v>
      </c>
      <c r="D7909" s="28">
        <v>4.6527777777777779E-2</v>
      </c>
    </row>
    <row r="7910" spans="1:4" x14ac:dyDescent="0.25">
      <c r="A7910" s="24" t="s">
        <v>146</v>
      </c>
      <c r="B7910" s="24" t="s">
        <v>100</v>
      </c>
      <c r="C7910" s="32">
        <v>63.439</v>
      </c>
      <c r="D7910" s="28">
        <v>3.9583333333333331E-2</v>
      </c>
    </row>
    <row r="7911" spans="1:4" x14ac:dyDescent="0.25">
      <c r="A7911" s="24" t="s">
        <v>146</v>
      </c>
      <c r="B7911" s="24" t="s">
        <v>101</v>
      </c>
      <c r="C7911" s="32">
        <v>65.075999999999993</v>
      </c>
      <c r="D7911" s="28">
        <v>4.3055555555555562E-2</v>
      </c>
    </row>
    <row r="7912" spans="1:4" x14ac:dyDescent="0.25">
      <c r="A7912" s="24" t="s">
        <v>146</v>
      </c>
      <c r="B7912" s="24" t="s">
        <v>102</v>
      </c>
      <c r="C7912" s="32">
        <v>64.503</v>
      </c>
      <c r="D7912" s="28">
        <v>4.2361111111111106E-2</v>
      </c>
    </row>
    <row r="7913" spans="1:4" x14ac:dyDescent="0.25">
      <c r="A7913" s="24" t="s">
        <v>146</v>
      </c>
      <c r="B7913" s="24" t="s">
        <v>103</v>
      </c>
      <c r="C7913" s="32">
        <v>49.953000000000003</v>
      </c>
      <c r="D7913" s="28">
        <v>3.2638888888888891E-2</v>
      </c>
    </row>
    <row r="7914" spans="1:4" x14ac:dyDescent="0.25">
      <c r="A7914" s="24" t="s">
        <v>146</v>
      </c>
      <c r="B7914" s="24" t="s">
        <v>104</v>
      </c>
      <c r="C7914" s="32">
        <v>54.118000000000002</v>
      </c>
      <c r="D7914" s="28">
        <v>3.4027777777777775E-2</v>
      </c>
    </row>
    <row r="7915" spans="1:4" x14ac:dyDescent="0.25">
      <c r="A7915" s="24" t="s">
        <v>146</v>
      </c>
      <c r="B7915" s="24" t="s">
        <v>105</v>
      </c>
      <c r="C7915" s="32">
        <v>48.783000000000001</v>
      </c>
      <c r="D7915" s="28">
        <v>3.6111111111111115E-2</v>
      </c>
    </row>
    <row r="7916" spans="1:4" x14ac:dyDescent="0.25">
      <c r="A7916" s="24" t="s">
        <v>146</v>
      </c>
      <c r="B7916" s="24" t="s">
        <v>106</v>
      </c>
      <c r="C7916" s="32">
        <v>49.378999999999998</v>
      </c>
      <c r="D7916" s="28">
        <v>3.2638888888888891E-2</v>
      </c>
    </row>
    <row r="7917" spans="1:4" x14ac:dyDescent="0.25">
      <c r="A7917" s="24" t="s">
        <v>146</v>
      </c>
      <c r="B7917" s="24" t="s">
        <v>107</v>
      </c>
      <c r="C7917" s="32">
        <v>41.341000000000001</v>
      </c>
      <c r="D7917" s="28">
        <v>2.6388888888888889E-2</v>
      </c>
    </row>
    <row r="7918" spans="1:4" x14ac:dyDescent="0.25">
      <c r="A7918" s="24" t="s">
        <v>146</v>
      </c>
      <c r="B7918" s="24" t="s">
        <v>108</v>
      </c>
      <c r="C7918" s="32">
        <v>39.726999999999997</v>
      </c>
      <c r="D7918" s="28">
        <v>2.4305555555555556E-2</v>
      </c>
    </row>
    <row r="7919" spans="1:4" x14ac:dyDescent="0.25">
      <c r="A7919" s="24" t="s">
        <v>146</v>
      </c>
      <c r="B7919" s="24" t="s">
        <v>109</v>
      </c>
      <c r="C7919" s="32">
        <v>39.756999999999998</v>
      </c>
      <c r="D7919" s="28">
        <v>2.4305555555555556E-2</v>
      </c>
    </row>
    <row r="7920" spans="1:4" x14ac:dyDescent="0.25">
      <c r="A7920" s="24" t="s">
        <v>146</v>
      </c>
      <c r="B7920" s="24" t="s">
        <v>110</v>
      </c>
      <c r="C7920" s="32">
        <v>48.905999999999999</v>
      </c>
      <c r="D7920" s="28">
        <v>3.3333333333333333E-2</v>
      </c>
    </row>
    <row r="7921" spans="1:4" x14ac:dyDescent="0.25">
      <c r="A7921" s="24" t="s">
        <v>146</v>
      </c>
      <c r="B7921" s="24" t="s">
        <v>111</v>
      </c>
      <c r="C7921" s="32">
        <v>49.491</v>
      </c>
      <c r="D7921" s="28">
        <v>3.3333333333333333E-2</v>
      </c>
    </row>
    <row r="7922" spans="1:4" x14ac:dyDescent="0.25">
      <c r="A7922" s="24" t="s">
        <v>146</v>
      </c>
      <c r="B7922" s="24" t="s">
        <v>112</v>
      </c>
      <c r="C7922" s="32">
        <v>42.502000000000002</v>
      </c>
      <c r="D7922" s="28">
        <v>2.6388888888888889E-2</v>
      </c>
    </row>
    <row r="7923" spans="1:4" x14ac:dyDescent="0.25">
      <c r="A7923" s="24" t="s">
        <v>146</v>
      </c>
      <c r="B7923" s="24" t="s">
        <v>113</v>
      </c>
      <c r="C7923" s="32">
        <v>39.817999999999998</v>
      </c>
      <c r="D7923" s="28">
        <v>2.4999999999999998E-2</v>
      </c>
    </row>
    <row r="7924" spans="1:4" x14ac:dyDescent="0.25">
      <c r="A7924" s="24" t="s">
        <v>146</v>
      </c>
      <c r="B7924" s="24" t="s">
        <v>114</v>
      </c>
      <c r="C7924" s="32">
        <v>61.890999999999998</v>
      </c>
      <c r="D7924" s="28">
        <v>3.8194444444444441E-2</v>
      </c>
    </row>
    <row r="7925" spans="1:4" x14ac:dyDescent="0.25">
      <c r="A7925" s="24" t="s">
        <v>146</v>
      </c>
      <c r="B7925" s="24" t="s">
        <v>115</v>
      </c>
      <c r="C7925" s="32">
        <v>61.741999999999997</v>
      </c>
      <c r="D7925" s="28">
        <v>3.8194444444444441E-2</v>
      </c>
    </row>
    <row r="7926" spans="1:4" x14ac:dyDescent="0.25">
      <c r="A7926" s="24" t="s">
        <v>146</v>
      </c>
      <c r="B7926" s="24" t="s">
        <v>116</v>
      </c>
      <c r="C7926" s="32">
        <v>55.892000000000003</v>
      </c>
      <c r="D7926" s="28">
        <v>3.5416666666666666E-2</v>
      </c>
    </row>
    <row r="7927" spans="1:4" x14ac:dyDescent="0.25">
      <c r="A7927" s="24" t="s">
        <v>146</v>
      </c>
      <c r="B7927" s="24" t="s">
        <v>117</v>
      </c>
      <c r="C7927" s="32">
        <v>63.2</v>
      </c>
      <c r="D7927" s="28">
        <v>3.8194444444444441E-2</v>
      </c>
    </row>
    <row r="7928" spans="1:4" x14ac:dyDescent="0.25">
      <c r="A7928" s="24" t="s">
        <v>146</v>
      </c>
      <c r="B7928" s="24" t="s">
        <v>118</v>
      </c>
      <c r="C7928" s="32">
        <v>49.067999999999998</v>
      </c>
      <c r="D7928" s="28">
        <v>2.9166666666666664E-2</v>
      </c>
    </row>
    <row r="7929" spans="1:4" x14ac:dyDescent="0.25">
      <c r="A7929" s="24" t="s">
        <v>146</v>
      </c>
      <c r="B7929" s="24" t="s">
        <v>119</v>
      </c>
      <c r="C7929" s="32">
        <v>46.584000000000003</v>
      </c>
      <c r="D7929" s="28">
        <v>2.7083333333333334E-2</v>
      </c>
    </row>
    <row r="7930" spans="1:4" x14ac:dyDescent="0.25">
      <c r="A7930" s="24" t="s">
        <v>146</v>
      </c>
      <c r="B7930" s="24" t="s">
        <v>120</v>
      </c>
      <c r="C7930" s="32">
        <v>49.374000000000002</v>
      </c>
      <c r="D7930" s="28">
        <v>3.0555555555555555E-2</v>
      </c>
    </row>
    <row r="7931" spans="1:4" x14ac:dyDescent="0.25">
      <c r="A7931" s="24" t="s">
        <v>146</v>
      </c>
      <c r="B7931" s="24" t="s">
        <v>121</v>
      </c>
      <c r="C7931" s="32">
        <v>63.725000000000001</v>
      </c>
      <c r="D7931" s="28">
        <v>3.7499999999999999E-2</v>
      </c>
    </row>
    <row r="7932" spans="1:4" x14ac:dyDescent="0.25">
      <c r="A7932" s="24" t="s">
        <v>146</v>
      </c>
      <c r="B7932" s="24" t="s">
        <v>122</v>
      </c>
      <c r="C7932" s="32">
        <v>75.543000000000006</v>
      </c>
      <c r="D7932" s="28">
        <v>4.1666666666666664E-2</v>
      </c>
    </row>
    <row r="7933" spans="1:4" x14ac:dyDescent="0.25">
      <c r="A7933" s="24" t="s">
        <v>146</v>
      </c>
      <c r="B7933" s="24" t="s">
        <v>123</v>
      </c>
      <c r="C7933" s="32">
        <v>57.31</v>
      </c>
      <c r="D7933" s="28">
        <v>3.3333333333333333E-2</v>
      </c>
    </row>
    <row r="7934" spans="1:4" x14ac:dyDescent="0.25">
      <c r="A7934" s="24" t="s">
        <v>146</v>
      </c>
      <c r="B7934" s="24" t="s">
        <v>124</v>
      </c>
      <c r="C7934" s="32">
        <v>57.31</v>
      </c>
      <c r="D7934" s="28">
        <v>3.3333333333333333E-2</v>
      </c>
    </row>
    <row r="7935" spans="1:4" x14ac:dyDescent="0.25">
      <c r="A7935" s="24" t="s">
        <v>146</v>
      </c>
      <c r="B7935" s="24" t="s">
        <v>125</v>
      </c>
      <c r="C7935" s="32">
        <v>50.655999999999999</v>
      </c>
      <c r="D7935" s="28">
        <v>3.4027777777777775E-2</v>
      </c>
    </row>
    <row r="7936" spans="1:4" x14ac:dyDescent="0.25">
      <c r="A7936" s="24" t="s">
        <v>146</v>
      </c>
      <c r="B7936" s="24" t="s">
        <v>126</v>
      </c>
      <c r="C7936" s="32">
        <v>50.393999999999998</v>
      </c>
      <c r="D7936" s="28">
        <v>3.3333333333333333E-2</v>
      </c>
    </row>
    <row r="7937" spans="1:4" x14ac:dyDescent="0.25">
      <c r="A7937" s="24" t="s">
        <v>146</v>
      </c>
      <c r="B7937" s="24" t="s">
        <v>127</v>
      </c>
      <c r="C7937" s="32">
        <v>51.139000000000003</v>
      </c>
      <c r="D7937" s="28">
        <v>3.4027777777777775E-2</v>
      </c>
    </row>
    <row r="7938" spans="1:4" x14ac:dyDescent="0.25">
      <c r="A7938" s="24" t="s">
        <v>146</v>
      </c>
      <c r="B7938" s="24" t="s">
        <v>128</v>
      </c>
      <c r="C7938" s="32">
        <v>48.451000000000001</v>
      </c>
      <c r="D7938" s="28">
        <v>3.2638888888888891E-2</v>
      </c>
    </row>
    <row r="7939" spans="1:4" x14ac:dyDescent="0.25">
      <c r="A7939" s="24" t="s">
        <v>146</v>
      </c>
      <c r="B7939" s="24" t="s">
        <v>129</v>
      </c>
      <c r="C7939" s="32">
        <v>48.451000000000001</v>
      </c>
      <c r="D7939" s="28">
        <v>3.2638888888888891E-2</v>
      </c>
    </row>
    <row r="7940" spans="1:4" x14ac:dyDescent="0.25">
      <c r="A7940" s="24" t="s">
        <v>146</v>
      </c>
      <c r="B7940" s="24" t="s">
        <v>130</v>
      </c>
      <c r="C7940" s="32">
        <v>51.057000000000002</v>
      </c>
      <c r="D7940" s="28">
        <v>3.4722222222222224E-2</v>
      </c>
    </row>
    <row r="7941" spans="1:4" x14ac:dyDescent="0.25">
      <c r="A7941" s="24" t="s">
        <v>146</v>
      </c>
      <c r="B7941" s="24" t="s">
        <v>131</v>
      </c>
      <c r="C7941" s="32">
        <v>53.527999999999999</v>
      </c>
      <c r="D7941" s="28">
        <v>3.7499999999999999E-2</v>
      </c>
    </row>
    <row r="7942" spans="1:4" x14ac:dyDescent="0.25">
      <c r="A7942" s="24" t="s">
        <v>146</v>
      </c>
      <c r="B7942" s="24" t="s">
        <v>132</v>
      </c>
      <c r="C7942" s="32">
        <v>53.307000000000002</v>
      </c>
      <c r="D7942" s="28">
        <v>3.6805555555555557E-2</v>
      </c>
    </row>
    <row r="7943" spans="1:4" x14ac:dyDescent="0.25">
      <c r="A7943" s="24" t="s">
        <v>146</v>
      </c>
      <c r="B7943" s="24" t="s">
        <v>133</v>
      </c>
      <c r="C7943" s="32">
        <v>39.630000000000003</v>
      </c>
      <c r="D7943" s="28">
        <v>2.4999999999999998E-2</v>
      </c>
    </row>
    <row r="7944" spans="1:4" x14ac:dyDescent="0.25">
      <c r="A7944" s="24" t="s">
        <v>146</v>
      </c>
      <c r="B7944" s="24" t="s">
        <v>134</v>
      </c>
      <c r="C7944" s="32">
        <v>39.164000000000001</v>
      </c>
      <c r="D7944" s="28">
        <v>2.4305555555555556E-2</v>
      </c>
    </row>
    <row r="7945" spans="1:4" x14ac:dyDescent="0.25">
      <c r="A7945" s="24" t="s">
        <v>146</v>
      </c>
      <c r="B7945" s="24" t="s">
        <v>135</v>
      </c>
      <c r="C7945" s="32">
        <v>42.646999999999998</v>
      </c>
      <c r="D7945" s="28">
        <v>2.5694444444444447E-2</v>
      </c>
    </row>
    <row r="7946" spans="1:4" x14ac:dyDescent="0.25">
      <c r="A7946" s="24" t="s">
        <v>146</v>
      </c>
      <c r="B7946" s="24" t="s">
        <v>136</v>
      </c>
      <c r="C7946" s="32">
        <v>42.646999999999998</v>
      </c>
      <c r="D7946" s="28">
        <v>2.5694444444444447E-2</v>
      </c>
    </row>
    <row r="7947" spans="1:4" x14ac:dyDescent="0.25">
      <c r="A7947" s="24" t="s">
        <v>146</v>
      </c>
      <c r="B7947" s="24" t="s">
        <v>137</v>
      </c>
      <c r="C7947" s="32">
        <v>42.256</v>
      </c>
      <c r="D7947" s="28">
        <v>2.4999999999999998E-2</v>
      </c>
    </row>
    <row r="7948" spans="1:4" x14ac:dyDescent="0.25">
      <c r="A7948" s="24" t="s">
        <v>146</v>
      </c>
      <c r="B7948" s="24" t="s">
        <v>138</v>
      </c>
      <c r="C7948" s="32">
        <v>35.997999999999998</v>
      </c>
      <c r="D7948" s="28">
        <v>2.2916666666666669E-2</v>
      </c>
    </row>
    <row r="7949" spans="1:4" x14ac:dyDescent="0.25">
      <c r="A7949" s="24" t="s">
        <v>146</v>
      </c>
      <c r="B7949" s="24" t="s">
        <v>139</v>
      </c>
      <c r="C7949" s="32">
        <v>27.256</v>
      </c>
      <c r="D7949" s="28">
        <v>2.013888888888889E-2</v>
      </c>
    </row>
    <row r="7950" spans="1:4" x14ac:dyDescent="0.25">
      <c r="A7950" s="24" t="s">
        <v>146</v>
      </c>
      <c r="B7950" s="24" t="s">
        <v>140</v>
      </c>
      <c r="C7950" s="32">
        <v>35.271999999999998</v>
      </c>
      <c r="D7950" s="28">
        <v>2.4999999999999998E-2</v>
      </c>
    </row>
    <row r="7951" spans="1:4" x14ac:dyDescent="0.25">
      <c r="A7951" s="24" t="s">
        <v>146</v>
      </c>
      <c r="B7951" s="24" t="s">
        <v>141</v>
      </c>
      <c r="C7951" s="32">
        <v>16.286999999999999</v>
      </c>
      <c r="D7951" s="28">
        <v>1.5972222222222224E-2</v>
      </c>
    </row>
    <row r="7952" spans="1:4" x14ac:dyDescent="0.25">
      <c r="A7952" s="24" t="s">
        <v>146</v>
      </c>
      <c r="B7952" s="24" t="s">
        <v>142</v>
      </c>
      <c r="C7952" s="32">
        <v>40.784999999999997</v>
      </c>
      <c r="D7952" s="28">
        <v>3.2638888888888891E-2</v>
      </c>
    </row>
    <row r="7953" spans="1:4" x14ac:dyDescent="0.25">
      <c r="A7953" s="24" t="s">
        <v>146</v>
      </c>
      <c r="B7953" s="24" t="s">
        <v>143</v>
      </c>
      <c r="C7953" s="32">
        <v>37.225000000000001</v>
      </c>
      <c r="D7953" s="28">
        <v>3.1944444444444449E-2</v>
      </c>
    </row>
    <row r="7954" spans="1:4" x14ac:dyDescent="0.25">
      <c r="A7954" s="24" t="s">
        <v>146</v>
      </c>
      <c r="B7954" s="24" t="s">
        <v>144</v>
      </c>
      <c r="C7954" s="32">
        <v>56.341000000000001</v>
      </c>
      <c r="D7954" s="28">
        <v>4.2361111111111106E-2</v>
      </c>
    </row>
    <row r="7955" spans="1:4" x14ac:dyDescent="0.25">
      <c r="A7955" s="24" t="s">
        <v>146</v>
      </c>
      <c r="B7955" s="24" t="s">
        <v>145</v>
      </c>
      <c r="C7955" s="32">
        <v>20.366</v>
      </c>
      <c r="D7955" s="28">
        <v>1.3888888888888888E-2</v>
      </c>
    </row>
    <row r="7956" spans="1:4" x14ac:dyDescent="0.25">
      <c r="A7956" s="24" t="s">
        <v>146</v>
      </c>
      <c r="B7956" s="24" t="s">
        <v>146</v>
      </c>
      <c r="C7956" s="32">
        <v>0</v>
      </c>
      <c r="D7956" s="28">
        <v>0</v>
      </c>
    </row>
    <row r="7957" spans="1:4" x14ac:dyDescent="0.25">
      <c r="A7957" s="24" t="s">
        <v>146</v>
      </c>
      <c r="B7957" s="24" t="s">
        <v>147</v>
      </c>
      <c r="C7957" s="32">
        <v>52.411000000000001</v>
      </c>
      <c r="D7957" s="28">
        <v>3.4027777777777775E-2</v>
      </c>
    </row>
    <row r="7958" spans="1:4" x14ac:dyDescent="0.25">
      <c r="A7958" s="24" t="s">
        <v>146</v>
      </c>
      <c r="B7958" s="24" t="s">
        <v>148</v>
      </c>
      <c r="C7958" s="32">
        <v>50.488</v>
      </c>
      <c r="D7958" s="28">
        <v>3.4027777777777775E-2</v>
      </c>
    </row>
    <row r="7959" spans="1:4" x14ac:dyDescent="0.25">
      <c r="A7959" s="24" t="s">
        <v>146</v>
      </c>
      <c r="B7959" s="24" t="s">
        <v>149</v>
      </c>
      <c r="C7959" s="32">
        <v>53.834000000000003</v>
      </c>
      <c r="D7959" s="28">
        <v>3.6805555555555557E-2</v>
      </c>
    </row>
    <row r="7960" spans="1:4" x14ac:dyDescent="0.25">
      <c r="A7960" s="24" t="s">
        <v>146</v>
      </c>
      <c r="B7960" s="24" t="s">
        <v>150</v>
      </c>
      <c r="C7960" s="32">
        <v>61.628</v>
      </c>
      <c r="D7960" s="28">
        <v>4.5138888888888888E-2</v>
      </c>
    </row>
    <row r="7961" spans="1:4" x14ac:dyDescent="0.25">
      <c r="A7961" s="24" t="s">
        <v>146</v>
      </c>
      <c r="B7961" s="24" t="s">
        <v>151</v>
      </c>
      <c r="C7961" s="32">
        <v>60.886000000000003</v>
      </c>
      <c r="D7961" s="28">
        <v>4.4444444444444446E-2</v>
      </c>
    </row>
    <row r="7962" spans="1:4" x14ac:dyDescent="0.25">
      <c r="A7962" s="24" t="s">
        <v>146</v>
      </c>
      <c r="B7962" s="24" t="s">
        <v>152</v>
      </c>
      <c r="C7962" s="32">
        <v>67.956999999999994</v>
      </c>
      <c r="D7962" s="28">
        <v>4.8611111111111112E-2</v>
      </c>
    </row>
    <row r="7963" spans="1:4" x14ac:dyDescent="0.25">
      <c r="A7963" s="24" t="s">
        <v>146</v>
      </c>
      <c r="B7963" s="24" t="s">
        <v>153</v>
      </c>
      <c r="C7963" s="32">
        <v>70.484999999999999</v>
      </c>
      <c r="D7963" s="28">
        <v>5.347222222222222E-2</v>
      </c>
    </row>
    <row r="7964" spans="1:4" x14ac:dyDescent="0.25">
      <c r="A7964" s="24" t="s">
        <v>146</v>
      </c>
      <c r="B7964" s="24" t="s">
        <v>154</v>
      </c>
      <c r="C7964" s="32">
        <v>65.302999999999997</v>
      </c>
      <c r="D7964" s="28">
        <v>4.7222222222222221E-2</v>
      </c>
    </row>
    <row r="7965" spans="1:4" x14ac:dyDescent="0.25">
      <c r="A7965" s="24" t="s">
        <v>146</v>
      </c>
      <c r="B7965" s="24" t="s">
        <v>155</v>
      </c>
      <c r="C7965" s="32">
        <v>60.947000000000003</v>
      </c>
      <c r="D7965" s="28">
        <v>4.4444444444444446E-2</v>
      </c>
    </row>
    <row r="7966" spans="1:4" x14ac:dyDescent="0.25">
      <c r="A7966" s="24" t="s">
        <v>146</v>
      </c>
      <c r="B7966" s="24" t="s">
        <v>156</v>
      </c>
      <c r="C7966" s="32">
        <v>60.930999999999997</v>
      </c>
      <c r="D7966" s="28">
        <v>4.4444444444444446E-2</v>
      </c>
    </row>
    <row r="7967" spans="1:4" x14ac:dyDescent="0.25">
      <c r="A7967" s="24" t="s">
        <v>146</v>
      </c>
      <c r="B7967" s="24" t="s">
        <v>157</v>
      </c>
      <c r="C7967" s="32">
        <v>71.298000000000002</v>
      </c>
      <c r="D7967" s="28">
        <v>5.1388888888888894E-2</v>
      </c>
    </row>
    <row r="7968" spans="1:4" x14ac:dyDescent="0.25">
      <c r="A7968" s="24" t="s">
        <v>146</v>
      </c>
      <c r="B7968" s="24" t="s">
        <v>158</v>
      </c>
      <c r="C7968" s="32">
        <v>82.052000000000007</v>
      </c>
      <c r="D7968" s="28">
        <v>5.9027777777777783E-2</v>
      </c>
    </row>
    <row r="7969" spans="1:4" x14ac:dyDescent="0.25">
      <c r="A7969" s="24" t="s">
        <v>146</v>
      </c>
      <c r="B7969" s="24" t="s">
        <v>159</v>
      </c>
      <c r="C7969" s="32">
        <v>87.421999999999997</v>
      </c>
      <c r="D7969" s="28">
        <v>6.458333333333334E-2</v>
      </c>
    </row>
    <row r="7970" spans="1:4" x14ac:dyDescent="0.25">
      <c r="A7970" s="24" t="s">
        <v>147</v>
      </c>
      <c r="B7970" s="24" t="s">
        <v>65</v>
      </c>
      <c r="C7970" s="32">
        <v>11.558999999999999</v>
      </c>
      <c r="D7970" s="28">
        <v>7.6388888888888886E-3</v>
      </c>
    </row>
    <row r="7971" spans="1:4" x14ac:dyDescent="0.25">
      <c r="A7971" s="24" t="s">
        <v>147</v>
      </c>
      <c r="B7971" s="24" t="s">
        <v>64</v>
      </c>
      <c r="C7971" s="32">
        <v>7.0289999999999999</v>
      </c>
      <c r="D7971" s="28">
        <v>6.9444444444444441E-3</v>
      </c>
    </row>
    <row r="7972" spans="1:4" x14ac:dyDescent="0.25">
      <c r="A7972" s="24" t="s">
        <v>147</v>
      </c>
      <c r="B7972" s="24" t="s">
        <v>66</v>
      </c>
      <c r="C7972" s="32">
        <v>14.041</v>
      </c>
      <c r="D7972" s="28">
        <v>1.4583333333333332E-2</v>
      </c>
    </row>
    <row r="7973" spans="1:4" x14ac:dyDescent="0.25">
      <c r="A7973" s="24" t="s">
        <v>147</v>
      </c>
      <c r="B7973" s="24" t="s">
        <v>67</v>
      </c>
      <c r="C7973" s="32">
        <v>12.627000000000001</v>
      </c>
      <c r="D7973" s="28">
        <v>1.3888888888888888E-2</v>
      </c>
    </row>
    <row r="7974" spans="1:4" x14ac:dyDescent="0.25">
      <c r="A7974" s="24" t="s">
        <v>147</v>
      </c>
      <c r="B7974" s="24" t="s">
        <v>68</v>
      </c>
      <c r="C7974" s="32">
        <v>12.925000000000001</v>
      </c>
      <c r="D7974" s="28">
        <v>1.4583333333333332E-2</v>
      </c>
    </row>
    <row r="7975" spans="1:4" x14ac:dyDescent="0.25">
      <c r="A7975" s="24" t="s">
        <v>147</v>
      </c>
      <c r="B7975" s="24" t="s">
        <v>69</v>
      </c>
      <c r="C7975" s="32">
        <v>11.933</v>
      </c>
      <c r="D7975" s="28">
        <v>1.3194444444444444E-2</v>
      </c>
    </row>
    <row r="7976" spans="1:4" x14ac:dyDescent="0.25">
      <c r="A7976" s="24" t="s">
        <v>147</v>
      </c>
      <c r="B7976" s="24" t="s">
        <v>70</v>
      </c>
      <c r="C7976" s="32">
        <v>12.317</v>
      </c>
      <c r="D7976" s="28">
        <v>1.3888888888888888E-2</v>
      </c>
    </row>
    <row r="7977" spans="1:4" x14ac:dyDescent="0.25">
      <c r="A7977" s="24" t="s">
        <v>147</v>
      </c>
      <c r="B7977" s="24" t="s">
        <v>71</v>
      </c>
      <c r="C7977" s="32">
        <v>12.51</v>
      </c>
      <c r="D7977" s="28">
        <v>1.3888888888888888E-2</v>
      </c>
    </row>
    <row r="7978" spans="1:4" x14ac:dyDescent="0.25">
      <c r="A7978" s="24" t="s">
        <v>147</v>
      </c>
      <c r="B7978" s="24" t="s">
        <v>72</v>
      </c>
      <c r="C7978" s="32">
        <v>13.86</v>
      </c>
      <c r="D7978" s="28">
        <v>1.6666666666666666E-2</v>
      </c>
    </row>
    <row r="7979" spans="1:4" x14ac:dyDescent="0.25">
      <c r="A7979" s="24" t="s">
        <v>147</v>
      </c>
      <c r="B7979" s="24" t="s">
        <v>73</v>
      </c>
      <c r="C7979" s="32">
        <v>12.388</v>
      </c>
      <c r="D7979" s="28">
        <v>1.3888888888888888E-2</v>
      </c>
    </row>
    <row r="7980" spans="1:4" x14ac:dyDescent="0.25">
      <c r="A7980" s="24" t="s">
        <v>147</v>
      </c>
      <c r="B7980" s="24" t="s">
        <v>74</v>
      </c>
      <c r="C7980" s="32">
        <v>15.202999999999999</v>
      </c>
      <c r="D7980" s="28">
        <v>1.6666666666666666E-2</v>
      </c>
    </row>
    <row r="7981" spans="1:4" x14ac:dyDescent="0.25">
      <c r="A7981" s="24" t="s">
        <v>147</v>
      </c>
      <c r="B7981" s="24" t="s">
        <v>75</v>
      </c>
      <c r="C7981" s="32">
        <v>14.239000000000001</v>
      </c>
      <c r="D7981" s="28">
        <v>1.5277777777777777E-2</v>
      </c>
    </row>
    <row r="7982" spans="1:4" x14ac:dyDescent="0.25">
      <c r="A7982" s="24" t="s">
        <v>147</v>
      </c>
      <c r="B7982" s="24" t="s">
        <v>76</v>
      </c>
      <c r="C7982" s="32">
        <v>18.346</v>
      </c>
      <c r="D7982" s="28">
        <v>2.0833333333333332E-2</v>
      </c>
    </row>
    <row r="7983" spans="1:4" x14ac:dyDescent="0.25">
      <c r="A7983" s="24" t="s">
        <v>147</v>
      </c>
      <c r="B7983" s="24" t="s">
        <v>77</v>
      </c>
      <c r="C7983" s="32">
        <v>21.332000000000001</v>
      </c>
      <c r="D7983" s="28">
        <v>2.013888888888889E-2</v>
      </c>
    </row>
    <row r="7984" spans="1:4" x14ac:dyDescent="0.25">
      <c r="A7984" s="24" t="s">
        <v>147</v>
      </c>
      <c r="B7984" s="24" t="s">
        <v>78</v>
      </c>
      <c r="C7984" s="32">
        <v>16.373000000000001</v>
      </c>
      <c r="D7984" s="28">
        <v>1.6666666666666666E-2</v>
      </c>
    </row>
    <row r="7985" spans="1:4" x14ac:dyDescent="0.25">
      <c r="A7985" s="24" t="s">
        <v>147</v>
      </c>
      <c r="B7985" s="24" t="s">
        <v>79</v>
      </c>
      <c r="C7985" s="32">
        <v>36.451000000000001</v>
      </c>
      <c r="D7985" s="28">
        <v>3.3333333333333333E-2</v>
      </c>
    </row>
    <row r="7986" spans="1:4" x14ac:dyDescent="0.25">
      <c r="A7986" s="24" t="s">
        <v>147</v>
      </c>
      <c r="B7986" s="24" t="s">
        <v>80</v>
      </c>
      <c r="C7986" s="32">
        <v>14.782999999999999</v>
      </c>
      <c r="D7986" s="28">
        <v>9.7222222222222224E-3</v>
      </c>
    </row>
    <row r="7987" spans="1:4" x14ac:dyDescent="0.25">
      <c r="A7987" s="24" t="s">
        <v>147</v>
      </c>
      <c r="B7987" s="24" t="s">
        <v>81</v>
      </c>
      <c r="C7987" s="32">
        <v>19.305</v>
      </c>
      <c r="D7987" s="28">
        <v>1.2499999999999999E-2</v>
      </c>
    </row>
    <row r="7988" spans="1:4" x14ac:dyDescent="0.25">
      <c r="A7988" s="24" t="s">
        <v>147</v>
      </c>
      <c r="B7988" s="24" t="s">
        <v>82</v>
      </c>
      <c r="C7988" s="32">
        <v>19.356999999999999</v>
      </c>
      <c r="D7988" s="28">
        <v>1.2499999999999999E-2</v>
      </c>
    </row>
    <row r="7989" spans="1:4" x14ac:dyDescent="0.25">
      <c r="A7989" s="24" t="s">
        <v>147</v>
      </c>
      <c r="B7989" s="24" t="s">
        <v>83</v>
      </c>
      <c r="C7989" s="32">
        <v>6.1989999999999998</v>
      </c>
      <c r="D7989" s="28">
        <v>7.6388888888888886E-3</v>
      </c>
    </row>
    <row r="7990" spans="1:4" x14ac:dyDescent="0.25">
      <c r="A7990" s="24" t="s">
        <v>147</v>
      </c>
      <c r="B7990" s="24" t="s">
        <v>84</v>
      </c>
      <c r="C7990" s="32">
        <v>12.407999999999999</v>
      </c>
      <c r="D7990" s="28">
        <v>1.2499999999999999E-2</v>
      </c>
    </row>
    <row r="7991" spans="1:4" x14ac:dyDescent="0.25">
      <c r="A7991" s="24" t="s">
        <v>147</v>
      </c>
      <c r="B7991" s="24" t="s">
        <v>85</v>
      </c>
      <c r="C7991" s="32">
        <v>12.425000000000001</v>
      </c>
      <c r="D7991" s="28">
        <v>1.1805555555555555E-2</v>
      </c>
    </row>
    <row r="7992" spans="1:4" x14ac:dyDescent="0.25">
      <c r="A7992" s="24" t="s">
        <v>147</v>
      </c>
      <c r="B7992" s="24" t="s">
        <v>86</v>
      </c>
      <c r="C7992" s="32">
        <v>10.051</v>
      </c>
      <c r="D7992" s="28">
        <v>9.0277777777777787E-3</v>
      </c>
    </row>
    <row r="7993" spans="1:4" x14ac:dyDescent="0.25">
      <c r="A7993" s="24" t="s">
        <v>147</v>
      </c>
      <c r="B7993" s="24" t="s">
        <v>87</v>
      </c>
      <c r="C7993" s="32">
        <v>10.166</v>
      </c>
      <c r="D7993" s="28">
        <v>9.7222222222222224E-3</v>
      </c>
    </row>
    <row r="7994" spans="1:4" x14ac:dyDescent="0.25">
      <c r="A7994" s="24" t="s">
        <v>147</v>
      </c>
      <c r="B7994" s="24" t="s">
        <v>88</v>
      </c>
      <c r="C7994" s="32">
        <v>7.9409999999999998</v>
      </c>
      <c r="D7994" s="28">
        <v>9.7222222222222224E-3</v>
      </c>
    </row>
    <row r="7995" spans="1:4" x14ac:dyDescent="0.25">
      <c r="A7995" s="24" t="s">
        <v>147</v>
      </c>
      <c r="B7995" s="24" t="s">
        <v>89</v>
      </c>
      <c r="C7995" s="32">
        <v>10.539</v>
      </c>
      <c r="D7995" s="28">
        <v>9.7222222222222224E-3</v>
      </c>
    </row>
    <row r="7996" spans="1:4" x14ac:dyDescent="0.25">
      <c r="A7996" s="24" t="s">
        <v>147</v>
      </c>
      <c r="B7996" s="24" t="s">
        <v>90</v>
      </c>
      <c r="C7996" s="32">
        <v>14.807</v>
      </c>
      <c r="D7996" s="28">
        <v>1.0416666666666666E-2</v>
      </c>
    </row>
    <row r="7997" spans="1:4" x14ac:dyDescent="0.25">
      <c r="A7997" s="24" t="s">
        <v>147</v>
      </c>
      <c r="B7997" s="24" t="s">
        <v>91</v>
      </c>
      <c r="C7997" s="32">
        <v>7.2149999999999999</v>
      </c>
      <c r="D7997" s="28">
        <v>9.7222222222222224E-3</v>
      </c>
    </row>
    <row r="7998" spans="1:4" x14ac:dyDescent="0.25">
      <c r="A7998" s="24" t="s">
        <v>147</v>
      </c>
      <c r="B7998" s="24" t="s">
        <v>92</v>
      </c>
      <c r="C7998" s="32">
        <v>12.859</v>
      </c>
      <c r="D7998" s="28">
        <v>9.7222222222222224E-3</v>
      </c>
    </row>
    <row r="7999" spans="1:4" x14ac:dyDescent="0.25">
      <c r="A7999" s="24" t="s">
        <v>147</v>
      </c>
      <c r="B7999" s="24" t="s">
        <v>93</v>
      </c>
      <c r="C7999" s="32">
        <v>36.581000000000003</v>
      </c>
      <c r="D7999" s="28">
        <v>2.2222222222222223E-2</v>
      </c>
    </row>
    <row r="8000" spans="1:4" x14ac:dyDescent="0.25">
      <c r="A8000" s="24" t="s">
        <v>147</v>
      </c>
      <c r="B8000" s="24" t="s">
        <v>94</v>
      </c>
      <c r="C8000" s="32">
        <v>37.21</v>
      </c>
      <c r="D8000" s="28">
        <v>2.2916666666666669E-2</v>
      </c>
    </row>
    <row r="8001" spans="1:4" x14ac:dyDescent="0.25">
      <c r="A8001" s="24" t="s">
        <v>147</v>
      </c>
      <c r="B8001" s="24" t="s">
        <v>95</v>
      </c>
      <c r="C8001" s="32">
        <v>19.640999999999998</v>
      </c>
      <c r="D8001" s="28">
        <v>1.3194444444444444E-2</v>
      </c>
    </row>
    <row r="8002" spans="1:4" x14ac:dyDescent="0.25">
      <c r="A8002" s="24" t="s">
        <v>147</v>
      </c>
      <c r="B8002" s="24" t="s">
        <v>96</v>
      </c>
      <c r="C8002" s="32">
        <v>13.494</v>
      </c>
      <c r="D8002" s="28">
        <v>1.2499999999999999E-2</v>
      </c>
    </row>
    <row r="8003" spans="1:4" x14ac:dyDescent="0.25">
      <c r="A8003" s="24" t="s">
        <v>147</v>
      </c>
      <c r="B8003" s="24" t="s">
        <v>97</v>
      </c>
      <c r="C8003" s="32">
        <v>22.861999999999998</v>
      </c>
      <c r="D8003" s="28">
        <v>2.013888888888889E-2</v>
      </c>
    </row>
    <row r="8004" spans="1:4" x14ac:dyDescent="0.25">
      <c r="A8004" s="24" t="s">
        <v>147</v>
      </c>
      <c r="B8004" s="24" t="s">
        <v>98</v>
      </c>
      <c r="C8004" s="32">
        <v>17.992999999999999</v>
      </c>
      <c r="D8004" s="28">
        <v>1.6666666666666666E-2</v>
      </c>
    </row>
    <row r="8005" spans="1:4" x14ac:dyDescent="0.25">
      <c r="A8005" s="24" t="s">
        <v>147</v>
      </c>
      <c r="B8005" s="24" t="s">
        <v>99</v>
      </c>
      <c r="C8005" s="32">
        <v>22.863</v>
      </c>
      <c r="D8005" s="28">
        <v>2.013888888888889E-2</v>
      </c>
    </row>
    <row r="8006" spans="1:4" x14ac:dyDescent="0.25">
      <c r="A8006" s="24" t="s">
        <v>147</v>
      </c>
      <c r="B8006" s="24" t="s">
        <v>100</v>
      </c>
      <c r="C8006" s="32">
        <v>19.798999999999999</v>
      </c>
      <c r="D8006" s="28">
        <v>1.3888888888888888E-2</v>
      </c>
    </row>
    <row r="8007" spans="1:4" x14ac:dyDescent="0.25">
      <c r="A8007" s="24" t="s">
        <v>147</v>
      </c>
      <c r="B8007" s="24" t="s">
        <v>101</v>
      </c>
      <c r="C8007" s="32">
        <v>18.094999999999999</v>
      </c>
      <c r="D8007" s="28">
        <v>1.7361111111111112E-2</v>
      </c>
    </row>
    <row r="8008" spans="1:4" x14ac:dyDescent="0.25">
      <c r="A8008" s="24" t="s">
        <v>147</v>
      </c>
      <c r="B8008" s="24" t="s">
        <v>102</v>
      </c>
      <c r="C8008" s="32">
        <v>17.521999999999998</v>
      </c>
      <c r="D8008" s="28">
        <v>1.7361111111111112E-2</v>
      </c>
    </row>
    <row r="8009" spans="1:4" x14ac:dyDescent="0.25">
      <c r="A8009" s="24" t="s">
        <v>147</v>
      </c>
      <c r="B8009" s="24" t="s">
        <v>103</v>
      </c>
      <c r="C8009" s="32">
        <v>8.3729999999999993</v>
      </c>
      <c r="D8009" s="28">
        <v>6.9444444444444441E-3</v>
      </c>
    </row>
    <row r="8010" spans="1:4" x14ac:dyDescent="0.25">
      <c r="A8010" s="24" t="s">
        <v>147</v>
      </c>
      <c r="B8010" s="24" t="s">
        <v>104</v>
      </c>
      <c r="C8010" s="32">
        <v>11.753</v>
      </c>
      <c r="D8010" s="28">
        <v>8.3333333333333332E-3</v>
      </c>
    </row>
    <row r="8011" spans="1:4" x14ac:dyDescent="0.25">
      <c r="A8011" s="24" t="s">
        <v>147</v>
      </c>
      <c r="B8011" s="24" t="s">
        <v>105</v>
      </c>
      <c r="C8011" s="32">
        <v>10.183999999999999</v>
      </c>
      <c r="D8011" s="28">
        <v>1.1111111111111112E-2</v>
      </c>
    </row>
    <row r="8012" spans="1:4" x14ac:dyDescent="0.25">
      <c r="A8012" s="24" t="s">
        <v>147</v>
      </c>
      <c r="B8012" s="24" t="s">
        <v>106</v>
      </c>
      <c r="C8012" s="32">
        <v>4.92</v>
      </c>
      <c r="D8012" s="28">
        <v>3.472222222222222E-3</v>
      </c>
    </row>
    <row r="8013" spans="1:4" x14ac:dyDescent="0.25">
      <c r="A8013" s="24" t="s">
        <v>147</v>
      </c>
      <c r="B8013" s="24" t="s">
        <v>107</v>
      </c>
      <c r="C8013" s="32">
        <v>20.423999999999999</v>
      </c>
      <c r="D8013" s="28">
        <v>1.5972222222222224E-2</v>
      </c>
    </row>
    <row r="8014" spans="1:4" x14ac:dyDescent="0.25">
      <c r="A8014" s="24" t="s">
        <v>147</v>
      </c>
      <c r="B8014" s="24" t="s">
        <v>108</v>
      </c>
      <c r="C8014" s="32">
        <v>21.021000000000001</v>
      </c>
      <c r="D8014" s="28">
        <v>1.5277777777777777E-2</v>
      </c>
    </row>
    <row r="8015" spans="1:4" x14ac:dyDescent="0.25">
      <c r="A8015" s="24" t="s">
        <v>147</v>
      </c>
      <c r="B8015" s="24" t="s">
        <v>109</v>
      </c>
      <c r="C8015" s="32">
        <v>20.991</v>
      </c>
      <c r="D8015" s="28">
        <v>1.5277777777777777E-2</v>
      </c>
    </row>
    <row r="8016" spans="1:4" x14ac:dyDescent="0.25">
      <c r="A8016" s="24" t="s">
        <v>147</v>
      </c>
      <c r="B8016" s="24" t="s">
        <v>110</v>
      </c>
      <c r="C8016" s="32">
        <v>8.6329999999999991</v>
      </c>
      <c r="D8016" s="28">
        <v>9.0277777777777787E-3</v>
      </c>
    </row>
    <row r="8017" spans="1:4" x14ac:dyDescent="0.25">
      <c r="A8017" s="24" t="s">
        <v>147</v>
      </c>
      <c r="B8017" s="24" t="s">
        <v>111</v>
      </c>
      <c r="C8017" s="32">
        <v>8.3710000000000004</v>
      </c>
      <c r="D8017" s="28">
        <v>5.5555555555555558E-3</v>
      </c>
    </row>
    <row r="8018" spans="1:4" x14ac:dyDescent="0.25">
      <c r="A8018" s="24" t="s">
        <v>147</v>
      </c>
      <c r="B8018" s="24" t="s">
        <v>112</v>
      </c>
      <c r="C8018" s="32">
        <v>20.097999999999999</v>
      </c>
      <c r="D8018" s="28">
        <v>1.4583333333333332E-2</v>
      </c>
    </row>
    <row r="8019" spans="1:4" x14ac:dyDescent="0.25">
      <c r="A8019" s="24" t="s">
        <v>147</v>
      </c>
      <c r="B8019" s="24" t="s">
        <v>113</v>
      </c>
      <c r="C8019" s="32">
        <v>23.722000000000001</v>
      </c>
      <c r="D8019" s="28">
        <v>1.6666666666666666E-2</v>
      </c>
    </row>
    <row r="8020" spans="1:4" x14ac:dyDescent="0.25">
      <c r="A8020" s="24" t="s">
        <v>147</v>
      </c>
      <c r="B8020" s="24" t="s">
        <v>114</v>
      </c>
      <c r="C8020" s="32">
        <v>17.850000000000001</v>
      </c>
      <c r="D8020" s="28">
        <v>1.1111111111111112E-2</v>
      </c>
    </row>
    <row r="8021" spans="1:4" x14ac:dyDescent="0.25">
      <c r="A8021" s="24" t="s">
        <v>147</v>
      </c>
      <c r="B8021" s="24" t="s">
        <v>115</v>
      </c>
      <c r="C8021" s="32">
        <v>17.701000000000001</v>
      </c>
      <c r="D8021" s="28">
        <v>1.1111111111111112E-2</v>
      </c>
    </row>
    <row r="8022" spans="1:4" x14ac:dyDescent="0.25">
      <c r="A8022" s="24" t="s">
        <v>147</v>
      </c>
      <c r="B8022" s="24" t="s">
        <v>116</v>
      </c>
      <c r="C8022" s="32">
        <v>11.941000000000001</v>
      </c>
      <c r="D8022" s="28">
        <v>9.0277777777777787E-3</v>
      </c>
    </row>
    <row r="8023" spans="1:4" x14ac:dyDescent="0.25">
      <c r="A8023" s="24" t="s">
        <v>147</v>
      </c>
      <c r="B8023" s="24" t="s">
        <v>117</v>
      </c>
      <c r="C8023" s="32">
        <v>19.145</v>
      </c>
      <c r="D8023" s="28">
        <v>1.4583333333333332E-2</v>
      </c>
    </row>
    <row r="8024" spans="1:4" x14ac:dyDescent="0.25">
      <c r="A8024" s="24" t="s">
        <v>147</v>
      </c>
      <c r="B8024" s="24" t="s">
        <v>118</v>
      </c>
      <c r="C8024" s="32">
        <v>18.864000000000001</v>
      </c>
      <c r="D8024" s="28">
        <v>1.3194444444444444E-2</v>
      </c>
    </row>
    <row r="8025" spans="1:4" x14ac:dyDescent="0.25">
      <c r="A8025" s="24" t="s">
        <v>147</v>
      </c>
      <c r="B8025" s="24" t="s">
        <v>119</v>
      </c>
      <c r="C8025" s="32">
        <v>32.948999999999998</v>
      </c>
      <c r="D8025" s="28">
        <v>2.0833333333333332E-2</v>
      </c>
    </row>
    <row r="8026" spans="1:4" x14ac:dyDescent="0.25">
      <c r="A8026" s="24" t="s">
        <v>147</v>
      </c>
      <c r="B8026" s="24" t="s">
        <v>120</v>
      </c>
      <c r="C8026" s="32">
        <v>35.738999999999997</v>
      </c>
      <c r="D8026" s="28">
        <v>2.4305555555555556E-2</v>
      </c>
    </row>
    <row r="8027" spans="1:4" x14ac:dyDescent="0.25">
      <c r="A8027" s="24" t="s">
        <v>147</v>
      </c>
      <c r="B8027" s="24" t="s">
        <v>121</v>
      </c>
      <c r="C8027" s="32">
        <v>50.09</v>
      </c>
      <c r="D8027" s="28">
        <v>3.125E-2</v>
      </c>
    </row>
    <row r="8028" spans="1:4" x14ac:dyDescent="0.25">
      <c r="A8028" s="24" t="s">
        <v>147</v>
      </c>
      <c r="B8028" s="24" t="s">
        <v>122</v>
      </c>
      <c r="C8028" s="32">
        <v>35.451999999999998</v>
      </c>
      <c r="D8028" s="28">
        <v>2.1527777777777781E-2</v>
      </c>
    </row>
    <row r="8029" spans="1:4" x14ac:dyDescent="0.25">
      <c r="A8029" s="24" t="s">
        <v>147</v>
      </c>
      <c r="B8029" s="24" t="s">
        <v>123</v>
      </c>
      <c r="C8029" s="32">
        <v>43.674999999999997</v>
      </c>
      <c r="D8029" s="28">
        <v>2.7083333333333334E-2</v>
      </c>
    </row>
    <row r="8030" spans="1:4" x14ac:dyDescent="0.25">
      <c r="A8030" s="24" t="s">
        <v>147</v>
      </c>
      <c r="B8030" s="24" t="s">
        <v>124</v>
      </c>
      <c r="C8030" s="32">
        <v>43.674999999999997</v>
      </c>
      <c r="D8030" s="28">
        <v>2.7083333333333334E-2</v>
      </c>
    </row>
    <row r="8031" spans="1:4" x14ac:dyDescent="0.25">
      <c r="A8031" s="24" t="s">
        <v>147</v>
      </c>
      <c r="B8031" s="24" t="s">
        <v>125</v>
      </c>
      <c r="C8031" s="32">
        <v>8.3610000000000007</v>
      </c>
      <c r="D8031" s="28">
        <v>7.6388888888888886E-3</v>
      </c>
    </row>
    <row r="8032" spans="1:4" x14ac:dyDescent="0.25">
      <c r="A8032" s="24" t="s">
        <v>147</v>
      </c>
      <c r="B8032" s="24" t="s">
        <v>126</v>
      </c>
      <c r="C8032" s="32">
        <v>8.0990000000000002</v>
      </c>
      <c r="D8032" s="28">
        <v>6.9444444444444441E-3</v>
      </c>
    </row>
    <row r="8033" spans="1:4" x14ac:dyDescent="0.25">
      <c r="A8033" s="24" t="s">
        <v>147</v>
      </c>
      <c r="B8033" s="24" t="s">
        <v>127</v>
      </c>
      <c r="C8033" s="32">
        <v>6.8390000000000004</v>
      </c>
      <c r="D8033" s="28">
        <v>6.9444444444444441E-3</v>
      </c>
    </row>
    <row r="8034" spans="1:4" x14ac:dyDescent="0.25">
      <c r="A8034" s="24" t="s">
        <v>147</v>
      </c>
      <c r="B8034" s="24" t="s">
        <v>128</v>
      </c>
      <c r="C8034" s="32">
        <v>7.1719999999999997</v>
      </c>
      <c r="D8034" s="28">
        <v>5.5555555555555558E-3</v>
      </c>
    </row>
    <row r="8035" spans="1:4" x14ac:dyDescent="0.25">
      <c r="A8035" s="24" t="s">
        <v>147</v>
      </c>
      <c r="B8035" s="24" t="s">
        <v>129</v>
      </c>
      <c r="C8035" s="32">
        <v>7.1719999999999997</v>
      </c>
      <c r="D8035" s="28">
        <v>5.5555555555555558E-3</v>
      </c>
    </row>
    <row r="8036" spans="1:4" x14ac:dyDescent="0.25">
      <c r="A8036" s="24" t="s">
        <v>147</v>
      </c>
      <c r="B8036" s="24" t="s">
        <v>130</v>
      </c>
      <c r="C8036" s="32">
        <v>5.8719999999999999</v>
      </c>
      <c r="D8036" s="28">
        <v>7.6388888888888886E-3</v>
      </c>
    </row>
    <row r="8037" spans="1:4" x14ac:dyDescent="0.25">
      <c r="A8037" s="24" t="s">
        <v>147</v>
      </c>
      <c r="B8037" s="24" t="s">
        <v>131</v>
      </c>
      <c r="C8037" s="32">
        <v>5.7949999999999999</v>
      </c>
      <c r="D8037" s="28">
        <v>7.6388888888888886E-3</v>
      </c>
    </row>
    <row r="8038" spans="1:4" x14ac:dyDescent="0.25">
      <c r="A8038" s="24" t="s">
        <v>147</v>
      </c>
      <c r="B8038" s="24" t="s">
        <v>132</v>
      </c>
      <c r="C8038" s="32">
        <v>13.468999999999999</v>
      </c>
      <c r="D8038" s="28">
        <v>1.1805555555555555E-2</v>
      </c>
    </row>
    <row r="8039" spans="1:4" x14ac:dyDescent="0.25">
      <c r="A8039" s="24" t="s">
        <v>147</v>
      </c>
      <c r="B8039" s="24" t="s">
        <v>133</v>
      </c>
      <c r="C8039" s="32">
        <v>14.814</v>
      </c>
      <c r="D8039" s="28">
        <v>1.5277777777777777E-2</v>
      </c>
    </row>
    <row r="8040" spans="1:4" x14ac:dyDescent="0.25">
      <c r="A8040" s="24" t="s">
        <v>147</v>
      </c>
      <c r="B8040" s="24" t="s">
        <v>134</v>
      </c>
      <c r="C8040" s="32">
        <v>14.348000000000001</v>
      </c>
      <c r="D8040" s="28">
        <v>1.3888888888888888E-2</v>
      </c>
    </row>
    <row r="8041" spans="1:4" x14ac:dyDescent="0.25">
      <c r="A8041" s="24" t="s">
        <v>147</v>
      </c>
      <c r="B8041" s="24" t="s">
        <v>135</v>
      </c>
      <c r="C8041" s="32">
        <v>15.679</v>
      </c>
      <c r="D8041" s="28">
        <v>1.5277777777777777E-2</v>
      </c>
    </row>
    <row r="8042" spans="1:4" x14ac:dyDescent="0.25">
      <c r="A8042" s="24" t="s">
        <v>147</v>
      </c>
      <c r="B8042" s="24" t="s">
        <v>136</v>
      </c>
      <c r="C8042" s="32">
        <v>15.679</v>
      </c>
      <c r="D8042" s="28">
        <v>1.5277777777777777E-2</v>
      </c>
    </row>
    <row r="8043" spans="1:4" x14ac:dyDescent="0.25">
      <c r="A8043" s="24" t="s">
        <v>147</v>
      </c>
      <c r="B8043" s="24" t="s">
        <v>137</v>
      </c>
      <c r="C8043" s="32">
        <v>15.581</v>
      </c>
      <c r="D8043" s="28">
        <v>1.5277777777777777E-2</v>
      </c>
    </row>
    <row r="8044" spans="1:4" x14ac:dyDescent="0.25">
      <c r="A8044" s="24" t="s">
        <v>147</v>
      </c>
      <c r="B8044" s="24" t="s">
        <v>138</v>
      </c>
      <c r="C8044" s="32">
        <v>19.837</v>
      </c>
      <c r="D8044" s="28">
        <v>1.6666666666666666E-2</v>
      </c>
    </row>
    <row r="8045" spans="1:4" x14ac:dyDescent="0.25">
      <c r="A8045" s="24" t="s">
        <v>147</v>
      </c>
      <c r="B8045" s="24" t="s">
        <v>139</v>
      </c>
      <c r="C8045" s="32">
        <v>29.957999999999998</v>
      </c>
      <c r="D8045" s="28">
        <v>2.2222222222222223E-2</v>
      </c>
    </row>
    <row r="8046" spans="1:4" x14ac:dyDescent="0.25">
      <c r="A8046" s="24" t="s">
        <v>147</v>
      </c>
      <c r="B8046" s="24" t="s">
        <v>140</v>
      </c>
      <c r="C8046" s="32">
        <v>24.173999999999999</v>
      </c>
      <c r="D8046" s="28">
        <v>2.2916666666666669E-2</v>
      </c>
    </row>
    <row r="8047" spans="1:4" x14ac:dyDescent="0.25">
      <c r="A8047" s="24" t="s">
        <v>147</v>
      </c>
      <c r="B8047" s="24" t="s">
        <v>141</v>
      </c>
      <c r="C8047" s="32">
        <v>54.668999999999997</v>
      </c>
      <c r="D8047" s="28">
        <v>4.1666666666666664E-2</v>
      </c>
    </row>
    <row r="8048" spans="1:4" x14ac:dyDescent="0.25">
      <c r="A8048" s="24" t="s">
        <v>147</v>
      </c>
      <c r="B8048" s="24" t="s">
        <v>142</v>
      </c>
      <c r="C8048" s="32">
        <v>52.756999999999998</v>
      </c>
      <c r="D8048" s="28">
        <v>3.4027777777777775E-2</v>
      </c>
    </row>
    <row r="8049" spans="1:4" x14ac:dyDescent="0.25">
      <c r="A8049" s="24" t="s">
        <v>147</v>
      </c>
      <c r="B8049" s="24" t="s">
        <v>143</v>
      </c>
      <c r="C8049" s="32">
        <v>71.135000000000005</v>
      </c>
      <c r="D8049" s="28">
        <v>4.0972222222222222E-2</v>
      </c>
    </row>
    <row r="8050" spans="1:4" x14ac:dyDescent="0.25">
      <c r="A8050" s="24" t="s">
        <v>147</v>
      </c>
      <c r="B8050" s="24" t="s">
        <v>144</v>
      </c>
      <c r="C8050" s="32">
        <v>90.251000000000005</v>
      </c>
      <c r="D8050" s="28">
        <v>5.2083333333333336E-2</v>
      </c>
    </row>
    <row r="8051" spans="1:4" x14ac:dyDescent="0.25">
      <c r="A8051" s="24" t="s">
        <v>147</v>
      </c>
      <c r="B8051" s="24" t="s">
        <v>145</v>
      </c>
      <c r="C8051" s="32">
        <v>34.643999999999998</v>
      </c>
      <c r="D8051" s="28">
        <v>2.5694444444444447E-2</v>
      </c>
    </row>
    <row r="8052" spans="1:4" x14ac:dyDescent="0.25">
      <c r="A8052" s="24" t="s">
        <v>147</v>
      </c>
      <c r="B8052" s="24" t="s">
        <v>146</v>
      </c>
      <c r="C8052" s="32">
        <v>50.103000000000002</v>
      </c>
      <c r="D8052" s="28">
        <v>3.3333333333333333E-2</v>
      </c>
    </row>
    <row r="8053" spans="1:4" x14ac:dyDescent="0.25">
      <c r="A8053" s="24" t="s">
        <v>147</v>
      </c>
      <c r="B8053" s="24" t="s">
        <v>147</v>
      </c>
      <c r="C8053" s="32">
        <v>0</v>
      </c>
      <c r="D8053" s="28">
        <v>0</v>
      </c>
    </row>
    <row r="8054" spans="1:4" x14ac:dyDescent="0.25">
      <c r="A8054" s="24" t="s">
        <v>147</v>
      </c>
      <c r="B8054" s="24" t="s">
        <v>148</v>
      </c>
      <c r="C8054" s="32">
        <v>3.0790000000000002</v>
      </c>
      <c r="D8054" s="28">
        <v>2.7777777777777779E-3</v>
      </c>
    </row>
    <row r="8055" spans="1:4" x14ac:dyDescent="0.25">
      <c r="A8055" s="24" t="s">
        <v>147</v>
      </c>
      <c r="B8055" s="24" t="s">
        <v>149</v>
      </c>
      <c r="C8055" s="32">
        <v>13.574999999999999</v>
      </c>
      <c r="D8055" s="28">
        <v>1.1805555555555555E-2</v>
      </c>
    </row>
    <row r="8056" spans="1:4" x14ac:dyDescent="0.25">
      <c r="A8056" s="24" t="s">
        <v>147</v>
      </c>
      <c r="B8056" s="24" t="s">
        <v>150</v>
      </c>
      <c r="C8056" s="32">
        <v>23.062000000000001</v>
      </c>
      <c r="D8056" s="28">
        <v>2.0833333333333332E-2</v>
      </c>
    </row>
    <row r="8057" spans="1:4" x14ac:dyDescent="0.25">
      <c r="A8057" s="24" t="s">
        <v>147</v>
      </c>
      <c r="B8057" s="24" t="s">
        <v>151</v>
      </c>
      <c r="C8057" s="32">
        <v>22.32</v>
      </c>
      <c r="D8057" s="28">
        <v>2.0833333333333332E-2</v>
      </c>
    </row>
    <row r="8058" spans="1:4" x14ac:dyDescent="0.25">
      <c r="A8058" s="24" t="s">
        <v>147</v>
      </c>
      <c r="B8058" s="24" t="s">
        <v>152</v>
      </c>
      <c r="C8058" s="32">
        <v>28.076000000000001</v>
      </c>
      <c r="D8058" s="28">
        <v>2.4999999999999998E-2</v>
      </c>
    </row>
    <row r="8059" spans="1:4" x14ac:dyDescent="0.25">
      <c r="A8059" s="24" t="s">
        <v>147</v>
      </c>
      <c r="B8059" s="24" t="s">
        <v>153</v>
      </c>
      <c r="C8059" s="32">
        <v>31.919</v>
      </c>
      <c r="D8059" s="28">
        <v>2.9861111111111113E-2</v>
      </c>
    </row>
    <row r="8060" spans="1:4" x14ac:dyDescent="0.25">
      <c r="A8060" s="24" t="s">
        <v>147</v>
      </c>
      <c r="B8060" s="24" t="s">
        <v>154</v>
      </c>
      <c r="C8060" s="32">
        <v>26.736999999999998</v>
      </c>
      <c r="D8060" s="28">
        <v>2.361111111111111E-2</v>
      </c>
    </row>
    <row r="8061" spans="1:4" x14ac:dyDescent="0.25">
      <c r="A8061" s="24" t="s">
        <v>147</v>
      </c>
      <c r="B8061" s="24" t="s">
        <v>155</v>
      </c>
      <c r="C8061" s="32">
        <v>22.923999999999999</v>
      </c>
      <c r="D8061" s="28">
        <v>2.0833333333333332E-2</v>
      </c>
    </row>
    <row r="8062" spans="1:4" x14ac:dyDescent="0.25">
      <c r="A8062" s="24" t="s">
        <v>147</v>
      </c>
      <c r="B8062" s="24" t="s">
        <v>156</v>
      </c>
      <c r="C8062" s="32">
        <v>22.908000000000001</v>
      </c>
      <c r="D8062" s="28">
        <v>2.0833333333333332E-2</v>
      </c>
    </row>
    <row r="8063" spans="1:4" x14ac:dyDescent="0.25">
      <c r="A8063" s="24" t="s">
        <v>147</v>
      </c>
      <c r="B8063" s="24" t="s">
        <v>157</v>
      </c>
      <c r="C8063" s="32">
        <v>30.018999999999998</v>
      </c>
      <c r="D8063" s="28">
        <v>2.4305555555555556E-2</v>
      </c>
    </row>
    <row r="8064" spans="1:4" x14ac:dyDescent="0.25">
      <c r="A8064" s="24" t="s">
        <v>147</v>
      </c>
      <c r="B8064" s="24" t="s">
        <v>158</v>
      </c>
      <c r="C8064" s="32">
        <v>40.773000000000003</v>
      </c>
      <c r="D8064" s="28">
        <v>3.1944444444444449E-2</v>
      </c>
    </row>
    <row r="8065" spans="1:4" x14ac:dyDescent="0.25">
      <c r="A8065" s="24" t="s">
        <v>147</v>
      </c>
      <c r="B8065" s="24" t="s">
        <v>159</v>
      </c>
      <c r="C8065" s="32">
        <v>42.384999999999998</v>
      </c>
      <c r="D8065" s="28">
        <v>3.6805555555555557E-2</v>
      </c>
    </row>
    <row r="8066" spans="1:4" x14ac:dyDescent="0.25">
      <c r="A8066" s="24" t="s">
        <v>148</v>
      </c>
      <c r="B8066" s="24" t="s">
        <v>65</v>
      </c>
      <c r="C8066" s="32">
        <v>15.074</v>
      </c>
      <c r="D8066" s="28">
        <v>1.0416666666666666E-2</v>
      </c>
    </row>
    <row r="8067" spans="1:4" x14ac:dyDescent="0.25">
      <c r="A8067" s="24" t="s">
        <v>148</v>
      </c>
      <c r="B8067" s="24" t="s">
        <v>64</v>
      </c>
      <c r="C8067" s="32">
        <v>4.242</v>
      </c>
      <c r="D8067" s="28">
        <v>5.5555555555555558E-3</v>
      </c>
    </row>
    <row r="8068" spans="1:4" x14ac:dyDescent="0.25">
      <c r="A8068" s="24" t="s">
        <v>148</v>
      </c>
      <c r="B8068" s="24" t="s">
        <v>66</v>
      </c>
      <c r="C8068" s="32">
        <v>11.254</v>
      </c>
      <c r="D8068" s="28">
        <v>1.3194444444444444E-2</v>
      </c>
    </row>
    <row r="8069" spans="1:4" x14ac:dyDescent="0.25">
      <c r="A8069" s="24" t="s">
        <v>148</v>
      </c>
      <c r="B8069" s="24" t="s">
        <v>67</v>
      </c>
      <c r="C8069" s="32">
        <v>9.84</v>
      </c>
      <c r="D8069" s="28">
        <v>1.3194444444444444E-2</v>
      </c>
    </row>
    <row r="8070" spans="1:4" x14ac:dyDescent="0.25">
      <c r="A8070" s="24" t="s">
        <v>148</v>
      </c>
      <c r="B8070" s="24" t="s">
        <v>68</v>
      </c>
      <c r="C8070" s="32">
        <v>10.138</v>
      </c>
      <c r="D8070" s="28">
        <v>1.3194444444444444E-2</v>
      </c>
    </row>
    <row r="8071" spans="1:4" x14ac:dyDescent="0.25">
      <c r="A8071" s="24" t="s">
        <v>148</v>
      </c>
      <c r="B8071" s="24" t="s">
        <v>69</v>
      </c>
      <c r="C8071" s="32">
        <v>9.1460000000000008</v>
      </c>
      <c r="D8071" s="28">
        <v>1.2499999999999999E-2</v>
      </c>
    </row>
    <row r="8072" spans="1:4" x14ac:dyDescent="0.25">
      <c r="A8072" s="24" t="s">
        <v>148</v>
      </c>
      <c r="B8072" s="24" t="s">
        <v>70</v>
      </c>
      <c r="C8072" s="32">
        <v>9.5299999999999994</v>
      </c>
      <c r="D8072" s="28">
        <v>1.2499999999999999E-2</v>
      </c>
    </row>
    <row r="8073" spans="1:4" x14ac:dyDescent="0.25">
      <c r="A8073" s="24" t="s">
        <v>148</v>
      </c>
      <c r="B8073" s="24" t="s">
        <v>71</v>
      </c>
      <c r="C8073" s="32">
        <v>9.7230000000000008</v>
      </c>
      <c r="D8073" s="28">
        <v>1.2499999999999999E-2</v>
      </c>
    </row>
    <row r="8074" spans="1:4" x14ac:dyDescent="0.25">
      <c r="A8074" s="24" t="s">
        <v>148</v>
      </c>
      <c r="B8074" s="24" t="s">
        <v>72</v>
      </c>
      <c r="C8074" s="32">
        <v>11.073</v>
      </c>
      <c r="D8074" s="28">
        <v>1.5277777777777777E-2</v>
      </c>
    </row>
    <row r="8075" spans="1:4" x14ac:dyDescent="0.25">
      <c r="A8075" s="24" t="s">
        <v>148</v>
      </c>
      <c r="B8075" s="24" t="s">
        <v>73</v>
      </c>
      <c r="C8075" s="32">
        <v>9.6010000000000009</v>
      </c>
      <c r="D8075" s="28">
        <v>1.2499999999999999E-2</v>
      </c>
    </row>
    <row r="8076" spans="1:4" x14ac:dyDescent="0.25">
      <c r="A8076" s="24" t="s">
        <v>148</v>
      </c>
      <c r="B8076" s="24" t="s">
        <v>74</v>
      </c>
      <c r="C8076" s="32">
        <v>12.416</v>
      </c>
      <c r="D8076" s="28">
        <v>1.5277777777777777E-2</v>
      </c>
    </row>
    <row r="8077" spans="1:4" x14ac:dyDescent="0.25">
      <c r="A8077" s="24" t="s">
        <v>148</v>
      </c>
      <c r="B8077" s="24" t="s">
        <v>75</v>
      </c>
      <c r="C8077" s="32">
        <v>11.452</v>
      </c>
      <c r="D8077" s="28">
        <v>1.3888888888888888E-2</v>
      </c>
    </row>
    <row r="8078" spans="1:4" x14ac:dyDescent="0.25">
      <c r="A8078" s="24" t="s">
        <v>148</v>
      </c>
      <c r="B8078" s="24" t="s">
        <v>76</v>
      </c>
      <c r="C8078" s="32">
        <v>15.558999999999999</v>
      </c>
      <c r="D8078" s="28">
        <v>1.9444444444444445E-2</v>
      </c>
    </row>
    <row r="8079" spans="1:4" x14ac:dyDescent="0.25">
      <c r="A8079" s="24" t="s">
        <v>148</v>
      </c>
      <c r="B8079" s="24" t="s">
        <v>77</v>
      </c>
      <c r="C8079" s="32">
        <v>18.545000000000002</v>
      </c>
      <c r="D8079" s="28">
        <v>1.8749999999999999E-2</v>
      </c>
    </row>
    <row r="8080" spans="1:4" x14ac:dyDescent="0.25">
      <c r="A8080" s="24" t="s">
        <v>148</v>
      </c>
      <c r="B8080" s="24" t="s">
        <v>78</v>
      </c>
      <c r="C8080" s="32">
        <v>13.586</v>
      </c>
      <c r="D8080" s="28">
        <v>1.5972222222222224E-2</v>
      </c>
    </row>
    <row r="8081" spans="1:4" x14ac:dyDescent="0.25">
      <c r="A8081" s="24" t="s">
        <v>148</v>
      </c>
      <c r="B8081" s="24" t="s">
        <v>79</v>
      </c>
      <c r="C8081" s="32">
        <v>33.664000000000001</v>
      </c>
      <c r="D8081" s="28">
        <v>3.1944444444444449E-2</v>
      </c>
    </row>
    <row r="8082" spans="1:4" x14ac:dyDescent="0.25">
      <c r="A8082" s="24" t="s">
        <v>148</v>
      </c>
      <c r="B8082" s="24" t="s">
        <v>80</v>
      </c>
      <c r="C8082" s="32">
        <v>18.297999999999998</v>
      </c>
      <c r="D8082" s="28">
        <v>1.2499999999999999E-2</v>
      </c>
    </row>
    <row r="8083" spans="1:4" x14ac:dyDescent="0.25">
      <c r="A8083" s="24" t="s">
        <v>148</v>
      </c>
      <c r="B8083" s="24" t="s">
        <v>81</v>
      </c>
      <c r="C8083" s="32">
        <v>22.82</v>
      </c>
      <c r="D8083" s="28">
        <v>1.4583333333333332E-2</v>
      </c>
    </row>
    <row r="8084" spans="1:4" x14ac:dyDescent="0.25">
      <c r="A8084" s="24" t="s">
        <v>148</v>
      </c>
      <c r="B8084" s="24" t="s">
        <v>82</v>
      </c>
      <c r="C8084" s="32">
        <v>22.872</v>
      </c>
      <c r="D8084" s="28">
        <v>1.5277777777777777E-2</v>
      </c>
    </row>
    <row r="8085" spans="1:4" x14ac:dyDescent="0.25">
      <c r="A8085" s="24" t="s">
        <v>148</v>
      </c>
      <c r="B8085" s="24" t="s">
        <v>83</v>
      </c>
      <c r="C8085" s="32">
        <v>6.867</v>
      </c>
      <c r="D8085" s="28">
        <v>8.3333333333333332E-3</v>
      </c>
    </row>
    <row r="8086" spans="1:4" x14ac:dyDescent="0.25">
      <c r="A8086" s="24" t="s">
        <v>148</v>
      </c>
      <c r="B8086" s="24" t="s">
        <v>84</v>
      </c>
      <c r="C8086" s="32">
        <v>9.6210000000000004</v>
      </c>
      <c r="D8086" s="28">
        <v>1.1111111111111112E-2</v>
      </c>
    </row>
    <row r="8087" spans="1:4" x14ac:dyDescent="0.25">
      <c r="A8087" s="24" t="s">
        <v>148</v>
      </c>
      <c r="B8087" s="24" t="s">
        <v>85</v>
      </c>
      <c r="C8087" s="32">
        <v>9.6379999999999999</v>
      </c>
      <c r="D8087" s="28">
        <v>1.1111111111111112E-2</v>
      </c>
    </row>
    <row r="8088" spans="1:4" x14ac:dyDescent="0.25">
      <c r="A8088" s="24" t="s">
        <v>148</v>
      </c>
      <c r="B8088" s="24" t="s">
        <v>86</v>
      </c>
      <c r="C8088" s="32">
        <v>7.2640000000000002</v>
      </c>
      <c r="D8088" s="28">
        <v>8.3333333333333332E-3</v>
      </c>
    </row>
    <row r="8089" spans="1:4" x14ac:dyDescent="0.25">
      <c r="A8089" s="24" t="s">
        <v>148</v>
      </c>
      <c r="B8089" s="24" t="s">
        <v>87</v>
      </c>
      <c r="C8089" s="32">
        <v>7.3789999999999996</v>
      </c>
      <c r="D8089" s="28">
        <v>8.3333333333333332E-3</v>
      </c>
    </row>
    <row r="8090" spans="1:4" x14ac:dyDescent="0.25">
      <c r="A8090" s="24" t="s">
        <v>148</v>
      </c>
      <c r="B8090" s="24" t="s">
        <v>88</v>
      </c>
      <c r="C8090" s="32">
        <v>8.7579999999999991</v>
      </c>
      <c r="D8090" s="28">
        <v>9.7222222222222224E-3</v>
      </c>
    </row>
    <row r="8091" spans="1:4" x14ac:dyDescent="0.25">
      <c r="A8091" s="24" t="s">
        <v>148</v>
      </c>
      <c r="B8091" s="24" t="s">
        <v>89</v>
      </c>
      <c r="C8091" s="32">
        <v>14.054</v>
      </c>
      <c r="D8091" s="28">
        <v>1.2499999999999999E-2</v>
      </c>
    </row>
    <row r="8092" spans="1:4" x14ac:dyDescent="0.25">
      <c r="A8092" s="24" t="s">
        <v>148</v>
      </c>
      <c r="B8092" s="24" t="s">
        <v>90</v>
      </c>
      <c r="C8092" s="32">
        <v>18.321999999999999</v>
      </c>
      <c r="D8092" s="28">
        <v>1.3194444444444444E-2</v>
      </c>
    </row>
    <row r="8093" spans="1:4" x14ac:dyDescent="0.25">
      <c r="A8093" s="24" t="s">
        <v>148</v>
      </c>
      <c r="B8093" s="24" t="s">
        <v>91</v>
      </c>
      <c r="C8093" s="32">
        <v>10.034000000000001</v>
      </c>
      <c r="D8093" s="28">
        <v>1.1805555555555555E-2</v>
      </c>
    </row>
    <row r="8094" spans="1:4" x14ac:dyDescent="0.25">
      <c r="A8094" s="24" t="s">
        <v>148</v>
      </c>
      <c r="B8094" s="24" t="s">
        <v>92</v>
      </c>
      <c r="C8094" s="32">
        <v>16.373999999999999</v>
      </c>
      <c r="D8094" s="28">
        <v>1.1805555555555555E-2</v>
      </c>
    </row>
    <row r="8095" spans="1:4" x14ac:dyDescent="0.25">
      <c r="A8095" s="24" t="s">
        <v>148</v>
      </c>
      <c r="B8095" s="24" t="s">
        <v>93</v>
      </c>
      <c r="C8095" s="32">
        <v>40.095999999999997</v>
      </c>
      <c r="D8095" s="28">
        <v>2.4999999999999998E-2</v>
      </c>
    </row>
    <row r="8096" spans="1:4" x14ac:dyDescent="0.25">
      <c r="A8096" s="24" t="s">
        <v>148</v>
      </c>
      <c r="B8096" s="24" t="s">
        <v>94</v>
      </c>
      <c r="C8096" s="32">
        <v>40.725000000000001</v>
      </c>
      <c r="D8096" s="28">
        <v>2.4999999999999998E-2</v>
      </c>
    </row>
    <row r="8097" spans="1:4" x14ac:dyDescent="0.25">
      <c r="A8097" s="24" t="s">
        <v>148</v>
      </c>
      <c r="B8097" s="24" t="s">
        <v>95</v>
      </c>
      <c r="C8097" s="32">
        <v>23.155999999999999</v>
      </c>
      <c r="D8097" s="28">
        <v>1.5972222222222224E-2</v>
      </c>
    </row>
    <row r="8098" spans="1:4" x14ac:dyDescent="0.25">
      <c r="A8098" s="24" t="s">
        <v>148</v>
      </c>
      <c r="B8098" s="24" t="s">
        <v>96</v>
      </c>
      <c r="C8098" s="32">
        <v>15.513999999999999</v>
      </c>
      <c r="D8098" s="28">
        <v>1.3888888888888888E-2</v>
      </c>
    </row>
    <row r="8099" spans="1:4" x14ac:dyDescent="0.25">
      <c r="A8099" s="24" t="s">
        <v>148</v>
      </c>
      <c r="B8099" s="24" t="s">
        <v>97</v>
      </c>
      <c r="C8099" s="32">
        <v>23.832999999999998</v>
      </c>
      <c r="D8099" s="28">
        <v>1.9444444444444445E-2</v>
      </c>
    </row>
    <row r="8100" spans="1:4" x14ac:dyDescent="0.25">
      <c r="A8100" s="24" t="s">
        <v>148</v>
      </c>
      <c r="B8100" s="24" t="s">
        <v>98</v>
      </c>
      <c r="C8100" s="32">
        <v>22.321000000000002</v>
      </c>
      <c r="D8100" s="28">
        <v>1.8055555555555557E-2</v>
      </c>
    </row>
    <row r="8101" spans="1:4" x14ac:dyDescent="0.25">
      <c r="A8101" s="24" t="s">
        <v>148</v>
      </c>
      <c r="B8101" s="24" t="s">
        <v>99</v>
      </c>
      <c r="C8101" s="32">
        <v>24.959</v>
      </c>
      <c r="D8101" s="28">
        <v>2.1527777777777781E-2</v>
      </c>
    </row>
    <row r="8102" spans="1:4" x14ac:dyDescent="0.25">
      <c r="A8102" s="24" t="s">
        <v>148</v>
      </c>
      <c r="B8102" s="24" t="s">
        <v>100</v>
      </c>
      <c r="C8102" s="32">
        <v>23.314</v>
      </c>
      <c r="D8102" s="28">
        <v>1.5972222222222224E-2</v>
      </c>
    </row>
    <row r="8103" spans="1:4" x14ac:dyDescent="0.25">
      <c r="A8103" s="24" t="s">
        <v>148</v>
      </c>
      <c r="B8103" s="24" t="s">
        <v>101</v>
      </c>
      <c r="C8103" s="32">
        <v>22.422999999999998</v>
      </c>
      <c r="D8103" s="28">
        <v>1.9444444444444445E-2</v>
      </c>
    </row>
    <row r="8104" spans="1:4" x14ac:dyDescent="0.25">
      <c r="A8104" s="24" t="s">
        <v>148</v>
      </c>
      <c r="B8104" s="24" t="s">
        <v>102</v>
      </c>
      <c r="C8104" s="32">
        <v>21.85</v>
      </c>
      <c r="D8104" s="28">
        <v>1.8749999999999999E-2</v>
      </c>
    </row>
    <row r="8105" spans="1:4" x14ac:dyDescent="0.25">
      <c r="A8105" s="24" t="s">
        <v>148</v>
      </c>
      <c r="B8105" s="24" t="s">
        <v>103</v>
      </c>
      <c r="C8105" s="32">
        <v>11.888</v>
      </c>
      <c r="D8105" s="28">
        <v>9.7222222222222224E-3</v>
      </c>
    </row>
    <row r="8106" spans="1:4" x14ac:dyDescent="0.25">
      <c r="A8106" s="24" t="s">
        <v>148</v>
      </c>
      <c r="B8106" s="24" t="s">
        <v>104</v>
      </c>
      <c r="C8106" s="32">
        <v>15.268000000000001</v>
      </c>
      <c r="D8106" s="28">
        <v>1.1111111111111112E-2</v>
      </c>
    </row>
    <row r="8107" spans="1:4" x14ac:dyDescent="0.25">
      <c r="A8107" s="24" t="s">
        <v>148</v>
      </c>
      <c r="B8107" s="24" t="s">
        <v>105</v>
      </c>
      <c r="C8107" s="32">
        <v>13.699</v>
      </c>
      <c r="D8107" s="28">
        <v>1.3888888888888888E-2</v>
      </c>
    </row>
    <row r="8108" spans="1:4" x14ac:dyDescent="0.25">
      <c r="A8108" s="24" t="s">
        <v>148</v>
      </c>
      <c r="B8108" s="24" t="s">
        <v>106</v>
      </c>
      <c r="C8108" s="32">
        <v>8.4440000000000008</v>
      </c>
      <c r="D8108" s="28">
        <v>6.9444444444444441E-3</v>
      </c>
    </row>
    <row r="8109" spans="1:4" x14ac:dyDescent="0.25">
      <c r="A8109" s="24" t="s">
        <v>148</v>
      </c>
      <c r="B8109" s="24" t="s">
        <v>107</v>
      </c>
      <c r="C8109" s="32">
        <v>16.734999999999999</v>
      </c>
      <c r="D8109" s="28">
        <v>1.7361111111111112E-2</v>
      </c>
    </row>
    <row r="8110" spans="1:4" x14ac:dyDescent="0.25">
      <c r="A8110" s="24" t="s">
        <v>148</v>
      </c>
      <c r="B8110" s="24" t="s">
        <v>108</v>
      </c>
      <c r="C8110" s="32">
        <v>15.121</v>
      </c>
      <c r="D8110" s="28">
        <v>1.5277777777777777E-2</v>
      </c>
    </row>
    <row r="8111" spans="1:4" x14ac:dyDescent="0.25">
      <c r="A8111" s="24" t="s">
        <v>148</v>
      </c>
      <c r="B8111" s="24" t="s">
        <v>109</v>
      </c>
      <c r="C8111" s="32">
        <v>15.151</v>
      </c>
      <c r="D8111" s="28">
        <v>1.5277777777777777E-2</v>
      </c>
    </row>
    <row r="8112" spans="1:4" x14ac:dyDescent="0.25">
      <c r="A8112" s="24" t="s">
        <v>148</v>
      </c>
      <c r="B8112" s="24" t="s">
        <v>110</v>
      </c>
      <c r="C8112" s="32">
        <v>12.157</v>
      </c>
      <c r="D8112" s="28">
        <v>1.1805555555555555E-2</v>
      </c>
    </row>
    <row r="8113" spans="1:4" x14ac:dyDescent="0.25">
      <c r="A8113" s="24" t="s">
        <v>148</v>
      </c>
      <c r="B8113" s="24" t="s">
        <v>111</v>
      </c>
      <c r="C8113" s="32">
        <v>11.885999999999999</v>
      </c>
      <c r="D8113" s="28">
        <v>8.3333333333333332E-3</v>
      </c>
    </row>
    <row r="8114" spans="1:4" x14ac:dyDescent="0.25">
      <c r="A8114" s="24" t="s">
        <v>148</v>
      </c>
      <c r="B8114" s="24" t="s">
        <v>112</v>
      </c>
      <c r="C8114" s="32">
        <v>23.613</v>
      </c>
      <c r="D8114" s="28">
        <v>1.7361111111111112E-2</v>
      </c>
    </row>
    <row r="8115" spans="1:4" x14ac:dyDescent="0.25">
      <c r="A8115" s="24" t="s">
        <v>148</v>
      </c>
      <c r="B8115" s="24" t="s">
        <v>113</v>
      </c>
      <c r="C8115" s="32">
        <v>21.044</v>
      </c>
      <c r="D8115" s="28">
        <v>2.013888888888889E-2</v>
      </c>
    </row>
    <row r="8116" spans="1:4" x14ac:dyDescent="0.25">
      <c r="A8116" s="24" t="s">
        <v>148</v>
      </c>
      <c r="B8116" s="24" t="s">
        <v>114</v>
      </c>
      <c r="C8116" s="32">
        <v>21.364999999999998</v>
      </c>
      <c r="D8116" s="28">
        <v>1.3194444444444444E-2</v>
      </c>
    </row>
    <row r="8117" spans="1:4" x14ac:dyDescent="0.25">
      <c r="A8117" s="24" t="s">
        <v>148</v>
      </c>
      <c r="B8117" s="24" t="s">
        <v>115</v>
      </c>
      <c r="C8117" s="32">
        <v>21.216000000000001</v>
      </c>
      <c r="D8117" s="28">
        <v>1.3888888888888888E-2</v>
      </c>
    </row>
    <row r="8118" spans="1:4" x14ac:dyDescent="0.25">
      <c r="A8118" s="24" t="s">
        <v>148</v>
      </c>
      <c r="B8118" s="24" t="s">
        <v>116</v>
      </c>
      <c r="C8118" s="32">
        <v>15.456</v>
      </c>
      <c r="D8118" s="28">
        <v>1.1805555555555555E-2</v>
      </c>
    </row>
    <row r="8119" spans="1:4" x14ac:dyDescent="0.25">
      <c r="A8119" s="24" t="s">
        <v>148</v>
      </c>
      <c r="B8119" s="24" t="s">
        <v>117</v>
      </c>
      <c r="C8119" s="32">
        <v>22.66</v>
      </c>
      <c r="D8119" s="28">
        <v>1.6666666666666666E-2</v>
      </c>
    </row>
    <row r="8120" spans="1:4" x14ac:dyDescent="0.25">
      <c r="A8120" s="24" t="s">
        <v>148</v>
      </c>
      <c r="B8120" s="24" t="s">
        <v>118</v>
      </c>
      <c r="C8120" s="32">
        <v>22.379000000000001</v>
      </c>
      <c r="D8120" s="28">
        <v>1.5972222222222224E-2</v>
      </c>
    </row>
    <row r="8121" spans="1:4" x14ac:dyDescent="0.25">
      <c r="A8121" s="24" t="s">
        <v>148</v>
      </c>
      <c r="B8121" s="24" t="s">
        <v>119</v>
      </c>
      <c r="C8121" s="32">
        <v>36.463999999999999</v>
      </c>
      <c r="D8121" s="28">
        <v>2.2916666666666669E-2</v>
      </c>
    </row>
    <row r="8122" spans="1:4" x14ac:dyDescent="0.25">
      <c r="A8122" s="24" t="s">
        <v>148</v>
      </c>
      <c r="B8122" s="24" t="s">
        <v>120</v>
      </c>
      <c r="C8122" s="32">
        <v>39.253999999999998</v>
      </c>
      <c r="D8122" s="28">
        <v>2.6388888888888889E-2</v>
      </c>
    </row>
    <row r="8123" spans="1:4" x14ac:dyDescent="0.25">
      <c r="A8123" s="24" t="s">
        <v>148</v>
      </c>
      <c r="B8123" s="24" t="s">
        <v>121</v>
      </c>
      <c r="C8123" s="32">
        <v>53.604999999999997</v>
      </c>
      <c r="D8123" s="28">
        <v>3.3333333333333333E-2</v>
      </c>
    </row>
    <row r="8124" spans="1:4" x14ac:dyDescent="0.25">
      <c r="A8124" s="24" t="s">
        <v>148</v>
      </c>
      <c r="B8124" s="24" t="s">
        <v>122</v>
      </c>
      <c r="C8124" s="32">
        <v>38.966999999999999</v>
      </c>
      <c r="D8124" s="28">
        <v>2.361111111111111E-2</v>
      </c>
    </row>
    <row r="8125" spans="1:4" x14ac:dyDescent="0.25">
      <c r="A8125" s="24" t="s">
        <v>148</v>
      </c>
      <c r="B8125" s="24" t="s">
        <v>123</v>
      </c>
      <c r="C8125" s="32">
        <v>47.19</v>
      </c>
      <c r="D8125" s="28">
        <v>2.9861111111111113E-2</v>
      </c>
    </row>
    <row r="8126" spans="1:4" x14ac:dyDescent="0.25">
      <c r="A8126" s="24" t="s">
        <v>148</v>
      </c>
      <c r="B8126" s="24" t="s">
        <v>124</v>
      </c>
      <c r="C8126" s="32">
        <v>47.19</v>
      </c>
      <c r="D8126" s="28">
        <v>2.9861111111111113E-2</v>
      </c>
    </row>
    <row r="8127" spans="1:4" x14ac:dyDescent="0.25">
      <c r="A8127" s="24" t="s">
        <v>148</v>
      </c>
      <c r="B8127" s="24" t="s">
        <v>125</v>
      </c>
      <c r="C8127" s="32">
        <v>5.5739999999999998</v>
      </c>
      <c r="D8127" s="28">
        <v>6.9444444444444441E-3</v>
      </c>
    </row>
    <row r="8128" spans="1:4" x14ac:dyDescent="0.25">
      <c r="A8128" s="24" t="s">
        <v>148</v>
      </c>
      <c r="B8128" s="24" t="s">
        <v>126</v>
      </c>
      <c r="C8128" s="32">
        <v>5.3120000000000003</v>
      </c>
      <c r="D8128" s="28">
        <v>5.5555555555555558E-3</v>
      </c>
    </row>
    <row r="8129" spans="1:4" x14ac:dyDescent="0.25">
      <c r="A8129" s="24" t="s">
        <v>148</v>
      </c>
      <c r="B8129" s="24" t="s">
        <v>127</v>
      </c>
      <c r="C8129" s="32">
        <v>6.0570000000000004</v>
      </c>
      <c r="D8129" s="28">
        <v>6.9444444444444441E-3</v>
      </c>
    </row>
    <row r="8130" spans="1:4" x14ac:dyDescent="0.25">
      <c r="A8130" s="24" t="s">
        <v>148</v>
      </c>
      <c r="B8130" s="24" t="s">
        <v>128</v>
      </c>
      <c r="C8130" s="32">
        <v>4.3849999999999998</v>
      </c>
      <c r="D8130" s="28">
        <v>4.1666666666666666E-3</v>
      </c>
    </row>
    <row r="8131" spans="1:4" x14ac:dyDescent="0.25">
      <c r="A8131" s="24" t="s">
        <v>148</v>
      </c>
      <c r="B8131" s="24" t="s">
        <v>129</v>
      </c>
      <c r="C8131" s="32">
        <v>4.3849999999999998</v>
      </c>
      <c r="D8131" s="28">
        <v>4.1666666666666666E-3</v>
      </c>
    </row>
    <row r="8132" spans="1:4" x14ac:dyDescent="0.25">
      <c r="A8132" s="24" t="s">
        <v>148</v>
      </c>
      <c r="B8132" s="24" t="s">
        <v>130</v>
      </c>
      <c r="C8132" s="32">
        <v>3.7639999999999998</v>
      </c>
      <c r="D8132" s="28">
        <v>6.2499999999999995E-3</v>
      </c>
    </row>
    <row r="8133" spans="1:4" x14ac:dyDescent="0.25">
      <c r="A8133" s="24" t="s">
        <v>148</v>
      </c>
      <c r="B8133" s="24" t="s">
        <v>131</v>
      </c>
      <c r="C8133" s="32">
        <v>5.5650000000000004</v>
      </c>
      <c r="D8133" s="28">
        <v>8.3333333333333332E-3</v>
      </c>
    </row>
    <row r="8134" spans="1:4" x14ac:dyDescent="0.25">
      <c r="A8134" s="24" t="s">
        <v>148</v>
      </c>
      <c r="B8134" s="24" t="s">
        <v>132</v>
      </c>
      <c r="C8134" s="32">
        <v>10.682</v>
      </c>
      <c r="D8134" s="28">
        <v>1.0416666666666666E-2</v>
      </c>
    </row>
    <row r="8135" spans="1:4" x14ac:dyDescent="0.25">
      <c r="A8135" s="24" t="s">
        <v>148</v>
      </c>
      <c r="B8135" s="24" t="s">
        <v>133</v>
      </c>
      <c r="C8135" s="32">
        <v>12.026999999999999</v>
      </c>
      <c r="D8135" s="28">
        <v>1.3888888888888888E-2</v>
      </c>
    </row>
    <row r="8136" spans="1:4" x14ac:dyDescent="0.25">
      <c r="A8136" s="24" t="s">
        <v>148</v>
      </c>
      <c r="B8136" s="24" t="s">
        <v>134</v>
      </c>
      <c r="C8136" s="32">
        <v>11.561</v>
      </c>
      <c r="D8136" s="28">
        <v>1.3194444444444444E-2</v>
      </c>
    </row>
    <row r="8137" spans="1:4" x14ac:dyDescent="0.25">
      <c r="A8137" s="24" t="s">
        <v>148</v>
      </c>
      <c r="B8137" s="24" t="s">
        <v>135</v>
      </c>
      <c r="C8137" s="32">
        <v>12.891999999999999</v>
      </c>
      <c r="D8137" s="28">
        <v>1.3888888888888888E-2</v>
      </c>
    </row>
    <row r="8138" spans="1:4" x14ac:dyDescent="0.25">
      <c r="A8138" s="24" t="s">
        <v>148</v>
      </c>
      <c r="B8138" s="24" t="s">
        <v>136</v>
      </c>
      <c r="C8138" s="32">
        <v>12.891999999999999</v>
      </c>
      <c r="D8138" s="28">
        <v>1.3888888888888888E-2</v>
      </c>
    </row>
    <row r="8139" spans="1:4" x14ac:dyDescent="0.25">
      <c r="A8139" s="24" t="s">
        <v>148</v>
      </c>
      <c r="B8139" s="24" t="s">
        <v>137</v>
      </c>
      <c r="C8139" s="32">
        <v>12.794</v>
      </c>
      <c r="D8139" s="28">
        <v>1.3888888888888888E-2</v>
      </c>
    </row>
    <row r="8140" spans="1:4" x14ac:dyDescent="0.25">
      <c r="A8140" s="24" t="s">
        <v>148</v>
      </c>
      <c r="B8140" s="24" t="s">
        <v>138</v>
      </c>
      <c r="C8140" s="32">
        <v>17.05</v>
      </c>
      <c r="D8140" s="28">
        <v>1.5277777777777777E-2</v>
      </c>
    </row>
    <row r="8141" spans="1:4" x14ac:dyDescent="0.25">
      <c r="A8141" s="24" t="s">
        <v>148</v>
      </c>
      <c r="B8141" s="24" t="s">
        <v>139</v>
      </c>
      <c r="C8141" s="32">
        <v>27.170999999999999</v>
      </c>
      <c r="D8141" s="28">
        <v>2.0833333333333332E-2</v>
      </c>
    </row>
    <row r="8142" spans="1:4" x14ac:dyDescent="0.25">
      <c r="A8142" s="24" t="s">
        <v>148</v>
      </c>
      <c r="B8142" s="24" t="s">
        <v>140</v>
      </c>
      <c r="C8142" s="32">
        <v>21.387</v>
      </c>
      <c r="D8142" s="28">
        <v>2.1527777777777781E-2</v>
      </c>
    </row>
    <row r="8143" spans="1:4" x14ac:dyDescent="0.25">
      <c r="A8143" s="24" t="s">
        <v>148</v>
      </c>
      <c r="B8143" s="24" t="s">
        <v>141</v>
      </c>
      <c r="C8143" s="32">
        <v>51.881999999999998</v>
      </c>
      <c r="D8143" s="28">
        <v>4.027777777777778E-2</v>
      </c>
    </row>
    <row r="8144" spans="1:4" x14ac:dyDescent="0.25">
      <c r="A8144" s="24" t="s">
        <v>148</v>
      </c>
      <c r="B8144" s="24" t="s">
        <v>142</v>
      </c>
      <c r="C8144" s="32">
        <v>49.97</v>
      </c>
      <c r="D8144" s="28">
        <v>3.2638888888888891E-2</v>
      </c>
    </row>
    <row r="8145" spans="1:4" x14ac:dyDescent="0.25">
      <c r="A8145" s="24" t="s">
        <v>148</v>
      </c>
      <c r="B8145" s="24" t="s">
        <v>143</v>
      </c>
      <c r="C8145" s="32">
        <v>68.347999999999999</v>
      </c>
      <c r="D8145" s="28">
        <v>4.027777777777778E-2</v>
      </c>
    </row>
    <row r="8146" spans="1:4" x14ac:dyDescent="0.25">
      <c r="A8146" s="24" t="s">
        <v>148</v>
      </c>
      <c r="B8146" s="24" t="s">
        <v>144</v>
      </c>
      <c r="C8146" s="32">
        <v>87.463999999999999</v>
      </c>
      <c r="D8146" s="28">
        <v>5.0694444444444452E-2</v>
      </c>
    </row>
    <row r="8147" spans="1:4" x14ac:dyDescent="0.25">
      <c r="A8147" s="24" t="s">
        <v>148</v>
      </c>
      <c r="B8147" s="24" t="s">
        <v>145</v>
      </c>
      <c r="C8147" s="32">
        <v>31.856999999999999</v>
      </c>
      <c r="D8147" s="28">
        <v>2.4305555555555556E-2</v>
      </c>
    </row>
    <row r="8148" spans="1:4" x14ac:dyDescent="0.25">
      <c r="A8148" s="24" t="s">
        <v>148</v>
      </c>
      <c r="B8148" s="24" t="s">
        <v>146</v>
      </c>
      <c r="C8148" s="32">
        <v>47.316000000000003</v>
      </c>
      <c r="D8148" s="28">
        <v>3.1944444444444449E-2</v>
      </c>
    </row>
    <row r="8149" spans="1:4" x14ac:dyDescent="0.25">
      <c r="A8149" s="24" t="s">
        <v>148</v>
      </c>
      <c r="B8149" s="24" t="s">
        <v>147</v>
      </c>
      <c r="C8149" s="32">
        <v>8.3710000000000004</v>
      </c>
      <c r="D8149" s="28">
        <v>6.2499999999999995E-3</v>
      </c>
    </row>
    <row r="8150" spans="1:4" x14ac:dyDescent="0.25">
      <c r="A8150" s="24" t="s">
        <v>148</v>
      </c>
      <c r="B8150" s="24" t="s">
        <v>148</v>
      </c>
      <c r="C8150" s="32">
        <v>0</v>
      </c>
      <c r="D8150" s="28">
        <v>0</v>
      </c>
    </row>
    <row r="8151" spans="1:4" x14ac:dyDescent="0.25">
      <c r="A8151" s="24" t="s">
        <v>148</v>
      </c>
      <c r="B8151" s="24" t="s">
        <v>149</v>
      </c>
      <c r="C8151" s="32">
        <v>10.788</v>
      </c>
      <c r="D8151" s="28">
        <v>1.1111111111111112E-2</v>
      </c>
    </row>
    <row r="8152" spans="1:4" x14ac:dyDescent="0.25">
      <c r="A8152" s="24" t="s">
        <v>148</v>
      </c>
      <c r="B8152" s="24" t="s">
        <v>150</v>
      </c>
      <c r="C8152" s="32">
        <v>20.274999999999999</v>
      </c>
      <c r="D8152" s="28">
        <v>1.9444444444444445E-2</v>
      </c>
    </row>
    <row r="8153" spans="1:4" x14ac:dyDescent="0.25">
      <c r="A8153" s="24" t="s">
        <v>148</v>
      </c>
      <c r="B8153" s="24" t="s">
        <v>151</v>
      </c>
      <c r="C8153" s="32">
        <v>19.533000000000001</v>
      </c>
      <c r="D8153" s="28">
        <v>1.9444444444444445E-2</v>
      </c>
    </row>
    <row r="8154" spans="1:4" x14ac:dyDescent="0.25">
      <c r="A8154" s="24" t="s">
        <v>148</v>
      </c>
      <c r="B8154" s="24" t="s">
        <v>152</v>
      </c>
      <c r="C8154" s="32">
        <v>26.4</v>
      </c>
      <c r="D8154" s="28">
        <v>2.2916666666666669E-2</v>
      </c>
    </row>
    <row r="8155" spans="1:4" x14ac:dyDescent="0.25">
      <c r="A8155" s="24" t="s">
        <v>148</v>
      </c>
      <c r="B8155" s="24" t="s">
        <v>153</v>
      </c>
      <c r="C8155" s="32">
        <v>29.132000000000001</v>
      </c>
      <c r="D8155" s="28">
        <v>2.8472222222222222E-2</v>
      </c>
    </row>
    <row r="8156" spans="1:4" x14ac:dyDescent="0.25">
      <c r="A8156" s="24" t="s">
        <v>148</v>
      </c>
      <c r="B8156" s="24" t="s">
        <v>154</v>
      </c>
      <c r="C8156" s="32">
        <v>23.95</v>
      </c>
      <c r="D8156" s="28">
        <v>2.2222222222222223E-2</v>
      </c>
    </row>
    <row r="8157" spans="1:4" x14ac:dyDescent="0.25">
      <c r="A8157" s="24" t="s">
        <v>148</v>
      </c>
      <c r="B8157" s="24" t="s">
        <v>155</v>
      </c>
      <c r="C8157" s="32">
        <v>20.137</v>
      </c>
      <c r="D8157" s="28">
        <v>2.013888888888889E-2</v>
      </c>
    </row>
    <row r="8158" spans="1:4" x14ac:dyDescent="0.25">
      <c r="A8158" s="24" t="s">
        <v>148</v>
      </c>
      <c r="B8158" s="24" t="s">
        <v>156</v>
      </c>
      <c r="C8158" s="32">
        <v>20.120999999999999</v>
      </c>
      <c r="D8158" s="28">
        <v>2.013888888888889E-2</v>
      </c>
    </row>
    <row r="8159" spans="1:4" x14ac:dyDescent="0.25">
      <c r="A8159" s="24" t="s">
        <v>148</v>
      </c>
      <c r="B8159" s="24" t="s">
        <v>157</v>
      </c>
      <c r="C8159" s="32">
        <v>27.231999999999999</v>
      </c>
      <c r="D8159" s="28">
        <v>2.361111111111111E-2</v>
      </c>
    </row>
    <row r="8160" spans="1:4" x14ac:dyDescent="0.25">
      <c r="A8160" s="24" t="s">
        <v>148</v>
      </c>
      <c r="B8160" s="24" t="s">
        <v>158</v>
      </c>
      <c r="C8160" s="32">
        <v>37.985999999999997</v>
      </c>
      <c r="D8160" s="28">
        <v>3.0555555555555555E-2</v>
      </c>
    </row>
    <row r="8161" spans="1:4" x14ac:dyDescent="0.25">
      <c r="A8161" s="24" t="s">
        <v>148</v>
      </c>
      <c r="B8161" s="24" t="s">
        <v>159</v>
      </c>
      <c r="C8161" s="32">
        <v>43.356000000000002</v>
      </c>
      <c r="D8161" s="28">
        <v>3.6111111111111115E-2</v>
      </c>
    </row>
    <row r="8162" spans="1:4" x14ac:dyDescent="0.25">
      <c r="A8162" s="24" t="s">
        <v>149</v>
      </c>
      <c r="B8162" s="24" t="s">
        <v>65</v>
      </c>
      <c r="C8162" s="32">
        <v>21.34</v>
      </c>
      <c r="D8162" s="28">
        <v>1.6666666666666666E-2</v>
      </c>
    </row>
    <row r="8163" spans="1:4" x14ac:dyDescent="0.25">
      <c r="A8163" s="24" t="s">
        <v>149</v>
      </c>
      <c r="B8163" s="24" t="s">
        <v>64</v>
      </c>
      <c r="C8163" s="32">
        <v>8.3940000000000001</v>
      </c>
      <c r="D8163" s="28">
        <v>9.0277777777777787E-3</v>
      </c>
    </row>
    <row r="8164" spans="1:4" x14ac:dyDescent="0.25">
      <c r="A8164" s="24" t="s">
        <v>149</v>
      </c>
      <c r="B8164" s="24" t="s">
        <v>66</v>
      </c>
      <c r="C8164" s="32">
        <v>9.9930000000000003</v>
      </c>
      <c r="D8164" s="28">
        <v>1.1111111111111112E-2</v>
      </c>
    </row>
    <row r="8165" spans="1:4" x14ac:dyDescent="0.25">
      <c r="A8165" s="24" t="s">
        <v>149</v>
      </c>
      <c r="B8165" s="24" t="s">
        <v>67</v>
      </c>
      <c r="C8165" s="32">
        <v>9.5690000000000008</v>
      </c>
      <c r="D8165" s="28">
        <v>1.3194444444444444E-2</v>
      </c>
    </row>
    <row r="8166" spans="1:4" x14ac:dyDescent="0.25">
      <c r="A8166" s="24" t="s">
        <v>149</v>
      </c>
      <c r="B8166" s="24" t="s">
        <v>68</v>
      </c>
      <c r="C8166" s="32">
        <v>9.173</v>
      </c>
      <c r="D8166" s="28">
        <v>1.1805555555555555E-2</v>
      </c>
    </row>
    <row r="8167" spans="1:4" x14ac:dyDescent="0.25">
      <c r="A8167" s="24" t="s">
        <v>149</v>
      </c>
      <c r="B8167" s="24" t="s">
        <v>69</v>
      </c>
      <c r="C8167" s="32">
        <v>8.6440000000000001</v>
      </c>
      <c r="D8167" s="28">
        <v>1.1111111111111112E-2</v>
      </c>
    </row>
    <row r="8168" spans="1:4" x14ac:dyDescent="0.25">
      <c r="A8168" s="24" t="s">
        <v>149</v>
      </c>
      <c r="B8168" s="24" t="s">
        <v>70</v>
      </c>
      <c r="C8168" s="32">
        <v>8.8059999999999992</v>
      </c>
      <c r="D8168" s="28">
        <v>1.1111111111111112E-2</v>
      </c>
    </row>
    <row r="8169" spans="1:4" x14ac:dyDescent="0.25">
      <c r="A8169" s="24" t="s">
        <v>149</v>
      </c>
      <c r="B8169" s="24" t="s">
        <v>71</v>
      </c>
      <c r="C8169" s="32">
        <v>9.2210000000000001</v>
      </c>
      <c r="D8169" s="28">
        <v>1.1805555555555555E-2</v>
      </c>
    </row>
    <row r="8170" spans="1:4" x14ac:dyDescent="0.25">
      <c r="A8170" s="24" t="s">
        <v>149</v>
      </c>
      <c r="B8170" s="24" t="s">
        <v>72</v>
      </c>
      <c r="C8170" s="32">
        <v>11.141</v>
      </c>
      <c r="D8170" s="28">
        <v>1.5972222222222224E-2</v>
      </c>
    </row>
    <row r="8171" spans="1:4" x14ac:dyDescent="0.25">
      <c r="A8171" s="24" t="s">
        <v>149</v>
      </c>
      <c r="B8171" s="24" t="s">
        <v>73</v>
      </c>
      <c r="C8171" s="32">
        <v>10.590999999999999</v>
      </c>
      <c r="D8171" s="28">
        <v>1.3888888888888888E-2</v>
      </c>
    </row>
    <row r="8172" spans="1:4" x14ac:dyDescent="0.25">
      <c r="A8172" s="24" t="s">
        <v>149</v>
      </c>
      <c r="B8172" s="24" t="s">
        <v>74</v>
      </c>
      <c r="C8172" s="32">
        <v>14.88</v>
      </c>
      <c r="D8172" s="28">
        <v>1.8055555555555557E-2</v>
      </c>
    </row>
    <row r="8173" spans="1:4" x14ac:dyDescent="0.25">
      <c r="A8173" s="24" t="s">
        <v>149</v>
      </c>
      <c r="B8173" s="24" t="s">
        <v>75</v>
      </c>
      <c r="C8173" s="32">
        <v>13.916</v>
      </c>
      <c r="D8173" s="28">
        <v>1.6666666666666666E-2</v>
      </c>
    </row>
    <row r="8174" spans="1:4" x14ac:dyDescent="0.25">
      <c r="A8174" s="24" t="s">
        <v>149</v>
      </c>
      <c r="B8174" s="24" t="s">
        <v>76</v>
      </c>
      <c r="C8174" s="32">
        <v>20.744</v>
      </c>
      <c r="D8174" s="28">
        <v>2.013888888888889E-2</v>
      </c>
    </row>
    <row r="8175" spans="1:4" x14ac:dyDescent="0.25">
      <c r="A8175" s="24" t="s">
        <v>149</v>
      </c>
      <c r="B8175" s="24" t="s">
        <v>77</v>
      </c>
      <c r="C8175" s="32">
        <v>14.116</v>
      </c>
      <c r="D8175" s="28">
        <v>1.3888888888888888E-2</v>
      </c>
    </row>
    <row r="8176" spans="1:4" x14ac:dyDescent="0.25">
      <c r="A8176" s="24" t="s">
        <v>149</v>
      </c>
      <c r="B8176" s="24" t="s">
        <v>78</v>
      </c>
      <c r="C8176" s="32">
        <v>9.157</v>
      </c>
      <c r="D8176" s="28">
        <v>1.1111111111111112E-2</v>
      </c>
    </row>
    <row r="8177" spans="1:4" x14ac:dyDescent="0.25">
      <c r="A8177" s="24" t="s">
        <v>149</v>
      </c>
      <c r="B8177" s="24" t="s">
        <v>79</v>
      </c>
      <c r="C8177" s="32">
        <v>27.523</v>
      </c>
      <c r="D8177" s="28">
        <v>2.7777777777777776E-2</v>
      </c>
    </row>
    <row r="8178" spans="1:4" x14ac:dyDescent="0.25">
      <c r="A8178" s="24" t="s">
        <v>149</v>
      </c>
      <c r="B8178" s="24" t="s">
        <v>80</v>
      </c>
      <c r="C8178" s="32">
        <v>24.564</v>
      </c>
      <c r="D8178" s="28">
        <v>1.8749999999999999E-2</v>
      </c>
    </row>
    <row r="8179" spans="1:4" x14ac:dyDescent="0.25">
      <c r="A8179" s="24" t="s">
        <v>149</v>
      </c>
      <c r="B8179" s="24" t="s">
        <v>81</v>
      </c>
      <c r="C8179" s="32">
        <v>29.085999999999999</v>
      </c>
      <c r="D8179" s="28">
        <v>2.0833333333333332E-2</v>
      </c>
    </row>
    <row r="8180" spans="1:4" x14ac:dyDescent="0.25">
      <c r="A8180" s="24" t="s">
        <v>149</v>
      </c>
      <c r="B8180" s="24" t="s">
        <v>82</v>
      </c>
      <c r="C8180" s="32">
        <v>29.138000000000002</v>
      </c>
      <c r="D8180" s="28">
        <v>2.0833333333333332E-2</v>
      </c>
    </row>
    <row r="8181" spans="1:4" x14ac:dyDescent="0.25">
      <c r="A8181" s="24" t="s">
        <v>149</v>
      </c>
      <c r="B8181" s="24" t="s">
        <v>83</v>
      </c>
      <c r="C8181" s="32">
        <v>12.977</v>
      </c>
      <c r="D8181" s="28">
        <v>1.2499999999999999E-2</v>
      </c>
    </row>
    <row r="8182" spans="1:4" x14ac:dyDescent="0.25">
      <c r="A8182" s="24" t="s">
        <v>149</v>
      </c>
      <c r="B8182" s="24" t="s">
        <v>84</v>
      </c>
      <c r="C8182" s="32">
        <v>11.819000000000001</v>
      </c>
      <c r="D8182" s="28">
        <v>1.4583333333333332E-2</v>
      </c>
    </row>
    <row r="8183" spans="1:4" x14ac:dyDescent="0.25">
      <c r="A8183" s="24" t="s">
        <v>149</v>
      </c>
      <c r="B8183" s="24" t="s">
        <v>85</v>
      </c>
      <c r="C8183" s="32">
        <v>15.747999999999999</v>
      </c>
      <c r="D8183" s="28">
        <v>1.5277777777777777E-2</v>
      </c>
    </row>
    <row r="8184" spans="1:4" x14ac:dyDescent="0.25">
      <c r="A8184" s="24" t="s">
        <v>149</v>
      </c>
      <c r="B8184" s="24" t="s">
        <v>86</v>
      </c>
      <c r="C8184" s="32">
        <v>13.374000000000001</v>
      </c>
      <c r="D8184" s="28">
        <v>1.2499999999999999E-2</v>
      </c>
    </row>
    <row r="8185" spans="1:4" x14ac:dyDescent="0.25">
      <c r="A8185" s="24" t="s">
        <v>149</v>
      </c>
      <c r="B8185" s="24" t="s">
        <v>87</v>
      </c>
      <c r="C8185" s="32">
        <v>13.489000000000001</v>
      </c>
      <c r="D8185" s="28">
        <v>1.2499999999999999E-2</v>
      </c>
    </row>
    <row r="8186" spans="1:4" x14ac:dyDescent="0.25">
      <c r="A8186" s="24" t="s">
        <v>149</v>
      </c>
      <c r="B8186" s="24" t="s">
        <v>88</v>
      </c>
      <c r="C8186" s="32">
        <v>14.868</v>
      </c>
      <c r="D8186" s="28">
        <v>1.3888888888888888E-2</v>
      </c>
    </row>
    <row r="8187" spans="1:4" x14ac:dyDescent="0.25">
      <c r="A8187" s="24" t="s">
        <v>149</v>
      </c>
      <c r="B8187" s="24" t="s">
        <v>89</v>
      </c>
      <c r="C8187" s="32">
        <v>16.981000000000002</v>
      </c>
      <c r="D8187" s="28">
        <v>1.8055555555555557E-2</v>
      </c>
    </row>
    <row r="8188" spans="1:4" x14ac:dyDescent="0.25">
      <c r="A8188" s="24" t="s">
        <v>149</v>
      </c>
      <c r="B8188" s="24" t="s">
        <v>90</v>
      </c>
      <c r="C8188" s="32">
        <v>19.59</v>
      </c>
      <c r="D8188" s="28">
        <v>1.8749999999999999E-2</v>
      </c>
    </row>
    <row r="8189" spans="1:4" x14ac:dyDescent="0.25">
      <c r="A8189" s="24" t="s">
        <v>149</v>
      </c>
      <c r="B8189" s="24" t="s">
        <v>91</v>
      </c>
      <c r="C8189" s="32">
        <v>16.055</v>
      </c>
      <c r="D8189" s="28">
        <v>1.6666666666666666E-2</v>
      </c>
    </row>
    <row r="8190" spans="1:4" x14ac:dyDescent="0.25">
      <c r="A8190" s="24" t="s">
        <v>149</v>
      </c>
      <c r="B8190" s="24" t="s">
        <v>92</v>
      </c>
      <c r="C8190" s="32">
        <v>22.64</v>
      </c>
      <c r="D8190" s="28">
        <v>1.8055555555555557E-2</v>
      </c>
    </row>
    <row r="8191" spans="1:4" x14ac:dyDescent="0.25">
      <c r="A8191" s="24" t="s">
        <v>149</v>
      </c>
      <c r="B8191" s="24" t="s">
        <v>93</v>
      </c>
      <c r="C8191" s="32">
        <v>46.362000000000002</v>
      </c>
      <c r="D8191" s="28">
        <v>3.0555555555555555E-2</v>
      </c>
    </row>
    <row r="8192" spans="1:4" x14ac:dyDescent="0.25">
      <c r="A8192" s="24" t="s">
        <v>149</v>
      </c>
      <c r="B8192" s="24" t="s">
        <v>94</v>
      </c>
      <c r="C8192" s="32">
        <v>46.991</v>
      </c>
      <c r="D8192" s="28">
        <v>3.125E-2</v>
      </c>
    </row>
    <row r="8193" spans="1:4" x14ac:dyDescent="0.25">
      <c r="A8193" s="24" t="s">
        <v>149</v>
      </c>
      <c r="B8193" s="24" t="s">
        <v>95</v>
      </c>
      <c r="C8193" s="32">
        <v>29.422000000000001</v>
      </c>
      <c r="D8193" s="28">
        <v>2.2222222222222223E-2</v>
      </c>
    </row>
    <row r="8194" spans="1:4" x14ac:dyDescent="0.25">
      <c r="A8194" s="24" t="s">
        <v>149</v>
      </c>
      <c r="B8194" s="24" t="s">
        <v>96</v>
      </c>
      <c r="C8194" s="32">
        <v>11.177</v>
      </c>
      <c r="D8194" s="28">
        <v>1.1111111111111112E-2</v>
      </c>
    </row>
    <row r="8195" spans="1:4" x14ac:dyDescent="0.25">
      <c r="A8195" s="24" t="s">
        <v>149</v>
      </c>
      <c r="B8195" s="24" t="s">
        <v>97</v>
      </c>
      <c r="C8195" s="32">
        <v>19.495999999999999</v>
      </c>
      <c r="D8195" s="28">
        <v>1.7361111111111112E-2</v>
      </c>
    </row>
    <row r="8196" spans="1:4" x14ac:dyDescent="0.25">
      <c r="A8196" s="24" t="s">
        <v>149</v>
      </c>
      <c r="B8196" s="24" t="s">
        <v>98</v>
      </c>
      <c r="C8196" s="32">
        <v>18.109000000000002</v>
      </c>
      <c r="D8196" s="28">
        <v>1.5277777777777777E-2</v>
      </c>
    </row>
    <row r="8197" spans="1:4" x14ac:dyDescent="0.25">
      <c r="A8197" s="24" t="s">
        <v>149</v>
      </c>
      <c r="B8197" s="24" t="s">
        <v>99</v>
      </c>
      <c r="C8197" s="32">
        <v>20.949000000000002</v>
      </c>
      <c r="D8197" s="28">
        <v>1.9444444444444445E-2</v>
      </c>
    </row>
    <row r="8198" spans="1:4" x14ac:dyDescent="0.25">
      <c r="A8198" s="24" t="s">
        <v>149</v>
      </c>
      <c r="B8198" s="24" t="s">
        <v>100</v>
      </c>
      <c r="C8198" s="32">
        <v>25.623000000000001</v>
      </c>
      <c r="D8198" s="28">
        <v>2.013888888888889E-2</v>
      </c>
    </row>
    <row r="8199" spans="1:4" x14ac:dyDescent="0.25">
      <c r="A8199" s="24" t="s">
        <v>149</v>
      </c>
      <c r="B8199" s="24" t="s">
        <v>101</v>
      </c>
      <c r="C8199" s="32">
        <v>18.210999999999999</v>
      </c>
      <c r="D8199" s="28">
        <v>1.6666666666666666E-2</v>
      </c>
    </row>
    <row r="8200" spans="1:4" x14ac:dyDescent="0.25">
      <c r="A8200" s="24" t="s">
        <v>149</v>
      </c>
      <c r="B8200" s="24" t="s">
        <v>102</v>
      </c>
      <c r="C8200" s="32">
        <v>17.638000000000002</v>
      </c>
      <c r="D8200" s="28">
        <v>1.5972222222222224E-2</v>
      </c>
    </row>
    <row r="8201" spans="1:4" x14ac:dyDescent="0.25">
      <c r="A8201" s="24" t="s">
        <v>149</v>
      </c>
      <c r="B8201" s="24" t="s">
        <v>103</v>
      </c>
      <c r="C8201" s="32">
        <v>15.439</v>
      </c>
      <c r="D8201" s="28">
        <v>1.5277777777777777E-2</v>
      </c>
    </row>
    <row r="8202" spans="1:4" x14ac:dyDescent="0.25">
      <c r="A8202" s="24" t="s">
        <v>149</v>
      </c>
      <c r="B8202" s="24" t="s">
        <v>104</v>
      </c>
      <c r="C8202" s="32">
        <v>21.533999999999999</v>
      </c>
      <c r="D8202" s="28">
        <v>1.7361111111111112E-2</v>
      </c>
    </row>
    <row r="8203" spans="1:4" x14ac:dyDescent="0.25">
      <c r="A8203" s="24" t="s">
        <v>149</v>
      </c>
      <c r="B8203" s="24" t="s">
        <v>105</v>
      </c>
      <c r="C8203" s="32">
        <v>19.965</v>
      </c>
      <c r="D8203" s="28">
        <v>1.9444444444444445E-2</v>
      </c>
    </row>
    <row r="8204" spans="1:4" x14ac:dyDescent="0.25">
      <c r="A8204" s="24" t="s">
        <v>149</v>
      </c>
      <c r="B8204" s="24" t="s">
        <v>106</v>
      </c>
      <c r="C8204" s="32">
        <v>14.71</v>
      </c>
      <c r="D8204" s="28">
        <v>1.3194444444444444E-2</v>
      </c>
    </row>
    <row r="8205" spans="1:4" x14ac:dyDescent="0.25">
      <c r="A8205" s="24" t="s">
        <v>149</v>
      </c>
      <c r="B8205" s="24" t="s">
        <v>107</v>
      </c>
      <c r="C8205" s="32">
        <v>22.844999999999999</v>
      </c>
      <c r="D8205" s="28">
        <v>2.2222222222222223E-2</v>
      </c>
    </row>
    <row r="8206" spans="1:4" x14ac:dyDescent="0.25">
      <c r="A8206" s="24" t="s">
        <v>149</v>
      </c>
      <c r="B8206" s="24" t="s">
        <v>108</v>
      </c>
      <c r="C8206" s="32">
        <v>21.231000000000002</v>
      </c>
      <c r="D8206" s="28">
        <v>1.9444444444444445E-2</v>
      </c>
    </row>
    <row r="8207" spans="1:4" x14ac:dyDescent="0.25">
      <c r="A8207" s="24" t="s">
        <v>149</v>
      </c>
      <c r="B8207" s="24" t="s">
        <v>109</v>
      </c>
      <c r="C8207" s="32">
        <v>21.260999999999999</v>
      </c>
      <c r="D8207" s="28">
        <v>1.9444444444444445E-2</v>
      </c>
    </row>
    <row r="8208" spans="1:4" x14ac:dyDescent="0.25">
      <c r="A8208" s="24" t="s">
        <v>149</v>
      </c>
      <c r="B8208" s="24" t="s">
        <v>110</v>
      </c>
      <c r="C8208" s="32">
        <v>17.928000000000001</v>
      </c>
      <c r="D8208" s="28">
        <v>1.7361111111111112E-2</v>
      </c>
    </row>
    <row r="8209" spans="1:4" x14ac:dyDescent="0.25">
      <c r="A8209" s="24" t="s">
        <v>149</v>
      </c>
      <c r="B8209" s="24" t="s">
        <v>111</v>
      </c>
      <c r="C8209" s="32">
        <v>18.152000000000001</v>
      </c>
      <c r="D8209" s="28">
        <v>1.4583333333333332E-2</v>
      </c>
    </row>
    <row r="8210" spans="1:4" x14ac:dyDescent="0.25">
      <c r="A8210" s="24" t="s">
        <v>149</v>
      </c>
      <c r="B8210" s="24" t="s">
        <v>112</v>
      </c>
      <c r="C8210" s="32">
        <v>29.879000000000001</v>
      </c>
      <c r="D8210" s="28">
        <v>2.361111111111111E-2</v>
      </c>
    </row>
    <row r="8211" spans="1:4" x14ac:dyDescent="0.25">
      <c r="A8211" s="24" t="s">
        <v>149</v>
      </c>
      <c r="B8211" s="24" t="s">
        <v>113</v>
      </c>
      <c r="C8211" s="32">
        <v>27.154</v>
      </c>
      <c r="D8211" s="28">
        <v>2.4305555555555556E-2</v>
      </c>
    </row>
    <row r="8212" spans="1:4" x14ac:dyDescent="0.25">
      <c r="A8212" s="24" t="s">
        <v>149</v>
      </c>
      <c r="B8212" s="24" t="s">
        <v>114</v>
      </c>
      <c r="C8212" s="32">
        <v>24.457999999999998</v>
      </c>
      <c r="D8212" s="28">
        <v>1.9444444444444445E-2</v>
      </c>
    </row>
    <row r="8213" spans="1:4" x14ac:dyDescent="0.25">
      <c r="A8213" s="24" t="s">
        <v>149</v>
      </c>
      <c r="B8213" s="24" t="s">
        <v>115</v>
      </c>
      <c r="C8213" s="32">
        <v>23.91</v>
      </c>
      <c r="D8213" s="28">
        <v>1.9444444444444445E-2</v>
      </c>
    </row>
    <row r="8214" spans="1:4" x14ac:dyDescent="0.25">
      <c r="A8214" s="24" t="s">
        <v>149</v>
      </c>
      <c r="B8214" s="24" t="s">
        <v>116</v>
      </c>
      <c r="C8214" s="32">
        <v>21.722000000000001</v>
      </c>
      <c r="D8214" s="28">
        <v>1.8055555555555557E-2</v>
      </c>
    </row>
    <row r="8215" spans="1:4" x14ac:dyDescent="0.25">
      <c r="A8215" s="24" t="s">
        <v>149</v>
      </c>
      <c r="B8215" s="24" t="s">
        <v>117</v>
      </c>
      <c r="C8215" s="32">
        <v>28.925999999999998</v>
      </c>
      <c r="D8215" s="28">
        <v>2.2916666666666669E-2</v>
      </c>
    </row>
    <row r="8216" spans="1:4" x14ac:dyDescent="0.25">
      <c r="A8216" s="24" t="s">
        <v>149</v>
      </c>
      <c r="B8216" s="24" t="s">
        <v>118</v>
      </c>
      <c r="C8216" s="32">
        <v>28.645</v>
      </c>
      <c r="D8216" s="28">
        <v>2.2222222222222223E-2</v>
      </c>
    </row>
    <row r="8217" spans="1:4" x14ac:dyDescent="0.25">
      <c r="A8217" s="24" t="s">
        <v>149</v>
      </c>
      <c r="B8217" s="24" t="s">
        <v>119</v>
      </c>
      <c r="C8217" s="32">
        <v>42.73</v>
      </c>
      <c r="D8217" s="28">
        <v>2.9166666666666664E-2</v>
      </c>
    </row>
    <row r="8218" spans="1:4" x14ac:dyDescent="0.25">
      <c r="A8218" s="24" t="s">
        <v>149</v>
      </c>
      <c r="B8218" s="24" t="s">
        <v>120</v>
      </c>
      <c r="C8218" s="32">
        <v>45.52</v>
      </c>
      <c r="D8218" s="28">
        <v>3.2638888888888891E-2</v>
      </c>
    </row>
    <row r="8219" spans="1:4" x14ac:dyDescent="0.25">
      <c r="A8219" s="24" t="s">
        <v>149</v>
      </c>
      <c r="B8219" s="24" t="s">
        <v>121</v>
      </c>
      <c r="C8219" s="32">
        <v>59.871000000000002</v>
      </c>
      <c r="D8219" s="28">
        <v>3.9583333333333331E-2</v>
      </c>
    </row>
    <row r="8220" spans="1:4" x14ac:dyDescent="0.25">
      <c r="A8220" s="24" t="s">
        <v>149</v>
      </c>
      <c r="B8220" s="24" t="s">
        <v>122</v>
      </c>
      <c r="C8220" s="32">
        <v>45.232999999999997</v>
      </c>
      <c r="D8220" s="28">
        <v>2.9861111111111113E-2</v>
      </c>
    </row>
    <row r="8221" spans="1:4" x14ac:dyDescent="0.25">
      <c r="A8221" s="24" t="s">
        <v>149</v>
      </c>
      <c r="B8221" s="24" t="s">
        <v>123</v>
      </c>
      <c r="C8221" s="32">
        <v>53.456000000000003</v>
      </c>
      <c r="D8221" s="28">
        <v>3.6111111111111115E-2</v>
      </c>
    </row>
    <row r="8222" spans="1:4" x14ac:dyDescent="0.25">
      <c r="A8222" s="24" t="s">
        <v>149</v>
      </c>
      <c r="B8222" s="24" t="s">
        <v>124</v>
      </c>
      <c r="C8222" s="32">
        <v>53.456000000000003</v>
      </c>
      <c r="D8222" s="28">
        <v>3.6111111111111115E-2</v>
      </c>
    </row>
    <row r="8223" spans="1:4" x14ac:dyDescent="0.25">
      <c r="A8223" s="24" t="s">
        <v>149</v>
      </c>
      <c r="B8223" s="24" t="s">
        <v>125</v>
      </c>
      <c r="C8223" s="32">
        <v>6.0529999999999999</v>
      </c>
      <c r="D8223" s="28">
        <v>8.3333333333333332E-3</v>
      </c>
    </row>
    <row r="8224" spans="1:4" x14ac:dyDescent="0.25">
      <c r="A8224" s="24" t="s">
        <v>149</v>
      </c>
      <c r="B8224" s="24" t="s">
        <v>126</v>
      </c>
      <c r="C8224" s="32">
        <v>5.7910000000000004</v>
      </c>
      <c r="D8224" s="28">
        <v>7.6388888888888886E-3</v>
      </c>
    </row>
    <row r="8225" spans="1:4" x14ac:dyDescent="0.25">
      <c r="A8225" s="24" t="s">
        <v>149</v>
      </c>
      <c r="B8225" s="24" t="s">
        <v>127</v>
      </c>
      <c r="C8225" s="32">
        <v>8.3040000000000003</v>
      </c>
      <c r="D8225" s="28">
        <v>7.6388888888888886E-3</v>
      </c>
    </row>
    <row r="8226" spans="1:4" x14ac:dyDescent="0.25">
      <c r="A8226" s="24" t="s">
        <v>149</v>
      </c>
      <c r="B8226" s="24" t="s">
        <v>128</v>
      </c>
      <c r="C8226" s="32">
        <v>6.351</v>
      </c>
      <c r="D8226" s="28">
        <v>9.0277777777777787E-3</v>
      </c>
    </row>
    <row r="8227" spans="1:4" x14ac:dyDescent="0.25">
      <c r="A8227" s="24" t="s">
        <v>149</v>
      </c>
      <c r="B8227" s="24" t="s">
        <v>129</v>
      </c>
      <c r="C8227" s="32">
        <v>6.351</v>
      </c>
      <c r="D8227" s="28">
        <v>9.0277777777777787E-3</v>
      </c>
    </row>
    <row r="8228" spans="1:4" x14ac:dyDescent="0.25">
      <c r="A8228" s="24" t="s">
        <v>149</v>
      </c>
      <c r="B8228" s="24" t="s">
        <v>130</v>
      </c>
      <c r="C8228" s="32">
        <v>6.4539999999999997</v>
      </c>
      <c r="D8228" s="28">
        <v>9.0277777777777787E-3</v>
      </c>
    </row>
    <row r="8229" spans="1:4" x14ac:dyDescent="0.25">
      <c r="A8229" s="24" t="s">
        <v>149</v>
      </c>
      <c r="B8229" s="24" t="s">
        <v>131</v>
      </c>
      <c r="C8229" s="32">
        <v>9.1240000000000006</v>
      </c>
      <c r="D8229" s="28">
        <v>1.0416666666666666E-2</v>
      </c>
    </row>
    <row r="8230" spans="1:4" x14ac:dyDescent="0.25">
      <c r="A8230" s="24" t="s">
        <v>149</v>
      </c>
      <c r="B8230" s="24" t="s">
        <v>132</v>
      </c>
      <c r="C8230" s="32">
        <v>1.573</v>
      </c>
      <c r="D8230" s="28">
        <v>2.0833333333333333E-3</v>
      </c>
    </row>
    <row r="8231" spans="1:4" x14ac:dyDescent="0.25">
      <c r="A8231" s="24" t="s">
        <v>149</v>
      </c>
      <c r="B8231" s="24" t="s">
        <v>133</v>
      </c>
      <c r="C8231" s="32">
        <v>15.305</v>
      </c>
      <c r="D8231" s="28">
        <v>1.7361111111111112E-2</v>
      </c>
    </row>
    <row r="8232" spans="1:4" x14ac:dyDescent="0.25">
      <c r="A8232" s="24" t="s">
        <v>149</v>
      </c>
      <c r="B8232" s="24" t="s">
        <v>134</v>
      </c>
      <c r="C8232" s="32">
        <v>14.839</v>
      </c>
      <c r="D8232" s="28">
        <v>1.6666666666666666E-2</v>
      </c>
    </row>
    <row r="8233" spans="1:4" x14ac:dyDescent="0.25">
      <c r="A8233" s="24" t="s">
        <v>149</v>
      </c>
      <c r="B8233" s="24" t="s">
        <v>135</v>
      </c>
      <c r="C8233" s="32">
        <v>15.382999999999999</v>
      </c>
      <c r="D8233" s="28">
        <v>1.7361111111111112E-2</v>
      </c>
    </row>
    <row r="8234" spans="1:4" x14ac:dyDescent="0.25">
      <c r="A8234" s="24" t="s">
        <v>149</v>
      </c>
      <c r="B8234" s="24" t="s">
        <v>136</v>
      </c>
      <c r="C8234" s="32">
        <v>15.382999999999999</v>
      </c>
      <c r="D8234" s="28">
        <v>1.7361111111111112E-2</v>
      </c>
    </row>
    <row r="8235" spans="1:4" x14ac:dyDescent="0.25">
      <c r="A8235" s="24" t="s">
        <v>149</v>
      </c>
      <c r="B8235" s="24" t="s">
        <v>137</v>
      </c>
      <c r="C8235" s="32">
        <v>14.992000000000001</v>
      </c>
      <c r="D8235" s="28">
        <v>1.7361111111111112E-2</v>
      </c>
    </row>
    <row r="8236" spans="1:4" x14ac:dyDescent="0.25">
      <c r="A8236" s="24" t="s">
        <v>149</v>
      </c>
      <c r="B8236" s="24" t="s">
        <v>138</v>
      </c>
      <c r="C8236" s="32">
        <v>23.16</v>
      </c>
      <c r="D8236" s="28">
        <v>1.9444444444444445E-2</v>
      </c>
    </row>
    <row r="8237" spans="1:4" x14ac:dyDescent="0.25">
      <c r="A8237" s="24" t="s">
        <v>149</v>
      </c>
      <c r="B8237" s="24" t="s">
        <v>139</v>
      </c>
      <c r="C8237" s="32">
        <v>26.663</v>
      </c>
      <c r="D8237" s="28">
        <v>2.2916666666666669E-2</v>
      </c>
    </row>
    <row r="8238" spans="1:4" x14ac:dyDescent="0.25">
      <c r="A8238" s="24" t="s">
        <v>149</v>
      </c>
      <c r="B8238" s="24" t="s">
        <v>140</v>
      </c>
      <c r="C8238" s="32">
        <v>23.885999999999999</v>
      </c>
      <c r="D8238" s="28">
        <v>2.0833333333333332E-2</v>
      </c>
    </row>
    <row r="8239" spans="1:4" x14ac:dyDescent="0.25">
      <c r="A8239" s="24" t="s">
        <v>149</v>
      </c>
      <c r="B8239" s="24" t="s">
        <v>141</v>
      </c>
      <c r="C8239" s="32">
        <v>51.374000000000002</v>
      </c>
      <c r="D8239" s="28">
        <v>4.1666666666666664E-2</v>
      </c>
    </row>
    <row r="8240" spans="1:4" x14ac:dyDescent="0.25">
      <c r="A8240" s="24" t="s">
        <v>149</v>
      </c>
      <c r="B8240" s="24" t="s">
        <v>142</v>
      </c>
      <c r="C8240" s="32">
        <v>43.704000000000001</v>
      </c>
      <c r="D8240" s="28">
        <v>3.3333333333333333E-2</v>
      </c>
    </row>
    <row r="8241" spans="1:4" x14ac:dyDescent="0.25">
      <c r="A8241" s="24" t="s">
        <v>149</v>
      </c>
      <c r="B8241" s="24" t="s">
        <v>143</v>
      </c>
      <c r="C8241" s="32">
        <v>62.082000000000001</v>
      </c>
      <c r="D8241" s="28">
        <v>4.0972222222222222E-2</v>
      </c>
    </row>
    <row r="8242" spans="1:4" x14ac:dyDescent="0.25">
      <c r="A8242" s="24" t="s">
        <v>149</v>
      </c>
      <c r="B8242" s="24" t="s">
        <v>144</v>
      </c>
      <c r="C8242" s="32">
        <v>81.197999999999993</v>
      </c>
      <c r="D8242" s="28">
        <v>5.1388888888888894E-2</v>
      </c>
    </row>
    <row r="8243" spans="1:4" x14ac:dyDescent="0.25">
      <c r="A8243" s="24" t="s">
        <v>149</v>
      </c>
      <c r="B8243" s="24" t="s">
        <v>145</v>
      </c>
      <c r="C8243" s="32">
        <v>36.161000000000001</v>
      </c>
      <c r="D8243" s="28">
        <v>2.8472222222222222E-2</v>
      </c>
    </row>
    <row r="8244" spans="1:4" x14ac:dyDescent="0.25">
      <c r="A8244" s="24" t="s">
        <v>149</v>
      </c>
      <c r="B8244" s="24" t="s">
        <v>146</v>
      </c>
      <c r="C8244" s="32">
        <v>51.62</v>
      </c>
      <c r="D8244" s="28">
        <v>3.6111111111111115E-2</v>
      </c>
    </row>
    <row r="8245" spans="1:4" x14ac:dyDescent="0.25">
      <c r="A8245" s="24" t="s">
        <v>149</v>
      </c>
      <c r="B8245" s="24" t="s">
        <v>147</v>
      </c>
      <c r="C8245" s="32">
        <v>14.637</v>
      </c>
      <c r="D8245" s="28">
        <v>1.2499999999999999E-2</v>
      </c>
    </row>
    <row r="8246" spans="1:4" x14ac:dyDescent="0.25">
      <c r="A8246" s="24" t="s">
        <v>149</v>
      </c>
      <c r="B8246" s="24" t="s">
        <v>148</v>
      </c>
      <c r="C8246" s="32">
        <v>11.811</v>
      </c>
      <c r="D8246" s="28">
        <v>1.1805555555555555E-2</v>
      </c>
    </row>
    <row r="8247" spans="1:4" x14ac:dyDescent="0.25">
      <c r="A8247" s="24" t="s">
        <v>149</v>
      </c>
      <c r="B8247" s="24" t="s">
        <v>149</v>
      </c>
      <c r="C8247" s="32">
        <v>0</v>
      </c>
      <c r="D8247" s="28">
        <v>0</v>
      </c>
    </row>
    <row r="8248" spans="1:4" x14ac:dyDescent="0.25">
      <c r="A8248" s="24" t="s">
        <v>149</v>
      </c>
      <c r="B8248" s="24" t="s">
        <v>150</v>
      </c>
      <c r="C8248" s="32">
        <v>11.166</v>
      </c>
      <c r="D8248" s="28">
        <v>1.1111111111111112E-2</v>
      </c>
    </row>
    <row r="8249" spans="1:4" x14ac:dyDescent="0.25">
      <c r="A8249" s="24" t="s">
        <v>149</v>
      </c>
      <c r="B8249" s="24" t="s">
        <v>151</v>
      </c>
      <c r="C8249" s="32">
        <v>10.423999999999999</v>
      </c>
      <c r="D8249" s="28">
        <v>1.1111111111111112E-2</v>
      </c>
    </row>
    <row r="8250" spans="1:4" x14ac:dyDescent="0.25">
      <c r="A8250" s="24" t="s">
        <v>149</v>
      </c>
      <c r="B8250" s="24" t="s">
        <v>152</v>
      </c>
      <c r="C8250" s="32">
        <v>15.069000000000001</v>
      </c>
      <c r="D8250" s="28">
        <v>1.5277777777777777E-2</v>
      </c>
    </row>
    <row r="8251" spans="1:4" x14ac:dyDescent="0.25">
      <c r="A8251" s="24" t="s">
        <v>149</v>
      </c>
      <c r="B8251" s="24" t="s">
        <v>153</v>
      </c>
      <c r="C8251" s="32">
        <v>20.023</v>
      </c>
      <c r="D8251" s="28">
        <v>2.013888888888889E-2</v>
      </c>
    </row>
    <row r="8252" spans="1:4" x14ac:dyDescent="0.25">
      <c r="A8252" s="24" t="s">
        <v>149</v>
      </c>
      <c r="B8252" s="24" t="s">
        <v>154</v>
      </c>
      <c r="C8252" s="32">
        <v>14.840999999999999</v>
      </c>
      <c r="D8252" s="28">
        <v>1.3888888888888888E-2</v>
      </c>
    </row>
    <row r="8253" spans="1:4" x14ac:dyDescent="0.25">
      <c r="A8253" s="24" t="s">
        <v>149</v>
      </c>
      <c r="B8253" s="24" t="s">
        <v>155</v>
      </c>
      <c r="C8253" s="32">
        <v>11.028</v>
      </c>
      <c r="D8253" s="28">
        <v>1.1805555555555555E-2</v>
      </c>
    </row>
    <row r="8254" spans="1:4" x14ac:dyDescent="0.25">
      <c r="A8254" s="24" t="s">
        <v>149</v>
      </c>
      <c r="B8254" s="24" t="s">
        <v>156</v>
      </c>
      <c r="C8254" s="32">
        <v>11.012</v>
      </c>
      <c r="D8254" s="28">
        <v>1.1111111111111112E-2</v>
      </c>
    </row>
    <row r="8255" spans="1:4" x14ac:dyDescent="0.25">
      <c r="A8255" s="24" t="s">
        <v>149</v>
      </c>
      <c r="B8255" s="24" t="s">
        <v>157</v>
      </c>
      <c r="C8255" s="32">
        <v>22.895</v>
      </c>
      <c r="D8255" s="28">
        <v>2.0833333333333332E-2</v>
      </c>
    </row>
    <row r="8256" spans="1:4" x14ac:dyDescent="0.25">
      <c r="A8256" s="24" t="s">
        <v>149</v>
      </c>
      <c r="B8256" s="24" t="s">
        <v>158</v>
      </c>
      <c r="C8256" s="32">
        <v>33.36</v>
      </c>
      <c r="D8256" s="28">
        <v>2.8472222222222222E-2</v>
      </c>
    </row>
    <row r="8257" spans="1:4" x14ac:dyDescent="0.25">
      <c r="A8257" s="24" t="s">
        <v>149</v>
      </c>
      <c r="B8257" s="24" t="s">
        <v>159</v>
      </c>
      <c r="C8257" s="32">
        <v>39.018999999999998</v>
      </c>
      <c r="D8257" s="28">
        <v>3.4027777777777775E-2</v>
      </c>
    </row>
    <row r="8258" spans="1:4" x14ac:dyDescent="0.25">
      <c r="A8258" s="24" t="s">
        <v>150</v>
      </c>
      <c r="B8258" s="24" t="s">
        <v>65</v>
      </c>
      <c r="C8258" s="32">
        <v>30.797999999999998</v>
      </c>
      <c r="D8258" s="28">
        <v>2.6388888888888889E-2</v>
      </c>
    </row>
    <row r="8259" spans="1:4" x14ac:dyDescent="0.25">
      <c r="A8259" s="24" t="s">
        <v>150</v>
      </c>
      <c r="B8259" s="24" t="s">
        <v>64</v>
      </c>
      <c r="C8259" s="32">
        <v>17.974</v>
      </c>
      <c r="D8259" s="28">
        <v>2.013888888888889E-2</v>
      </c>
    </row>
    <row r="8260" spans="1:4" x14ac:dyDescent="0.25">
      <c r="A8260" s="24" t="s">
        <v>150</v>
      </c>
      <c r="B8260" s="24" t="s">
        <v>66</v>
      </c>
      <c r="C8260" s="32">
        <v>16.065000000000001</v>
      </c>
      <c r="D8260" s="28">
        <v>1.5277777777777777E-2</v>
      </c>
    </row>
    <row r="8261" spans="1:4" x14ac:dyDescent="0.25">
      <c r="A8261" s="24" t="s">
        <v>150</v>
      </c>
      <c r="B8261" s="24" t="s">
        <v>67</v>
      </c>
      <c r="C8261" s="32">
        <v>16.113</v>
      </c>
      <c r="D8261" s="28">
        <v>1.8055555555555557E-2</v>
      </c>
    </row>
    <row r="8262" spans="1:4" x14ac:dyDescent="0.25">
      <c r="A8262" s="24" t="s">
        <v>150</v>
      </c>
      <c r="B8262" s="24" t="s">
        <v>68</v>
      </c>
      <c r="C8262" s="32">
        <v>15.372</v>
      </c>
      <c r="D8262" s="28">
        <v>1.6666666666666666E-2</v>
      </c>
    </row>
    <row r="8263" spans="1:4" x14ac:dyDescent="0.25">
      <c r="A8263" s="24" t="s">
        <v>150</v>
      </c>
      <c r="B8263" s="24" t="s">
        <v>69</v>
      </c>
      <c r="C8263" s="32">
        <v>15.188000000000001</v>
      </c>
      <c r="D8263" s="28">
        <v>1.5972222222222224E-2</v>
      </c>
    </row>
    <row r="8264" spans="1:4" x14ac:dyDescent="0.25">
      <c r="A8264" s="24" t="s">
        <v>150</v>
      </c>
      <c r="B8264" s="24" t="s">
        <v>70</v>
      </c>
      <c r="C8264" s="32">
        <v>15.005000000000001</v>
      </c>
      <c r="D8264" s="28">
        <v>1.5277777777777777E-2</v>
      </c>
    </row>
    <row r="8265" spans="1:4" x14ac:dyDescent="0.25">
      <c r="A8265" s="24" t="s">
        <v>150</v>
      </c>
      <c r="B8265" s="24" t="s">
        <v>71</v>
      </c>
      <c r="C8265" s="32">
        <v>15.765000000000001</v>
      </c>
      <c r="D8265" s="28">
        <v>1.6666666666666666E-2</v>
      </c>
    </row>
    <row r="8266" spans="1:4" x14ac:dyDescent="0.25">
      <c r="A8266" s="24" t="s">
        <v>150</v>
      </c>
      <c r="B8266" s="24" t="s">
        <v>72</v>
      </c>
      <c r="C8266" s="32">
        <v>17.257000000000001</v>
      </c>
      <c r="D8266" s="28">
        <v>2.013888888888889E-2</v>
      </c>
    </row>
    <row r="8267" spans="1:4" x14ac:dyDescent="0.25">
      <c r="A8267" s="24" t="s">
        <v>150</v>
      </c>
      <c r="B8267" s="24" t="s">
        <v>73</v>
      </c>
      <c r="C8267" s="32">
        <v>16.79</v>
      </c>
      <c r="D8267" s="28">
        <v>1.8749999999999999E-2</v>
      </c>
    </row>
    <row r="8268" spans="1:4" x14ac:dyDescent="0.25">
      <c r="A8268" s="24" t="s">
        <v>150</v>
      </c>
      <c r="B8268" s="24" t="s">
        <v>74</v>
      </c>
      <c r="C8268" s="32">
        <v>20.449000000000002</v>
      </c>
      <c r="D8268" s="28">
        <v>2.361111111111111E-2</v>
      </c>
    </row>
    <row r="8269" spans="1:4" x14ac:dyDescent="0.25">
      <c r="A8269" s="24" t="s">
        <v>150</v>
      </c>
      <c r="B8269" s="24" t="s">
        <v>75</v>
      </c>
      <c r="C8269" s="32">
        <v>20.786999999999999</v>
      </c>
      <c r="D8269" s="28">
        <v>2.2222222222222223E-2</v>
      </c>
    </row>
    <row r="8270" spans="1:4" x14ac:dyDescent="0.25">
      <c r="A8270" s="24" t="s">
        <v>150</v>
      </c>
      <c r="B8270" s="24" t="s">
        <v>76</v>
      </c>
      <c r="C8270" s="32">
        <v>26.192</v>
      </c>
      <c r="D8270" s="28">
        <v>2.4305555555555556E-2</v>
      </c>
    </row>
    <row r="8271" spans="1:4" x14ac:dyDescent="0.25">
      <c r="A8271" s="24" t="s">
        <v>150</v>
      </c>
      <c r="B8271" s="24" t="s">
        <v>77</v>
      </c>
      <c r="C8271" s="32">
        <v>17.574000000000002</v>
      </c>
      <c r="D8271" s="28">
        <v>1.9444444444444445E-2</v>
      </c>
    </row>
    <row r="8272" spans="1:4" x14ac:dyDescent="0.25">
      <c r="A8272" s="24" t="s">
        <v>150</v>
      </c>
      <c r="B8272" s="24" t="s">
        <v>78</v>
      </c>
      <c r="C8272" s="32">
        <v>14.605</v>
      </c>
      <c r="D8272" s="28">
        <v>1.5277777777777777E-2</v>
      </c>
    </row>
    <row r="8273" spans="1:4" x14ac:dyDescent="0.25">
      <c r="A8273" s="24" t="s">
        <v>150</v>
      </c>
      <c r="B8273" s="24" t="s">
        <v>79</v>
      </c>
      <c r="C8273" s="32">
        <v>26.463000000000001</v>
      </c>
      <c r="D8273" s="28">
        <v>2.6388888888888889E-2</v>
      </c>
    </row>
    <row r="8274" spans="1:4" x14ac:dyDescent="0.25">
      <c r="A8274" s="24" t="s">
        <v>150</v>
      </c>
      <c r="B8274" s="24" t="s">
        <v>80</v>
      </c>
      <c r="C8274" s="32">
        <v>34.021999999999998</v>
      </c>
      <c r="D8274" s="28">
        <v>2.8472222222222222E-2</v>
      </c>
    </row>
    <row r="8275" spans="1:4" x14ac:dyDescent="0.25">
      <c r="A8275" s="24" t="s">
        <v>150</v>
      </c>
      <c r="B8275" s="24" t="s">
        <v>81</v>
      </c>
      <c r="C8275" s="32">
        <v>38.543999999999997</v>
      </c>
      <c r="D8275" s="28">
        <v>3.125E-2</v>
      </c>
    </row>
    <row r="8276" spans="1:4" x14ac:dyDescent="0.25">
      <c r="A8276" s="24" t="s">
        <v>150</v>
      </c>
      <c r="B8276" s="24" t="s">
        <v>82</v>
      </c>
      <c r="C8276" s="32">
        <v>38.595999999999997</v>
      </c>
      <c r="D8276" s="28">
        <v>3.125E-2</v>
      </c>
    </row>
    <row r="8277" spans="1:4" x14ac:dyDescent="0.25">
      <c r="A8277" s="24" t="s">
        <v>150</v>
      </c>
      <c r="B8277" s="24" t="s">
        <v>83</v>
      </c>
      <c r="C8277" s="32">
        <v>22.434999999999999</v>
      </c>
      <c r="D8277" s="28">
        <v>2.2916666666666669E-2</v>
      </c>
    </row>
    <row r="8278" spans="1:4" x14ac:dyDescent="0.25">
      <c r="A8278" s="24" t="s">
        <v>150</v>
      </c>
      <c r="B8278" s="24" t="s">
        <v>84</v>
      </c>
      <c r="C8278" s="32">
        <v>21.253</v>
      </c>
      <c r="D8278" s="28">
        <v>2.361111111111111E-2</v>
      </c>
    </row>
    <row r="8279" spans="1:4" x14ac:dyDescent="0.25">
      <c r="A8279" s="24" t="s">
        <v>150</v>
      </c>
      <c r="B8279" s="24" t="s">
        <v>85</v>
      </c>
      <c r="C8279" s="32">
        <v>21.434999999999999</v>
      </c>
      <c r="D8279" s="28">
        <v>2.4305555555555556E-2</v>
      </c>
    </row>
    <row r="8280" spans="1:4" x14ac:dyDescent="0.25">
      <c r="A8280" s="24" t="s">
        <v>150</v>
      </c>
      <c r="B8280" s="24" t="s">
        <v>86</v>
      </c>
      <c r="C8280" s="32">
        <v>22.832000000000001</v>
      </c>
      <c r="D8280" s="28">
        <v>2.2222222222222223E-2</v>
      </c>
    </row>
    <row r="8281" spans="1:4" x14ac:dyDescent="0.25">
      <c r="A8281" s="24" t="s">
        <v>150</v>
      </c>
      <c r="B8281" s="24" t="s">
        <v>87</v>
      </c>
      <c r="C8281" s="32">
        <v>22.024999999999999</v>
      </c>
      <c r="D8281" s="28">
        <v>2.361111111111111E-2</v>
      </c>
    </row>
    <row r="8282" spans="1:4" x14ac:dyDescent="0.25">
      <c r="A8282" s="24" t="s">
        <v>150</v>
      </c>
      <c r="B8282" s="24" t="s">
        <v>88</v>
      </c>
      <c r="C8282" s="32">
        <v>23.404</v>
      </c>
      <c r="D8282" s="28">
        <v>2.4999999999999998E-2</v>
      </c>
    </row>
    <row r="8283" spans="1:4" x14ac:dyDescent="0.25">
      <c r="A8283" s="24" t="s">
        <v>150</v>
      </c>
      <c r="B8283" s="24" t="s">
        <v>89</v>
      </c>
      <c r="C8283" s="32">
        <v>26.439</v>
      </c>
      <c r="D8283" s="28">
        <v>2.8472222222222222E-2</v>
      </c>
    </row>
    <row r="8284" spans="1:4" x14ac:dyDescent="0.25">
      <c r="A8284" s="24" t="s">
        <v>150</v>
      </c>
      <c r="B8284" s="24" t="s">
        <v>90</v>
      </c>
      <c r="C8284" s="32">
        <v>31.405000000000001</v>
      </c>
      <c r="D8284" s="28">
        <v>2.8472222222222222E-2</v>
      </c>
    </row>
    <row r="8285" spans="1:4" x14ac:dyDescent="0.25">
      <c r="A8285" s="24" t="s">
        <v>150</v>
      </c>
      <c r="B8285" s="24" t="s">
        <v>91</v>
      </c>
      <c r="C8285" s="32">
        <v>24.591000000000001</v>
      </c>
      <c r="D8285" s="28">
        <v>2.7777777777777776E-2</v>
      </c>
    </row>
    <row r="8286" spans="1:4" x14ac:dyDescent="0.25">
      <c r="A8286" s="24" t="s">
        <v>150</v>
      </c>
      <c r="B8286" s="24" t="s">
        <v>92</v>
      </c>
      <c r="C8286" s="32">
        <v>30.661000000000001</v>
      </c>
      <c r="D8286" s="28">
        <v>2.9166666666666664E-2</v>
      </c>
    </row>
    <row r="8287" spans="1:4" x14ac:dyDescent="0.25">
      <c r="A8287" s="24" t="s">
        <v>150</v>
      </c>
      <c r="B8287" s="24" t="s">
        <v>93</v>
      </c>
      <c r="C8287" s="32">
        <v>54.383000000000003</v>
      </c>
      <c r="D8287" s="28">
        <v>4.2361111111111106E-2</v>
      </c>
    </row>
    <row r="8288" spans="1:4" x14ac:dyDescent="0.25">
      <c r="A8288" s="24" t="s">
        <v>150</v>
      </c>
      <c r="B8288" s="24" t="s">
        <v>94</v>
      </c>
      <c r="C8288" s="32">
        <v>55.012</v>
      </c>
      <c r="D8288" s="28">
        <v>4.3055555555555562E-2</v>
      </c>
    </row>
    <row r="8289" spans="1:4" x14ac:dyDescent="0.25">
      <c r="A8289" s="24" t="s">
        <v>150</v>
      </c>
      <c r="B8289" s="24" t="s">
        <v>95</v>
      </c>
      <c r="C8289" s="32">
        <v>38.880000000000003</v>
      </c>
      <c r="D8289" s="28">
        <v>3.1944444444444449E-2</v>
      </c>
    </row>
    <row r="8290" spans="1:4" x14ac:dyDescent="0.25">
      <c r="A8290" s="24" t="s">
        <v>150</v>
      </c>
      <c r="B8290" s="24" t="s">
        <v>96</v>
      </c>
      <c r="C8290" s="32">
        <v>18.399000000000001</v>
      </c>
      <c r="D8290" s="28">
        <v>1.8055555555555557E-2</v>
      </c>
    </row>
    <row r="8291" spans="1:4" x14ac:dyDescent="0.25">
      <c r="A8291" s="24" t="s">
        <v>150</v>
      </c>
      <c r="B8291" s="24" t="s">
        <v>97</v>
      </c>
      <c r="C8291" s="32">
        <v>26.684000000000001</v>
      </c>
      <c r="D8291" s="28">
        <v>2.5694444444444447E-2</v>
      </c>
    </row>
    <row r="8292" spans="1:4" x14ac:dyDescent="0.25">
      <c r="A8292" s="24" t="s">
        <v>150</v>
      </c>
      <c r="B8292" s="24" t="s">
        <v>98</v>
      </c>
      <c r="C8292" s="32">
        <v>27.567</v>
      </c>
      <c r="D8292" s="28">
        <v>2.5694444444444447E-2</v>
      </c>
    </row>
    <row r="8293" spans="1:4" x14ac:dyDescent="0.25">
      <c r="A8293" s="24" t="s">
        <v>150</v>
      </c>
      <c r="B8293" s="24" t="s">
        <v>99</v>
      </c>
      <c r="C8293" s="32">
        <v>27.818999999999999</v>
      </c>
      <c r="D8293" s="28">
        <v>2.6388888888888889E-2</v>
      </c>
    </row>
    <row r="8294" spans="1:4" x14ac:dyDescent="0.25">
      <c r="A8294" s="24" t="s">
        <v>150</v>
      </c>
      <c r="B8294" s="24" t="s">
        <v>100</v>
      </c>
      <c r="C8294" s="32">
        <v>35.081000000000003</v>
      </c>
      <c r="D8294" s="28">
        <v>3.0555555555555555E-2</v>
      </c>
    </row>
    <row r="8295" spans="1:4" x14ac:dyDescent="0.25">
      <c r="A8295" s="24" t="s">
        <v>150</v>
      </c>
      <c r="B8295" s="24" t="s">
        <v>101</v>
      </c>
      <c r="C8295" s="32">
        <v>25.335999999999999</v>
      </c>
      <c r="D8295" s="28">
        <v>2.5694444444444447E-2</v>
      </c>
    </row>
    <row r="8296" spans="1:4" x14ac:dyDescent="0.25">
      <c r="A8296" s="24" t="s">
        <v>150</v>
      </c>
      <c r="B8296" s="24" t="s">
        <v>102</v>
      </c>
      <c r="C8296" s="32">
        <v>24.763000000000002</v>
      </c>
      <c r="D8296" s="28">
        <v>2.4999999999999998E-2</v>
      </c>
    </row>
    <row r="8297" spans="1:4" x14ac:dyDescent="0.25">
      <c r="A8297" s="24" t="s">
        <v>150</v>
      </c>
      <c r="B8297" s="24" t="s">
        <v>103</v>
      </c>
      <c r="C8297" s="32">
        <v>25.370999999999999</v>
      </c>
      <c r="D8297" s="28">
        <v>2.4999999999999998E-2</v>
      </c>
    </row>
    <row r="8298" spans="1:4" x14ac:dyDescent="0.25">
      <c r="A8298" s="24" t="s">
        <v>150</v>
      </c>
      <c r="B8298" s="24" t="s">
        <v>104</v>
      </c>
      <c r="C8298" s="32">
        <v>29.555</v>
      </c>
      <c r="D8298" s="28">
        <v>2.8472222222222222E-2</v>
      </c>
    </row>
    <row r="8299" spans="1:4" x14ac:dyDescent="0.25">
      <c r="A8299" s="24" t="s">
        <v>150</v>
      </c>
      <c r="B8299" s="24" t="s">
        <v>105</v>
      </c>
      <c r="C8299" s="32">
        <v>28.009</v>
      </c>
      <c r="D8299" s="28">
        <v>3.125E-2</v>
      </c>
    </row>
    <row r="8300" spans="1:4" x14ac:dyDescent="0.25">
      <c r="A8300" s="24" t="s">
        <v>150</v>
      </c>
      <c r="B8300" s="24" t="s">
        <v>106</v>
      </c>
      <c r="C8300" s="32">
        <v>22.731000000000002</v>
      </c>
      <c r="D8300" s="28">
        <v>2.4305555555555556E-2</v>
      </c>
    </row>
    <row r="8301" spans="1:4" x14ac:dyDescent="0.25">
      <c r="A8301" s="24" t="s">
        <v>150</v>
      </c>
      <c r="B8301" s="24" t="s">
        <v>107</v>
      </c>
      <c r="C8301" s="32">
        <v>32.302999999999997</v>
      </c>
      <c r="D8301" s="28">
        <v>3.1944444444444449E-2</v>
      </c>
    </row>
    <row r="8302" spans="1:4" x14ac:dyDescent="0.25">
      <c r="A8302" s="24" t="s">
        <v>150</v>
      </c>
      <c r="B8302" s="24" t="s">
        <v>108</v>
      </c>
      <c r="C8302" s="32">
        <v>30.689</v>
      </c>
      <c r="D8302" s="28">
        <v>2.9861111111111113E-2</v>
      </c>
    </row>
    <row r="8303" spans="1:4" x14ac:dyDescent="0.25">
      <c r="A8303" s="24" t="s">
        <v>150</v>
      </c>
      <c r="B8303" s="24" t="s">
        <v>109</v>
      </c>
      <c r="C8303" s="32">
        <v>30.719000000000001</v>
      </c>
      <c r="D8303" s="28">
        <v>2.9861111111111113E-2</v>
      </c>
    </row>
    <row r="8304" spans="1:4" x14ac:dyDescent="0.25">
      <c r="A8304" s="24" t="s">
        <v>150</v>
      </c>
      <c r="B8304" s="24" t="s">
        <v>110</v>
      </c>
      <c r="C8304" s="32">
        <v>26.463999999999999</v>
      </c>
      <c r="D8304" s="28">
        <v>2.8472222222222222E-2</v>
      </c>
    </row>
    <row r="8305" spans="1:4" x14ac:dyDescent="0.25">
      <c r="A8305" s="24" t="s">
        <v>150</v>
      </c>
      <c r="B8305" s="24" t="s">
        <v>111</v>
      </c>
      <c r="C8305" s="32">
        <v>27.61</v>
      </c>
      <c r="D8305" s="28">
        <v>2.4999999999999998E-2</v>
      </c>
    </row>
    <row r="8306" spans="1:4" x14ac:dyDescent="0.25">
      <c r="A8306" s="24" t="s">
        <v>150</v>
      </c>
      <c r="B8306" s="24" t="s">
        <v>112</v>
      </c>
      <c r="C8306" s="32">
        <v>42.072000000000003</v>
      </c>
      <c r="D8306" s="28">
        <v>3.2638888888888891E-2</v>
      </c>
    </row>
    <row r="8307" spans="1:4" x14ac:dyDescent="0.25">
      <c r="A8307" s="24" t="s">
        <v>150</v>
      </c>
      <c r="B8307" s="24" t="s">
        <v>113</v>
      </c>
      <c r="C8307" s="32">
        <v>39.204999999999998</v>
      </c>
      <c r="D8307" s="28">
        <v>3.0555555555555555E-2</v>
      </c>
    </row>
    <row r="8308" spans="1:4" x14ac:dyDescent="0.25">
      <c r="A8308" s="24" t="s">
        <v>150</v>
      </c>
      <c r="B8308" s="24" t="s">
        <v>114</v>
      </c>
      <c r="C8308" s="32">
        <v>33.915999999999997</v>
      </c>
      <c r="D8308" s="28">
        <v>2.9861111111111113E-2</v>
      </c>
    </row>
    <row r="8309" spans="1:4" x14ac:dyDescent="0.25">
      <c r="A8309" s="24" t="s">
        <v>150</v>
      </c>
      <c r="B8309" s="24" t="s">
        <v>115</v>
      </c>
      <c r="C8309" s="32">
        <v>33.368000000000002</v>
      </c>
      <c r="D8309" s="28">
        <v>2.9166666666666664E-2</v>
      </c>
    </row>
    <row r="8310" spans="1:4" x14ac:dyDescent="0.25">
      <c r="A8310" s="24" t="s">
        <v>150</v>
      </c>
      <c r="B8310" s="24" t="s">
        <v>116</v>
      </c>
      <c r="C8310" s="32">
        <v>29.742999999999999</v>
      </c>
      <c r="D8310" s="28">
        <v>2.9166666666666664E-2</v>
      </c>
    </row>
    <row r="8311" spans="1:4" x14ac:dyDescent="0.25">
      <c r="A8311" s="24" t="s">
        <v>150</v>
      </c>
      <c r="B8311" s="24" t="s">
        <v>117</v>
      </c>
      <c r="C8311" s="32">
        <v>38.384</v>
      </c>
      <c r="D8311" s="28">
        <v>3.3333333333333333E-2</v>
      </c>
    </row>
    <row r="8312" spans="1:4" x14ac:dyDescent="0.25">
      <c r="A8312" s="24" t="s">
        <v>150</v>
      </c>
      <c r="B8312" s="24" t="s">
        <v>118</v>
      </c>
      <c r="C8312" s="32">
        <v>38.103000000000002</v>
      </c>
      <c r="D8312" s="28">
        <v>3.1944444444444449E-2</v>
      </c>
    </row>
    <row r="8313" spans="1:4" x14ac:dyDescent="0.25">
      <c r="A8313" s="24" t="s">
        <v>150</v>
      </c>
      <c r="B8313" s="24" t="s">
        <v>119</v>
      </c>
      <c r="C8313" s="32">
        <v>53.567</v>
      </c>
      <c r="D8313" s="28">
        <v>3.8194444444444441E-2</v>
      </c>
    </row>
    <row r="8314" spans="1:4" x14ac:dyDescent="0.25">
      <c r="A8314" s="24" t="s">
        <v>150</v>
      </c>
      <c r="B8314" s="24" t="s">
        <v>120</v>
      </c>
      <c r="C8314" s="32">
        <v>56.356999999999999</v>
      </c>
      <c r="D8314" s="28">
        <v>4.1666666666666664E-2</v>
      </c>
    </row>
    <row r="8315" spans="1:4" x14ac:dyDescent="0.25">
      <c r="A8315" s="24" t="s">
        <v>150</v>
      </c>
      <c r="B8315" s="24" t="s">
        <v>121</v>
      </c>
      <c r="C8315" s="32">
        <v>70.707999999999998</v>
      </c>
      <c r="D8315" s="28">
        <v>4.8611111111111112E-2</v>
      </c>
    </row>
    <row r="8316" spans="1:4" x14ac:dyDescent="0.25">
      <c r="A8316" s="24" t="s">
        <v>150</v>
      </c>
      <c r="B8316" s="24" t="s">
        <v>122</v>
      </c>
      <c r="C8316" s="32">
        <v>54.691000000000003</v>
      </c>
      <c r="D8316" s="28">
        <v>4.027777777777778E-2</v>
      </c>
    </row>
    <row r="8317" spans="1:4" x14ac:dyDescent="0.25">
      <c r="A8317" s="24" t="s">
        <v>150</v>
      </c>
      <c r="B8317" s="24" t="s">
        <v>123</v>
      </c>
      <c r="C8317" s="32">
        <v>64.293000000000006</v>
      </c>
      <c r="D8317" s="28">
        <v>4.4444444444444446E-2</v>
      </c>
    </row>
    <row r="8318" spans="1:4" x14ac:dyDescent="0.25">
      <c r="A8318" s="24" t="s">
        <v>150</v>
      </c>
      <c r="B8318" s="24" t="s">
        <v>124</v>
      </c>
      <c r="C8318" s="32">
        <v>64.293000000000006</v>
      </c>
      <c r="D8318" s="28">
        <v>4.4444444444444446E-2</v>
      </c>
    </row>
    <row r="8319" spans="1:4" x14ac:dyDescent="0.25">
      <c r="A8319" s="24" t="s">
        <v>150</v>
      </c>
      <c r="B8319" s="24" t="s">
        <v>125</v>
      </c>
      <c r="C8319" s="32">
        <v>15.632999999999999</v>
      </c>
      <c r="D8319" s="28">
        <v>1.8749999999999999E-2</v>
      </c>
    </row>
    <row r="8320" spans="1:4" x14ac:dyDescent="0.25">
      <c r="A8320" s="24" t="s">
        <v>150</v>
      </c>
      <c r="B8320" s="24" t="s">
        <v>126</v>
      </c>
      <c r="C8320" s="32">
        <v>15.371</v>
      </c>
      <c r="D8320" s="28">
        <v>1.8055555555555557E-2</v>
      </c>
    </row>
    <row r="8321" spans="1:4" x14ac:dyDescent="0.25">
      <c r="A8321" s="24" t="s">
        <v>150</v>
      </c>
      <c r="B8321" s="24" t="s">
        <v>127</v>
      </c>
      <c r="C8321" s="32">
        <v>16.116</v>
      </c>
      <c r="D8321" s="28">
        <v>1.8749999999999999E-2</v>
      </c>
    </row>
    <row r="8322" spans="1:4" x14ac:dyDescent="0.25">
      <c r="A8322" s="24" t="s">
        <v>150</v>
      </c>
      <c r="B8322" s="24" t="s">
        <v>128</v>
      </c>
      <c r="C8322" s="32">
        <v>15.930999999999999</v>
      </c>
      <c r="D8322" s="28">
        <v>1.9444444444444445E-2</v>
      </c>
    </row>
    <row r="8323" spans="1:4" x14ac:dyDescent="0.25">
      <c r="A8323" s="24" t="s">
        <v>150</v>
      </c>
      <c r="B8323" s="24" t="s">
        <v>129</v>
      </c>
      <c r="C8323" s="32">
        <v>15.930999999999999</v>
      </c>
      <c r="D8323" s="28">
        <v>1.9444444444444445E-2</v>
      </c>
    </row>
    <row r="8324" spans="1:4" x14ac:dyDescent="0.25">
      <c r="A8324" s="24" t="s">
        <v>150</v>
      </c>
      <c r="B8324" s="24" t="s">
        <v>130</v>
      </c>
      <c r="C8324" s="32">
        <v>16.033999999999999</v>
      </c>
      <c r="D8324" s="28">
        <v>1.9444444444444445E-2</v>
      </c>
    </row>
    <row r="8325" spans="1:4" x14ac:dyDescent="0.25">
      <c r="A8325" s="24" t="s">
        <v>150</v>
      </c>
      <c r="B8325" s="24" t="s">
        <v>131</v>
      </c>
      <c r="C8325" s="32">
        <v>18.582000000000001</v>
      </c>
      <c r="D8325" s="28">
        <v>2.0833333333333332E-2</v>
      </c>
    </row>
    <row r="8326" spans="1:4" x14ac:dyDescent="0.25">
      <c r="A8326" s="24" t="s">
        <v>150</v>
      </c>
      <c r="B8326" s="24" t="s">
        <v>132</v>
      </c>
      <c r="C8326" s="32">
        <v>9.7430000000000003</v>
      </c>
      <c r="D8326" s="28">
        <v>1.1111111111111112E-2</v>
      </c>
    </row>
    <row r="8327" spans="1:4" x14ac:dyDescent="0.25">
      <c r="A8327" s="24" t="s">
        <v>150</v>
      </c>
      <c r="B8327" s="24" t="s">
        <v>133</v>
      </c>
      <c r="C8327" s="32">
        <v>24.739000000000001</v>
      </c>
      <c r="D8327" s="28">
        <v>2.6388888888888889E-2</v>
      </c>
    </row>
    <row r="8328" spans="1:4" x14ac:dyDescent="0.25">
      <c r="A8328" s="24" t="s">
        <v>150</v>
      </c>
      <c r="B8328" s="24" t="s">
        <v>134</v>
      </c>
      <c r="C8328" s="32">
        <v>24.273</v>
      </c>
      <c r="D8328" s="28">
        <v>2.4999999999999998E-2</v>
      </c>
    </row>
    <row r="8329" spans="1:4" x14ac:dyDescent="0.25">
      <c r="A8329" s="24" t="s">
        <v>150</v>
      </c>
      <c r="B8329" s="24" t="s">
        <v>135</v>
      </c>
      <c r="C8329" s="32">
        <v>29.041</v>
      </c>
      <c r="D8329" s="28">
        <v>2.5694444444444447E-2</v>
      </c>
    </row>
    <row r="8330" spans="1:4" x14ac:dyDescent="0.25">
      <c r="A8330" s="24" t="s">
        <v>150</v>
      </c>
      <c r="B8330" s="24" t="s">
        <v>136</v>
      </c>
      <c r="C8330" s="32">
        <v>29.041</v>
      </c>
      <c r="D8330" s="28">
        <v>2.5694444444444447E-2</v>
      </c>
    </row>
    <row r="8331" spans="1:4" x14ac:dyDescent="0.25">
      <c r="A8331" s="24" t="s">
        <v>150</v>
      </c>
      <c r="B8331" s="24" t="s">
        <v>137</v>
      </c>
      <c r="C8331" s="32">
        <v>24.425999999999998</v>
      </c>
      <c r="D8331" s="28">
        <v>2.5694444444444447E-2</v>
      </c>
    </row>
    <row r="8332" spans="1:4" x14ac:dyDescent="0.25">
      <c r="A8332" s="24" t="s">
        <v>150</v>
      </c>
      <c r="B8332" s="24" t="s">
        <v>138</v>
      </c>
      <c r="C8332" s="32">
        <v>35.063000000000002</v>
      </c>
      <c r="D8332" s="28">
        <v>2.7777777777777776E-2</v>
      </c>
    </row>
    <row r="8333" spans="1:4" x14ac:dyDescent="0.25">
      <c r="A8333" s="24" t="s">
        <v>150</v>
      </c>
      <c r="B8333" s="24" t="s">
        <v>139</v>
      </c>
      <c r="C8333" s="32">
        <v>32.110999999999997</v>
      </c>
      <c r="D8333" s="28">
        <v>2.6388888888888889E-2</v>
      </c>
    </row>
    <row r="8334" spans="1:4" x14ac:dyDescent="0.25">
      <c r="A8334" s="24" t="s">
        <v>150</v>
      </c>
      <c r="B8334" s="24" t="s">
        <v>140</v>
      </c>
      <c r="C8334" s="32">
        <v>29.334</v>
      </c>
      <c r="D8334" s="28">
        <v>2.4305555555555556E-2</v>
      </c>
    </row>
    <row r="8335" spans="1:4" x14ac:dyDescent="0.25">
      <c r="A8335" s="24" t="s">
        <v>150</v>
      </c>
      <c r="B8335" s="24" t="s">
        <v>141</v>
      </c>
      <c r="C8335" s="32">
        <v>57.554000000000002</v>
      </c>
      <c r="D8335" s="28">
        <v>4.6527777777777779E-2</v>
      </c>
    </row>
    <row r="8336" spans="1:4" x14ac:dyDescent="0.25">
      <c r="A8336" s="24" t="s">
        <v>150</v>
      </c>
      <c r="B8336" s="24" t="s">
        <v>142</v>
      </c>
      <c r="C8336" s="32">
        <v>43.783999999999999</v>
      </c>
      <c r="D8336" s="28">
        <v>3.3333333333333333E-2</v>
      </c>
    </row>
    <row r="8337" spans="1:4" x14ac:dyDescent="0.25">
      <c r="A8337" s="24" t="s">
        <v>150</v>
      </c>
      <c r="B8337" s="24" t="s">
        <v>143</v>
      </c>
      <c r="C8337" s="32">
        <v>62.161999999999999</v>
      </c>
      <c r="D8337" s="28">
        <v>4.0972222222222222E-2</v>
      </c>
    </row>
    <row r="8338" spans="1:4" x14ac:dyDescent="0.25">
      <c r="A8338" s="24" t="s">
        <v>150</v>
      </c>
      <c r="B8338" s="24" t="s">
        <v>144</v>
      </c>
      <c r="C8338" s="32">
        <v>81.278000000000006</v>
      </c>
      <c r="D8338" s="28">
        <v>5.1388888888888894E-2</v>
      </c>
    </row>
    <row r="8339" spans="1:4" x14ac:dyDescent="0.25">
      <c r="A8339" s="24" t="s">
        <v>150</v>
      </c>
      <c r="B8339" s="24" t="s">
        <v>145</v>
      </c>
      <c r="C8339" s="32">
        <v>45.594999999999999</v>
      </c>
      <c r="D8339" s="28">
        <v>3.7499999999999999E-2</v>
      </c>
    </row>
    <row r="8340" spans="1:4" x14ac:dyDescent="0.25">
      <c r="A8340" s="24" t="s">
        <v>150</v>
      </c>
      <c r="B8340" s="24" t="s">
        <v>146</v>
      </c>
      <c r="C8340" s="32">
        <v>56.283000000000001</v>
      </c>
      <c r="D8340" s="28">
        <v>4.4444444444444446E-2</v>
      </c>
    </row>
    <row r="8341" spans="1:4" x14ac:dyDescent="0.25">
      <c r="A8341" s="24" t="s">
        <v>150</v>
      </c>
      <c r="B8341" s="24" t="s">
        <v>147</v>
      </c>
      <c r="C8341" s="32">
        <v>24.094999999999999</v>
      </c>
      <c r="D8341" s="28">
        <v>2.2916666666666669E-2</v>
      </c>
    </row>
    <row r="8342" spans="1:4" x14ac:dyDescent="0.25">
      <c r="A8342" s="24" t="s">
        <v>150</v>
      </c>
      <c r="B8342" s="24" t="s">
        <v>148</v>
      </c>
      <c r="C8342" s="32">
        <v>21.268999999999998</v>
      </c>
      <c r="D8342" s="28">
        <v>2.2222222222222223E-2</v>
      </c>
    </row>
    <row r="8343" spans="1:4" x14ac:dyDescent="0.25">
      <c r="A8343" s="24" t="s">
        <v>150</v>
      </c>
      <c r="B8343" s="24" t="s">
        <v>149</v>
      </c>
      <c r="C8343" s="32">
        <v>11.111000000000001</v>
      </c>
      <c r="D8343" s="28">
        <v>1.2499999999999999E-2</v>
      </c>
    </row>
    <row r="8344" spans="1:4" x14ac:dyDescent="0.25">
      <c r="A8344" s="24" t="s">
        <v>150</v>
      </c>
      <c r="B8344" s="24" t="s">
        <v>150</v>
      </c>
      <c r="C8344" s="32">
        <v>0</v>
      </c>
      <c r="D8344" s="28">
        <v>0</v>
      </c>
    </row>
    <row r="8345" spans="1:4" x14ac:dyDescent="0.25">
      <c r="A8345" s="24" t="s">
        <v>150</v>
      </c>
      <c r="B8345" s="24" t="s">
        <v>151</v>
      </c>
      <c r="C8345" s="32">
        <v>1.7849999999999999</v>
      </c>
      <c r="D8345" s="28">
        <v>2.7777777777777779E-3</v>
      </c>
    </row>
    <row r="8346" spans="1:4" x14ac:dyDescent="0.25">
      <c r="A8346" s="24" t="s">
        <v>150</v>
      </c>
      <c r="B8346" s="24" t="s">
        <v>152</v>
      </c>
      <c r="C8346" s="32">
        <v>3.9020000000000001</v>
      </c>
      <c r="D8346" s="28">
        <v>4.1666666666666666E-3</v>
      </c>
    </row>
    <row r="8347" spans="1:4" x14ac:dyDescent="0.25">
      <c r="A8347" s="24" t="s">
        <v>150</v>
      </c>
      <c r="B8347" s="24" t="s">
        <v>153</v>
      </c>
      <c r="C8347" s="32">
        <v>11.718</v>
      </c>
      <c r="D8347" s="28">
        <v>1.5277777777777777E-2</v>
      </c>
    </row>
    <row r="8348" spans="1:4" x14ac:dyDescent="0.25">
      <c r="A8348" s="24" t="s">
        <v>150</v>
      </c>
      <c r="B8348" s="24" t="s">
        <v>154</v>
      </c>
      <c r="C8348" s="32">
        <v>9.4350000000000005</v>
      </c>
      <c r="D8348" s="28">
        <v>9.7222222222222224E-3</v>
      </c>
    </row>
    <row r="8349" spans="1:4" x14ac:dyDescent="0.25">
      <c r="A8349" s="24" t="s">
        <v>150</v>
      </c>
      <c r="B8349" s="24" t="s">
        <v>155</v>
      </c>
      <c r="C8349" s="32">
        <v>1.371</v>
      </c>
      <c r="D8349" s="28">
        <v>2.0833333333333333E-3</v>
      </c>
    </row>
    <row r="8350" spans="1:4" x14ac:dyDescent="0.25">
      <c r="A8350" s="24" t="s">
        <v>150</v>
      </c>
      <c r="B8350" s="24" t="s">
        <v>156</v>
      </c>
      <c r="C8350" s="32">
        <v>1.355</v>
      </c>
      <c r="D8350" s="28">
        <v>2.0833333333333333E-3</v>
      </c>
    </row>
    <row r="8351" spans="1:4" x14ac:dyDescent="0.25">
      <c r="A8351" s="24" t="s">
        <v>150</v>
      </c>
      <c r="B8351" s="24" t="s">
        <v>157</v>
      </c>
      <c r="C8351" s="32">
        <v>27.294</v>
      </c>
      <c r="D8351" s="28">
        <v>2.4305555555555556E-2</v>
      </c>
    </row>
    <row r="8352" spans="1:4" x14ac:dyDescent="0.25">
      <c r="A8352" s="24" t="s">
        <v>150</v>
      </c>
      <c r="B8352" s="24" t="s">
        <v>158</v>
      </c>
      <c r="C8352" s="32">
        <v>40.521000000000001</v>
      </c>
      <c r="D8352" s="28">
        <v>3.0555555555555555E-2</v>
      </c>
    </row>
    <row r="8353" spans="1:4" x14ac:dyDescent="0.25">
      <c r="A8353" s="24" t="s">
        <v>150</v>
      </c>
      <c r="B8353" s="24" t="s">
        <v>159</v>
      </c>
      <c r="C8353" s="32">
        <v>45.198999999999998</v>
      </c>
      <c r="D8353" s="28">
        <v>4.0972222222222222E-2</v>
      </c>
    </row>
    <row r="8354" spans="1:4" x14ac:dyDescent="0.25">
      <c r="A8354" s="24" t="s">
        <v>151</v>
      </c>
      <c r="B8354" s="24" t="s">
        <v>65</v>
      </c>
      <c r="C8354" s="32">
        <v>30.056000000000001</v>
      </c>
      <c r="D8354" s="28">
        <v>2.6388888888888889E-2</v>
      </c>
    </row>
    <row r="8355" spans="1:4" x14ac:dyDescent="0.25">
      <c r="A8355" s="24" t="s">
        <v>151</v>
      </c>
      <c r="B8355" s="24" t="s">
        <v>64</v>
      </c>
      <c r="C8355" s="32">
        <v>17.231999999999999</v>
      </c>
      <c r="D8355" s="28">
        <v>1.9444444444444445E-2</v>
      </c>
    </row>
    <row r="8356" spans="1:4" x14ac:dyDescent="0.25">
      <c r="A8356" s="24" t="s">
        <v>151</v>
      </c>
      <c r="B8356" s="24" t="s">
        <v>66</v>
      </c>
      <c r="C8356" s="32">
        <v>15.323</v>
      </c>
      <c r="D8356" s="28">
        <v>1.5277777777777777E-2</v>
      </c>
    </row>
    <row r="8357" spans="1:4" x14ac:dyDescent="0.25">
      <c r="A8357" s="24" t="s">
        <v>151</v>
      </c>
      <c r="B8357" s="24" t="s">
        <v>67</v>
      </c>
      <c r="C8357" s="32">
        <v>15.371</v>
      </c>
      <c r="D8357" s="28">
        <v>1.7361111111111112E-2</v>
      </c>
    </row>
    <row r="8358" spans="1:4" x14ac:dyDescent="0.25">
      <c r="A8358" s="24" t="s">
        <v>151</v>
      </c>
      <c r="B8358" s="24" t="s">
        <v>68</v>
      </c>
      <c r="C8358" s="32">
        <v>14.63</v>
      </c>
      <c r="D8358" s="28">
        <v>1.5972222222222224E-2</v>
      </c>
    </row>
    <row r="8359" spans="1:4" x14ac:dyDescent="0.25">
      <c r="A8359" s="24" t="s">
        <v>151</v>
      </c>
      <c r="B8359" s="24" t="s">
        <v>69</v>
      </c>
      <c r="C8359" s="32">
        <v>14.446</v>
      </c>
      <c r="D8359" s="28">
        <v>1.5277777777777777E-2</v>
      </c>
    </row>
    <row r="8360" spans="1:4" x14ac:dyDescent="0.25">
      <c r="A8360" s="24" t="s">
        <v>151</v>
      </c>
      <c r="B8360" s="24" t="s">
        <v>70</v>
      </c>
      <c r="C8360" s="32">
        <v>14.263</v>
      </c>
      <c r="D8360" s="28">
        <v>1.5277777777777777E-2</v>
      </c>
    </row>
    <row r="8361" spans="1:4" x14ac:dyDescent="0.25">
      <c r="A8361" s="24" t="s">
        <v>151</v>
      </c>
      <c r="B8361" s="24" t="s">
        <v>71</v>
      </c>
      <c r="C8361" s="32">
        <v>15.023</v>
      </c>
      <c r="D8361" s="28">
        <v>1.5972222222222224E-2</v>
      </c>
    </row>
    <row r="8362" spans="1:4" x14ac:dyDescent="0.25">
      <c r="A8362" s="24" t="s">
        <v>151</v>
      </c>
      <c r="B8362" s="24" t="s">
        <v>72</v>
      </c>
      <c r="C8362" s="32">
        <v>16.515000000000001</v>
      </c>
      <c r="D8362" s="28">
        <v>2.013888888888889E-2</v>
      </c>
    </row>
    <row r="8363" spans="1:4" x14ac:dyDescent="0.25">
      <c r="A8363" s="24" t="s">
        <v>151</v>
      </c>
      <c r="B8363" s="24" t="s">
        <v>73</v>
      </c>
      <c r="C8363" s="32">
        <v>16.047999999999998</v>
      </c>
      <c r="D8363" s="28">
        <v>1.8055555555555557E-2</v>
      </c>
    </row>
    <row r="8364" spans="1:4" x14ac:dyDescent="0.25">
      <c r="A8364" s="24" t="s">
        <v>151</v>
      </c>
      <c r="B8364" s="24" t="s">
        <v>74</v>
      </c>
      <c r="C8364" s="32">
        <v>19.707000000000001</v>
      </c>
      <c r="D8364" s="28">
        <v>2.2916666666666669E-2</v>
      </c>
    </row>
    <row r="8365" spans="1:4" x14ac:dyDescent="0.25">
      <c r="A8365" s="24" t="s">
        <v>151</v>
      </c>
      <c r="B8365" s="24" t="s">
        <v>75</v>
      </c>
      <c r="C8365" s="32">
        <v>20.045000000000002</v>
      </c>
      <c r="D8365" s="28">
        <v>2.2222222222222223E-2</v>
      </c>
    </row>
    <row r="8366" spans="1:4" x14ac:dyDescent="0.25">
      <c r="A8366" s="24" t="s">
        <v>151</v>
      </c>
      <c r="B8366" s="24" t="s">
        <v>76</v>
      </c>
      <c r="C8366" s="32">
        <v>25.45</v>
      </c>
      <c r="D8366" s="28">
        <v>2.361111111111111E-2</v>
      </c>
    </row>
    <row r="8367" spans="1:4" x14ac:dyDescent="0.25">
      <c r="A8367" s="24" t="s">
        <v>151</v>
      </c>
      <c r="B8367" s="24" t="s">
        <v>77</v>
      </c>
      <c r="C8367" s="32">
        <v>18.821999999999999</v>
      </c>
      <c r="D8367" s="28">
        <v>1.7361111111111112E-2</v>
      </c>
    </row>
    <row r="8368" spans="1:4" x14ac:dyDescent="0.25">
      <c r="A8368" s="24" t="s">
        <v>151</v>
      </c>
      <c r="B8368" s="24" t="s">
        <v>78</v>
      </c>
      <c r="C8368" s="32">
        <v>13.863</v>
      </c>
      <c r="D8368" s="28">
        <v>1.4583333333333332E-2</v>
      </c>
    </row>
    <row r="8369" spans="1:4" x14ac:dyDescent="0.25">
      <c r="A8369" s="24" t="s">
        <v>151</v>
      </c>
      <c r="B8369" s="24" t="s">
        <v>79</v>
      </c>
      <c r="C8369" s="32">
        <v>26.542999999999999</v>
      </c>
      <c r="D8369" s="28">
        <v>2.7083333333333334E-2</v>
      </c>
    </row>
    <row r="8370" spans="1:4" x14ac:dyDescent="0.25">
      <c r="A8370" s="24" t="s">
        <v>151</v>
      </c>
      <c r="B8370" s="24" t="s">
        <v>80</v>
      </c>
      <c r="C8370" s="32">
        <v>33.28</v>
      </c>
      <c r="D8370" s="28">
        <v>2.8472222222222222E-2</v>
      </c>
    </row>
    <row r="8371" spans="1:4" x14ac:dyDescent="0.25">
      <c r="A8371" s="24" t="s">
        <v>151</v>
      </c>
      <c r="B8371" s="24" t="s">
        <v>81</v>
      </c>
      <c r="C8371" s="32">
        <v>37.802</v>
      </c>
      <c r="D8371" s="28">
        <v>3.0555555555555555E-2</v>
      </c>
    </row>
    <row r="8372" spans="1:4" x14ac:dyDescent="0.25">
      <c r="A8372" s="24" t="s">
        <v>151</v>
      </c>
      <c r="B8372" s="24" t="s">
        <v>82</v>
      </c>
      <c r="C8372" s="32">
        <v>37.853999999999999</v>
      </c>
      <c r="D8372" s="28">
        <v>3.0555555555555555E-2</v>
      </c>
    </row>
    <row r="8373" spans="1:4" x14ac:dyDescent="0.25">
      <c r="A8373" s="24" t="s">
        <v>151</v>
      </c>
      <c r="B8373" s="24" t="s">
        <v>83</v>
      </c>
      <c r="C8373" s="32">
        <v>21.693000000000001</v>
      </c>
      <c r="D8373" s="28">
        <v>2.2222222222222223E-2</v>
      </c>
    </row>
    <row r="8374" spans="1:4" x14ac:dyDescent="0.25">
      <c r="A8374" s="24" t="s">
        <v>151</v>
      </c>
      <c r="B8374" s="24" t="s">
        <v>84</v>
      </c>
      <c r="C8374" s="32">
        <v>20.510999999999999</v>
      </c>
      <c r="D8374" s="28">
        <v>2.2916666666666669E-2</v>
      </c>
    </row>
    <row r="8375" spans="1:4" x14ac:dyDescent="0.25">
      <c r="A8375" s="24" t="s">
        <v>151</v>
      </c>
      <c r="B8375" s="24" t="s">
        <v>85</v>
      </c>
      <c r="C8375" s="32">
        <v>20.693000000000001</v>
      </c>
      <c r="D8375" s="28">
        <v>2.361111111111111E-2</v>
      </c>
    </row>
    <row r="8376" spans="1:4" x14ac:dyDescent="0.25">
      <c r="A8376" s="24" t="s">
        <v>151</v>
      </c>
      <c r="B8376" s="24" t="s">
        <v>86</v>
      </c>
      <c r="C8376" s="32">
        <v>21.167999999999999</v>
      </c>
      <c r="D8376" s="28">
        <v>2.2916666666666669E-2</v>
      </c>
    </row>
    <row r="8377" spans="1:4" x14ac:dyDescent="0.25">
      <c r="A8377" s="24" t="s">
        <v>151</v>
      </c>
      <c r="B8377" s="24" t="s">
        <v>87</v>
      </c>
      <c r="C8377" s="32">
        <v>21.283000000000001</v>
      </c>
      <c r="D8377" s="28">
        <v>2.361111111111111E-2</v>
      </c>
    </row>
    <row r="8378" spans="1:4" x14ac:dyDescent="0.25">
      <c r="A8378" s="24" t="s">
        <v>151</v>
      </c>
      <c r="B8378" s="24" t="s">
        <v>88</v>
      </c>
      <c r="C8378" s="32">
        <v>22.661999999999999</v>
      </c>
      <c r="D8378" s="28">
        <v>2.4999999999999998E-2</v>
      </c>
    </row>
    <row r="8379" spans="1:4" x14ac:dyDescent="0.25">
      <c r="A8379" s="24" t="s">
        <v>151</v>
      </c>
      <c r="B8379" s="24" t="s">
        <v>89</v>
      </c>
      <c r="C8379" s="32">
        <v>25.696999999999999</v>
      </c>
      <c r="D8379" s="28">
        <v>2.7777777777777776E-2</v>
      </c>
    </row>
    <row r="8380" spans="1:4" x14ac:dyDescent="0.25">
      <c r="A8380" s="24" t="s">
        <v>151</v>
      </c>
      <c r="B8380" s="24" t="s">
        <v>90</v>
      </c>
      <c r="C8380" s="32">
        <v>30.663</v>
      </c>
      <c r="D8380" s="28">
        <v>2.8472222222222222E-2</v>
      </c>
    </row>
    <row r="8381" spans="1:4" x14ac:dyDescent="0.25">
      <c r="A8381" s="24" t="s">
        <v>151</v>
      </c>
      <c r="B8381" s="24" t="s">
        <v>91</v>
      </c>
      <c r="C8381" s="32">
        <v>23.849</v>
      </c>
      <c r="D8381" s="28">
        <v>2.7083333333333334E-2</v>
      </c>
    </row>
    <row r="8382" spans="1:4" x14ac:dyDescent="0.25">
      <c r="A8382" s="24" t="s">
        <v>151</v>
      </c>
      <c r="B8382" s="24" t="s">
        <v>92</v>
      </c>
      <c r="C8382" s="32">
        <v>31.356000000000002</v>
      </c>
      <c r="D8382" s="28">
        <v>2.7777777777777776E-2</v>
      </c>
    </row>
    <row r="8383" spans="1:4" x14ac:dyDescent="0.25">
      <c r="A8383" s="24" t="s">
        <v>151</v>
      </c>
      <c r="B8383" s="24" t="s">
        <v>93</v>
      </c>
      <c r="C8383" s="32">
        <v>53.640999999999998</v>
      </c>
      <c r="D8383" s="28">
        <v>4.1666666666666664E-2</v>
      </c>
    </row>
    <row r="8384" spans="1:4" x14ac:dyDescent="0.25">
      <c r="A8384" s="24" t="s">
        <v>151</v>
      </c>
      <c r="B8384" s="24" t="s">
        <v>94</v>
      </c>
      <c r="C8384" s="32">
        <v>54.27</v>
      </c>
      <c r="D8384" s="28">
        <v>4.2361111111111106E-2</v>
      </c>
    </row>
    <row r="8385" spans="1:4" x14ac:dyDescent="0.25">
      <c r="A8385" s="24" t="s">
        <v>151</v>
      </c>
      <c r="B8385" s="24" t="s">
        <v>95</v>
      </c>
      <c r="C8385" s="32">
        <v>38.137999999999998</v>
      </c>
      <c r="D8385" s="28">
        <v>3.1944444444444449E-2</v>
      </c>
    </row>
    <row r="8386" spans="1:4" x14ac:dyDescent="0.25">
      <c r="A8386" s="24" t="s">
        <v>151</v>
      </c>
      <c r="B8386" s="24" t="s">
        <v>96</v>
      </c>
      <c r="C8386" s="32">
        <v>18.666</v>
      </c>
      <c r="D8386" s="28">
        <v>1.9444444444444445E-2</v>
      </c>
    </row>
    <row r="8387" spans="1:4" x14ac:dyDescent="0.25">
      <c r="A8387" s="24" t="s">
        <v>151</v>
      </c>
      <c r="B8387" s="24" t="s">
        <v>97</v>
      </c>
      <c r="C8387" s="32">
        <v>26.951000000000001</v>
      </c>
      <c r="D8387" s="28">
        <v>2.7083333333333334E-2</v>
      </c>
    </row>
    <row r="8388" spans="1:4" x14ac:dyDescent="0.25">
      <c r="A8388" s="24" t="s">
        <v>151</v>
      </c>
      <c r="B8388" s="24" t="s">
        <v>98</v>
      </c>
      <c r="C8388" s="32">
        <v>26.824999999999999</v>
      </c>
      <c r="D8388" s="28">
        <v>2.4999999999999998E-2</v>
      </c>
    </row>
    <row r="8389" spans="1:4" x14ac:dyDescent="0.25">
      <c r="A8389" s="24" t="s">
        <v>151</v>
      </c>
      <c r="B8389" s="24" t="s">
        <v>99</v>
      </c>
      <c r="C8389" s="32">
        <v>28.085999999999999</v>
      </c>
      <c r="D8389" s="28">
        <v>2.7777777777777776E-2</v>
      </c>
    </row>
    <row r="8390" spans="1:4" x14ac:dyDescent="0.25">
      <c r="A8390" s="24" t="s">
        <v>151</v>
      </c>
      <c r="B8390" s="24" t="s">
        <v>100</v>
      </c>
      <c r="C8390" s="32">
        <v>34.338999999999999</v>
      </c>
      <c r="D8390" s="28">
        <v>2.9861111111111113E-2</v>
      </c>
    </row>
    <row r="8391" spans="1:4" x14ac:dyDescent="0.25">
      <c r="A8391" s="24" t="s">
        <v>151</v>
      </c>
      <c r="B8391" s="24" t="s">
        <v>101</v>
      </c>
      <c r="C8391" s="32">
        <v>26.927</v>
      </c>
      <c r="D8391" s="28">
        <v>2.6388888888888889E-2</v>
      </c>
    </row>
    <row r="8392" spans="1:4" x14ac:dyDescent="0.25">
      <c r="A8392" s="24" t="s">
        <v>151</v>
      </c>
      <c r="B8392" s="24" t="s">
        <v>102</v>
      </c>
      <c r="C8392" s="32">
        <v>25.03</v>
      </c>
      <c r="D8392" s="28">
        <v>2.6388888888888889E-2</v>
      </c>
    </row>
    <row r="8393" spans="1:4" x14ac:dyDescent="0.25">
      <c r="A8393" s="24" t="s">
        <v>151</v>
      </c>
      <c r="B8393" s="24" t="s">
        <v>103</v>
      </c>
      <c r="C8393" s="32">
        <v>24.629000000000001</v>
      </c>
      <c r="D8393" s="28">
        <v>2.4305555555555556E-2</v>
      </c>
    </row>
    <row r="8394" spans="1:4" x14ac:dyDescent="0.25">
      <c r="A8394" s="24" t="s">
        <v>151</v>
      </c>
      <c r="B8394" s="24" t="s">
        <v>104</v>
      </c>
      <c r="C8394" s="32">
        <v>30.25</v>
      </c>
      <c r="D8394" s="28">
        <v>2.7083333333333334E-2</v>
      </c>
    </row>
    <row r="8395" spans="1:4" x14ac:dyDescent="0.25">
      <c r="A8395" s="24" t="s">
        <v>151</v>
      </c>
      <c r="B8395" s="24" t="s">
        <v>105</v>
      </c>
      <c r="C8395" s="32">
        <v>27.619</v>
      </c>
      <c r="D8395" s="28">
        <v>2.9166666666666664E-2</v>
      </c>
    </row>
    <row r="8396" spans="1:4" x14ac:dyDescent="0.25">
      <c r="A8396" s="24" t="s">
        <v>151</v>
      </c>
      <c r="B8396" s="24" t="s">
        <v>106</v>
      </c>
      <c r="C8396" s="32">
        <v>23.425999999999998</v>
      </c>
      <c r="D8396" s="28">
        <v>2.2916666666666669E-2</v>
      </c>
    </row>
    <row r="8397" spans="1:4" x14ac:dyDescent="0.25">
      <c r="A8397" s="24" t="s">
        <v>151</v>
      </c>
      <c r="B8397" s="24" t="s">
        <v>107</v>
      </c>
      <c r="C8397" s="32">
        <v>31.561</v>
      </c>
      <c r="D8397" s="28">
        <v>3.1944444444444449E-2</v>
      </c>
    </row>
    <row r="8398" spans="1:4" x14ac:dyDescent="0.25">
      <c r="A8398" s="24" t="s">
        <v>151</v>
      </c>
      <c r="B8398" s="24" t="s">
        <v>108</v>
      </c>
      <c r="C8398" s="32">
        <v>29.946999999999999</v>
      </c>
      <c r="D8398" s="28">
        <v>2.9166666666666664E-2</v>
      </c>
    </row>
    <row r="8399" spans="1:4" x14ac:dyDescent="0.25">
      <c r="A8399" s="24" t="s">
        <v>151</v>
      </c>
      <c r="B8399" s="24" t="s">
        <v>109</v>
      </c>
      <c r="C8399" s="32">
        <v>29.977</v>
      </c>
      <c r="D8399" s="28">
        <v>2.9166666666666664E-2</v>
      </c>
    </row>
    <row r="8400" spans="1:4" x14ac:dyDescent="0.25">
      <c r="A8400" s="24" t="s">
        <v>151</v>
      </c>
      <c r="B8400" s="24" t="s">
        <v>110</v>
      </c>
      <c r="C8400" s="32">
        <v>25.722000000000001</v>
      </c>
      <c r="D8400" s="28">
        <v>2.7777777777777776E-2</v>
      </c>
    </row>
    <row r="8401" spans="1:4" x14ac:dyDescent="0.25">
      <c r="A8401" s="24" t="s">
        <v>151</v>
      </c>
      <c r="B8401" s="24" t="s">
        <v>111</v>
      </c>
      <c r="C8401" s="32">
        <v>26.867999999999999</v>
      </c>
      <c r="D8401" s="28">
        <v>2.4305555555555556E-2</v>
      </c>
    </row>
    <row r="8402" spans="1:4" x14ac:dyDescent="0.25">
      <c r="A8402" s="24" t="s">
        <v>151</v>
      </c>
      <c r="B8402" s="24" t="s">
        <v>112</v>
      </c>
      <c r="C8402" s="32">
        <v>41.33</v>
      </c>
      <c r="D8402" s="28">
        <v>3.2638888888888891E-2</v>
      </c>
    </row>
    <row r="8403" spans="1:4" x14ac:dyDescent="0.25">
      <c r="A8403" s="24" t="s">
        <v>151</v>
      </c>
      <c r="B8403" s="24" t="s">
        <v>113</v>
      </c>
      <c r="C8403" s="32">
        <v>38.463000000000001</v>
      </c>
      <c r="D8403" s="28">
        <v>3.0555555555555555E-2</v>
      </c>
    </row>
    <row r="8404" spans="1:4" x14ac:dyDescent="0.25">
      <c r="A8404" s="24" t="s">
        <v>151</v>
      </c>
      <c r="B8404" s="24" t="s">
        <v>114</v>
      </c>
      <c r="C8404" s="32">
        <v>33.173999999999999</v>
      </c>
      <c r="D8404" s="28">
        <v>2.9166666666666664E-2</v>
      </c>
    </row>
    <row r="8405" spans="1:4" x14ac:dyDescent="0.25">
      <c r="A8405" s="24" t="s">
        <v>151</v>
      </c>
      <c r="B8405" s="24" t="s">
        <v>115</v>
      </c>
      <c r="C8405" s="32">
        <v>32.625999999999998</v>
      </c>
      <c r="D8405" s="28">
        <v>2.9166666666666664E-2</v>
      </c>
    </row>
    <row r="8406" spans="1:4" x14ac:dyDescent="0.25">
      <c r="A8406" s="24" t="s">
        <v>151</v>
      </c>
      <c r="B8406" s="24" t="s">
        <v>116</v>
      </c>
      <c r="C8406" s="32">
        <v>30.437999999999999</v>
      </c>
      <c r="D8406" s="28">
        <v>2.7777777777777776E-2</v>
      </c>
    </row>
    <row r="8407" spans="1:4" x14ac:dyDescent="0.25">
      <c r="A8407" s="24" t="s">
        <v>151</v>
      </c>
      <c r="B8407" s="24" t="s">
        <v>117</v>
      </c>
      <c r="C8407" s="32">
        <v>37.642000000000003</v>
      </c>
      <c r="D8407" s="28">
        <v>3.2638888888888891E-2</v>
      </c>
    </row>
    <row r="8408" spans="1:4" x14ac:dyDescent="0.25">
      <c r="A8408" s="24" t="s">
        <v>151</v>
      </c>
      <c r="B8408" s="24" t="s">
        <v>118</v>
      </c>
      <c r="C8408" s="32">
        <v>37.360999999999997</v>
      </c>
      <c r="D8408" s="28">
        <v>3.1944444444444449E-2</v>
      </c>
    </row>
    <row r="8409" spans="1:4" x14ac:dyDescent="0.25">
      <c r="A8409" s="24" t="s">
        <v>151</v>
      </c>
      <c r="B8409" s="24" t="s">
        <v>119</v>
      </c>
      <c r="C8409" s="32">
        <v>52.825000000000003</v>
      </c>
      <c r="D8409" s="28">
        <v>3.7499999999999999E-2</v>
      </c>
    </row>
    <row r="8410" spans="1:4" x14ac:dyDescent="0.25">
      <c r="A8410" s="24" t="s">
        <v>151</v>
      </c>
      <c r="B8410" s="24" t="s">
        <v>120</v>
      </c>
      <c r="C8410" s="32">
        <v>55.615000000000002</v>
      </c>
      <c r="D8410" s="28">
        <v>4.0972222222222222E-2</v>
      </c>
    </row>
    <row r="8411" spans="1:4" x14ac:dyDescent="0.25">
      <c r="A8411" s="24" t="s">
        <v>151</v>
      </c>
      <c r="B8411" s="24" t="s">
        <v>121</v>
      </c>
      <c r="C8411" s="32">
        <v>69.965999999999994</v>
      </c>
      <c r="D8411" s="28">
        <v>4.7916666666666663E-2</v>
      </c>
    </row>
    <row r="8412" spans="1:4" x14ac:dyDescent="0.25">
      <c r="A8412" s="24" t="s">
        <v>151</v>
      </c>
      <c r="B8412" s="24" t="s">
        <v>122</v>
      </c>
      <c r="C8412" s="32">
        <v>53.948999999999998</v>
      </c>
      <c r="D8412" s="28">
        <v>3.9583333333333331E-2</v>
      </c>
    </row>
    <row r="8413" spans="1:4" x14ac:dyDescent="0.25">
      <c r="A8413" s="24" t="s">
        <v>151</v>
      </c>
      <c r="B8413" s="24" t="s">
        <v>123</v>
      </c>
      <c r="C8413" s="32">
        <v>63.551000000000002</v>
      </c>
      <c r="D8413" s="28">
        <v>4.4444444444444446E-2</v>
      </c>
    </row>
    <row r="8414" spans="1:4" x14ac:dyDescent="0.25">
      <c r="A8414" s="24" t="s">
        <v>151</v>
      </c>
      <c r="B8414" s="24" t="s">
        <v>124</v>
      </c>
      <c r="C8414" s="32">
        <v>63.551000000000002</v>
      </c>
      <c r="D8414" s="28">
        <v>4.4444444444444446E-2</v>
      </c>
    </row>
    <row r="8415" spans="1:4" x14ac:dyDescent="0.25">
      <c r="A8415" s="24" t="s">
        <v>151</v>
      </c>
      <c r="B8415" s="24" t="s">
        <v>125</v>
      </c>
      <c r="C8415" s="32">
        <v>14.891</v>
      </c>
      <c r="D8415" s="28">
        <v>1.8055555555555557E-2</v>
      </c>
    </row>
    <row r="8416" spans="1:4" x14ac:dyDescent="0.25">
      <c r="A8416" s="24" t="s">
        <v>151</v>
      </c>
      <c r="B8416" s="24" t="s">
        <v>126</v>
      </c>
      <c r="C8416" s="32">
        <v>14.629</v>
      </c>
      <c r="D8416" s="28">
        <v>1.7361111111111112E-2</v>
      </c>
    </row>
    <row r="8417" spans="1:4" x14ac:dyDescent="0.25">
      <c r="A8417" s="24" t="s">
        <v>151</v>
      </c>
      <c r="B8417" s="24" t="s">
        <v>127</v>
      </c>
      <c r="C8417" s="32">
        <v>17.02</v>
      </c>
      <c r="D8417" s="28">
        <v>1.7361111111111112E-2</v>
      </c>
    </row>
    <row r="8418" spans="1:4" x14ac:dyDescent="0.25">
      <c r="A8418" s="24" t="s">
        <v>151</v>
      </c>
      <c r="B8418" s="24" t="s">
        <v>128</v>
      </c>
      <c r="C8418" s="32">
        <v>19.257999999999999</v>
      </c>
      <c r="D8418" s="28">
        <v>1.9444444444444445E-2</v>
      </c>
    </row>
    <row r="8419" spans="1:4" x14ac:dyDescent="0.25">
      <c r="A8419" s="24" t="s">
        <v>151</v>
      </c>
      <c r="B8419" s="24" t="s">
        <v>129</v>
      </c>
      <c r="C8419" s="32">
        <v>19.257999999999999</v>
      </c>
      <c r="D8419" s="28">
        <v>1.9444444444444445E-2</v>
      </c>
    </row>
    <row r="8420" spans="1:4" x14ac:dyDescent="0.25">
      <c r="A8420" s="24" t="s">
        <v>151</v>
      </c>
      <c r="B8420" s="24" t="s">
        <v>130</v>
      </c>
      <c r="C8420" s="32">
        <v>15.292</v>
      </c>
      <c r="D8420" s="28">
        <v>1.9444444444444445E-2</v>
      </c>
    </row>
    <row r="8421" spans="1:4" x14ac:dyDescent="0.25">
      <c r="A8421" s="24" t="s">
        <v>151</v>
      </c>
      <c r="B8421" s="24" t="s">
        <v>131</v>
      </c>
      <c r="C8421" s="32">
        <v>17.84</v>
      </c>
      <c r="D8421" s="28">
        <v>2.013888888888889E-2</v>
      </c>
    </row>
    <row r="8422" spans="1:4" x14ac:dyDescent="0.25">
      <c r="A8422" s="24" t="s">
        <v>151</v>
      </c>
      <c r="B8422" s="24" t="s">
        <v>132</v>
      </c>
      <c r="C8422" s="32">
        <v>9.0009999999999994</v>
      </c>
      <c r="D8422" s="28">
        <v>1.0416666666666666E-2</v>
      </c>
    </row>
    <row r="8423" spans="1:4" x14ac:dyDescent="0.25">
      <c r="A8423" s="24" t="s">
        <v>151</v>
      </c>
      <c r="B8423" s="24" t="s">
        <v>133</v>
      </c>
      <c r="C8423" s="32">
        <v>23.997</v>
      </c>
      <c r="D8423" s="28">
        <v>2.5694444444444447E-2</v>
      </c>
    </row>
    <row r="8424" spans="1:4" x14ac:dyDescent="0.25">
      <c r="A8424" s="24" t="s">
        <v>151</v>
      </c>
      <c r="B8424" s="24" t="s">
        <v>134</v>
      </c>
      <c r="C8424" s="32">
        <v>23.530999999999999</v>
      </c>
      <c r="D8424" s="28">
        <v>2.4999999999999998E-2</v>
      </c>
    </row>
    <row r="8425" spans="1:4" x14ac:dyDescent="0.25">
      <c r="A8425" s="24" t="s">
        <v>151</v>
      </c>
      <c r="B8425" s="24" t="s">
        <v>135</v>
      </c>
      <c r="C8425" s="32">
        <v>28.298999999999999</v>
      </c>
      <c r="D8425" s="28">
        <v>2.4999999999999998E-2</v>
      </c>
    </row>
    <row r="8426" spans="1:4" x14ac:dyDescent="0.25">
      <c r="A8426" s="24" t="s">
        <v>151</v>
      </c>
      <c r="B8426" s="24" t="s">
        <v>136</v>
      </c>
      <c r="C8426" s="32">
        <v>28.298999999999999</v>
      </c>
      <c r="D8426" s="28">
        <v>2.4999999999999998E-2</v>
      </c>
    </row>
    <row r="8427" spans="1:4" x14ac:dyDescent="0.25">
      <c r="A8427" s="24" t="s">
        <v>151</v>
      </c>
      <c r="B8427" s="24" t="s">
        <v>137</v>
      </c>
      <c r="C8427" s="32">
        <v>23.684000000000001</v>
      </c>
      <c r="D8427" s="28">
        <v>2.5694444444444447E-2</v>
      </c>
    </row>
    <row r="8428" spans="1:4" x14ac:dyDescent="0.25">
      <c r="A8428" s="24" t="s">
        <v>151</v>
      </c>
      <c r="B8428" s="24" t="s">
        <v>138</v>
      </c>
      <c r="C8428" s="32">
        <v>34.320999999999998</v>
      </c>
      <c r="D8428" s="28">
        <v>2.7777777777777776E-2</v>
      </c>
    </row>
    <row r="8429" spans="1:4" x14ac:dyDescent="0.25">
      <c r="A8429" s="24" t="s">
        <v>151</v>
      </c>
      <c r="B8429" s="24" t="s">
        <v>139</v>
      </c>
      <c r="C8429" s="32">
        <v>31.369</v>
      </c>
      <c r="D8429" s="28">
        <v>2.6388888888888889E-2</v>
      </c>
    </row>
    <row r="8430" spans="1:4" x14ac:dyDescent="0.25">
      <c r="A8430" s="24" t="s">
        <v>151</v>
      </c>
      <c r="B8430" s="24" t="s">
        <v>140</v>
      </c>
      <c r="C8430" s="32">
        <v>28.591999999999999</v>
      </c>
      <c r="D8430" s="28">
        <v>2.361111111111111E-2</v>
      </c>
    </row>
    <row r="8431" spans="1:4" x14ac:dyDescent="0.25">
      <c r="A8431" s="24" t="s">
        <v>151</v>
      </c>
      <c r="B8431" s="24" t="s">
        <v>141</v>
      </c>
      <c r="C8431" s="32">
        <v>56.811999999999998</v>
      </c>
      <c r="D8431" s="28">
        <v>4.5833333333333337E-2</v>
      </c>
    </row>
    <row r="8432" spans="1:4" x14ac:dyDescent="0.25">
      <c r="A8432" s="24" t="s">
        <v>151</v>
      </c>
      <c r="B8432" s="24" t="s">
        <v>142</v>
      </c>
      <c r="C8432" s="32">
        <v>43.863999999999997</v>
      </c>
      <c r="D8432" s="28">
        <v>3.4027777777777775E-2</v>
      </c>
    </row>
    <row r="8433" spans="1:4" x14ac:dyDescent="0.25">
      <c r="A8433" s="24" t="s">
        <v>151</v>
      </c>
      <c r="B8433" s="24" t="s">
        <v>143</v>
      </c>
      <c r="C8433" s="32">
        <v>62.241999999999997</v>
      </c>
      <c r="D8433" s="28">
        <v>4.0972222222222222E-2</v>
      </c>
    </row>
    <row r="8434" spans="1:4" x14ac:dyDescent="0.25">
      <c r="A8434" s="24" t="s">
        <v>151</v>
      </c>
      <c r="B8434" s="24" t="s">
        <v>144</v>
      </c>
      <c r="C8434" s="32">
        <v>81.358000000000004</v>
      </c>
      <c r="D8434" s="28">
        <v>5.2083333333333336E-2</v>
      </c>
    </row>
    <row r="8435" spans="1:4" x14ac:dyDescent="0.25">
      <c r="A8435" s="24" t="s">
        <v>151</v>
      </c>
      <c r="B8435" s="24" t="s">
        <v>145</v>
      </c>
      <c r="C8435" s="32">
        <v>44.853000000000002</v>
      </c>
      <c r="D8435" s="28">
        <v>3.6805555555555557E-2</v>
      </c>
    </row>
    <row r="8436" spans="1:4" x14ac:dyDescent="0.25">
      <c r="A8436" s="24" t="s">
        <v>151</v>
      </c>
      <c r="B8436" s="24" t="s">
        <v>146</v>
      </c>
      <c r="C8436" s="32">
        <v>55.540999999999997</v>
      </c>
      <c r="D8436" s="28">
        <v>4.3750000000000004E-2</v>
      </c>
    </row>
    <row r="8437" spans="1:4" x14ac:dyDescent="0.25">
      <c r="A8437" s="24" t="s">
        <v>151</v>
      </c>
      <c r="B8437" s="24" t="s">
        <v>147</v>
      </c>
      <c r="C8437" s="32">
        <v>23.353000000000002</v>
      </c>
      <c r="D8437" s="28">
        <v>2.2222222222222223E-2</v>
      </c>
    </row>
    <row r="8438" spans="1:4" x14ac:dyDescent="0.25">
      <c r="A8438" s="24" t="s">
        <v>151</v>
      </c>
      <c r="B8438" s="24" t="s">
        <v>148</v>
      </c>
      <c r="C8438" s="32">
        <v>20.527000000000001</v>
      </c>
      <c r="D8438" s="28">
        <v>2.1527777777777781E-2</v>
      </c>
    </row>
    <row r="8439" spans="1:4" x14ac:dyDescent="0.25">
      <c r="A8439" s="24" t="s">
        <v>151</v>
      </c>
      <c r="B8439" s="24" t="s">
        <v>149</v>
      </c>
      <c r="C8439" s="32">
        <v>10.369</v>
      </c>
      <c r="D8439" s="28">
        <v>1.1805555555555555E-2</v>
      </c>
    </row>
    <row r="8440" spans="1:4" x14ac:dyDescent="0.25">
      <c r="A8440" s="24" t="s">
        <v>151</v>
      </c>
      <c r="B8440" s="24" t="s">
        <v>150</v>
      </c>
      <c r="C8440" s="32">
        <v>2.0920000000000001</v>
      </c>
      <c r="D8440" s="28">
        <v>2.7777777777777779E-3</v>
      </c>
    </row>
    <row r="8441" spans="1:4" x14ac:dyDescent="0.25">
      <c r="A8441" s="24" t="s">
        <v>151</v>
      </c>
      <c r="B8441" s="24" t="s">
        <v>151</v>
      </c>
      <c r="C8441" s="32">
        <v>0</v>
      </c>
      <c r="D8441" s="28">
        <v>0</v>
      </c>
    </row>
    <row r="8442" spans="1:4" x14ac:dyDescent="0.25">
      <c r="A8442" s="24" t="s">
        <v>151</v>
      </c>
      <c r="B8442" s="24" t="s">
        <v>152</v>
      </c>
      <c r="C8442" s="32">
        <v>5.9950000000000001</v>
      </c>
      <c r="D8442" s="28">
        <v>6.9444444444444441E-3</v>
      </c>
    </row>
    <row r="8443" spans="1:4" x14ac:dyDescent="0.25">
      <c r="A8443" s="24" t="s">
        <v>151</v>
      </c>
      <c r="B8443" s="24" t="s">
        <v>153</v>
      </c>
      <c r="C8443" s="32">
        <v>13.72</v>
      </c>
      <c r="D8443" s="28">
        <v>1.5972222222222224E-2</v>
      </c>
    </row>
    <row r="8444" spans="1:4" x14ac:dyDescent="0.25">
      <c r="A8444" s="24" t="s">
        <v>151</v>
      </c>
      <c r="B8444" s="24" t="s">
        <v>154</v>
      </c>
      <c r="C8444" s="32">
        <v>8.5380000000000003</v>
      </c>
      <c r="D8444" s="28">
        <v>9.7222222222222224E-3</v>
      </c>
    </row>
    <row r="8445" spans="1:4" x14ac:dyDescent="0.25">
      <c r="A8445" s="24" t="s">
        <v>151</v>
      </c>
      <c r="B8445" s="24" t="s">
        <v>155</v>
      </c>
      <c r="C8445" s="32">
        <v>1.954</v>
      </c>
      <c r="D8445" s="28">
        <v>2.7777777777777779E-3</v>
      </c>
    </row>
    <row r="8446" spans="1:4" x14ac:dyDescent="0.25">
      <c r="A8446" s="24" t="s">
        <v>151</v>
      </c>
      <c r="B8446" s="24" t="s">
        <v>156</v>
      </c>
      <c r="C8446" s="32">
        <v>1.9379999999999999</v>
      </c>
      <c r="D8446" s="28">
        <v>2.7777777777777779E-3</v>
      </c>
    </row>
    <row r="8447" spans="1:4" x14ac:dyDescent="0.25">
      <c r="A8447" s="24" t="s">
        <v>151</v>
      </c>
      <c r="B8447" s="24" t="s">
        <v>157</v>
      </c>
      <c r="C8447" s="32">
        <v>27.561</v>
      </c>
      <c r="D8447" s="28">
        <v>2.5694444444444447E-2</v>
      </c>
    </row>
    <row r="8448" spans="1:4" x14ac:dyDescent="0.25">
      <c r="A8448" s="24" t="s">
        <v>151</v>
      </c>
      <c r="B8448" s="24" t="s">
        <v>158</v>
      </c>
      <c r="C8448" s="32">
        <v>39.576999999999998</v>
      </c>
      <c r="D8448" s="28">
        <v>2.9861111111111113E-2</v>
      </c>
    </row>
    <row r="8449" spans="1:4" x14ac:dyDescent="0.25">
      <c r="A8449" s="24" t="s">
        <v>151</v>
      </c>
      <c r="B8449" s="24" t="s">
        <v>159</v>
      </c>
      <c r="C8449" s="32">
        <v>49.533000000000001</v>
      </c>
      <c r="D8449" s="28">
        <v>4.027777777777778E-2</v>
      </c>
    </row>
    <row r="8450" spans="1:4" x14ac:dyDescent="0.25">
      <c r="A8450" s="24" t="s">
        <v>152</v>
      </c>
      <c r="B8450" s="24" t="s">
        <v>65</v>
      </c>
      <c r="C8450" s="32">
        <v>33.859000000000002</v>
      </c>
      <c r="D8450" s="28">
        <v>2.5694444444444447E-2</v>
      </c>
    </row>
    <row r="8451" spans="1:4" x14ac:dyDescent="0.25">
      <c r="A8451" s="24" t="s">
        <v>152</v>
      </c>
      <c r="B8451" s="24" t="s">
        <v>64</v>
      </c>
      <c r="C8451" s="32">
        <v>22.870999999999999</v>
      </c>
      <c r="D8451" s="28">
        <v>1.9444444444444445E-2</v>
      </c>
    </row>
    <row r="8452" spans="1:4" x14ac:dyDescent="0.25">
      <c r="A8452" s="24" t="s">
        <v>152</v>
      </c>
      <c r="B8452" s="24" t="s">
        <v>66</v>
      </c>
      <c r="C8452" s="32">
        <v>19.297000000000001</v>
      </c>
      <c r="D8452" s="28">
        <v>1.6666666666666666E-2</v>
      </c>
    </row>
    <row r="8453" spans="1:4" x14ac:dyDescent="0.25">
      <c r="A8453" s="24" t="s">
        <v>152</v>
      </c>
      <c r="B8453" s="24" t="s">
        <v>67</v>
      </c>
      <c r="C8453" s="32">
        <v>19.344999999999999</v>
      </c>
      <c r="D8453" s="28">
        <v>1.8749999999999999E-2</v>
      </c>
    </row>
    <row r="8454" spans="1:4" x14ac:dyDescent="0.25">
      <c r="A8454" s="24" t="s">
        <v>152</v>
      </c>
      <c r="B8454" s="24" t="s">
        <v>68</v>
      </c>
      <c r="C8454" s="32">
        <v>18.603999999999999</v>
      </c>
      <c r="D8454" s="28">
        <v>1.7361111111111112E-2</v>
      </c>
    </row>
    <row r="8455" spans="1:4" x14ac:dyDescent="0.25">
      <c r="A8455" s="24" t="s">
        <v>152</v>
      </c>
      <c r="B8455" s="24" t="s">
        <v>69</v>
      </c>
      <c r="C8455" s="32">
        <v>18.420000000000002</v>
      </c>
      <c r="D8455" s="28">
        <v>1.6666666666666666E-2</v>
      </c>
    </row>
    <row r="8456" spans="1:4" x14ac:dyDescent="0.25">
      <c r="A8456" s="24" t="s">
        <v>152</v>
      </c>
      <c r="B8456" s="24" t="s">
        <v>70</v>
      </c>
      <c r="C8456" s="32">
        <v>18.236999999999998</v>
      </c>
      <c r="D8456" s="28">
        <v>1.6666666666666666E-2</v>
      </c>
    </row>
    <row r="8457" spans="1:4" x14ac:dyDescent="0.25">
      <c r="A8457" s="24" t="s">
        <v>152</v>
      </c>
      <c r="B8457" s="24" t="s">
        <v>71</v>
      </c>
      <c r="C8457" s="32">
        <v>18.997</v>
      </c>
      <c r="D8457" s="28">
        <v>1.7361111111111112E-2</v>
      </c>
    </row>
    <row r="8458" spans="1:4" x14ac:dyDescent="0.25">
      <c r="A8458" s="24" t="s">
        <v>152</v>
      </c>
      <c r="B8458" s="24" t="s">
        <v>72</v>
      </c>
      <c r="C8458" s="32">
        <v>20.489000000000001</v>
      </c>
      <c r="D8458" s="28">
        <v>2.1527777777777781E-2</v>
      </c>
    </row>
    <row r="8459" spans="1:4" x14ac:dyDescent="0.25">
      <c r="A8459" s="24" t="s">
        <v>152</v>
      </c>
      <c r="B8459" s="24" t="s">
        <v>73</v>
      </c>
      <c r="C8459" s="32">
        <v>20.021999999999998</v>
      </c>
      <c r="D8459" s="28">
        <v>1.9444444444444445E-2</v>
      </c>
    </row>
    <row r="8460" spans="1:4" x14ac:dyDescent="0.25">
      <c r="A8460" s="24" t="s">
        <v>152</v>
      </c>
      <c r="B8460" s="24" t="s">
        <v>74</v>
      </c>
      <c r="C8460" s="32">
        <v>23.681000000000001</v>
      </c>
      <c r="D8460" s="28">
        <v>2.4305555555555556E-2</v>
      </c>
    </row>
    <row r="8461" spans="1:4" x14ac:dyDescent="0.25">
      <c r="A8461" s="24" t="s">
        <v>152</v>
      </c>
      <c r="B8461" s="24" t="s">
        <v>75</v>
      </c>
      <c r="C8461" s="32">
        <v>24.018999999999998</v>
      </c>
      <c r="D8461" s="28">
        <v>2.361111111111111E-2</v>
      </c>
    </row>
    <row r="8462" spans="1:4" x14ac:dyDescent="0.25">
      <c r="A8462" s="24" t="s">
        <v>152</v>
      </c>
      <c r="B8462" s="24" t="s">
        <v>76</v>
      </c>
      <c r="C8462" s="32">
        <v>30.155999999999999</v>
      </c>
      <c r="D8462" s="28">
        <v>2.5694444444444447E-2</v>
      </c>
    </row>
    <row r="8463" spans="1:4" x14ac:dyDescent="0.25">
      <c r="A8463" s="24" t="s">
        <v>152</v>
      </c>
      <c r="B8463" s="24" t="s">
        <v>77</v>
      </c>
      <c r="C8463" s="32">
        <v>23.513999999999999</v>
      </c>
      <c r="D8463" s="28">
        <v>1.9444444444444445E-2</v>
      </c>
    </row>
    <row r="8464" spans="1:4" x14ac:dyDescent="0.25">
      <c r="A8464" s="24" t="s">
        <v>152</v>
      </c>
      <c r="B8464" s="24" t="s">
        <v>78</v>
      </c>
      <c r="C8464" s="32">
        <v>18.555</v>
      </c>
      <c r="D8464" s="28">
        <v>1.5972222222222224E-2</v>
      </c>
    </row>
    <row r="8465" spans="1:4" x14ac:dyDescent="0.25">
      <c r="A8465" s="24" t="s">
        <v>152</v>
      </c>
      <c r="B8465" s="24" t="s">
        <v>79</v>
      </c>
      <c r="C8465" s="32">
        <v>31.937999999999999</v>
      </c>
      <c r="D8465" s="28">
        <v>3.125E-2</v>
      </c>
    </row>
    <row r="8466" spans="1:4" x14ac:dyDescent="0.25">
      <c r="A8466" s="24" t="s">
        <v>152</v>
      </c>
      <c r="B8466" s="24" t="s">
        <v>80</v>
      </c>
      <c r="C8466" s="32">
        <v>37.082999999999998</v>
      </c>
      <c r="D8466" s="28">
        <v>2.7777777777777776E-2</v>
      </c>
    </row>
    <row r="8467" spans="1:4" x14ac:dyDescent="0.25">
      <c r="A8467" s="24" t="s">
        <v>152</v>
      </c>
      <c r="B8467" s="24" t="s">
        <v>81</v>
      </c>
      <c r="C8467" s="32">
        <v>41.604999999999997</v>
      </c>
      <c r="D8467" s="28">
        <v>3.0555555555555555E-2</v>
      </c>
    </row>
    <row r="8468" spans="1:4" x14ac:dyDescent="0.25">
      <c r="A8468" s="24" t="s">
        <v>152</v>
      </c>
      <c r="B8468" s="24" t="s">
        <v>82</v>
      </c>
      <c r="C8468" s="32">
        <v>41.656999999999996</v>
      </c>
      <c r="D8468" s="28">
        <v>3.0555555555555555E-2</v>
      </c>
    </row>
    <row r="8469" spans="1:4" x14ac:dyDescent="0.25">
      <c r="A8469" s="24" t="s">
        <v>152</v>
      </c>
      <c r="B8469" s="24" t="s">
        <v>83</v>
      </c>
      <c r="C8469" s="32">
        <v>25.495999999999999</v>
      </c>
      <c r="D8469" s="28">
        <v>2.1527777777777781E-2</v>
      </c>
    </row>
    <row r="8470" spans="1:4" x14ac:dyDescent="0.25">
      <c r="A8470" s="24" t="s">
        <v>152</v>
      </c>
      <c r="B8470" s="24" t="s">
        <v>84</v>
      </c>
      <c r="C8470" s="32">
        <v>24.484999999999999</v>
      </c>
      <c r="D8470" s="28">
        <v>2.4305555555555556E-2</v>
      </c>
    </row>
    <row r="8471" spans="1:4" x14ac:dyDescent="0.25">
      <c r="A8471" s="24" t="s">
        <v>152</v>
      </c>
      <c r="B8471" s="24" t="s">
        <v>85</v>
      </c>
      <c r="C8471" s="32">
        <v>28.266999999999999</v>
      </c>
      <c r="D8471" s="28">
        <v>2.4305555555555556E-2</v>
      </c>
    </row>
    <row r="8472" spans="1:4" x14ac:dyDescent="0.25">
      <c r="A8472" s="24" t="s">
        <v>152</v>
      </c>
      <c r="B8472" s="24" t="s">
        <v>86</v>
      </c>
      <c r="C8472" s="32">
        <v>25.893000000000001</v>
      </c>
      <c r="D8472" s="28">
        <v>2.1527777777777781E-2</v>
      </c>
    </row>
    <row r="8473" spans="1:4" x14ac:dyDescent="0.25">
      <c r="A8473" s="24" t="s">
        <v>152</v>
      </c>
      <c r="B8473" s="24" t="s">
        <v>87</v>
      </c>
      <c r="C8473" s="32">
        <v>26.007999999999999</v>
      </c>
      <c r="D8473" s="28">
        <v>2.2222222222222223E-2</v>
      </c>
    </row>
    <row r="8474" spans="1:4" x14ac:dyDescent="0.25">
      <c r="A8474" s="24" t="s">
        <v>152</v>
      </c>
      <c r="B8474" s="24" t="s">
        <v>88</v>
      </c>
      <c r="C8474" s="32">
        <v>27.387</v>
      </c>
      <c r="D8474" s="28">
        <v>2.361111111111111E-2</v>
      </c>
    </row>
    <row r="8475" spans="1:4" x14ac:dyDescent="0.25">
      <c r="A8475" s="24" t="s">
        <v>152</v>
      </c>
      <c r="B8475" s="24" t="s">
        <v>89</v>
      </c>
      <c r="C8475" s="32">
        <v>29.5</v>
      </c>
      <c r="D8475" s="28">
        <v>2.7777777777777776E-2</v>
      </c>
    </row>
    <row r="8476" spans="1:4" x14ac:dyDescent="0.25">
      <c r="A8476" s="24" t="s">
        <v>152</v>
      </c>
      <c r="B8476" s="24" t="s">
        <v>90</v>
      </c>
      <c r="C8476" s="32">
        <v>30.45</v>
      </c>
      <c r="D8476" s="28">
        <v>2.7777777777777776E-2</v>
      </c>
    </row>
    <row r="8477" spans="1:4" x14ac:dyDescent="0.25">
      <c r="A8477" s="24" t="s">
        <v>152</v>
      </c>
      <c r="B8477" s="24" t="s">
        <v>91</v>
      </c>
      <c r="C8477" s="32">
        <v>28.574000000000002</v>
      </c>
      <c r="D8477" s="28">
        <v>2.5694444444444447E-2</v>
      </c>
    </row>
    <row r="8478" spans="1:4" x14ac:dyDescent="0.25">
      <c r="A8478" s="24" t="s">
        <v>152</v>
      </c>
      <c r="B8478" s="24" t="s">
        <v>92</v>
      </c>
      <c r="C8478" s="32">
        <v>35.158999999999999</v>
      </c>
      <c r="D8478" s="28">
        <v>2.7083333333333334E-2</v>
      </c>
    </row>
    <row r="8479" spans="1:4" x14ac:dyDescent="0.25">
      <c r="A8479" s="24" t="s">
        <v>152</v>
      </c>
      <c r="B8479" s="24" t="s">
        <v>93</v>
      </c>
      <c r="C8479" s="32">
        <v>58.881</v>
      </c>
      <c r="D8479" s="28">
        <v>4.027777777777778E-2</v>
      </c>
    </row>
    <row r="8480" spans="1:4" x14ac:dyDescent="0.25">
      <c r="A8480" s="24" t="s">
        <v>152</v>
      </c>
      <c r="B8480" s="24" t="s">
        <v>94</v>
      </c>
      <c r="C8480" s="32">
        <v>59.51</v>
      </c>
      <c r="D8480" s="28">
        <v>4.0972222222222222E-2</v>
      </c>
    </row>
    <row r="8481" spans="1:4" x14ac:dyDescent="0.25">
      <c r="A8481" s="24" t="s">
        <v>152</v>
      </c>
      <c r="B8481" s="24" t="s">
        <v>95</v>
      </c>
      <c r="C8481" s="32">
        <v>41.941000000000003</v>
      </c>
      <c r="D8481" s="28">
        <v>3.125E-2</v>
      </c>
    </row>
    <row r="8482" spans="1:4" x14ac:dyDescent="0.25">
      <c r="A8482" s="24" t="s">
        <v>152</v>
      </c>
      <c r="B8482" s="24" t="s">
        <v>96</v>
      </c>
      <c r="C8482" s="32">
        <v>14.496</v>
      </c>
      <c r="D8482" s="28">
        <v>1.3888888888888888E-2</v>
      </c>
    </row>
    <row r="8483" spans="1:4" x14ac:dyDescent="0.25">
      <c r="A8483" s="24" t="s">
        <v>152</v>
      </c>
      <c r="B8483" s="24" t="s">
        <v>97</v>
      </c>
      <c r="C8483" s="32">
        <v>22.780999999999999</v>
      </c>
      <c r="D8483" s="28">
        <v>2.1527777777777781E-2</v>
      </c>
    </row>
    <row r="8484" spans="1:4" x14ac:dyDescent="0.25">
      <c r="A8484" s="24" t="s">
        <v>152</v>
      </c>
      <c r="B8484" s="24" t="s">
        <v>98</v>
      </c>
      <c r="C8484" s="32">
        <v>23.609000000000002</v>
      </c>
      <c r="D8484" s="28">
        <v>2.4305555555555556E-2</v>
      </c>
    </row>
    <row r="8485" spans="1:4" x14ac:dyDescent="0.25">
      <c r="A8485" s="24" t="s">
        <v>152</v>
      </c>
      <c r="B8485" s="24" t="s">
        <v>99</v>
      </c>
      <c r="C8485" s="32">
        <v>23.916</v>
      </c>
      <c r="D8485" s="28">
        <v>2.2222222222222223E-2</v>
      </c>
    </row>
    <row r="8486" spans="1:4" x14ac:dyDescent="0.25">
      <c r="A8486" s="24" t="s">
        <v>152</v>
      </c>
      <c r="B8486" s="24" t="s">
        <v>100</v>
      </c>
      <c r="C8486" s="32">
        <v>37.746000000000002</v>
      </c>
      <c r="D8486" s="28">
        <v>3.0555555555555555E-2</v>
      </c>
    </row>
    <row r="8487" spans="1:4" x14ac:dyDescent="0.25">
      <c r="A8487" s="24" t="s">
        <v>152</v>
      </c>
      <c r="B8487" s="24" t="s">
        <v>101</v>
      </c>
      <c r="C8487" s="32">
        <v>21.433</v>
      </c>
      <c r="D8487" s="28">
        <v>2.1527777777777781E-2</v>
      </c>
    </row>
    <row r="8488" spans="1:4" x14ac:dyDescent="0.25">
      <c r="A8488" s="24" t="s">
        <v>152</v>
      </c>
      <c r="B8488" s="24" t="s">
        <v>102</v>
      </c>
      <c r="C8488" s="32">
        <v>20.86</v>
      </c>
      <c r="D8488" s="28">
        <v>2.0833333333333332E-2</v>
      </c>
    </row>
    <row r="8489" spans="1:4" x14ac:dyDescent="0.25">
      <c r="A8489" s="24" t="s">
        <v>152</v>
      </c>
      <c r="B8489" s="24" t="s">
        <v>103</v>
      </c>
      <c r="C8489" s="32">
        <v>28.431999999999999</v>
      </c>
      <c r="D8489" s="28">
        <v>2.361111111111111E-2</v>
      </c>
    </row>
    <row r="8490" spans="1:4" x14ac:dyDescent="0.25">
      <c r="A8490" s="24" t="s">
        <v>152</v>
      </c>
      <c r="B8490" s="24" t="s">
        <v>104</v>
      </c>
      <c r="C8490" s="32">
        <v>34.052999999999997</v>
      </c>
      <c r="D8490" s="28">
        <v>2.6388888888888889E-2</v>
      </c>
    </row>
    <row r="8491" spans="1:4" x14ac:dyDescent="0.25">
      <c r="A8491" s="24" t="s">
        <v>152</v>
      </c>
      <c r="B8491" s="24" t="s">
        <v>105</v>
      </c>
      <c r="C8491" s="32">
        <v>31.422000000000001</v>
      </c>
      <c r="D8491" s="28">
        <v>2.9166666666666664E-2</v>
      </c>
    </row>
    <row r="8492" spans="1:4" x14ac:dyDescent="0.25">
      <c r="A8492" s="24" t="s">
        <v>152</v>
      </c>
      <c r="B8492" s="24" t="s">
        <v>106</v>
      </c>
      <c r="C8492" s="32">
        <v>27.228999999999999</v>
      </c>
      <c r="D8492" s="28">
        <v>2.2222222222222223E-2</v>
      </c>
    </row>
    <row r="8493" spans="1:4" x14ac:dyDescent="0.25">
      <c r="A8493" s="24" t="s">
        <v>152</v>
      </c>
      <c r="B8493" s="24" t="s">
        <v>107</v>
      </c>
      <c r="C8493" s="32">
        <v>35.363999999999997</v>
      </c>
      <c r="D8493" s="28">
        <v>3.125E-2</v>
      </c>
    </row>
    <row r="8494" spans="1:4" x14ac:dyDescent="0.25">
      <c r="A8494" s="24" t="s">
        <v>152</v>
      </c>
      <c r="B8494" s="24" t="s">
        <v>108</v>
      </c>
      <c r="C8494" s="32">
        <v>33.75</v>
      </c>
      <c r="D8494" s="28">
        <v>2.8472222222222222E-2</v>
      </c>
    </row>
    <row r="8495" spans="1:4" x14ac:dyDescent="0.25">
      <c r="A8495" s="24" t="s">
        <v>152</v>
      </c>
      <c r="B8495" s="24" t="s">
        <v>109</v>
      </c>
      <c r="C8495" s="32">
        <v>33.78</v>
      </c>
      <c r="D8495" s="28">
        <v>2.8472222222222222E-2</v>
      </c>
    </row>
    <row r="8496" spans="1:4" x14ac:dyDescent="0.25">
      <c r="A8496" s="24" t="s">
        <v>152</v>
      </c>
      <c r="B8496" s="24" t="s">
        <v>110</v>
      </c>
      <c r="C8496" s="32">
        <v>30.446999999999999</v>
      </c>
      <c r="D8496" s="28">
        <v>2.6388888888888889E-2</v>
      </c>
    </row>
    <row r="8497" spans="1:4" x14ac:dyDescent="0.25">
      <c r="A8497" s="24" t="s">
        <v>152</v>
      </c>
      <c r="B8497" s="24" t="s">
        <v>111</v>
      </c>
      <c r="C8497" s="32">
        <v>30.670999999999999</v>
      </c>
      <c r="D8497" s="28">
        <v>2.361111111111111E-2</v>
      </c>
    </row>
    <row r="8498" spans="1:4" x14ac:dyDescent="0.25">
      <c r="A8498" s="24" t="s">
        <v>152</v>
      </c>
      <c r="B8498" s="24" t="s">
        <v>112</v>
      </c>
      <c r="C8498" s="32">
        <v>42.398000000000003</v>
      </c>
      <c r="D8498" s="28">
        <v>3.2638888888888891E-2</v>
      </c>
    </row>
    <row r="8499" spans="1:4" x14ac:dyDescent="0.25">
      <c r="A8499" s="24" t="s">
        <v>152</v>
      </c>
      <c r="B8499" s="24" t="s">
        <v>113</v>
      </c>
      <c r="C8499" s="32">
        <v>43.168999999999997</v>
      </c>
      <c r="D8499" s="28">
        <v>3.1944444444444449E-2</v>
      </c>
    </row>
    <row r="8500" spans="1:4" x14ac:dyDescent="0.25">
      <c r="A8500" s="24" t="s">
        <v>152</v>
      </c>
      <c r="B8500" s="24" t="s">
        <v>114</v>
      </c>
      <c r="C8500" s="32">
        <v>40.15</v>
      </c>
      <c r="D8500" s="28">
        <v>2.9166666666666664E-2</v>
      </c>
    </row>
    <row r="8501" spans="1:4" x14ac:dyDescent="0.25">
      <c r="A8501" s="24" t="s">
        <v>152</v>
      </c>
      <c r="B8501" s="24" t="s">
        <v>115</v>
      </c>
      <c r="C8501" s="32">
        <v>40.000999999999998</v>
      </c>
      <c r="D8501" s="28">
        <v>2.9166666666666664E-2</v>
      </c>
    </row>
    <row r="8502" spans="1:4" x14ac:dyDescent="0.25">
      <c r="A8502" s="24" t="s">
        <v>152</v>
      </c>
      <c r="B8502" s="24" t="s">
        <v>116</v>
      </c>
      <c r="C8502" s="32">
        <v>34.241</v>
      </c>
      <c r="D8502" s="28">
        <v>2.7083333333333334E-2</v>
      </c>
    </row>
    <row r="8503" spans="1:4" x14ac:dyDescent="0.25">
      <c r="A8503" s="24" t="s">
        <v>152</v>
      </c>
      <c r="B8503" s="24" t="s">
        <v>117</v>
      </c>
      <c r="C8503" s="32">
        <v>41.445</v>
      </c>
      <c r="D8503" s="28">
        <v>3.1944444444444449E-2</v>
      </c>
    </row>
    <row r="8504" spans="1:4" x14ac:dyDescent="0.25">
      <c r="A8504" s="24" t="s">
        <v>152</v>
      </c>
      <c r="B8504" s="24" t="s">
        <v>118</v>
      </c>
      <c r="C8504" s="32">
        <v>41.164000000000001</v>
      </c>
      <c r="D8504" s="28">
        <v>3.125E-2</v>
      </c>
    </row>
    <row r="8505" spans="1:4" x14ac:dyDescent="0.25">
      <c r="A8505" s="24" t="s">
        <v>152</v>
      </c>
      <c r="B8505" s="24" t="s">
        <v>119</v>
      </c>
      <c r="C8505" s="32">
        <v>55.249000000000002</v>
      </c>
      <c r="D8505" s="28">
        <v>3.888888888888889E-2</v>
      </c>
    </row>
    <row r="8506" spans="1:4" x14ac:dyDescent="0.25">
      <c r="A8506" s="24" t="s">
        <v>152</v>
      </c>
      <c r="B8506" s="24" t="s">
        <v>120</v>
      </c>
      <c r="C8506" s="32">
        <v>58.039000000000001</v>
      </c>
      <c r="D8506" s="28">
        <v>4.1666666666666664E-2</v>
      </c>
    </row>
    <row r="8507" spans="1:4" x14ac:dyDescent="0.25">
      <c r="A8507" s="24" t="s">
        <v>152</v>
      </c>
      <c r="B8507" s="24" t="s">
        <v>121</v>
      </c>
      <c r="C8507" s="32">
        <v>72.39</v>
      </c>
      <c r="D8507" s="28">
        <v>4.8611111111111112E-2</v>
      </c>
    </row>
    <row r="8508" spans="1:4" x14ac:dyDescent="0.25">
      <c r="A8508" s="24" t="s">
        <v>152</v>
      </c>
      <c r="B8508" s="24" t="s">
        <v>122</v>
      </c>
      <c r="C8508" s="32">
        <v>57.752000000000002</v>
      </c>
      <c r="D8508" s="28">
        <v>3.9583333333333331E-2</v>
      </c>
    </row>
    <row r="8509" spans="1:4" x14ac:dyDescent="0.25">
      <c r="A8509" s="24" t="s">
        <v>152</v>
      </c>
      <c r="B8509" s="24" t="s">
        <v>123</v>
      </c>
      <c r="C8509" s="32">
        <v>65.974999999999994</v>
      </c>
      <c r="D8509" s="28">
        <v>4.5138888888888888E-2</v>
      </c>
    </row>
    <row r="8510" spans="1:4" x14ac:dyDescent="0.25">
      <c r="A8510" s="24" t="s">
        <v>152</v>
      </c>
      <c r="B8510" s="24" t="s">
        <v>124</v>
      </c>
      <c r="C8510" s="32">
        <v>65.974999999999994</v>
      </c>
      <c r="D8510" s="28">
        <v>4.5138888888888888E-2</v>
      </c>
    </row>
    <row r="8511" spans="1:4" x14ac:dyDescent="0.25">
      <c r="A8511" s="24" t="s">
        <v>152</v>
      </c>
      <c r="B8511" s="24" t="s">
        <v>125</v>
      </c>
      <c r="C8511" s="32">
        <v>20.103000000000002</v>
      </c>
      <c r="D8511" s="28">
        <v>1.8749999999999999E-2</v>
      </c>
    </row>
    <row r="8512" spans="1:4" x14ac:dyDescent="0.25">
      <c r="A8512" s="24" t="s">
        <v>152</v>
      </c>
      <c r="B8512" s="24" t="s">
        <v>126</v>
      </c>
      <c r="C8512" s="32">
        <v>19.841000000000001</v>
      </c>
      <c r="D8512" s="28">
        <v>1.7361111111111112E-2</v>
      </c>
    </row>
    <row r="8513" spans="1:4" x14ac:dyDescent="0.25">
      <c r="A8513" s="24" t="s">
        <v>152</v>
      </c>
      <c r="B8513" s="24" t="s">
        <v>127</v>
      </c>
      <c r="C8513" s="32">
        <v>20.823</v>
      </c>
      <c r="D8513" s="28">
        <v>1.6666666666666666E-2</v>
      </c>
    </row>
    <row r="8514" spans="1:4" x14ac:dyDescent="0.25">
      <c r="A8514" s="24" t="s">
        <v>152</v>
      </c>
      <c r="B8514" s="24" t="s">
        <v>128</v>
      </c>
      <c r="C8514" s="32">
        <v>23.061</v>
      </c>
      <c r="D8514" s="28">
        <v>1.8749999999999999E-2</v>
      </c>
    </row>
    <row r="8515" spans="1:4" x14ac:dyDescent="0.25">
      <c r="A8515" s="24" t="s">
        <v>152</v>
      </c>
      <c r="B8515" s="24" t="s">
        <v>129</v>
      </c>
      <c r="C8515" s="32">
        <v>23.061</v>
      </c>
      <c r="D8515" s="28">
        <v>1.8749999999999999E-2</v>
      </c>
    </row>
    <row r="8516" spans="1:4" x14ac:dyDescent="0.25">
      <c r="A8516" s="24" t="s">
        <v>152</v>
      </c>
      <c r="B8516" s="24" t="s">
        <v>130</v>
      </c>
      <c r="C8516" s="32">
        <v>20.504000000000001</v>
      </c>
      <c r="D8516" s="28">
        <v>1.9444444444444445E-2</v>
      </c>
    </row>
    <row r="8517" spans="1:4" x14ac:dyDescent="0.25">
      <c r="A8517" s="24" t="s">
        <v>152</v>
      </c>
      <c r="B8517" s="24" t="s">
        <v>131</v>
      </c>
      <c r="C8517" s="32">
        <v>20.896000000000001</v>
      </c>
      <c r="D8517" s="28">
        <v>1.9444444444444445E-2</v>
      </c>
    </row>
    <row r="8518" spans="1:4" x14ac:dyDescent="0.25">
      <c r="A8518" s="24" t="s">
        <v>152</v>
      </c>
      <c r="B8518" s="24" t="s">
        <v>132</v>
      </c>
      <c r="C8518" s="32">
        <v>12.975</v>
      </c>
      <c r="D8518" s="28">
        <v>1.1805555555555555E-2</v>
      </c>
    </row>
    <row r="8519" spans="1:4" x14ac:dyDescent="0.25">
      <c r="A8519" s="24" t="s">
        <v>152</v>
      </c>
      <c r="B8519" s="24" t="s">
        <v>133</v>
      </c>
      <c r="C8519" s="32">
        <v>27.971</v>
      </c>
      <c r="D8519" s="28">
        <v>2.7083333333333334E-2</v>
      </c>
    </row>
    <row r="8520" spans="1:4" x14ac:dyDescent="0.25">
      <c r="A8520" s="24" t="s">
        <v>152</v>
      </c>
      <c r="B8520" s="24" t="s">
        <v>134</v>
      </c>
      <c r="C8520" s="32">
        <v>27.504999999999999</v>
      </c>
      <c r="D8520" s="28">
        <v>2.6388888888888889E-2</v>
      </c>
    </row>
    <row r="8521" spans="1:4" x14ac:dyDescent="0.25">
      <c r="A8521" s="24" t="s">
        <v>152</v>
      </c>
      <c r="B8521" s="24" t="s">
        <v>135</v>
      </c>
      <c r="C8521" s="32">
        <v>32.991</v>
      </c>
      <c r="D8521" s="28">
        <v>2.7083333333333334E-2</v>
      </c>
    </row>
    <row r="8522" spans="1:4" x14ac:dyDescent="0.25">
      <c r="A8522" s="24" t="s">
        <v>152</v>
      </c>
      <c r="B8522" s="24" t="s">
        <v>136</v>
      </c>
      <c r="C8522" s="32">
        <v>32.991</v>
      </c>
      <c r="D8522" s="28">
        <v>2.7083333333333334E-2</v>
      </c>
    </row>
    <row r="8523" spans="1:4" x14ac:dyDescent="0.25">
      <c r="A8523" s="24" t="s">
        <v>152</v>
      </c>
      <c r="B8523" s="24" t="s">
        <v>137</v>
      </c>
      <c r="C8523" s="32">
        <v>27.658000000000001</v>
      </c>
      <c r="D8523" s="28">
        <v>2.7083333333333334E-2</v>
      </c>
    </row>
    <row r="8524" spans="1:4" x14ac:dyDescent="0.25">
      <c r="A8524" s="24" t="s">
        <v>152</v>
      </c>
      <c r="B8524" s="24" t="s">
        <v>138</v>
      </c>
      <c r="C8524" s="32">
        <v>35.679000000000002</v>
      </c>
      <c r="D8524" s="28">
        <v>2.9166666666666664E-2</v>
      </c>
    </row>
    <row r="8525" spans="1:4" x14ac:dyDescent="0.25">
      <c r="A8525" s="24" t="s">
        <v>152</v>
      </c>
      <c r="B8525" s="24" t="s">
        <v>139</v>
      </c>
      <c r="C8525" s="32">
        <v>36.075000000000003</v>
      </c>
      <c r="D8525" s="28">
        <v>2.7777777777777776E-2</v>
      </c>
    </row>
    <row r="8526" spans="1:4" x14ac:dyDescent="0.25">
      <c r="A8526" s="24" t="s">
        <v>152</v>
      </c>
      <c r="B8526" s="24" t="s">
        <v>140</v>
      </c>
      <c r="C8526" s="32">
        <v>33.298000000000002</v>
      </c>
      <c r="D8526" s="28">
        <v>2.5694444444444447E-2</v>
      </c>
    </row>
    <row r="8527" spans="1:4" x14ac:dyDescent="0.25">
      <c r="A8527" s="24" t="s">
        <v>152</v>
      </c>
      <c r="B8527" s="24" t="s">
        <v>141</v>
      </c>
      <c r="C8527" s="32">
        <v>60.786000000000001</v>
      </c>
      <c r="D8527" s="28">
        <v>4.7222222222222221E-2</v>
      </c>
    </row>
    <row r="8528" spans="1:4" x14ac:dyDescent="0.25">
      <c r="A8528" s="24" t="s">
        <v>152</v>
      </c>
      <c r="B8528" s="24" t="s">
        <v>142</v>
      </c>
      <c r="C8528" s="32">
        <v>49.259</v>
      </c>
      <c r="D8528" s="28">
        <v>3.8194444444444441E-2</v>
      </c>
    </row>
    <row r="8529" spans="1:4" x14ac:dyDescent="0.25">
      <c r="A8529" s="24" t="s">
        <v>152</v>
      </c>
      <c r="B8529" s="24" t="s">
        <v>143</v>
      </c>
      <c r="C8529" s="32">
        <v>67.637</v>
      </c>
      <c r="D8529" s="28">
        <v>4.5833333333333337E-2</v>
      </c>
    </row>
    <row r="8530" spans="1:4" x14ac:dyDescent="0.25">
      <c r="A8530" s="24" t="s">
        <v>152</v>
      </c>
      <c r="B8530" s="24" t="s">
        <v>144</v>
      </c>
      <c r="C8530" s="32">
        <v>86.753</v>
      </c>
      <c r="D8530" s="28">
        <v>5.6250000000000001E-2</v>
      </c>
    </row>
    <row r="8531" spans="1:4" x14ac:dyDescent="0.25">
      <c r="A8531" s="24" t="s">
        <v>152</v>
      </c>
      <c r="B8531" s="24" t="s">
        <v>145</v>
      </c>
      <c r="C8531" s="32">
        <v>50.485999999999997</v>
      </c>
      <c r="D8531" s="28">
        <v>3.8194444444444441E-2</v>
      </c>
    </row>
    <row r="8532" spans="1:4" x14ac:dyDescent="0.25">
      <c r="A8532" s="24" t="s">
        <v>152</v>
      </c>
      <c r="B8532" s="24" t="s">
        <v>146</v>
      </c>
      <c r="C8532" s="32">
        <v>60.247</v>
      </c>
      <c r="D8532" s="28">
        <v>4.5833333333333337E-2</v>
      </c>
    </row>
    <row r="8533" spans="1:4" x14ac:dyDescent="0.25">
      <c r="A8533" s="24" t="s">
        <v>152</v>
      </c>
      <c r="B8533" s="24" t="s">
        <v>147</v>
      </c>
      <c r="C8533" s="32">
        <v>27.155999999999999</v>
      </c>
      <c r="D8533" s="28">
        <v>2.1527777777777781E-2</v>
      </c>
    </row>
    <row r="8534" spans="1:4" x14ac:dyDescent="0.25">
      <c r="A8534" s="24" t="s">
        <v>152</v>
      </c>
      <c r="B8534" s="24" t="s">
        <v>148</v>
      </c>
      <c r="C8534" s="32">
        <v>24.33</v>
      </c>
      <c r="D8534" s="28">
        <v>2.0833333333333332E-2</v>
      </c>
    </row>
    <row r="8535" spans="1:4" x14ac:dyDescent="0.25">
      <c r="A8535" s="24" t="s">
        <v>152</v>
      </c>
      <c r="B8535" s="24" t="s">
        <v>149</v>
      </c>
      <c r="C8535" s="32">
        <v>14.343</v>
      </c>
      <c r="D8535" s="28">
        <v>1.3194444444444444E-2</v>
      </c>
    </row>
    <row r="8536" spans="1:4" x14ac:dyDescent="0.25">
      <c r="A8536" s="24" t="s">
        <v>152</v>
      </c>
      <c r="B8536" s="24" t="s">
        <v>150</v>
      </c>
      <c r="C8536" s="32">
        <v>4.99</v>
      </c>
      <c r="D8536" s="28">
        <v>5.5555555555555558E-3</v>
      </c>
    </row>
    <row r="8537" spans="1:4" x14ac:dyDescent="0.25">
      <c r="A8537" s="24" t="s">
        <v>152</v>
      </c>
      <c r="B8537" s="24" t="s">
        <v>151</v>
      </c>
      <c r="C8537" s="32">
        <v>5.64</v>
      </c>
      <c r="D8537" s="28">
        <v>6.2499999999999995E-3</v>
      </c>
    </row>
    <row r="8538" spans="1:4" x14ac:dyDescent="0.25">
      <c r="A8538" s="24" t="s">
        <v>152</v>
      </c>
      <c r="B8538" s="24" t="s">
        <v>152</v>
      </c>
      <c r="C8538" s="32">
        <v>0</v>
      </c>
      <c r="D8538" s="28">
        <v>0</v>
      </c>
    </row>
    <row r="8539" spans="1:4" x14ac:dyDescent="0.25">
      <c r="A8539" s="24" t="s">
        <v>152</v>
      </c>
      <c r="B8539" s="24" t="s">
        <v>153</v>
      </c>
      <c r="C8539" s="32">
        <v>7.8150000000000004</v>
      </c>
      <c r="D8539" s="28">
        <v>1.1111111111111112E-2</v>
      </c>
    </row>
    <row r="8540" spans="1:4" x14ac:dyDescent="0.25">
      <c r="A8540" s="24" t="s">
        <v>152</v>
      </c>
      <c r="B8540" s="24" t="s">
        <v>154</v>
      </c>
      <c r="C8540" s="32">
        <v>5.532</v>
      </c>
      <c r="D8540" s="28">
        <v>5.5555555555555558E-3</v>
      </c>
    </row>
    <row r="8541" spans="1:4" x14ac:dyDescent="0.25">
      <c r="A8541" s="24" t="s">
        <v>152</v>
      </c>
      <c r="B8541" s="24" t="s">
        <v>155</v>
      </c>
      <c r="C8541" s="32">
        <v>6.3620000000000001</v>
      </c>
      <c r="D8541" s="28">
        <v>6.9444444444444441E-3</v>
      </c>
    </row>
    <row r="8542" spans="1:4" x14ac:dyDescent="0.25">
      <c r="A8542" s="24" t="s">
        <v>152</v>
      </c>
      <c r="B8542" s="24" t="s">
        <v>156</v>
      </c>
      <c r="C8542" s="32">
        <v>6.3460000000000001</v>
      </c>
      <c r="D8542" s="28">
        <v>6.9444444444444441E-3</v>
      </c>
    </row>
    <row r="8543" spans="1:4" x14ac:dyDescent="0.25">
      <c r="A8543" s="24" t="s">
        <v>152</v>
      </c>
      <c r="B8543" s="24" t="s">
        <v>157</v>
      </c>
      <c r="C8543" s="32">
        <v>23.390999999999998</v>
      </c>
      <c r="D8543" s="28">
        <v>2.013888888888889E-2</v>
      </c>
    </row>
    <row r="8544" spans="1:4" x14ac:dyDescent="0.25">
      <c r="A8544" s="24" t="s">
        <v>152</v>
      </c>
      <c r="B8544" s="24" t="s">
        <v>158</v>
      </c>
      <c r="C8544" s="32">
        <v>31.34</v>
      </c>
      <c r="D8544" s="28">
        <v>2.6388888888888889E-2</v>
      </c>
    </row>
    <row r="8545" spans="1:4" x14ac:dyDescent="0.25">
      <c r="A8545" s="24" t="s">
        <v>152</v>
      </c>
      <c r="B8545" s="24" t="s">
        <v>159</v>
      </c>
      <c r="C8545" s="32">
        <v>41.295999999999999</v>
      </c>
      <c r="D8545" s="28">
        <v>3.6805555555555557E-2</v>
      </c>
    </row>
    <row r="8546" spans="1:4" x14ac:dyDescent="0.25">
      <c r="A8546" s="24" t="s">
        <v>153</v>
      </c>
      <c r="B8546" s="24" t="s">
        <v>65</v>
      </c>
      <c r="C8546" s="32">
        <v>37.109000000000002</v>
      </c>
      <c r="D8546" s="28">
        <v>3.0555555555555555E-2</v>
      </c>
    </row>
    <row r="8547" spans="1:4" x14ac:dyDescent="0.25">
      <c r="A8547" s="24" t="s">
        <v>153</v>
      </c>
      <c r="B8547" s="24" t="s">
        <v>64</v>
      </c>
      <c r="C8547" s="32">
        <v>24.285</v>
      </c>
      <c r="D8547" s="28">
        <v>2.361111111111111E-2</v>
      </c>
    </row>
    <row r="8548" spans="1:4" x14ac:dyDescent="0.25">
      <c r="A8548" s="24" t="s">
        <v>153</v>
      </c>
      <c r="B8548" s="24" t="s">
        <v>66</v>
      </c>
      <c r="C8548" s="32">
        <v>22.376000000000001</v>
      </c>
      <c r="D8548" s="28">
        <v>1.9444444444444445E-2</v>
      </c>
    </row>
    <row r="8549" spans="1:4" x14ac:dyDescent="0.25">
      <c r="A8549" s="24" t="s">
        <v>153</v>
      </c>
      <c r="B8549" s="24" t="s">
        <v>67</v>
      </c>
      <c r="C8549" s="32">
        <v>22.423999999999999</v>
      </c>
      <c r="D8549" s="28">
        <v>2.1527777777777781E-2</v>
      </c>
    </row>
    <row r="8550" spans="1:4" x14ac:dyDescent="0.25">
      <c r="A8550" s="24" t="s">
        <v>153</v>
      </c>
      <c r="B8550" s="24" t="s">
        <v>68</v>
      </c>
      <c r="C8550" s="32">
        <v>21.683</v>
      </c>
      <c r="D8550" s="28">
        <v>2.013888888888889E-2</v>
      </c>
    </row>
    <row r="8551" spans="1:4" x14ac:dyDescent="0.25">
      <c r="A8551" s="24" t="s">
        <v>153</v>
      </c>
      <c r="B8551" s="24" t="s">
        <v>69</v>
      </c>
      <c r="C8551" s="32">
        <v>21.498999999999999</v>
      </c>
      <c r="D8551" s="28">
        <v>1.9444444444444445E-2</v>
      </c>
    </row>
    <row r="8552" spans="1:4" x14ac:dyDescent="0.25">
      <c r="A8552" s="24" t="s">
        <v>153</v>
      </c>
      <c r="B8552" s="24" t="s">
        <v>70</v>
      </c>
      <c r="C8552" s="32">
        <v>21.315999999999999</v>
      </c>
      <c r="D8552" s="28">
        <v>1.8749999999999999E-2</v>
      </c>
    </row>
    <row r="8553" spans="1:4" x14ac:dyDescent="0.25">
      <c r="A8553" s="24" t="s">
        <v>153</v>
      </c>
      <c r="B8553" s="24" t="s">
        <v>71</v>
      </c>
      <c r="C8553" s="32">
        <v>22.076000000000001</v>
      </c>
      <c r="D8553" s="28">
        <v>2.013888888888889E-2</v>
      </c>
    </row>
    <row r="8554" spans="1:4" x14ac:dyDescent="0.25">
      <c r="A8554" s="24" t="s">
        <v>153</v>
      </c>
      <c r="B8554" s="24" t="s">
        <v>72</v>
      </c>
      <c r="C8554" s="32">
        <v>23.568000000000001</v>
      </c>
      <c r="D8554" s="28">
        <v>2.361111111111111E-2</v>
      </c>
    </row>
    <row r="8555" spans="1:4" x14ac:dyDescent="0.25">
      <c r="A8555" s="24" t="s">
        <v>153</v>
      </c>
      <c r="B8555" s="24" t="s">
        <v>73</v>
      </c>
      <c r="C8555" s="32">
        <v>23.100999999999999</v>
      </c>
      <c r="D8555" s="28">
        <v>2.2222222222222223E-2</v>
      </c>
    </row>
    <row r="8556" spans="1:4" x14ac:dyDescent="0.25">
      <c r="A8556" s="24" t="s">
        <v>153</v>
      </c>
      <c r="B8556" s="24" t="s">
        <v>74</v>
      </c>
      <c r="C8556" s="32">
        <v>26.76</v>
      </c>
      <c r="D8556" s="28">
        <v>2.7083333333333334E-2</v>
      </c>
    </row>
    <row r="8557" spans="1:4" x14ac:dyDescent="0.25">
      <c r="A8557" s="24" t="s">
        <v>153</v>
      </c>
      <c r="B8557" s="24" t="s">
        <v>75</v>
      </c>
      <c r="C8557" s="32">
        <v>27.097999999999999</v>
      </c>
      <c r="D8557" s="28">
        <v>2.5694444444444447E-2</v>
      </c>
    </row>
    <row r="8558" spans="1:4" x14ac:dyDescent="0.25">
      <c r="A8558" s="24" t="s">
        <v>153</v>
      </c>
      <c r="B8558" s="24" t="s">
        <v>76</v>
      </c>
      <c r="C8558" s="32">
        <v>33.234999999999999</v>
      </c>
      <c r="D8558" s="28">
        <v>2.7777777777777776E-2</v>
      </c>
    </row>
    <row r="8559" spans="1:4" x14ac:dyDescent="0.25">
      <c r="A8559" s="24" t="s">
        <v>153</v>
      </c>
      <c r="B8559" s="24" t="s">
        <v>77</v>
      </c>
      <c r="C8559" s="32">
        <v>26.593</v>
      </c>
      <c r="D8559" s="28">
        <v>2.2222222222222223E-2</v>
      </c>
    </row>
    <row r="8560" spans="1:4" x14ac:dyDescent="0.25">
      <c r="A8560" s="24" t="s">
        <v>153</v>
      </c>
      <c r="B8560" s="24" t="s">
        <v>78</v>
      </c>
      <c r="C8560" s="32">
        <v>21.634</v>
      </c>
      <c r="D8560" s="28">
        <v>1.8749999999999999E-2</v>
      </c>
    </row>
    <row r="8561" spans="1:4" x14ac:dyDescent="0.25">
      <c r="A8561" s="24" t="s">
        <v>153</v>
      </c>
      <c r="B8561" s="24" t="s">
        <v>79</v>
      </c>
      <c r="C8561" s="32">
        <v>36.137</v>
      </c>
      <c r="D8561" s="28">
        <v>3.4722222222222224E-2</v>
      </c>
    </row>
    <row r="8562" spans="1:4" x14ac:dyDescent="0.25">
      <c r="A8562" s="24" t="s">
        <v>153</v>
      </c>
      <c r="B8562" s="24" t="s">
        <v>80</v>
      </c>
      <c r="C8562" s="32">
        <v>41.103999999999999</v>
      </c>
      <c r="D8562" s="28">
        <v>3.2638888888888891E-2</v>
      </c>
    </row>
    <row r="8563" spans="1:4" x14ac:dyDescent="0.25">
      <c r="A8563" s="24" t="s">
        <v>153</v>
      </c>
      <c r="B8563" s="24" t="s">
        <v>81</v>
      </c>
      <c r="C8563" s="32">
        <v>44.854999999999997</v>
      </c>
      <c r="D8563" s="28">
        <v>3.4722222222222224E-2</v>
      </c>
    </row>
    <row r="8564" spans="1:4" x14ac:dyDescent="0.25">
      <c r="A8564" s="24" t="s">
        <v>153</v>
      </c>
      <c r="B8564" s="24" t="s">
        <v>82</v>
      </c>
      <c r="C8564" s="32">
        <v>44.906999999999996</v>
      </c>
      <c r="D8564" s="28">
        <v>3.4722222222222224E-2</v>
      </c>
    </row>
    <row r="8565" spans="1:4" x14ac:dyDescent="0.25">
      <c r="A8565" s="24" t="s">
        <v>153</v>
      </c>
      <c r="B8565" s="24" t="s">
        <v>83</v>
      </c>
      <c r="C8565" s="32">
        <v>29.516999999999999</v>
      </c>
      <c r="D8565" s="28">
        <v>2.7083333333333334E-2</v>
      </c>
    </row>
    <row r="8566" spans="1:4" x14ac:dyDescent="0.25">
      <c r="A8566" s="24" t="s">
        <v>153</v>
      </c>
      <c r="B8566" s="24" t="s">
        <v>84</v>
      </c>
      <c r="C8566" s="32">
        <v>27.564</v>
      </c>
      <c r="D8566" s="28">
        <v>2.7083333333333334E-2</v>
      </c>
    </row>
    <row r="8567" spans="1:4" x14ac:dyDescent="0.25">
      <c r="A8567" s="24" t="s">
        <v>153</v>
      </c>
      <c r="B8567" s="24" t="s">
        <v>85</v>
      </c>
      <c r="C8567" s="32">
        <v>27.745999999999999</v>
      </c>
      <c r="D8567" s="28">
        <v>2.7777777777777776E-2</v>
      </c>
    </row>
    <row r="8568" spans="1:4" x14ac:dyDescent="0.25">
      <c r="A8568" s="24" t="s">
        <v>153</v>
      </c>
      <c r="B8568" s="24" t="s">
        <v>86</v>
      </c>
      <c r="C8568" s="32">
        <v>28.221</v>
      </c>
      <c r="D8568" s="28">
        <v>2.7083333333333334E-2</v>
      </c>
    </row>
    <row r="8569" spans="1:4" x14ac:dyDescent="0.25">
      <c r="A8569" s="24" t="s">
        <v>153</v>
      </c>
      <c r="B8569" s="24" t="s">
        <v>87</v>
      </c>
      <c r="C8569" s="32">
        <v>28.335999999999999</v>
      </c>
      <c r="D8569" s="28">
        <v>2.7083333333333334E-2</v>
      </c>
    </row>
    <row r="8570" spans="1:4" x14ac:dyDescent="0.25">
      <c r="A8570" s="24" t="s">
        <v>153</v>
      </c>
      <c r="B8570" s="24" t="s">
        <v>88</v>
      </c>
      <c r="C8570" s="32">
        <v>31.408000000000001</v>
      </c>
      <c r="D8570" s="28">
        <v>2.8472222222222222E-2</v>
      </c>
    </row>
    <row r="8571" spans="1:4" x14ac:dyDescent="0.25">
      <c r="A8571" s="24" t="s">
        <v>153</v>
      </c>
      <c r="B8571" s="24" t="s">
        <v>89</v>
      </c>
      <c r="C8571" s="32">
        <v>32.75</v>
      </c>
      <c r="D8571" s="28">
        <v>3.1944444444444449E-2</v>
      </c>
    </row>
    <row r="8572" spans="1:4" x14ac:dyDescent="0.25">
      <c r="A8572" s="24" t="s">
        <v>153</v>
      </c>
      <c r="B8572" s="24" t="s">
        <v>90</v>
      </c>
      <c r="C8572" s="32">
        <v>34.470999999999997</v>
      </c>
      <c r="D8572" s="28">
        <v>3.3333333333333333E-2</v>
      </c>
    </row>
    <row r="8573" spans="1:4" x14ac:dyDescent="0.25">
      <c r="A8573" s="24" t="s">
        <v>153</v>
      </c>
      <c r="B8573" s="24" t="s">
        <v>91</v>
      </c>
      <c r="C8573" s="32">
        <v>32.594999999999999</v>
      </c>
      <c r="D8573" s="28">
        <v>3.0555555555555555E-2</v>
      </c>
    </row>
    <row r="8574" spans="1:4" x14ac:dyDescent="0.25">
      <c r="A8574" s="24" t="s">
        <v>153</v>
      </c>
      <c r="B8574" s="24" t="s">
        <v>92</v>
      </c>
      <c r="C8574" s="32">
        <v>39.18</v>
      </c>
      <c r="D8574" s="28">
        <v>3.2638888888888891E-2</v>
      </c>
    </row>
    <row r="8575" spans="1:4" x14ac:dyDescent="0.25">
      <c r="A8575" s="24" t="s">
        <v>153</v>
      </c>
      <c r="B8575" s="24" t="s">
        <v>93</v>
      </c>
      <c r="C8575" s="32">
        <v>62.902000000000001</v>
      </c>
      <c r="D8575" s="28">
        <v>4.5138888888888888E-2</v>
      </c>
    </row>
    <row r="8576" spans="1:4" x14ac:dyDescent="0.25">
      <c r="A8576" s="24" t="s">
        <v>153</v>
      </c>
      <c r="B8576" s="24" t="s">
        <v>94</v>
      </c>
      <c r="C8576" s="32">
        <v>63.530999999999999</v>
      </c>
      <c r="D8576" s="28">
        <v>4.5833333333333337E-2</v>
      </c>
    </row>
    <row r="8577" spans="1:4" x14ac:dyDescent="0.25">
      <c r="A8577" s="24" t="s">
        <v>153</v>
      </c>
      <c r="B8577" s="24" t="s">
        <v>95</v>
      </c>
      <c r="C8577" s="32">
        <v>45.191000000000003</v>
      </c>
      <c r="D8577" s="28">
        <v>3.6111111111111115E-2</v>
      </c>
    </row>
    <row r="8578" spans="1:4" x14ac:dyDescent="0.25">
      <c r="A8578" s="24" t="s">
        <v>153</v>
      </c>
      <c r="B8578" s="24" t="s">
        <v>96</v>
      </c>
      <c r="C8578" s="32">
        <v>18.516999999999999</v>
      </c>
      <c r="D8578" s="28">
        <v>1.9444444444444445E-2</v>
      </c>
    </row>
    <row r="8579" spans="1:4" x14ac:dyDescent="0.25">
      <c r="A8579" s="24" t="s">
        <v>153</v>
      </c>
      <c r="B8579" s="24" t="s">
        <v>97</v>
      </c>
      <c r="C8579" s="32">
        <v>26.802</v>
      </c>
      <c r="D8579" s="28">
        <v>2.6388888888888889E-2</v>
      </c>
    </row>
    <row r="8580" spans="1:4" x14ac:dyDescent="0.25">
      <c r="A8580" s="24" t="s">
        <v>153</v>
      </c>
      <c r="B8580" s="24" t="s">
        <v>98</v>
      </c>
      <c r="C8580" s="32">
        <v>27.63</v>
      </c>
      <c r="D8580" s="28">
        <v>2.9166666666666664E-2</v>
      </c>
    </row>
    <row r="8581" spans="1:4" x14ac:dyDescent="0.25">
      <c r="A8581" s="24" t="s">
        <v>153</v>
      </c>
      <c r="B8581" s="24" t="s">
        <v>99</v>
      </c>
      <c r="C8581" s="32">
        <v>27.937000000000001</v>
      </c>
      <c r="D8581" s="28">
        <v>2.7083333333333334E-2</v>
      </c>
    </row>
    <row r="8582" spans="1:4" x14ac:dyDescent="0.25">
      <c r="A8582" s="24" t="s">
        <v>153</v>
      </c>
      <c r="B8582" s="24" t="s">
        <v>100</v>
      </c>
      <c r="C8582" s="32">
        <v>38.932000000000002</v>
      </c>
      <c r="D8582" s="28">
        <v>3.6111111111111115E-2</v>
      </c>
    </row>
    <row r="8583" spans="1:4" x14ac:dyDescent="0.25">
      <c r="A8583" s="24" t="s">
        <v>153</v>
      </c>
      <c r="B8583" s="24" t="s">
        <v>101</v>
      </c>
      <c r="C8583" s="32">
        <v>25.273</v>
      </c>
      <c r="D8583" s="28">
        <v>2.7083333333333334E-2</v>
      </c>
    </row>
    <row r="8584" spans="1:4" x14ac:dyDescent="0.25">
      <c r="A8584" s="24" t="s">
        <v>153</v>
      </c>
      <c r="B8584" s="24" t="s">
        <v>102</v>
      </c>
      <c r="C8584" s="32">
        <v>24.881</v>
      </c>
      <c r="D8584" s="28">
        <v>2.6388888888888889E-2</v>
      </c>
    </row>
    <row r="8585" spans="1:4" x14ac:dyDescent="0.25">
      <c r="A8585" s="24" t="s">
        <v>153</v>
      </c>
      <c r="B8585" s="24" t="s">
        <v>103</v>
      </c>
      <c r="C8585" s="32">
        <v>31.681999999999999</v>
      </c>
      <c r="D8585" s="28">
        <v>2.8472222222222222E-2</v>
      </c>
    </row>
    <row r="8586" spans="1:4" x14ac:dyDescent="0.25">
      <c r="A8586" s="24" t="s">
        <v>153</v>
      </c>
      <c r="B8586" s="24" t="s">
        <v>104</v>
      </c>
      <c r="C8586" s="32">
        <v>38.073999999999998</v>
      </c>
      <c r="D8586" s="28">
        <v>3.125E-2</v>
      </c>
    </row>
    <row r="8587" spans="1:4" x14ac:dyDescent="0.25">
      <c r="A8587" s="24" t="s">
        <v>153</v>
      </c>
      <c r="B8587" s="24" t="s">
        <v>105</v>
      </c>
      <c r="C8587" s="32">
        <v>36.505000000000003</v>
      </c>
      <c r="D8587" s="28">
        <v>3.4027777777777775E-2</v>
      </c>
    </row>
    <row r="8588" spans="1:4" x14ac:dyDescent="0.25">
      <c r="A8588" s="24" t="s">
        <v>153</v>
      </c>
      <c r="B8588" s="24" t="s">
        <v>106</v>
      </c>
      <c r="C8588" s="32">
        <v>30.478999999999999</v>
      </c>
      <c r="D8588" s="28">
        <v>2.6388888888888889E-2</v>
      </c>
    </row>
    <row r="8589" spans="1:4" x14ac:dyDescent="0.25">
      <c r="A8589" s="24" t="s">
        <v>153</v>
      </c>
      <c r="B8589" s="24" t="s">
        <v>107</v>
      </c>
      <c r="C8589" s="32">
        <v>39.384999999999998</v>
      </c>
      <c r="D8589" s="28">
        <v>3.6111111111111115E-2</v>
      </c>
    </row>
    <row r="8590" spans="1:4" x14ac:dyDescent="0.25">
      <c r="A8590" s="24" t="s">
        <v>153</v>
      </c>
      <c r="B8590" s="24" t="s">
        <v>108</v>
      </c>
      <c r="C8590" s="32">
        <v>37.771000000000001</v>
      </c>
      <c r="D8590" s="28">
        <v>3.4027777777777775E-2</v>
      </c>
    </row>
    <row r="8591" spans="1:4" x14ac:dyDescent="0.25">
      <c r="A8591" s="24" t="s">
        <v>153</v>
      </c>
      <c r="B8591" s="24" t="s">
        <v>109</v>
      </c>
      <c r="C8591" s="32">
        <v>37.801000000000002</v>
      </c>
      <c r="D8591" s="28">
        <v>3.4027777777777775E-2</v>
      </c>
    </row>
    <row r="8592" spans="1:4" x14ac:dyDescent="0.25">
      <c r="A8592" s="24" t="s">
        <v>153</v>
      </c>
      <c r="B8592" s="24" t="s">
        <v>110</v>
      </c>
      <c r="C8592" s="32">
        <v>34.468000000000004</v>
      </c>
      <c r="D8592" s="28">
        <v>3.1944444444444449E-2</v>
      </c>
    </row>
    <row r="8593" spans="1:4" x14ac:dyDescent="0.25">
      <c r="A8593" s="24" t="s">
        <v>153</v>
      </c>
      <c r="B8593" s="24" t="s">
        <v>111</v>
      </c>
      <c r="C8593" s="32">
        <v>33.920999999999999</v>
      </c>
      <c r="D8593" s="28">
        <v>2.8472222222222222E-2</v>
      </c>
    </row>
    <row r="8594" spans="1:4" x14ac:dyDescent="0.25">
      <c r="A8594" s="24" t="s">
        <v>153</v>
      </c>
      <c r="B8594" s="24" t="s">
        <v>112</v>
      </c>
      <c r="C8594" s="32">
        <v>46.485999999999997</v>
      </c>
      <c r="D8594" s="28">
        <v>3.6805555555555557E-2</v>
      </c>
    </row>
    <row r="8595" spans="1:4" x14ac:dyDescent="0.25">
      <c r="A8595" s="24" t="s">
        <v>153</v>
      </c>
      <c r="B8595" s="24" t="s">
        <v>113</v>
      </c>
      <c r="C8595" s="32">
        <v>46.234000000000002</v>
      </c>
      <c r="D8595" s="28">
        <v>3.4722222222222224E-2</v>
      </c>
    </row>
    <row r="8596" spans="1:4" x14ac:dyDescent="0.25">
      <c r="A8596" s="24" t="s">
        <v>153</v>
      </c>
      <c r="B8596" s="24" t="s">
        <v>114</v>
      </c>
      <c r="C8596" s="32">
        <v>44.170999999999999</v>
      </c>
      <c r="D8596" s="28">
        <v>3.4027777777777775E-2</v>
      </c>
    </row>
    <row r="8597" spans="1:4" x14ac:dyDescent="0.25">
      <c r="A8597" s="24" t="s">
        <v>153</v>
      </c>
      <c r="B8597" s="24" t="s">
        <v>115</v>
      </c>
      <c r="C8597" s="32">
        <v>40.054000000000002</v>
      </c>
      <c r="D8597" s="28">
        <v>3.4722222222222224E-2</v>
      </c>
    </row>
    <row r="8598" spans="1:4" x14ac:dyDescent="0.25">
      <c r="A8598" s="24" t="s">
        <v>153</v>
      </c>
      <c r="B8598" s="24" t="s">
        <v>116</v>
      </c>
      <c r="C8598" s="32">
        <v>38.262</v>
      </c>
      <c r="D8598" s="28">
        <v>3.1944444444444449E-2</v>
      </c>
    </row>
    <row r="8599" spans="1:4" x14ac:dyDescent="0.25">
      <c r="A8599" s="24" t="s">
        <v>153</v>
      </c>
      <c r="B8599" s="24" t="s">
        <v>117</v>
      </c>
      <c r="C8599" s="32">
        <v>45.466000000000001</v>
      </c>
      <c r="D8599" s="28">
        <v>3.7499999999999999E-2</v>
      </c>
    </row>
    <row r="8600" spans="1:4" x14ac:dyDescent="0.25">
      <c r="A8600" s="24" t="s">
        <v>153</v>
      </c>
      <c r="B8600" s="24" t="s">
        <v>118</v>
      </c>
      <c r="C8600" s="32">
        <v>45.185000000000002</v>
      </c>
      <c r="D8600" s="28">
        <v>3.6111111111111115E-2</v>
      </c>
    </row>
    <row r="8601" spans="1:4" x14ac:dyDescent="0.25">
      <c r="A8601" s="24" t="s">
        <v>153</v>
      </c>
      <c r="B8601" s="24" t="s">
        <v>119</v>
      </c>
      <c r="C8601" s="32">
        <v>56.45</v>
      </c>
      <c r="D8601" s="28">
        <v>4.2361111111111106E-2</v>
      </c>
    </row>
    <row r="8602" spans="1:4" x14ac:dyDescent="0.25">
      <c r="A8602" s="24" t="s">
        <v>153</v>
      </c>
      <c r="B8602" s="24" t="s">
        <v>120</v>
      </c>
      <c r="C8602" s="32">
        <v>59.24</v>
      </c>
      <c r="D8602" s="28">
        <v>4.5833333333333337E-2</v>
      </c>
    </row>
    <row r="8603" spans="1:4" x14ac:dyDescent="0.25">
      <c r="A8603" s="24" t="s">
        <v>153</v>
      </c>
      <c r="B8603" s="24" t="s">
        <v>121</v>
      </c>
      <c r="C8603" s="32">
        <v>75.122</v>
      </c>
      <c r="D8603" s="28">
        <v>5.2777777777777778E-2</v>
      </c>
    </row>
    <row r="8604" spans="1:4" x14ac:dyDescent="0.25">
      <c r="A8604" s="24" t="s">
        <v>153</v>
      </c>
      <c r="B8604" s="24" t="s">
        <v>122</v>
      </c>
      <c r="C8604" s="32">
        <v>61.773000000000003</v>
      </c>
      <c r="D8604" s="28">
        <v>4.4444444444444446E-2</v>
      </c>
    </row>
    <row r="8605" spans="1:4" x14ac:dyDescent="0.25">
      <c r="A8605" s="24" t="s">
        <v>153</v>
      </c>
      <c r="B8605" s="24" t="s">
        <v>123</v>
      </c>
      <c r="C8605" s="32">
        <v>68.706999999999994</v>
      </c>
      <c r="D8605" s="28">
        <v>4.8611111111111112E-2</v>
      </c>
    </row>
    <row r="8606" spans="1:4" x14ac:dyDescent="0.25">
      <c r="A8606" s="24" t="s">
        <v>153</v>
      </c>
      <c r="B8606" s="24" t="s">
        <v>124</v>
      </c>
      <c r="C8606" s="32">
        <v>68.706999999999994</v>
      </c>
      <c r="D8606" s="28">
        <v>4.8611111111111112E-2</v>
      </c>
    </row>
    <row r="8607" spans="1:4" x14ac:dyDescent="0.25">
      <c r="A8607" s="24" t="s">
        <v>153</v>
      </c>
      <c r="B8607" s="24" t="s">
        <v>125</v>
      </c>
      <c r="C8607" s="32">
        <v>21.943999999999999</v>
      </c>
      <c r="D8607" s="28">
        <v>2.2222222222222223E-2</v>
      </c>
    </row>
    <row r="8608" spans="1:4" x14ac:dyDescent="0.25">
      <c r="A8608" s="24" t="s">
        <v>153</v>
      </c>
      <c r="B8608" s="24" t="s">
        <v>126</v>
      </c>
      <c r="C8608" s="32">
        <v>21.681999999999999</v>
      </c>
      <c r="D8608" s="28">
        <v>2.1527777777777781E-2</v>
      </c>
    </row>
    <row r="8609" spans="1:4" x14ac:dyDescent="0.25">
      <c r="A8609" s="24" t="s">
        <v>153</v>
      </c>
      <c r="B8609" s="24" t="s">
        <v>127</v>
      </c>
      <c r="C8609" s="32">
        <v>24.073</v>
      </c>
      <c r="D8609" s="28">
        <v>2.1527777777777781E-2</v>
      </c>
    </row>
    <row r="8610" spans="1:4" x14ac:dyDescent="0.25">
      <c r="A8610" s="24" t="s">
        <v>153</v>
      </c>
      <c r="B8610" s="24" t="s">
        <v>128</v>
      </c>
      <c r="C8610" s="32">
        <v>26.311</v>
      </c>
      <c r="D8610" s="28">
        <v>2.361111111111111E-2</v>
      </c>
    </row>
    <row r="8611" spans="1:4" x14ac:dyDescent="0.25">
      <c r="A8611" s="24" t="s">
        <v>153</v>
      </c>
      <c r="B8611" s="24" t="s">
        <v>129</v>
      </c>
      <c r="C8611" s="32">
        <v>26.311</v>
      </c>
      <c r="D8611" s="28">
        <v>2.361111111111111E-2</v>
      </c>
    </row>
    <row r="8612" spans="1:4" x14ac:dyDescent="0.25">
      <c r="A8612" s="24" t="s">
        <v>153</v>
      </c>
      <c r="B8612" s="24" t="s">
        <v>130</v>
      </c>
      <c r="C8612" s="32">
        <v>22.344999999999999</v>
      </c>
      <c r="D8612" s="28">
        <v>2.2916666666666669E-2</v>
      </c>
    </row>
    <row r="8613" spans="1:4" x14ac:dyDescent="0.25">
      <c r="A8613" s="24" t="s">
        <v>153</v>
      </c>
      <c r="B8613" s="24" t="s">
        <v>131</v>
      </c>
      <c r="C8613" s="32">
        <v>24.893000000000001</v>
      </c>
      <c r="D8613" s="28">
        <v>2.4305555555555556E-2</v>
      </c>
    </row>
    <row r="8614" spans="1:4" x14ac:dyDescent="0.25">
      <c r="A8614" s="24" t="s">
        <v>153</v>
      </c>
      <c r="B8614" s="24" t="s">
        <v>132</v>
      </c>
      <c r="C8614" s="32">
        <v>16.053999999999998</v>
      </c>
      <c r="D8614" s="28">
        <v>1.4583333333333332E-2</v>
      </c>
    </row>
    <row r="8615" spans="1:4" x14ac:dyDescent="0.25">
      <c r="A8615" s="24" t="s">
        <v>153</v>
      </c>
      <c r="B8615" s="24" t="s">
        <v>133</v>
      </c>
      <c r="C8615" s="32">
        <v>31.05</v>
      </c>
      <c r="D8615" s="28">
        <v>2.9861111111111113E-2</v>
      </c>
    </row>
    <row r="8616" spans="1:4" x14ac:dyDescent="0.25">
      <c r="A8616" s="24" t="s">
        <v>153</v>
      </c>
      <c r="B8616" s="24" t="s">
        <v>134</v>
      </c>
      <c r="C8616" s="32">
        <v>30.584</v>
      </c>
      <c r="D8616" s="28">
        <v>2.8472222222222222E-2</v>
      </c>
    </row>
    <row r="8617" spans="1:4" x14ac:dyDescent="0.25">
      <c r="A8617" s="24" t="s">
        <v>153</v>
      </c>
      <c r="B8617" s="24" t="s">
        <v>135</v>
      </c>
      <c r="C8617" s="32">
        <v>36.07</v>
      </c>
      <c r="D8617" s="28">
        <v>2.9861111111111113E-2</v>
      </c>
    </row>
    <row r="8618" spans="1:4" x14ac:dyDescent="0.25">
      <c r="A8618" s="24" t="s">
        <v>153</v>
      </c>
      <c r="B8618" s="24" t="s">
        <v>136</v>
      </c>
      <c r="C8618" s="32">
        <v>36.07</v>
      </c>
      <c r="D8618" s="28">
        <v>2.9861111111111113E-2</v>
      </c>
    </row>
    <row r="8619" spans="1:4" x14ac:dyDescent="0.25">
      <c r="A8619" s="24" t="s">
        <v>153</v>
      </c>
      <c r="B8619" s="24" t="s">
        <v>137</v>
      </c>
      <c r="C8619" s="32">
        <v>30.736999999999998</v>
      </c>
      <c r="D8619" s="28">
        <v>2.9166666666666664E-2</v>
      </c>
    </row>
    <row r="8620" spans="1:4" x14ac:dyDescent="0.25">
      <c r="A8620" s="24" t="s">
        <v>153</v>
      </c>
      <c r="B8620" s="24" t="s">
        <v>138</v>
      </c>
      <c r="C8620" s="32">
        <v>42.091999999999999</v>
      </c>
      <c r="D8620" s="28">
        <v>3.1944444444444449E-2</v>
      </c>
    </row>
    <row r="8621" spans="1:4" x14ac:dyDescent="0.25">
      <c r="A8621" s="24" t="s">
        <v>153</v>
      </c>
      <c r="B8621" s="24" t="s">
        <v>139</v>
      </c>
      <c r="C8621" s="32">
        <v>39.14</v>
      </c>
      <c r="D8621" s="28">
        <v>3.0555555555555555E-2</v>
      </c>
    </row>
    <row r="8622" spans="1:4" x14ac:dyDescent="0.25">
      <c r="A8622" s="24" t="s">
        <v>153</v>
      </c>
      <c r="B8622" s="24" t="s">
        <v>140</v>
      </c>
      <c r="C8622" s="32">
        <v>36.377000000000002</v>
      </c>
      <c r="D8622" s="28">
        <v>2.8472222222222222E-2</v>
      </c>
    </row>
    <row r="8623" spans="1:4" x14ac:dyDescent="0.25">
      <c r="A8623" s="24" t="s">
        <v>153</v>
      </c>
      <c r="B8623" s="24" t="s">
        <v>141</v>
      </c>
      <c r="C8623" s="32">
        <v>63.865000000000002</v>
      </c>
      <c r="D8623" s="28">
        <v>4.9999999999999996E-2</v>
      </c>
    </row>
    <row r="8624" spans="1:4" x14ac:dyDescent="0.25">
      <c r="A8624" s="24" t="s">
        <v>153</v>
      </c>
      <c r="B8624" s="24" t="s">
        <v>142</v>
      </c>
      <c r="C8624" s="32">
        <v>53.457999999999998</v>
      </c>
      <c r="D8624" s="28">
        <v>4.1666666666666664E-2</v>
      </c>
    </row>
    <row r="8625" spans="1:4" x14ac:dyDescent="0.25">
      <c r="A8625" s="24" t="s">
        <v>153</v>
      </c>
      <c r="B8625" s="24" t="s">
        <v>143</v>
      </c>
      <c r="C8625" s="32">
        <v>71.835999999999999</v>
      </c>
      <c r="D8625" s="28">
        <v>4.8611111111111112E-2</v>
      </c>
    </row>
    <row r="8626" spans="1:4" x14ac:dyDescent="0.25">
      <c r="A8626" s="24" t="s">
        <v>153</v>
      </c>
      <c r="B8626" s="24" t="s">
        <v>144</v>
      </c>
      <c r="C8626" s="32">
        <v>90.951999999999998</v>
      </c>
      <c r="D8626" s="28">
        <v>5.9722222222222225E-2</v>
      </c>
    </row>
    <row r="8627" spans="1:4" x14ac:dyDescent="0.25">
      <c r="A8627" s="24" t="s">
        <v>153</v>
      </c>
      <c r="B8627" s="24" t="s">
        <v>145</v>
      </c>
      <c r="C8627" s="32">
        <v>52.314</v>
      </c>
      <c r="D8627" s="28">
        <v>4.0972222222222222E-2</v>
      </c>
    </row>
    <row r="8628" spans="1:4" x14ac:dyDescent="0.25">
      <c r="A8628" s="24" t="s">
        <v>153</v>
      </c>
      <c r="B8628" s="24" t="s">
        <v>146</v>
      </c>
      <c r="C8628" s="32">
        <v>63.326000000000001</v>
      </c>
      <c r="D8628" s="28">
        <v>4.8611111111111112E-2</v>
      </c>
    </row>
    <row r="8629" spans="1:4" x14ac:dyDescent="0.25">
      <c r="A8629" s="24" t="s">
        <v>153</v>
      </c>
      <c r="B8629" s="24" t="s">
        <v>147</v>
      </c>
      <c r="C8629" s="32">
        <v>30.405999999999999</v>
      </c>
      <c r="D8629" s="28">
        <v>2.6388888888888889E-2</v>
      </c>
    </row>
    <row r="8630" spans="1:4" x14ac:dyDescent="0.25">
      <c r="A8630" s="24" t="s">
        <v>153</v>
      </c>
      <c r="B8630" s="24" t="s">
        <v>148</v>
      </c>
      <c r="C8630" s="32">
        <v>27.58</v>
      </c>
      <c r="D8630" s="28">
        <v>2.5694444444444447E-2</v>
      </c>
    </row>
    <row r="8631" spans="1:4" x14ac:dyDescent="0.25">
      <c r="A8631" s="24" t="s">
        <v>153</v>
      </c>
      <c r="B8631" s="24" t="s">
        <v>149</v>
      </c>
      <c r="C8631" s="32">
        <v>17.422000000000001</v>
      </c>
      <c r="D8631" s="28">
        <v>1.5972222222222224E-2</v>
      </c>
    </row>
    <row r="8632" spans="1:4" x14ac:dyDescent="0.25">
      <c r="A8632" s="24" t="s">
        <v>153</v>
      </c>
      <c r="B8632" s="24" t="s">
        <v>150</v>
      </c>
      <c r="C8632" s="32">
        <v>10.204000000000001</v>
      </c>
      <c r="D8632" s="28">
        <v>9.7222222222222224E-3</v>
      </c>
    </row>
    <row r="8633" spans="1:4" x14ac:dyDescent="0.25">
      <c r="A8633" s="24" t="s">
        <v>153</v>
      </c>
      <c r="B8633" s="24" t="s">
        <v>151</v>
      </c>
      <c r="C8633" s="32">
        <v>10.944000000000001</v>
      </c>
      <c r="D8633" s="28">
        <v>9.7222222222222224E-3</v>
      </c>
    </row>
    <row r="8634" spans="1:4" x14ac:dyDescent="0.25">
      <c r="A8634" s="24" t="s">
        <v>153</v>
      </c>
      <c r="B8634" s="24" t="s">
        <v>152</v>
      </c>
      <c r="C8634" s="32">
        <v>7.6660000000000004</v>
      </c>
      <c r="D8634" s="28">
        <v>8.3333333333333332E-3</v>
      </c>
    </row>
    <row r="8635" spans="1:4" x14ac:dyDescent="0.25">
      <c r="A8635" s="24" t="s">
        <v>153</v>
      </c>
      <c r="B8635" s="24" t="s">
        <v>153</v>
      </c>
      <c r="C8635" s="32">
        <v>0</v>
      </c>
      <c r="D8635" s="28">
        <v>0</v>
      </c>
    </row>
    <row r="8636" spans="1:4" x14ac:dyDescent="0.25">
      <c r="A8636" s="24" t="s">
        <v>153</v>
      </c>
      <c r="B8636" s="24" t="s">
        <v>154</v>
      </c>
      <c r="C8636" s="32">
        <v>4.4160000000000004</v>
      </c>
      <c r="D8636" s="28">
        <v>4.8611111111111112E-3</v>
      </c>
    </row>
    <row r="8637" spans="1:4" x14ac:dyDescent="0.25">
      <c r="A8637" s="24" t="s">
        <v>153</v>
      </c>
      <c r="B8637" s="24" t="s">
        <v>155</v>
      </c>
      <c r="C8637" s="32">
        <v>11.548</v>
      </c>
      <c r="D8637" s="28">
        <v>1.0416666666666666E-2</v>
      </c>
    </row>
    <row r="8638" spans="1:4" x14ac:dyDescent="0.25">
      <c r="A8638" s="24" t="s">
        <v>153</v>
      </c>
      <c r="B8638" s="24" t="s">
        <v>156</v>
      </c>
      <c r="C8638" s="32">
        <v>11.532</v>
      </c>
      <c r="D8638" s="28">
        <v>1.0416666666666666E-2</v>
      </c>
    </row>
    <row r="8639" spans="1:4" x14ac:dyDescent="0.25">
      <c r="A8639" s="24" t="s">
        <v>153</v>
      </c>
      <c r="B8639" s="24" t="s">
        <v>157</v>
      </c>
      <c r="C8639" s="32">
        <v>25.673999999999999</v>
      </c>
      <c r="D8639" s="28">
        <v>2.361111111111111E-2</v>
      </c>
    </row>
    <row r="8640" spans="1:4" x14ac:dyDescent="0.25">
      <c r="A8640" s="24" t="s">
        <v>153</v>
      </c>
      <c r="B8640" s="24" t="s">
        <v>158</v>
      </c>
      <c r="C8640" s="32">
        <v>35.381999999999998</v>
      </c>
      <c r="D8640" s="28">
        <v>2.7777777777777776E-2</v>
      </c>
    </row>
    <row r="8641" spans="1:4" x14ac:dyDescent="0.25">
      <c r="A8641" s="24" t="s">
        <v>153</v>
      </c>
      <c r="B8641" s="24" t="s">
        <v>159</v>
      </c>
      <c r="C8641" s="32">
        <v>45.338000000000001</v>
      </c>
      <c r="D8641" s="28">
        <v>3.7499999999999999E-2</v>
      </c>
    </row>
    <row r="8642" spans="1:4" x14ac:dyDescent="0.25">
      <c r="A8642" s="24" t="s">
        <v>154</v>
      </c>
      <c r="B8642" s="24" t="s">
        <v>65</v>
      </c>
      <c r="C8642" s="32">
        <v>33.676000000000002</v>
      </c>
      <c r="D8642" s="28">
        <v>2.6388888888888889E-2</v>
      </c>
    </row>
    <row r="8643" spans="1:4" x14ac:dyDescent="0.25">
      <c r="A8643" s="24" t="s">
        <v>154</v>
      </c>
      <c r="B8643" s="24" t="s">
        <v>64</v>
      </c>
      <c r="C8643" s="32">
        <v>20.085000000000001</v>
      </c>
      <c r="D8643" s="28">
        <v>1.9444444444444445E-2</v>
      </c>
    </row>
    <row r="8644" spans="1:4" x14ac:dyDescent="0.25">
      <c r="A8644" s="24" t="s">
        <v>154</v>
      </c>
      <c r="B8644" s="24" t="s">
        <v>66</v>
      </c>
      <c r="C8644" s="32">
        <v>18.175999999999998</v>
      </c>
      <c r="D8644" s="28">
        <v>1.5277777777777777E-2</v>
      </c>
    </row>
    <row r="8645" spans="1:4" x14ac:dyDescent="0.25">
      <c r="A8645" s="24" t="s">
        <v>154</v>
      </c>
      <c r="B8645" s="24" t="s">
        <v>67</v>
      </c>
      <c r="C8645" s="32">
        <v>18.224</v>
      </c>
      <c r="D8645" s="28">
        <v>1.7361111111111112E-2</v>
      </c>
    </row>
    <row r="8646" spans="1:4" x14ac:dyDescent="0.25">
      <c r="A8646" s="24" t="s">
        <v>154</v>
      </c>
      <c r="B8646" s="24" t="s">
        <v>68</v>
      </c>
      <c r="C8646" s="32">
        <v>17.483000000000001</v>
      </c>
      <c r="D8646" s="28">
        <v>1.5972222222222224E-2</v>
      </c>
    </row>
    <row r="8647" spans="1:4" x14ac:dyDescent="0.25">
      <c r="A8647" s="24" t="s">
        <v>154</v>
      </c>
      <c r="B8647" s="24" t="s">
        <v>69</v>
      </c>
      <c r="C8647" s="32">
        <v>17.298999999999999</v>
      </c>
      <c r="D8647" s="28">
        <v>1.5972222222222224E-2</v>
      </c>
    </row>
    <row r="8648" spans="1:4" x14ac:dyDescent="0.25">
      <c r="A8648" s="24" t="s">
        <v>154</v>
      </c>
      <c r="B8648" s="24" t="s">
        <v>70</v>
      </c>
      <c r="C8648" s="32">
        <v>17.116</v>
      </c>
      <c r="D8648" s="28">
        <v>1.5277777777777777E-2</v>
      </c>
    </row>
    <row r="8649" spans="1:4" x14ac:dyDescent="0.25">
      <c r="A8649" s="24" t="s">
        <v>154</v>
      </c>
      <c r="B8649" s="24" t="s">
        <v>71</v>
      </c>
      <c r="C8649" s="32">
        <v>17.876000000000001</v>
      </c>
      <c r="D8649" s="28">
        <v>1.6666666666666666E-2</v>
      </c>
    </row>
    <row r="8650" spans="1:4" x14ac:dyDescent="0.25">
      <c r="A8650" s="24" t="s">
        <v>154</v>
      </c>
      <c r="B8650" s="24" t="s">
        <v>72</v>
      </c>
      <c r="C8650" s="32">
        <v>19.367999999999999</v>
      </c>
      <c r="D8650" s="28">
        <v>2.013888888888889E-2</v>
      </c>
    </row>
    <row r="8651" spans="1:4" x14ac:dyDescent="0.25">
      <c r="A8651" s="24" t="s">
        <v>154</v>
      </c>
      <c r="B8651" s="24" t="s">
        <v>73</v>
      </c>
      <c r="C8651" s="32">
        <v>18.901</v>
      </c>
      <c r="D8651" s="28">
        <v>1.8055555555555557E-2</v>
      </c>
    </row>
    <row r="8652" spans="1:4" x14ac:dyDescent="0.25">
      <c r="A8652" s="24" t="s">
        <v>154</v>
      </c>
      <c r="B8652" s="24" t="s">
        <v>74</v>
      </c>
      <c r="C8652" s="32">
        <v>22.56</v>
      </c>
      <c r="D8652" s="28">
        <v>2.361111111111111E-2</v>
      </c>
    </row>
    <row r="8653" spans="1:4" x14ac:dyDescent="0.25">
      <c r="A8653" s="24" t="s">
        <v>154</v>
      </c>
      <c r="B8653" s="24" t="s">
        <v>75</v>
      </c>
      <c r="C8653" s="32">
        <v>22.898</v>
      </c>
      <c r="D8653" s="28">
        <v>2.2222222222222223E-2</v>
      </c>
    </row>
    <row r="8654" spans="1:4" x14ac:dyDescent="0.25">
      <c r="A8654" s="24" t="s">
        <v>154</v>
      </c>
      <c r="B8654" s="24" t="s">
        <v>76</v>
      </c>
      <c r="C8654" s="32">
        <v>29.035</v>
      </c>
      <c r="D8654" s="28">
        <v>2.4305555555555556E-2</v>
      </c>
    </row>
    <row r="8655" spans="1:4" x14ac:dyDescent="0.25">
      <c r="A8655" s="24" t="s">
        <v>154</v>
      </c>
      <c r="B8655" s="24" t="s">
        <v>77</v>
      </c>
      <c r="C8655" s="32">
        <v>22.393000000000001</v>
      </c>
      <c r="D8655" s="28">
        <v>1.8055555555555557E-2</v>
      </c>
    </row>
    <row r="8656" spans="1:4" x14ac:dyDescent="0.25">
      <c r="A8656" s="24" t="s">
        <v>154</v>
      </c>
      <c r="B8656" s="24" t="s">
        <v>78</v>
      </c>
      <c r="C8656" s="32">
        <v>17.434000000000001</v>
      </c>
      <c r="D8656" s="28">
        <v>1.5277777777777777E-2</v>
      </c>
    </row>
    <row r="8657" spans="1:4" x14ac:dyDescent="0.25">
      <c r="A8657" s="24" t="s">
        <v>154</v>
      </c>
      <c r="B8657" s="24" t="s">
        <v>79</v>
      </c>
      <c r="C8657" s="32">
        <v>31.937000000000001</v>
      </c>
      <c r="D8657" s="28">
        <v>3.0555555555555555E-2</v>
      </c>
    </row>
    <row r="8658" spans="1:4" x14ac:dyDescent="0.25">
      <c r="A8658" s="24" t="s">
        <v>154</v>
      </c>
      <c r="B8658" s="24" t="s">
        <v>80</v>
      </c>
      <c r="C8658" s="32">
        <v>36.9</v>
      </c>
      <c r="D8658" s="28">
        <v>2.8472222222222222E-2</v>
      </c>
    </row>
    <row r="8659" spans="1:4" x14ac:dyDescent="0.25">
      <c r="A8659" s="24" t="s">
        <v>154</v>
      </c>
      <c r="B8659" s="24" t="s">
        <v>81</v>
      </c>
      <c r="C8659" s="32">
        <v>41.421999999999997</v>
      </c>
      <c r="D8659" s="28">
        <v>3.0555555555555555E-2</v>
      </c>
    </row>
    <row r="8660" spans="1:4" x14ac:dyDescent="0.25">
      <c r="A8660" s="24" t="s">
        <v>154</v>
      </c>
      <c r="B8660" s="24" t="s">
        <v>82</v>
      </c>
      <c r="C8660" s="32">
        <v>41.473999999999997</v>
      </c>
      <c r="D8660" s="28">
        <v>3.0555555555555555E-2</v>
      </c>
    </row>
    <row r="8661" spans="1:4" x14ac:dyDescent="0.25">
      <c r="A8661" s="24" t="s">
        <v>154</v>
      </c>
      <c r="B8661" s="24" t="s">
        <v>83</v>
      </c>
      <c r="C8661" s="32">
        <v>25.312999999999999</v>
      </c>
      <c r="D8661" s="28">
        <v>2.2222222222222223E-2</v>
      </c>
    </row>
    <row r="8662" spans="1:4" x14ac:dyDescent="0.25">
      <c r="A8662" s="24" t="s">
        <v>154</v>
      </c>
      <c r="B8662" s="24" t="s">
        <v>84</v>
      </c>
      <c r="C8662" s="32">
        <v>23.364000000000001</v>
      </c>
      <c r="D8662" s="28">
        <v>2.2916666666666669E-2</v>
      </c>
    </row>
    <row r="8663" spans="1:4" x14ac:dyDescent="0.25">
      <c r="A8663" s="24" t="s">
        <v>154</v>
      </c>
      <c r="B8663" s="24" t="s">
        <v>85</v>
      </c>
      <c r="C8663" s="32">
        <v>23.545999999999999</v>
      </c>
      <c r="D8663" s="28">
        <v>2.4305555555555556E-2</v>
      </c>
    </row>
    <row r="8664" spans="1:4" x14ac:dyDescent="0.25">
      <c r="A8664" s="24" t="s">
        <v>154</v>
      </c>
      <c r="B8664" s="24" t="s">
        <v>86</v>
      </c>
      <c r="C8664" s="32">
        <v>25.71</v>
      </c>
      <c r="D8664" s="28">
        <v>2.2222222222222223E-2</v>
      </c>
    </row>
    <row r="8665" spans="1:4" x14ac:dyDescent="0.25">
      <c r="A8665" s="24" t="s">
        <v>154</v>
      </c>
      <c r="B8665" s="24" t="s">
        <v>87</v>
      </c>
      <c r="C8665" s="32">
        <v>25.824999999999999</v>
      </c>
      <c r="D8665" s="28">
        <v>2.2222222222222223E-2</v>
      </c>
    </row>
    <row r="8666" spans="1:4" x14ac:dyDescent="0.25">
      <c r="A8666" s="24" t="s">
        <v>154</v>
      </c>
      <c r="B8666" s="24" t="s">
        <v>88</v>
      </c>
      <c r="C8666" s="32">
        <v>27.204000000000001</v>
      </c>
      <c r="D8666" s="28">
        <v>2.361111111111111E-2</v>
      </c>
    </row>
    <row r="8667" spans="1:4" x14ac:dyDescent="0.25">
      <c r="A8667" s="24" t="s">
        <v>154</v>
      </c>
      <c r="B8667" s="24" t="s">
        <v>89</v>
      </c>
      <c r="C8667" s="32">
        <v>29.317</v>
      </c>
      <c r="D8667" s="28">
        <v>2.7777777777777776E-2</v>
      </c>
    </row>
    <row r="8668" spans="1:4" x14ac:dyDescent="0.25">
      <c r="A8668" s="24" t="s">
        <v>154</v>
      </c>
      <c r="B8668" s="24" t="s">
        <v>90</v>
      </c>
      <c r="C8668" s="32">
        <v>30.266999999999999</v>
      </c>
      <c r="D8668" s="28">
        <v>2.8472222222222222E-2</v>
      </c>
    </row>
    <row r="8669" spans="1:4" x14ac:dyDescent="0.25">
      <c r="A8669" s="24" t="s">
        <v>154</v>
      </c>
      <c r="B8669" s="24" t="s">
        <v>91</v>
      </c>
      <c r="C8669" s="32">
        <v>28.390999999999998</v>
      </c>
      <c r="D8669" s="28">
        <v>2.6388888888888889E-2</v>
      </c>
    </row>
    <row r="8670" spans="1:4" x14ac:dyDescent="0.25">
      <c r="A8670" s="24" t="s">
        <v>154</v>
      </c>
      <c r="B8670" s="24" t="s">
        <v>92</v>
      </c>
      <c r="C8670" s="32">
        <v>34.975999999999999</v>
      </c>
      <c r="D8670" s="28">
        <v>2.7777777777777776E-2</v>
      </c>
    </row>
    <row r="8671" spans="1:4" x14ac:dyDescent="0.25">
      <c r="A8671" s="24" t="s">
        <v>154</v>
      </c>
      <c r="B8671" s="24" t="s">
        <v>93</v>
      </c>
      <c r="C8671" s="32">
        <v>58.698</v>
      </c>
      <c r="D8671" s="28">
        <v>4.027777777777778E-2</v>
      </c>
    </row>
    <row r="8672" spans="1:4" x14ac:dyDescent="0.25">
      <c r="A8672" s="24" t="s">
        <v>154</v>
      </c>
      <c r="B8672" s="24" t="s">
        <v>94</v>
      </c>
      <c r="C8672" s="32">
        <v>59.326999999999998</v>
      </c>
      <c r="D8672" s="28">
        <v>4.0972222222222222E-2</v>
      </c>
    </row>
    <row r="8673" spans="1:4" x14ac:dyDescent="0.25">
      <c r="A8673" s="24" t="s">
        <v>154</v>
      </c>
      <c r="B8673" s="24" t="s">
        <v>95</v>
      </c>
      <c r="C8673" s="32">
        <v>41.758000000000003</v>
      </c>
      <c r="D8673" s="28">
        <v>3.1944444444444449E-2</v>
      </c>
    </row>
    <row r="8674" spans="1:4" x14ac:dyDescent="0.25">
      <c r="A8674" s="24" t="s">
        <v>154</v>
      </c>
      <c r="B8674" s="24" t="s">
        <v>96</v>
      </c>
      <c r="C8674" s="32">
        <v>14.313000000000001</v>
      </c>
      <c r="D8674" s="28">
        <v>1.4583333333333332E-2</v>
      </c>
    </row>
    <row r="8675" spans="1:4" x14ac:dyDescent="0.25">
      <c r="A8675" s="24" t="s">
        <v>154</v>
      </c>
      <c r="B8675" s="24" t="s">
        <v>97</v>
      </c>
      <c r="C8675" s="32">
        <v>22.597999999999999</v>
      </c>
      <c r="D8675" s="28">
        <v>2.1527777777777781E-2</v>
      </c>
    </row>
    <row r="8676" spans="1:4" x14ac:dyDescent="0.25">
      <c r="A8676" s="24" t="s">
        <v>154</v>
      </c>
      <c r="B8676" s="24" t="s">
        <v>98</v>
      </c>
      <c r="C8676" s="32">
        <v>23.425999999999998</v>
      </c>
      <c r="D8676" s="28">
        <v>2.4999999999999998E-2</v>
      </c>
    </row>
    <row r="8677" spans="1:4" x14ac:dyDescent="0.25">
      <c r="A8677" s="24" t="s">
        <v>154</v>
      </c>
      <c r="B8677" s="24" t="s">
        <v>99</v>
      </c>
      <c r="C8677" s="32">
        <v>23.733000000000001</v>
      </c>
      <c r="D8677" s="28">
        <v>2.2222222222222223E-2</v>
      </c>
    </row>
    <row r="8678" spans="1:4" x14ac:dyDescent="0.25">
      <c r="A8678" s="24" t="s">
        <v>154</v>
      </c>
      <c r="B8678" s="24" t="s">
        <v>100</v>
      </c>
      <c r="C8678" s="32">
        <v>37.563000000000002</v>
      </c>
      <c r="D8678" s="28">
        <v>3.125E-2</v>
      </c>
    </row>
    <row r="8679" spans="1:4" x14ac:dyDescent="0.25">
      <c r="A8679" s="24" t="s">
        <v>154</v>
      </c>
      <c r="B8679" s="24" t="s">
        <v>101</v>
      </c>
      <c r="C8679" s="32">
        <v>21.25</v>
      </c>
      <c r="D8679" s="28">
        <v>2.2222222222222223E-2</v>
      </c>
    </row>
    <row r="8680" spans="1:4" x14ac:dyDescent="0.25">
      <c r="A8680" s="24" t="s">
        <v>154</v>
      </c>
      <c r="B8680" s="24" t="s">
        <v>102</v>
      </c>
      <c r="C8680" s="32">
        <v>20.677</v>
      </c>
      <c r="D8680" s="28">
        <v>2.1527777777777781E-2</v>
      </c>
    </row>
    <row r="8681" spans="1:4" x14ac:dyDescent="0.25">
      <c r="A8681" s="24" t="s">
        <v>154</v>
      </c>
      <c r="B8681" s="24" t="s">
        <v>103</v>
      </c>
      <c r="C8681" s="32">
        <v>28.248999999999999</v>
      </c>
      <c r="D8681" s="28">
        <v>2.4305555555555556E-2</v>
      </c>
    </row>
    <row r="8682" spans="1:4" x14ac:dyDescent="0.25">
      <c r="A8682" s="24" t="s">
        <v>154</v>
      </c>
      <c r="B8682" s="24" t="s">
        <v>104</v>
      </c>
      <c r="C8682" s="32">
        <v>33.869999999999997</v>
      </c>
      <c r="D8682" s="28">
        <v>2.7083333333333334E-2</v>
      </c>
    </row>
    <row r="8683" spans="1:4" x14ac:dyDescent="0.25">
      <c r="A8683" s="24" t="s">
        <v>154</v>
      </c>
      <c r="B8683" s="24" t="s">
        <v>105</v>
      </c>
      <c r="C8683" s="32">
        <v>31.239000000000001</v>
      </c>
      <c r="D8683" s="28">
        <v>2.9166666666666664E-2</v>
      </c>
    </row>
    <row r="8684" spans="1:4" x14ac:dyDescent="0.25">
      <c r="A8684" s="24" t="s">
        <v>154</v>
      </c>
      <c r="B8684" s="24" t="s">
        <v>106</v>
      </c>
      <c r="C8684" s="32">
        <v>27.045999999999999</v>
      </c>
      <c r="D8684" s="28">
        <v>2.2916666666666669E-2</v>
      </c>
    </row>
    <row r="8685" spans="1:4" x14ac:dyDescent="0.25">
      <c r="A8685" s="24" t="s">
        <v>154</v>
      </c>
      <c r="B8685" s="24" t="s">
        <v>107</v>
      </c>
      <c r="C8685" s="32">
        <v>35.180999999999997</v>
      </c>
      <c r="D8685" s="28">
        <v>3.1944444444444449E-2</v>
      </c>
    </row>
    <row r="8686" spans="1:4" x14ac:dyDescent="0.25">
      <c r="A8686" s="24" t="s">
        <v>154</v>
      </c>
      <c r="B8686" s="24" t="s">
        <v>108</v>
      </c>
      <c r="C8686" s="32">
        <v>33.567</v>
      </c>
      <c r="D8686" s="28">
        <v>2.9166666666666664E-2</v>
      </c>
    </row>
    <row r="8687" spans="1:4" x14ac:dyDescent="0.25">
      <c r="A8687" s="24" t="s">
        <v>154</v>
      </c>
      <c r="B8687" s="24" t="s">
        <v>109</v>
      </c>
      <c r="C8687" s="32">
        <v>33.597000000000001</v>
      </c>
      <c r="D8687" s="28">
        <v>2.9166666666666664E-2</v>
      </c>
    </row>
    <row r="8688" spans="1:4" x14ac:dyDescent="0.25">
      <c r="A8688" s="24" t="s">
        <v>154</v>
      </c>
      <c r="B8688" s="24" t="s">
        <v>110</v>
      </c>
      <c r="C8688" s="32">
        <v>30.263999999999999</v>
      </c>
      <c r="D8688" s="28">
        <v>2.7083333333333334E-2</v>
      </c>
    </row>
    <row r="8689" spans="1:4" x14ac:dyDescent="0.25">
      <c r="A8689" s="24" t="s">
        <v>154</v>
      </c>
      <c r="B8689" s="24" t="s">
        <v>111</v>
      </c>
      <c r="C8689" s="32">
        <v>30.488</v>
      </c>
      <c r="D8689" s="28">
        <v>2.4305555555555556E-2</v>
      </c>
    </row>
    <row r="8690" spans="1:4" x14ac:dyDescent="0.25">
      <c r="A8690" s="24" t="s">
        <v>154</v>
      </c>
      <c r="B8690" s="24" t="s">
        <v>112</v>
      </c>
      <c r="C8690" s="32">
        <v>42.215000000000003</v>
      </c>
      <c r="D8690" s="28">
        <v>3.3333333333333333E-2</v>
      </c>
    </row>
    <row r="8691" spans="1:4" x14ac:dyDescent="0.25">
      <c r="A8691" s="24" t="s">
        <v>154</v>
      </c>
      <c r="B8691" s="24" t="s">
        <v>113</v>
      </c>
      <c r="C8691" s="32">
        <v>42.033999999999999</v>
      </c>
      <c r="D8691" s="28">
        <v>3.125E-2</v>
      </c>
    </row>
    <row r="8692" spans="1:4" x14ac:dyDescent="0.25">
      <c r="A8692" s="24" t="s">
        <v>154</v>
      </c>
      <c r="B8692" s="24" t="s">
        <v>114</v>
      </c>
      <c r="C8692" s="32">
        <v>39.966999999999999</v>
      </c>
      <c r="D8692" s="28">
        <v>2.9166666666666664E-2</v>
      </c>
    </row>
    <row r="8693" spans="1:4" x14ac:dyDescent="0.25">
      <c r="A8693" s="24" t="s">
        <v>154</v>
      </c>
      <c r="B8693" s="24" t="s">
        <v>115</v>
      </c>
      <c r="C8693" s="32">
        <v>39.817999999999998</v>
      </c>
      <c r="D8693" s="28">
        <v>2.9861111111111113E-2</v>
      </c>
    </row>
    <row r="8694" spans="1:4" x14ac:dyDescent="0.25">
      <c r="A8694" s="24" t="s">
        <v>154</v>
      </c>
      <c r="B8694" s="24" t="s">
        <v>116</v>
      </c>
      <c r="C8694" s="32">
        <v>34.058</v>
      </c>
      <c r="D8694" s="28">
        <v>2.7777777777777776E-2</v>
      </c>
    </row>
    <row r="8695" spans="1:4" x14ac:dyDescent="0.25">
      <c r="A8695" s="24" t="s">
        <v>154</v>
      </c>
      <c r="B8695" s="24" t="s">
        <v>117</v>
      </c>
      <c r="C8695" s="32">
        <v>41.262</v>
      </c>
      <c r="D8695" s="28">
        <v>3.2638888888888891E-2</v>
      </c>
    </row>
    <row r="8696" spans="1:4" x14ac:dyDescent="0.25">
      <c r="A8696" s="24" t="s">
        <v>154</v>
      </c>
      <c r="B8696" s="24" t="s">
        <v>118</v>
      </c>
      <c r="C8696" s="32">
        <v>40.981000000000002</v>
      </c>
      <c r="D8696" s="28">
        <v>3.1944444444444449E-2</v>
      </c>
    </row>
    <row r="8697" spans="1:4" x14ac:dyDescent="0.25">
      <c r="A8697" s="24" t="s">
        <v>154</v>
      </c>
      <c r="B8697" s="24" t="s">
        <v>119</v>
      </c>
      <c r="C8697" s="32">
        <v>52.25</v>
      </c>
      <c r="D8697" s="28">
        <v>3.888888888888889E-2</v>
      </c>
    </row>
    <row r="8698" spans="1:4" x14ac:dyDescent="0.25">
      <c r="A8698" s="24" t="s">
        <v>154</v>
      </c>
      <c r="B8698" s="24" t="s">
        <v>120</v>
      </c>
      <c r="C8698" s="32">
        <v>56.570999999999998</v>
      </c>
      <c r="D8698" s="28">
        <v>4.2361111111111106E-2</v>
      </c>
    </row>
    <row r="8699" spans="1:4" x14ac:dyDescent="0.25">
      <c r="A8699" s="24" t="s">
        <v>154</v>
      </c>
      <c r="B8699" s="24" t="s">
        <v>121</v>
      </c>
      <c r="C8699" s="32">
        <v>69.391000000000005</v>
      </c>
      <c r="D8699" s="28">
        <v>4.9305555555555554E-2</v>
      </c>
    </row>
    <row r="8700" spans="1:4" x14ac:dyDescent="0.25">
      <c r="A8700" s="24" t="s">
        <v>154</v>
      </c>
      <c r="B8700" s="24" t="s">
        <v>122</v>
      </c>
      <c r="C8700" s="32">
        <v>57.569000000000003</v>
      </c>
      <c r="D8700" s="28">
        <v>3.9583333333333331E-2</v>
      </c>
    </row>
    <row r="8701" spans="1:4" x14ac:dyDescent="0.25">
      <c r="A8701" s="24" t="s">
        <v>154</v>
      </c>
      <c r="B8701" s="24" t="s">
        <v>123</v>
      </c>
      <c r="C8701" s="32">
        <v>64.507000000000005</v>
      </c>
      <c r="D8701" s="28">
        <v>4.5138888888888888E-2</v>
      </c>
    </row>
    <row r="8702" spans="1:4" x14ac:dyDescent="0.25">
      <c r="A8702" s="24" t="s">
        <v>154</v>
      </c>
      <c r="B8702" s="24" t="s">
        <v>124</v>
      </c>
      <c r="C8702" s="32">
        <v>64.507000000000005</v>
      </c>
      <c r="D8702" s="28">
        <v>4.5138888888888888E-2</v>
      </c>
    </row>
    <row r="8703" spans="1:4" x14ac:dyDescent="0.25">
      <c r="A8703" s="24" t="s">
        <v>154</v>
      </c>
      <c r="B8703" s="24" t="s">
        <v>125</v>
      </c>
      <c r="C8703" s="32">
        <v>17.744</v>
      </c>
      <c r="D8703" s="28">
        <v>1.8749999999999999E-2</v>
      </c>
    </row>
    <row r="8704" spans="1:4" x14ac:dyDescent="0.25">
      <c r="A8704" s="24" t="s">
        <v>154</v>
      </c>
      <c r="B8704" s="24" t="s">
        <v>126</v>
      </c>
      <c r="C8704" s="32">
        <v>17.481999999999999</v>
      </c>
      <c r="D8704" s="28">
        <v>1.8055555555555557E-2</v>
      </c>
    </row>
    <row r="8705" spans="1:4" x14ac:dyDescent="0.25">
      <c r="A8705" s="24" t="s">
        <v>154</v>
      </c>
      <c r="B8705" s="24" t="s">
        <v>127</v>
      </c>
      <c r="C8705" s="32">
        <v>20.64</v>
      </c>
      <c r="D8705" s="28">
        <v>1.7361111111111112E-2</v>
      </c>
    </row>
    <row r="8706" spans="1:4" x14ac:dyDescent="0.25">
      <c r="A8706" s="24" t="s">
        <v>154</v>
      </c>
      <c r="B8706" s="24" t="s">
        <v>128</v>
      </c>
      <c r="C8706" s="32">
        <v>22.878</v>
      </c>
      <c r="D8706" s="28">
        <v>1.9444444444444445E-2</v>
      </c>
    </row>
    <row r="8707" spans="1:4" x14ac:dyDescent="0.25">
      <c r="A8707" s="24" t="s">
        <v>154</v>
      </c>
      <c r="B8707" s="24" t="s">
        <v>129</v>
      </c>
      <c r="C8707" s="32">
        <v>22.878</v>
      </c>
      <c r="D8707" s="28">
        <v>1.9444444444444445E-2</v>
      </c>
    </row>
    <row r="8708" spans="1:4" x14ac:dyDescent="0.25">
      <c r="A8708" s="24" t="s">
        <v>154</v>
      </c>
      <c r="B8708" s="24" t="s">
        <v>130</v>
      </c>
      <c r="C8708" s="32">
        <v>18.145</v>
      </c>
      <c r="D8708" s="28">
        <v>1.9444444444444445E-2</v>
      </c>
    </row>
    <row r="8709" spans="1:4" x14ac:dyDescent="0.25">
      <c r="A8709" s="24" t="s">
        <v>154</v>
      </c>
      <c r="B8709" s="24" t="s">
        <v>131</v>
      </c>
      <c r="C8709" s="32">
        <v>20.713000000000001</v>
      </c>
      <c r="D8709" s="28">
        <v>2.013888888888889E-2</v>
      </c>
    </row>
    <row r="8710" spans="1:4" x14ac:dyDescent="0.25">
      <c r="A8710" s="24" t="s">
        <v>154</v>
      </c>
      <c r="B8710" s="24" t="s">
        <v>132</v>
      </c>
      <c r="C8710" s="32">
        <v>11.853999999999999</v>
      </c>
      <c r="D8710" s="28">
        <v>1.0416666666666666E-2</v>
      </c>
    </row>
    <row r="8711" spans="1:4" x14ac:dyDescent="0.25">
      <c r="A8711" s="24" t="s">
        <v>154</v>
      </c>
      <c r="B8711" s="24" t="s">
        <v>133</v>
      </c>
      <c r="C8711" s="32">
        <v>26.85</v>
      </c>
      <c r="D8711" s="28">
        <v>2.5694444444444447E-2</v>
      </c>
    </row>
    <row r="8712" spans="1:4" x14ac:dyDescent="0.25">
      <c r="A8712" s="24" t="s">
        <v>154</v>
      </c>
      <c r="B8712" s="24" t="s">
        <v>134</v>
      </c>
      <c r="C8712" s="32">
        <v>26.384</v>
      </c>
      <c r="D8712" s="28">
        <v>2.4999999999999998E-2</v>
      </c>
    </row>
    <row r="8713" spans="1:4" x14ac:dyDescent="0.25">
      <c r="A8713" s="24" t="s">
        <v>154</v>
      </c>
      <c r="B8713" s="24" t="s">
        <v>135</v>
      </c>
      <c r="C8713" s="32">
        <v>31.87</v>
      </c>
      <c r="D8713" s="28">
        <v>2.5694444444444447E-2</v>
      </c>
    </row>
    <row r="8714" spans="1:4" x14ac:dyDescent="0.25">
      <c r="A8714" s="24" t="s">
        <v>154</v>
      </c>
      <c r="B8714" s="24" t="s">
        <v>136</v>
      </c>
      <c r="C8714" s="32">
        <v>31.87</v>
      </c>
      <c r="D8714" s="28">
        <v>2.5694444444444447E-2</v>
      </c>
    </row>
    <row r="8715" spans="1:4" x14ac:dyDescent="0.25">
      <c r="A8715" s="24" t="s">
        <v>154</v>
      </c>
      <c r="B8715" s="24" t="s">
        <v>137</v>
      </c>
      <c r="C8715" s="32">
        <v>26.536999999999999</v>
      </c>
      <c r="D8715" s="28">
        <v>2.5694444444444447E-2</v>
      </c>
    </row>
    <row r="8716" spans="1:4" x14ac:dyDescent="0.25">
      <c r="A8716" s="24" t="s">
        <v>154</v>
      </c>
      <c r="B8716" s="24" t="s">
        <v>138</v>
      </c>
      <c r="C8716" s="32">
        <v>37.892000000000003</v>
      </c>
      <c r="D8716" s="28">
        <v>2.8472222222222222E-2</v>
      </c>
    </row>
    <row r="8717" spans="1:4" x14ac:dyDescent="0.25">
      <c r="A8717" s="24" t="s">
        <v>154</v>
      </c>
      <c r="B8717" s="24" t="s">
        <v>139</v>
      </c>
      <c r="C8717" s="32">
        <v>34.94</v>
      </c>
      <c r="D8717" s="28">
        <v>2.7083333333333334E-2</v>
      </c>
    </row>
    <row r="8718" spans="1:4" x14ac:dyDescent="0.25">
      <c r="A8718" s="24" t="s">
        <v>154</v>
      </c>
      <c r="B8718" s="24" t="s">
        <v>140</v>
      </c>
      <c r="C8718" s="32">
        <v>32.177</v>
      </c>
      <c r="D8718" s="28">
        <v>2.4999999999999998E-2</v>
      </c>
    </row>
    <row r="8719" spans="1:4" x14ac:dyDescent="0.25">
      <c r="A8719" s="24" t="s">
        <v>154</v>
      </c>
      <c r="B8719" s="24" t="s">
        <v>141</v>
      </c>
      <c r="C8719" s="32">
        <v>59.664999999999999</v>
      </c>
      <c r="D8719" s="28">
        <v>4.6527777777777779E-2</v>
      </c>
    </row>
    <row r="8720" spans="1:4" x14ac:dyDescent="0.25">
      <c r="A8720" s="24" t="s">
        <v>154</v>
      </c>
      <c r="B8720" s="24" t="s">
        <v>142</v>
      </c>
      <c r="C8720" s="32">
        <v>49.258000000000003</v>
      </c>
      <c r="D8720" s="28">
        <v>3.7499999999999999E-2</v>
      </c>
    </row>
    <row r="8721" spans="1:4" x14ac:dyDescent="0.25">
      <c r="A8721" s="24" t="s">
        <v>154</v>
      </c>
      <c r="B8721" s="24" t="s">
        <v>143</v>
      </c>
      <c r="C8721" s="32">
        <v>67.635999999999996</v>
      </c>
      <c r="D8721" s="28">
        <v>4.5138888888888888E-2</v>
      </c>
    </row>
    <row r="8722" spans="1:4" x14ac:dyDescent="0.25">
      <c r="A8722" s="24" t="s">
        <v>154</v>
      </c>
      <c r="B8722" s="24" t="s">
        <v>144</v>
      </c>
      <c r="C8722" s="32">
        <v>86.751999999999995</v>
      </c>
      <c r="D8722" s="28">
        <v>5.5555555555555552E-2</v>
      </c>
    </row>
    <row r="8723" spans="1:4" x14ac:dyDescent="0.25">
      <c r="A8723" s="24" t="s">
        <v>154</v>
      </c>
      <c r="B8723" s="24" t="s">
        <v>145</v>
      </c>
      <c r="C8723" s="32">
        <v>47.706000000000003</v>
      </c>
      <c r="D8723" s="28">
        <v>3.6805555555555557E-2</v>
      </c>
    </row>
    <row r="8724" spans="1:4" x14ac:dyDescent="0.25">
      <c r="A8724" s="24" t="s">
        <v>154</v>
      </c>
      <c r="B8724" s="24" t="s">
        <v>146</v>
      </c>
      <c r="C8724" s="32">
        <v>59.125999999999998</v>
      </c>
      <c r="D8724" s="28">
        <v>4.4444444444444446E-2</v>
      </c>
    </row>
    <row r="8725" spans="1:4" x14ac:dyDescent="0.25">
      <c r="A8725" s="24" t="s">
        <v>154</v>
      </c>
      <c r="B8725" s="24" t="s">
        <v>147</v>
      </c>
      <c r="C8725" s="32">
        <v>26.972999999999999</v>
      </c>
      <c r="D8725" s="28">
        <v>2.2222222222222223E-2</v>
      </c>
    </row>
    <row r="8726" spans="1:4" x14ac:dyDescent="0.25">
      <c r="A8726" s="24" t="s">
        <v>154</v>
      </c>
      <c r="B8726" s="24" t="s">
        <v>148</v>
      </c>
      <c r="C8726" s="32">
        <v>24.146999999999998</v>
      </c>
      <c r="D8726" s="28">
        <v>2.1527777777777781E-2</v>
      </c>
    </row>
    <row r="8727" spans="1:4" x14ac:dyDescent="0.25">
      <c r="A8727" s="24" t="s">
        <v>154</v>
      </c>
      <c r="B8727" s="24" t="s">
        <v>149</v>
      </c>
      <c r="C8727" s="32">
        <v>13.222</v>
      </c>
      <c r="D8727" s="28">
        <v>1.1805555555555555E-2</v>
      </c>
    </row>
    <row r="8728" spans="1:4" x14ac:dyDescent="0.25">
      <c r="A8728" s="24" t="s">
        <v>154</v>
      </c>
      <c r="B8728" s="24" t="s">
        <v>150</v>
      </c>
      <c r="C8728" s="32">
        <v>6.0039999999999996</v>
      </c>
      <c r="D8728" s="28">
        <v>6.2499999999999995E-3</v>
      </c>
    </row>
    <row r="8729" spans="1:4" x14ac:dyDescent="0.25">
      <c r="A8729" s="24" t="s">
        <v>154</v>
      </c>
      <c r="B8729" s="24" t="s">
        <v>151</v>
      </c>
      <c r="C8729" s="32">
        <v>6.7439999999999998</v>
      </c>
      <c r="D8729" s="28">
        <v>6.2499999999999995E-3</v>
      </c>
    </row>
    <row r="8730" spans="1:4" x14ac:dyDescent="0.25">
      <c r="A8730" s="24" t="s">
        <v>154</v>
      </c>
      <c r="B8730" s="24" t="s">
        <v>152</v>
      </c>
      <c r="C8730" s="32">
        <v>3.4620000000000002</v>
      </c>
      <c r="D8730" s="28">
        <v>4.1666666666666666E-3</v>
      </c>
    </row>
    <row r="8731" spans="1:4" x14ac:dyDescent="0.25">
      <c r="A8731" s="24" t="s">
        <v>154</v>
      </c>
      <c r="B8731" s="24" t="s">
        <v>153</v>
      </c>
      <c r="C8731" s="32">
        <v>10.54</v>
      </c>
      <c r="D8731" s="28">
        <v>1.2499999999999999E-2</v>
      </c>
    </row>
    <row r="8732" spans="1:4" x14ac:dyDescent="0.25">
      <c r="A8732" s="24" t="s">
        <v>154</v>
      </c>
      <c r="B8732" s="24" t="s">
        <v>154</v>
      </c>
      <c r="C8732" s="32">
        <v>0</v>
      </c>
      <c r="D8732" s="28">
        <v>0</v>
      </c>
    </row>
    <row r="8733" spans="1:4" x14ac:dyDescent="0.25">
      <c r="A8733" s="24" t="s">
        <v>154</v>
      </c>
      <c r="B8733" s="24" t="s">
        <v>155</v>
      </c>
      <c r="C8733" s="32">
        <v>7.3479999999999999</v>
      </c>
      <c r="D8733" s="28">
        <v>6.9444444444444441E-3</v>
      </c>
    </row>
    <row r="8734" spans="1:4" x14ac:dyDescent="0.25">
      <c r="A8734" s="24" t="s">
        <v>154</v>
      </c>
      <c r="B8734" s="24" t="s">
        <v>156</v>
      </c>
      <c r="C8734" s="32">
        <v>7.3319999999999999</v>
      </c>
      <c r="D8734" s="28">
        <v>6.2499999999999995E-3</v>
      </c>
    </row>
    <row r="8735" spans="1:4" x14ac:dyDescent="0.25">
      <c r="A8735" s="24" t="s">
        <v>154</v>
      </c>
      <c r="B8735" s="24" t="s">
        <v>157</v>
      </c>
      <c r="C8735" s="32">
        <v>23.207999999999998</v>
      </c>
      <c r="D8735" s="28">
        <v>2.0833333333333332E-2</v>
      </c>
    </row>
    <row r="8736" spans="1:4" x14ac:dyDescent="0.25">
      <c r="A8736" s="24" t="s">
        <v>154</v>
      </c>
      <c r="B8736" s="24" t="s">
        <v>158</v>
      </c>
      <c r="C8736" s="32">
        <v>31.157</v>
      </c>
      <c r="D8736" s="28">
        <v>2.7083333333333334E-2</v>
      </c>
    </row>
    <row r="8737" spans="1:4" x14ac:dyDescent="0.25">
      <c r="A8737" s="24" t="s">
        <v>154</v>
      </c>
      <c r="B8737" s="24" t="s">
        <v>159</v>
      </c>
      <c r="C8737" s="32">
        <v>41.113</v>
      </c>
      <c r="D8737" s="28">
        <v>3.6805555555555557E-2</v>
      </c>
    </row>
    <row r="8738" spans="1:4" x14ac:dyDescent="0.25">
      <c r="A8738" s="24" t="s">
        <v>155</v>
      </c>
      <c r="B8738" s="24" t="s">
        <v>65</v>
      </c>
      <c r="C8738" s="32">
        <v>30.821000000000002</v>
      </c>
      <c r="D8738" s="28">
        <v>2.7083333333333334E-2</v>
      </c>
    </row>
    <row r="8739" spans="1:4" x14ac:dyDescent="0.25">
      <c r="A8739" s="24" t="s">
        <v>155</v>
      </c>
      <c r="B8739" s="24" t="s">
        <v>64</v>
      </c>
      <c r="C8739" s="32">
        <v>17.997</v>
      </c>
      <c r="D8739" s="28">
        <v>2.013888888888889E-2</v>
      </c>
    </row>
    <row r="8740" spans="1:4" x14ac:dyDescent="0.25">
      <c r="A8740" s="24" t="s">
        <v>155</v>
      </c>
      <c r="B8740" s="24" t="s">
        <v>66</v>
      </c>
      <c r="C8740" s="32">
        <v>16.088000000000001</v>
      </c>
      <c r="D8740" s="28">
        <v>1.5972222222222224E-2</v>
      </c>
    </row>
    <row r="8741" spans="1:4" x14ac:dyDescent="0.25">
      <c r="A8741" s="24" t="s">
        <v>155</v>
      </c>
      <c r="B8741" s="24" t="s">
        <v>67</v>
      </c>
      <c r="C8741" s="32">
        <v>16.135999999999999</v>
      </c>
      <c r="D8741" s="28">
        <v>1.8055555555555557E-2</v>
      </c>
    </row>
    <row r="8742" spans="1:4" x14ac:dyDescent="0.25">
      <c r="A8742" s="24" t="s">
        <v>155</v>
      </c>
      <c r="B8742" s="24" t="s">
        <v>68</v>
      </c>
      <c r="C8742" s="32">
        <v>15.395</v>
      </c>
      <c r="D8742" s="28">
        <v>1.6666666666666666E-2</v>
      </c>
    </row>
    <row r="8743" spans="1:4" x14ac:dyDescent="0.25">
      <c r="A8743" s="24" t="s">
        <v>155</v>
      </c>
      <c r="B8743" s="24" t="s">
        <v>69</v>
      </c>
      <c r="C8743" s="32">
        <v>15.211</v>
      </c>
      <c r="D8743" s="28">
        <v>1.5972222222222224E-2</v>
      </c>
    </row>
    <row r="8744" spans="1:4" x14ac:dyDescent="0.25">
      <c r="A8744" s="24" t="s">
        <v>155</v>
      </c>
      <c r="B8744" s="24" t="s">
        <v>70</v>
      </c>
      <c r="C8744" s="32">
        <v>15.028</v>
      </c>
      <c r="D8744" s="28">
        <v>1.5277777777777777E-2</v>
      </c>
    </row>
    <row r="8745" spans="1:4" x14ac:dyDescent="0.25">
      <c r="A8745" s="24" t="s">
        <v>155</v>
      </c>
      <c r="B8745" s="24" t="s">
        <v>71</v>
      </c>
      <c r="C8745" s="32">
        <v>15.788</v>
      </c>
      <c r="D8745" s="28">
        <v>1.6666666666666666E-2</v>
      </c>
    </row>
    <row r="8746" spans="1:4" x14ac:dyDescent="0.25">
      <c r="A8746" s="24" t="s">
        <v>155</v>
      </c>
      <c r="B8746" s="24" t="s">
        <v>72</v>
      </c>
      <c r="C8746" s="32">
        <v>17.28</v>
      </c>
      <c r="D8746" s="28">
        <v>2.0833333333333332E-2</v>
      </c>
    </row>
    <row r="8747" spans="1:4" x14ac:dyDescent="0.25">
      <c r="A8747" s="24" t="s">
        <v>155</v>
      </c>
      <c r="B8747" s="24" t="s">
        <v>73</v>
      </c>
      <c r="C8747" s="32">
        <v>16.812999999999999</v>
      </c>
      <c r="D8747" s="28">
        <v>1.8749999999999999E-2</v>
      </c>
    </row>
    <row r="8748" spans="1:4" x14ac:dyDescent="0.25">
      <c r="A8748" s="24" t="s">
        <v>155</v>
      </c>
      <c r="B8748" s="24" t="s">
        <v>74</v>
      </c>
      <c r="C8748" s="32">
        <v>20.472000000000001</v>
      </c>
      <c r="D8748" s="28">
        <v>2.361111111111111E-2</v>
      </c>
    </row>
    <row r="8749" spans="1:4" x14ac:dyDescent="0.25">
      <c r="A8749" s="24" t="s">
        <v>155</v>
      </c>
      <c r="B8749" s="24" t="s">
        <v>75</v>
      </c>
      <c r="C8749" s="32">
        <v>20.81</v>
      </c>
      <c r="D8749" s="28">
        <v>2.2222222222222223E-2</v>
      </c>
    </row>
    <row r="8750" spans="1:4" x14ac:dyDescent="0.25">
      <c r="A8750" s="24" t="s">
        <v>155</v>
      </c>
      <c r="B8750" s="24" t="s">
        <v>76</v>
      </c>
      <c r="C8750" s="32">
        <v>25.513999999999999</v>
      </c>
      <c r="D8750" s="28">
        <v>2.4305555555555556E-2</v>
      </c>
    </row>
    <row r="8751" spans="1:4" x14ac:dyDescent="0.25">
      <c r="A8751" s="24" t="s">
        <v>155</v>
      </c>
      <c r="B8751" s="24" t="s">
        <v>77</v>
      </c>
      <c r="C8751" s="32">
        <v>16.137</v>
      </c>
      <c r="D8751" s="28">
        <v>1.8055555555555557E-2</v>
      </c>
    </row>
    <row r="8752" spans="1:4" x14ac:dyDescent="0.25">
      <c r="A8752" s="24" t="s">
        <v>155</v>
      </c>
      <c r="B8752" s="24" t="s">
        <v>78</v>
      </c>
      <c r="C8752" s="32">
        <v>13.927</v>
      </c>
      <c r="D8752" s="28">
        <v>1.5277777777777777E-2</v>
      </c>
    </row>
    <row r="8753" spans="1:4" x14ac:dyDescent="0.25">
      <c r="A8753" s="24" t="s">
        <v>155</v>
      </c>
      <c r="B8753" s="24" t="s">
        <v>79</v>
      </c>
      <c r="C8753" s="32">
        <v>25.026</v>
      </c>
      <c r="D8753" s="28">
        <v>2.5694444444444447E-2</v>
      </c>
    </row>
    <row r="8754" spans="1:4" x14ac:dyDescent="0.25">
      <c r="A8754" s="24" t="s">
        <v>155</v>
      </c>
      <c r="B8754" s="24" t="s">
        <v>80</v>
      </c>
      <c r="C8754" s="32">
        <v>34.045000000000002</v>
      </c>
      <c r="D8754" s="28">
        <v>2.9166666666666664E-2</v>
      </c>
    </row>
    <row r="8755" spans="1:4" x14ac:dyDescent="0.25">
      <c r="A8755" s="24" t="s">
        <v>155</v>
      </c>
      <c r="B8755" s="24" t="s">
        <v>81</v>
      </c>
      <c r="C8755" s="32">
        <v>38.567</v>
      </c>
      <c r="D8755" s="28">
        <v>3.125E-2</v>
      </c>
    </row>
    <row r="8756" spans="1:4" x14ac:dyDescent="0.25">
      <c r="A8756" s="24" t="s">
        <v>155</v>
      </c>
      <c r="B8756" s="24" t="s">
        <v>82</v>
      </c>
      <c r="C8756" s="32">
        <v>38.619</v>
      </c>
      <c r="D8756" s="28">
        <v>3.125E-2</v>
      </c>
    </row>
    <row r="8757" spans="1:4" x14ac:dyDescent="0.25">
      <c r="A8757" s="24" t="s">
        <v>155</v>
      </c>
      <c r="B8757" s="24" t="s">
        <v>83</v>
      </c>
      <c r="C8757" s="32">
        <v>22.457999999999998</v>
      </c>
      <c r="D8757" s="28">
        <v>2.2916666666666669E-2</v>
      </c>
    </row>
    <row r="8758" spans="1:4" x14ac:dyDescent="0.25">
      <c r="A8758" s="24" t="s">
        <v>155</v>
      </c>
      <c r="B8758" s="24" t="s">
        <v>84</v>
      </c>
      <c r="C8758" s="32">
        <v>21.276</v>
      </c>
      <c r="D8758" s="28">
        <v>2.361111111111111E-2</v>
      </c>
    </row>
    <row r="8759" spans="1:4" x14ac:dyDescent="0.25">
      <c r="A8759" s="24" t="s">
        <v>155</v>
      </c>
      <c r="B8759" s="24" t="s">
        <v>85</v>
      </c>
      <c r="C8759" s="32">
        <v>21.457999999999998</v>
      </c>
      <c r="D8759" s="28">
        <v>2.4305555555555556E-2</v>
      </c>
    </row>
    <row r="8760" spans="1:4" x14ac:dyDescent="0.25">
      <c r="A8760" s="24" t="s">
        <v>155</v>
      </c>
      <c r="B8760" s="24" t="s">
        <v>86</v>
      </c>
      <c r="C8760" s="32">
        <v>22.855</v>
      </c>
      <c r="D8760" s="28">
        <v>2.2916666666666669E-2</v>
      </c>
    </row>
    <row r="8761" spans="1:4" x14ac:dyDescent="0.25">
      <c r="A8761" s="24" t="s">
        <v>155</v>
      </c>
      <c r="B8761" s="24" t="s">
        <v>87</v>
      </c>
      <c r="C8761" s="32">
        <v>22.047999999999998</v>
      </c>
      <c r="D8761" s="28">
        <v>2.361111111111111E-2</v>
      </c>
    </row>
    <row r="8762" spans="1:4" x14ac:dyDescent="0.25">
      <c r="A8762" s="24" t="s">
        <v>155</v>
      </c>
      <c r="B8762" s="24" t="s">
        <v>88</v>
      </c>
      <c r="C8762" s="32">
        <v>23.427</v>
      </c>
      <c r="D8762" s="28">
        <v>2.5694444444444447E-2</v>
      </c>
    </row>
    <row r="8763" spans="1:4" x14ac:dyDescent="0.25">
      <c r="A8763" s="24" t="s">
        <v>155</v>
      </c>
      <c r="B8763" s="24" t="s">
        <v>89</v>
      </c>
      <c r="C8763" s="32">
        <v>26.462</v>
      </c>
      <c r="D8763" s="28">
        <v>2.8472222222222222E-2</v>
      </c>
    </row>
    <row r="8764" spans="1:4" x14ac:dyDescent="0.25">
      <c r="A8764" s="24" t="s">
        <v>155</v>
      </c>
      <c r="B8764" s="24" t="s">
        <v>90</v>
      </c>
      <c r="C8764" s="32">
        <v>31.428000000000001</v>
      </c>
      <c r="D8764" s="28">
        <v>2.9166666666666664E-2</v>
      </c>
    </row>
    <row r="8765" spans="1:4" x14ac:dyDescent="0.25">
      <c r="A8765" s="24" t="s">
        <v>155</v>
      </c>
      <c r="B8765" s="24" t="s">
        <v>91</v>
      </c>
      <c r="C8765" s="32">
        <v>24.614000000000001</v>
      </c>
      <c r="D8765" s="28">
        <v>2.7777777777777776E-2</v>
      </c>
    </row>
    <row r="8766" spans="1:4" x14ac:dyDescent="0.25">
      <c r="A8766" s="24" t="s">
        <v>155</v>
      </c>
      <c r="B8766" s="24" t="s">
        <v>92</v>
      </c>
      <c r="C8766" s="32">
        <v>30.684000000000001</v>
      </c>
      <c r="D8766" s="28">
        <v>2.9166666666666664E-2</v>
      </c>
    </row>
    <row r="8767" spans="1:4" x14ac:dyDescent="0.25">
      <c r="A8767" s="24" t="s">
        <v>155</v>
      </c>
      <c r="B8767" s="24" t="s">
        <v>93</v>
      </c>
      <c r="C8767" s="32">
        <v>54.405999999999999</v>
      </c>
      <c r="D8767" s="28">
        <v>4.2361111111111106E-2</v>
      </c>
    </row>
    <row r="8768" spans="1:4" x14ac:dyDescent="0.25">
      <c r="A8768" s="24" t="s">
        <v>155</v>
      </c>
      <c r="B8768" s="24" t="s">
        <v>94</v>
      </c>
      <c r="C8768" s="32">
        <v>55.034999999999997</v>
      </c>
      <c r="D8768" s="28">
        <v>4.3055555555555562E-2</v>
      </c>
    </row>
    <row r="8769" spans="1:4" x14ac:dyDescent="0.25">
      <c r="A8769" s="24" t="s">
        <v>155</v>
      </c>
      <c r="B8769" s="24" t="s">
        <v>95</v>
      </c>
      <c r="C8769" s="32">
        <v>38.902999999999999</v>
      </c>
      <c r="D8769" s="28">
        <v>3.2638888888888891E-2</v>
      </c>
    </row>
    <row r="8770" spans="1:4" x14ac:dyDescent="0.25">
      <c r="A8770" s="24" t="s">
        <v>155</v>
      </c>
      <c r="B8770" s="24" t="s">
        <v>96</v>
      </c>
      <c r="C8770" s="32">
        <v>19.771000000000001</v>
      </c>
      <c r="D8770" s="28">
        <v>2.013888888888889E-2</v>
      </c>
    </row>
    <row r="8771" spans="1:4" x14ac:dyDescent="0.25">
      <c r="A8771" s="24" t="s">
        <v>155</v>
      </c>
      <c r="B8771" s="24" t="s">
        <v>97</v>
      </c>
      <c r="C8771" s="32">
        <v>28.056000000000001</v>
      </c>
      <c r="D8771" s="28">
        <v>2.7777777777777776E-2</v>
      </c>
    </row>
    <row r="8772" spans="1:4" x14ac:dyDescent="0.25">
      <c r="A8772" s="24" t="s">
        <v>155</v>
      </c>
      <c r="B8772" s="24" t="s">
        <v>98</v>
      </c>
      <c r="C8772" s="32">
        <v>27.59</v>
      </c>
      <c r="D8772" s="28">
        <v>2.5694444444444447E-2</v>
      </c>
    </row>
    <row r="8773" spans="1:4" x14ac:dyDescent="0.25">
      <c r="A8773" s="24" t="s">
        <v>155</v>
      </c>
      <c r="B8773" s="24" t="s">
        <v>99</v>
      </c>
      <c r="C8773" s="32">
        <v>29.190999999999999</v>
      </c>
      <c r="D8773" s="28">
        <v>2.8472222222222222E-2</v>
      </c>
    </row>
    <row r="8774" spans="1:4" x14ac:dyDescent="0.25">
      <c r="A8774" s="24" t="s">
        <v>155</v>
      </c>
      <c r="B8774" s="24" t="s">
        <v>100</v>
      </c>
      <c r="C8774" s="32">
        <v>35.103999999999999</v>
      </c>
      <c r="D8774" s="28">
        <v>3.0555555555555555E-2</v>
      </c>
    </row>
    <row r="8775" spans="1:4" x14ac:dyDescent="0.25">
      <c r="A8775" s="24" t="s">
        <v>155</v>
      </c>
      <c r="B8775" s="24" t="s">
        <v>101</v>
      </c>
      <c r="C8775" s="32">
        <v>27.692</v>
      </c>
      <c r="D8775" s="28">
        <v>2.7083333333333334E-2</v>
      </c>
    </row>
    <row r="8776" spans="1:4" x14ac:dyDescent="0.25">
      <c r="A8776" s="24" t="s">
        <v>155</v>
      </c>
      <c r="B8776" s="24" t="s">
        <v>102</v>
      </c>
      <c r="C8776" s="32">
        <v>26.135000000000002</v>
      </c>
      <c r="D8776" s="28">
        <v>2.7083333333333334E-2</v>
      </c>
    </row>
    <row r="8777" spans="1:4" x14ac:dyDescent="0.25">
      <c r="A8777" s="24" t="s">
        <v>155</v>
      </c>
      <c r="B8777" s="24" t="s">
        <v>103</v>
      </c>
      <c r="C8777" s="32">
        <v>25.393999999999998</v>
      </c>
      <c r="D8777" s="28">
        <v>2.4999999999999998E-2</v>
      </c>
    </row>
    <row r="8778" spans="1:4" x14ac:dyDescent="0.25">
      <c r="A8778" s="24" t="s">
        <v>155</v>
      </c>
      <c r="B8778" s="24" t="s">
        <v>104</v>
      </c>
      <c r="C8778" s="32">
        <v>29.577999999999999</v>
      </c>
      <c r="D8778" s="28">
        <v>2.8472222222222222E-2</v>
      </c>
    </row>
    <row r="8779" spans="1:4" x14ac:dyDescent="0.25">
      <c r="A8779" s="24" t="s">
        <v>155</v>
      </c>
      <c r="B8779" s="24" t="s">
        <v>105</v>
      </c>
      <c r="C8779" s="32">
        <v>28.032</v>
      </c>
      <c r="D8779" s="28">
        <v>3.125E-2</v>
      </c>
    </row>
    <row r="8780" spans="1:4" x14ac:dyDescent="0.25">
      <c r="A8780" s="24" t="s">
        <v>155</v>
      </c>
      <c r="B8780" s="24" t="s">
        <v>106</v>
      </c>
      <c r="C8780" s="32">
        <v>24.190999999999999</v>
      </c>
      <c r="D8780" s="28">
        <v>2.361111111111111E-2</v>
      </c>
    </row>
    <row r="8781" spans="1:4" x14ac:dyDescent="0.25">
      <c r="A8781" s="24" t="s">
        <v>155</v>
      </c>
      <c r="B8781" s="24" t="s">
        <v>107</v>
      </c>
      <c r="C8781" s="32">
        <v>32.326000000000001</v>
      </c>
      <c r="D8781" s="28">
        <v>3.2638888888888891E-2</v>
      </c>
    </row>
    <row r="8782" spans="1:4" x14ac:dyDescent="0.25">
      <c r="A8782" s="24" t="s">
        <v>155</v>
      </c>
      <c r="B8782" s="24" t="s">
        <v>108</v>
      </c>
      <c r="C8782" s="32">
        <v>30.712</v>
      </c>
      <c r="D8782" s="28">
        <v>2.9861111111111113E-2</v>
      </c>
    </row>
    <row r="8783" spans="1:4" x14ac:dyDescent="0.25">
      <c r="A8783" s="24" t="s">
        <v>155</v>
      </c>
      <c r="B8783" s="24" t="s">
        <v>109</v>
      </c>
      <c r="C8783" s="32">
        <v>30.742000000000001</v>
      </c>
      <c r="D8783" s="28">
        <v>2.9861111111111113E-2</v>
      </c>
    </row>
    <row r="8784" spans="1:4" x14ac:dyDescent="0.25">
      <c r="A8784" s="24" t="s">
        <v>155</v>
      </c>
      <c r="B8784" s="24" t="s">
        <v>110</v>
      </c>
      <c r="C8784" s="32">
        <v>26.486999999999998</v>
      </c>
      <c r="D8784" s="28">
        <v>2.8472222222222222E-2</v>
      </c>
    </row>
    <row r="8785" spans="1:4" x14ac:dyDescent="0.25">
      <c r="A8785" s="24" t="s">
        <v>155</v>
      </c>
      <c r="B8785" s="24" t="s">
        <v>111</v>
      </c>
      <c r="C8785" s="32">
        <v>27.632999999999999</v>
      </c>
      <c r="D8785" s="28">
        <v>2.4999999999999998E-2</v>
      </c>
    </row>
    <row r="8786" spans="1:4" x14ac:dyDescent="0.25">
      <c r="A8786" s="24" t="s">
        <v>155</v>
      </c>
      <c r="B8786" s="24" t="s">
        <v>112</v>
      </c>
      <c r="C8786" s="32">
        <v>41.393999999999998</v>
      </c>
      <c r="D8786" s="28">
        <v>3.3333333333333333E-2</v>
      </c>
    </row>
    <row r="8787" spans="1:4" x14ac:dyDescent="0.25">
      <c r="A8787" s="24" t="s">
        <v>155</v>
      </c>
      <c r="B8787" s="24" t="s">
        <v>113</v>
      </c>
      <c r="C8787" s="32">
        <v>38.527000000000001</v>
      </c>
      <c r="D8787" s="28">
        <v>3.125E-2</v>
      </c>
    </row>
    <row r="8788" spans="1:4" x14ac:dyDescent="0.25">
      <c r="A8788" s="24" t="s">
        <v>155</v>
      </c>
      <c r="B8788" s="24" t="s">
        <v>114</v>
      </c>
      <c r="C8788" s="32">
        <v>33.939</v>
      </c>
      <c r="D8788" s="28">
        <v>2.9861111111111113E-2</v>
      </c>
    </row>
    <row r="8789" spans="1:4" x14ac:dyDescent="0.25">
      <c r="A8789" s="24" t="s">
        <v>155</v>
      </c>
      <c r="B8789" s="24" t="s">
        <v>115</v>
      </c>
      <c r="C8789" s="32">
        <v>33.390999999999998</v>
      </c>
      <c r="D8789" s="28">
        <v>2.9861111111111113E-2</v>
      </c>
    </row>
    <row r="8790" spans="1:4" x14ac:dyDescent="0.25">
      <c r="A8790" s="24" t="s">
        <v>155</v>
      </c>
      <c r="B8790" s="24" t="s">
        <v>116</v>
      </c>
      <c r="C8790" s="32">
        <v>29.765999999999998</v>
      </c>
      <c r="D8790" s="28">
        <v>2.9166666666666664E-2</v>
      </c>
    </row>
    <row r="8791" spans="1:4" x14ac:dyDescent="0.25">
      <c r="A8791" s="24" t="s">
        <v>155</v>
      </c>
      <c r="B8791" s="24" t="s">
        <v>117</v>
      </c>
      <c r="C8791" s="32">
        <v>38.406999999999996</v>
      </c>
      <c r="D8791" s="28">
        <v>3.3333333333333333E-2</v>
      </c>
    </row>
    <row r="8792" spans="1:4" x14ac:dyDescent="0.25">
      <c r="A8792" s="24" t="s">
        <v>155</v>
      </c>
      <c r="B8792" s="24" t="s">
        <v>118</v>
      </c>
      <c r="C8792" s="32">
        <v>38.125999999999998</v>
      </c>
      <c r="D8792" s="28">
        <v>3.2638888888888891E-2</v>
      </c>
    </row>
    <row r="8793" spans="1:4" x14ac:dyDescent="0.25">
      <c r="A8793" s="24" t="s">
        <v>155</v>
      </c>
      <c r="B8793" s="24" t="s">
        <v>119</v>
      </c>
      <c r="C8793" s="32">
        <v>52.889000000000003</v>
      </c>
      <c r="D8793" s="28">
        <v>3.8194444444444441E-2</v>
      </c>
    </row>
    <row r="8794" spans="1:4" x14ac:dyDescent="0.25">
      <c r="A8794" s="24" t="s">
        <v>155</v>
      </c>
      <c r="B8794" s="24" t="s">
        <v>120</v>
      </c>
      <c r="C8794" s="32">
        <v>55.679000000000002</v>
      </c>
      <c r="D8794" s="28">
        <v>4.1666666666666664E-2</v>
      </c>
    </row>
    <row r="8795" spans="1:4" x14ac:dyDescent="0.25">
      <c r="A8795" s="24" t="s">
        <v>155</v>
      </c>
      <c r="B8795" s="24" t="s">
        <v>121</v>
      </c>
      <c r="C8795" s="32">
        <v>70.03</v>
      </c>
      <c r="D8795" s="28">
        <v>4.8611111111111112E-2</v>
      </c>
    </row>
    <row r="8796" spans="1:4" x14ac:dyDescent="0.25">
      <c r="A8796" s="24" t="s">
        <v>155</v>
      </c>
      <c r="B8796" s="24" t="s">
        <v>122</v>
      </c>
      <c r="C8796" s="32">
        <v>54.713999999999999</v>
      </c>
      <c r="D8796" s="28">
        <v>4.027777777777778E-2</v>
      </c>
    </row>
    <row r="8797" spans="1:4" x14ac:dyDescent="0.25">
      <c r="A8797" s="24" t="s">
        <v>155</v>
      </c>
      <c r="B8797" s="24" t="s">
        <v>123</v>
      </c>
      <c r="C8797" s="32">
        <v>63.615000000000002</v>
      </c>
      <c r="D8797" s="28">
        <v>4.5138888888888888E-2</v>
      </c>
    </row>
    <row r="8798" spans="1:4" x14ac:dyDescent="0.25">
      <c r="A8798" s="24" t="s">
        <v>155</v>
      </c>
      <c r="B8798" s="24" t="s">
        <v>124</v>
      </c>
      <c r="C8798" s="32">
        <v>63.615000000000002</v>
      </c>
      <c r="D8798" s="28">
        <v>4.5138888888888888E-2</v>
      </c>
    </row>
    <row r="8799" spans="1:4" x14ac:dyDescent="0.25">
      <c r="A8799" s="24" t="s">
        <v>155</v>
      </c>
      <c r="B8799" s="24" t="s">
        <v>125</v>
      </c>
      <c r="C8799" s="32">
        <v>15.656000000000001</v>
      </c>
      <c r="D8799" s="28">
        <v>1.8749999999999999E-2</v>
      </c>
    </row>
    <row r="8800" spans="1:4" x14ac:dyDescent="0.25">
      <c r="A8800" s="24" t="s">
        <v>155</v>
      </c>
      <c r="B8800" s="24" t="s">
        <v>126</v>
      </c>
      <c r="C8800" s="32">
        <v>15.394</v>
      </c>
      <c r="D8800" s="28">
        <v>1.8055555555555557E-2</v>
      </c>
    </row>
    <row r="8801" spans="1:4" x14ac:dyDescent="0.25">
      <c r="A8801" s="24" t="s">
        <v>155</v>
      </c>
      <c r="B8801" s="24" t="s">
        <v>127</v>
      </c>
      <c r="C8801" s="32">
        <v>16.138999999999999</v>
      </c>
      <c r="D8801" s="28">
        <v>1.9444444444444445E-2</v>
      </c>
    </row>
    <row r="8802" spans="1:4" x14ac:dyDescent="0.25">
      <c r="A8802" s="24" t="s">
        <v>155</v>
      </c>
      <c r="B8802" s="24" t="s">
        <v>128</v>
      </c>
      <c r="C8802" s="32">
        <v>15.954000000000001</v>
      </c>
      <c r="D8802" s="28">
        <v>2.013888888888889E-2</v>
      </c>
    </row>
    <row r="8803" spans="1:4" x14ac:dyDescent="0.25">
      <c r="A8803" s="24" t="s">
        <v>155</v>
      </c>
      <c r="B8803" s="24" t="s">
        <v>129</v>
      </c>
      <c r="C8803" s="32">
        <v>15.954000000000001</v>
      </c>
      <c r="D8803" s="28">
        <v>2.013888888888889E-2</v>
      </c>
    </row>
    <row r="8804" spans="1:4" x14ac:dyDescent="0.25">
      <c r="A8804" s="24" t="s">
        <v>155</v>
      </c>
      <c r="B8804" s="24" t="s">
        <v>130</v>
      </c>
      <c r="C8804" s="32">
        <v>16.056999999999999</v>
      </c>
      <c r="D8804" s="28">
        <v>1.9444444444444445E-2</v>
      </c>
    </row>
    <row r="8805" spans="1:4" x14ac:dyDescent="0.25">
      <c r="A8805" s="24" t="s">
        <v>155</v>
      </c>
      <c r="B8805" s="24" t="s">
        <v>131</v>
      </c>
      <c r="C8805" s="32">
        <v>18.605</v>
      </c>
      <c r="D8805" s="28">
        <v>2.0833333333333332E-2</v>
      </c>
    </row>
    <row r="8806" spans="1:4" x14ac:dyDescent="0.25">
      <c r="A8806" s="24" t="s">
        <v>155</v>
      </c>
      <c r="B8806" s="24" t="s">
        <v>132</v>
      </c>
      <c r="C8806" s="32">
        <v>9.766</v>
      </c>
      <c r="D8806" s="28">
        <v>1.1111111111111112E-2</v>
      </c>
    </row>
    <row r="8807" spans="1:4" x14ac:dyDescent="0.25">
      <c r="A8807" s="24" t="s">
        <v>155</v>
      </c>
      <c r="B8807" s="24" t="s">
        <v>133</v>
      </c>
      <c r="C8807" s="32">
        <v>24.762</v>
      </c>
      <c r="D8807" s="28">
        <v>2.6388888888888889E-2</v>
      </c>
    </row>
    <row r="8808" spans="1:4" x14ac:dyDescent="0.25">
      <c r="A8808" s="24" t="s">
        <v>155</v>
      </c>
      <c r="B8808" s="24" t="s">
        <v>134</v>
      </c>
      <c r="C8808" s="32">
        <v>24.295999999999999</v>
      </c>
      <c r="D8808" s="28">
        <v>2.4999999999999998E-2</v>
      </c>
    </row>
    <row r="8809" spans="1:4" x14ac:dyDescent="0.25">
      <c r="A8809" s="24" t="s">
        <v>155</v>
      </c>
      <c r="B8809" s="24" t="s">
        <v>135</v>
      </c>
      <c r="C8809" s="32">
        <v>28.363</v>
      </c>
      <c r="D8809" s="28">
        <v>2.5694444444444447E-2</v>
      </c>
    </row>
    <row r="8810" spans="1:4" x14ac:dyDescent="0.25">
      <c r="A8810" s="24" t="s">
        <v>155</v>
      </c>
      <c r="B8810" s="24" t="s">
        <v>136</v>
      </c>
      <c r="C8810" s="32">
        <v>28.363</v>
      </c>
      <c r="D8810" s="28">
        <v>2.5694444444444447E-2</v>
      </c>
    </row>
    <row r="8811" spans="1:4" x14ac:dyDescent="0.25">
      <c r="A8811" s="24" t="s">
        <v>155</v>
      </c>
      <c r="B8811" s="24" t="s">
        <v>137</v>
      </c>
      <c r="C8811" s="32">
        <v>24.449000000000002</v>
      </c>
      <c r="D8811" s="28">
        <v>2.6388888888888889E-2</v>
      </c>
    </row>
    <row r="8812" spans="1:4" x14ac:dyDescent="0.25">
      <c r="A8812" s="24" t="s">
        <v>155</v>
      </c>
      <c r="B8812" s="24" t="s">
        <v>138</v>
      </c>
      <c r="C8812" s="32">
        <v>34.384999999999998</v>
      </c>
      <c r="D8812" s="28">
        <v>2.8472222222222222E-2</v>
      </c>
    </row>
    <row r="8813" spans="1:4" x14ac:dyDescent="0.25">
      <c r="A8813" s="24" t="s">
        <v>155</v>
      </c>
      <c r="B8813" s="24" t="s">
        <v>139</v>
      </c>
      <c r="C8813" s="32">
        <v>31.433</v>
      </c>
      <c r="D8813" s="28">
        <v>2.7083333333333334E-2</v>
      </c>
    </row>
    <row r="8814" spans="1:4" x14ac:dyDescent="0.25">
      <c r="A8814" s="24" t="s">
        <v>155</v>
      </c>
      <c r="B8814" s="24" t="s">
        <v>140</v>
      </c>
      <c r="C8814" s="32">
        <v>28.655999999999999</v>
      </c>
      <c r="D8814" s="28">
        <v>2.4305555555555556E-2</v>
      </c>
    </row>
    <row r="8815" spans="1:4" x14ac:dyDescent="0.25">
      <c r="A8815" s="24" t="s">
        <v>155</v>
      </c>
      <c r="B8815" s="24" t="s">
        <v>141</v>
      </c>
      <c r="C8815" s="32">
        <v>57.576999999999998</v>
      </c>
      <c r="D8815" s="28">
        <v>4.6527777777777779E-2</v>
      </c>
    </row>
    <row r="8816" spans="1:4" x14ac:dyDescent="0.25">
      <c r="A8816" s="24" t="s">
        <v>155</v>
      </c>
      <c r="B8816" s="24" t="s">
        <v>142</v>
      </c>
      <c r="C8816" s="32">
        <v>42.347000000000001</v>
      </c>
      <c r="D8816" s="28">
        <v>3.2638888888888891E-2</v>
      </c>
    </row>
    <row r="8817" spans="1:4" x14ac:dyDescent="0.25">
      <c r="A8817" s="24" t="s">
        <v>155</v>
      </c>
      <c r="B8817" s="24" t="s">
        <v>143</v>
      </c>
      <c r="C8817" s="32">
        <v>60.725000000000001</v>
      </c>
      <c r="D8817" s="28">
        <v>3.9583333333333331E-2</v>
      </c>
    </row>
    <row r="8818" spans="1:4" x14ac:dyDescent="0.25">
      <c r="A8818" s="24" t="s">
        <v>155</v>
      </c>
      <c r="B8818" s="24" t="s">
        <v>144</v>
      </c>
      <c r="C8818" s="32">
        <v>79.840999999999994</v>
      </c>
      <c r="D8818" s="28">
        <v>5.0694444444444452E-2</v>
      </c>
    </row>
    <row r="8819" spans="1:4" x14ac:dyDescent="0.25">
      <c r="A8819" s="24" t="s">
        <v>155</v>
      </c>
      <c r="B8819" s="24" t="s">
        <v>145</v>
      </c>
      <c r="C8819" s="32">
        <v>45.618000000000002</v>
      </c>
      <c r="D8819" s="28">
        <v>3.7499999999999999E-2</v>
      </c>
    </row>
    <row r="8820" spans="1:4" x14ac:dyDescent="0.25">
      <c r="A8820" s="24" t="s">
        <v>155</v>
      </c>
      <c r="B8820" s="24" t="s">
        <v>146</v>
      </c>
      <c r="C8820" s="32">
        <v>55.604999999999997</v>
      </c>
      <c r="D8820" s="28">
        <v>4.4444444444444446E-2</v>
      </c>
    </row>
    <row r="8821" spans="1:4" x14ac:dyDescent="0.25">
      <c r="A8821" s="24" t="s">
        <v>155</v>
      </c>
      <c r="B8821" s="24" t="s">
        <v>147</v>
      </c>
      <c r="C8821" s="32">
        <v>24.117999999999999</v>
      </c>
      <c r="D8821" s="28">
        <v>2.2916666666666669E-2</v>
      </c>
    </row>
    <row r="8822" spans="1:4" x14ac:dyDescent="0.25">
      <c r="A8822" s="24" t="s">
        <v>155</v>
      </c>
      <c r="B8822" s="24" t="s">
        <v>148</v>
      </c>
      <c r="C8822" s="32">
        <v>21.292000000000002</v>
      </c>
      <c r="D8822" s="28">
        <v>2.2222222222222223E-2</v>
      </c>
    </row>
    <row r="8823" spans="1:4" x14ac:dyDescent="0.25">
      <c r="A8823" s="24" t="s">
        <v>155</v>
      </c>
      <c r="B8823" s="24" t="s">
        <v>149</v>
      </c>
      <c r="C8823" s="32">
        <v>11.134</v>
      </c>
      <c r="D8823" s="28">
        <v>1.2499999999999999E-2</v>
      </c>
    </row>
    <row r="8824" spans="1:4" x14ac:dyDescent="0.25">
      <c r="A8824" s="24" t="s">
        <v>155</v>
      </c>
      <c r="B8824" s="24" t="s">
        <v>150</v>
      </c>
      <c r="C8824" s="32">
        <v>1.371</v>
      </c>
      <c r="D8824" s="28">
        <v>2.0833333333333333E-3</v>
      </c>
    </row>
    <row r="8825" spans="1:4" x14ac:dyDescent="0.25">
      <c r="A8825" s="24" t="s">
        <v>155</v>
      </c>
      <c r="B8825" s="24" t="s">
        <v>151</v>
      </c>
      <c r="C8825" s="32">
        <v>2.3029999999999999</v>
      </c>
      <c r="D8825" s="28">
        <v>3.472222222222222E-3</v>
      </c>
    </row>
    <row r="8826" spans="1:4" x14ac:dyDescent="0.25">
      <c r="A8826" s="24" t="s">
        <v>155</v>
      </c>
      <c r="B8826" s="24" t="s">
        <v>152</v>
      </c>
      <c r="C8826" s="32">
        <v>5.274</v>
      </c>
      <c r="D8826" s="28">
        <v>6.2499999999999995E-3</v>
      </c>
    </row>
    <row r="8827" spans="1:4" x14ac:dyDescent="0.25">
      <c r="A8827" s="24" t="s">
        <v>155</v>
      </c>
      <c r="B8827" s="24" t="s">
        <v>153</v>
      </c>
      <c r="C8827" s="32">
        <v>14.484999999999999</v>
      </c>
      <c r="D8827" s="28">
        <v>1.6666666666666666E-2</v>
      </c>
    </row>
    <row r="8828" spans="1:4" x14ac:dyDescent="0.25">
      <c r="A8828" s="24" t="s">
        <v>155</v>
      </c>
      <c r="B8828" s="24" t="s">
        <v>154</v>
      </c>
      <c r="C8828" s="32">
        <v>9.3030000000000008</v>
      </c>
      <c r="D8828" s="28">
        <v>1.0416666666666666E-2</v>
      </c>
    </row>
    <row r="8829" spans="1:4" x14ac:dyDescent="0.25">
      <c r="A8829" s="24" t="s">
        <v>155</v>
      </c>
      <c r="B8829" s="24" t="s">
        <v>155</v>
      </c>
      <c r="C8829" s="32">
        <v>0</v>
      </c>
      <c r="D8829" s="28">
        <v>0</v>
      </c>
    </row>
    <row r="8830" spans="1:4" x14ac:dyDescent="0.25">
      <c r="A8830" s="24" t="s">
        <v>155</v>
      </c>
      <c r="B8830" s="24" t="s">
        <v>156</v>
      </c>
      <c r="C8830" s="32">
        <v>1.6E-2</v>
      </c>
      <c r="D8830" s="28">
        <v>0</v>
      </c>
    </row>
    <row r="8831" spans="1:4" x14ac:dyDescent="0.25">
      <c r="A8831" s="24" t="s">
        <v>155</v>
      </c>
      <c r="B8831" s="24" t="s">
        <v>157</v>
      </c>
      <c r="C8831" s="32">
        <v>28.666</v>
      </c>
      <c r="D8831" s="28">
        <v>2.6388888888888889E-2</v>
      </c>
    </row>
    <row r="8832" spans="1:4" x14ac:dyDescent="0.25">
      <c r="A8832" s="24" t="s">
        <v>155</v>
      </c>
      <c r="B8832" s="24" t="s">
        <v>158</v>
      </c>
      <c r="C8832" s="32">
        <v>40.341999999999999</v>
      </c>
      <c r="D8832" s="28">
        <v>3.0555555555555555E-2</v>
      </c>
    </row>
    <row r="8833" spans="1:4" x14ac:dyDescent="0.25">
      <c r="A8833" s="24" t="s">
        <v>155</v>
      </c>
      <c r="B8833" s="24" t="s">
        <v>159</v>
      </c>
      <c r="C8833" s="32">
        <v>50.298000000000002</v>
      </c>
      <c r="D8833" s="28">
        <v>4.0972222222222222E-2</v>
      </c>
    </row>
    <row r="8834" spans="1:4" x14ac:dyDescent="0.25">
      <c r="A8834" s="24" t="s">
        <v>156</v>
      </c>
      <c r="B8834" s="24" t="s">
        <v>65</v>
      </c>
      <c r="C8834" s="32">
        <v>30.805</v>
      </c>
      <c r="D8834" s="28">
        <v>2.6388888888888889E-2</v>
      </c>
    </row>
    <row r="8835" spans="1:4" x14ac:dyDescent="0.25">
      <c r="A8835" s="24" t="s">
        <v>156</v>
      </c>
      <c r="B8835" s="24" t="s">
        <v>64</v>
      </c>
      <c r="C8835" s="32">
        <v>17.981000000000002</v>
      </c>
      <c r="D8835" s="28">
        <v>2.013888888888889E-2</v>
      </c>
    </row>
    <row r="8836" spans="1:4" x14ac:dyDescent="0.25">
      <c r="A8836" s="24" t="s">
        <v>156</v>
      </c>
      <c r="B8836" s="24" t="s">
        <v>66</v>
      </c>
      <c r="C8836" s="32">
        <v>16.071999999999999</v>
      </c>
      <c r="D8836" s="28">
        <v>1.5972222222222224E-2</v>
      </c>
    </row>
    <row r="8837" spans="1:4" x14ac:dyDescent="0.25">
      <c r="A8837" s="24" t="s">
        <v>156</v>
      </c>
      <c r="B8837" s="24" t="s">
        <v>67</v>
      </c>
      <c r="C8837" s="32">
        <v>16.12</v>
      </c>
      <c r="D8837" s="28">
        <v>1.8055555555555557E-2</v>
      </c>
    </row>
    <row r="8838" spans="1:4" x14ac:dyDescent="0.25">
      <c r="A8838" s="24" t="s">
        <v>156</v>
      </c>
      <c r="B8838" s="24" t="s">
        <v>68</v>
      </c>
      <c r="C8838" s="32">
        <v>15.379</v>
      </c>
      <c r="D8838" s="28">
        <v>1.6666666666666666E-2</v>
      </c>
    </row>
    <row r="8839" spans="1:4" x14ac:dyDescent="0.25">
      <c r="A8839" s="24" t="s">
        <v>156</v>
      </c>
      <c r="B8839" s="24" t="s">
        <v>69</v>
      </c>
      <c r="C8839" s="32">
        <v>15.195</v>
      </c>
      <c r="D8839" s="28">
        <v>1.5972222222222224E-2</v>
      </c>
    </row>
    <row r="8840" spans="1:4" x14ac:dyDescent="0.25">
      <c r="A8840" s="24" t="s">
        <v>156</v>
      </c>
      <c r="B8840" s="24" t="s">
        <v>70</v>
      </c>
      <c r="C8840" s="32">
        <v>15.012</v>
      </c>
      <c r="D8840" s="28">
        <v>1.5277777777777777E-2</v>
      </c>
    </row>
    <row r="8841" spans="1:4" x14ac:dyDescent="0.25">
      <c r="A8841" s="24" t="s">
        <v>156</v>
      </c>
      <c r="B8841" s="24" t="s">
        <v>71</v>
      </c>
      <c r="C8841" s="32">
        <v>15.772</v>
      </c>
      <c r="D8841" s="28">
        <v>1.6666666666666666E-2</v>
      </c>
    </row>
    <row r="8842" spans="1:4" x14ac:dyDescent="0.25">
      <c r="A8842" s="24" t="s">
        <v>156</v>
      </c>
      <c r="B8842" s="24" t="s">
        <v>72</v>
      </c>
      <c r="C8842" s="32">
        <v>17.263999999999999</v>
      </c>
      <c r="D8842" s="28">
        <v>2.013888888888889E-2</v>
      </c>
    </row>
    <row r="8843" spans="1:4" x14ac:dyDescent="0.25">
      <c r="A8843" s="24" t="s">
        <v>156</v>
      </c>
      <c r="B8843" s="24" t="s">
        <v>73</v>
      </c>
      <c r="C8843" s="32">
        <v>16.797000000000001</v>
      </c>
      <c r="D8843" s="28">
        <v>1.8749999999999999E-2</v>
      </c>
    </row>
    <row r="8844" spans="1:4" x14ac:dyDescent="0.25">
      <c r="A8844" s="24" t="s">
        <v>156</v>
      </c>
      <c r="B8844" s="24" t="s">
        <v>74</v>
      </c>
      <c r="C8844" s="32">
        <v>20.456</v>
      </c>
      <c r="D8844" s="28">
        <v>2.361111111111111E-2</v>
      </c>
    </row>
    <row r="8845" spans="1:4" x14ac:dyDescent="0.25">
      <c r="A8845" s="24" t="s">
        <v>156</v>
      </c>
      <c r="B8845" s="24" t="s">
        <v>75</v>
      </c>
      <c r="C8845" s="32">
        <v>20.794</v>
      </c>
      <c r="D8845" s="28">
        <v>2.2222222222222223E-2</v>
      </c>
    </row>
    <row r="8846" spans="1:4" x14ac:dyDescent="0.25">
      <c r="A8846" s="24" t="s">
        <v>156</v>
      </c>
      <c r="B8846" s="24" t="s">
        <v>76</v>
      </c>
      <c r="C8846" s="32">
        <v>25.498000000000001</v>
      </c>
      <c r="D8846" s="28">
        <v>2.4305555555555556E-2</v>
      </c>
    </row>
    <row r="8847" spans="1:4" x14ac:dyDescent="0.25">
      <c r="A8847" s="24" t="s">
        <v>156</v>
      </c>
      <c r="B8847" s="24" t="s">
        <v>77</v>
      </c>
      <c r="C8847" s="32">
        <v>16.154</v>
      </c>
      <c r="D8847" s="28">
        <v>1.8055555555555557E-2</v>
      </c>
    </row>
    <row r="8848" spans="1:4" x14ac:dyDescent="0.25">
      <c r="A8848" s="24" t="s">
        <v>156</v>
      </c>
      <c r="B8848" s="24" t="s">
        <v>78</v>
      </c>
      <c r="C8848" s="32">
        <v>13.911</v>
      </c>
      <c r="D8848" s="28">
        <v>1.5277777777777777E-2</v>
      </c>
    </row>
    <row r="8849" spans="1:4" x14ac:dyDescent="0.25">
      <c r="A8849" s="24" t="s">
        <v>156</v>
      </c>
      <c r="B8849" s="24" t="s">
        <v>79</v>
      </c>
      <c r="C8849" s="32">
        <v>25.042999999999999</v>
      </c>
      <c r="D8849" s="28">
        <v>2.5694444444444447E-2</v>
      </c>
    </row>
    <row r="8850" spans="1:4" x14ac:dyDescent="0.25">
      <c r="A8850" s="24" t="s">
        <v>156</v>
      </c>
      <c r="B8850" s="24" t="s">
        <v>80</v>
      </c>
      <c r="C8850" s="32">
        <v>34.029000000000003</v>
      </c>
      <c r="D8850" s="28">
        <v>2.9166666666666664E-2</v>
      </c>
    </row>
    <row r="8851" spans="1:4" x14ac:dyDescent="0.25">
      <c r="A8851" s="24" t="s">
        <v>156</v>
      </c>
      <c r="B8851" s="24" t="s">
        <v>81</v>
      </c>
      <c r="C8851" s="32">
        <v>38.551000000000002</v>
      </c>
      <c r="D8851" s="28">
        <v>3.125E-2</v>
      </c>
    </row>
    <row r="8852" spans="1:4" x14ac:dyDescent="0.25">
      <c r="A8852" s="24" t="s">
        <v>156</v>
      </c>
      <c r="B8852" s="24" t="s">
        <v>82</v>
      </c>
      <c r="C8852" s="32">
        <v>38.603000000000002</v>
      </c>
      <c r="D8852" s="28">
        <v>3.125E-2</v>
      </c>
    </row>
    <row r="8853" spans="1:4" x14ac:dyDescent="0.25">
      <c r="A8853" s="24" t="s">
        <v>156</v>
      </c>
      <c r="B8853" s="24" t="s">
        <v>83</v>
      </c>
      <c r="C8853" s="32">
        <v>22.442</v>
      </c>
      <c r="D8853" s="28">
        <v>2.2916666666666669E-2</v>
      </c>
    </row>
    <row r="8854" spans="1:4" x14ac:dyDescent="0.25">
      <c r="A8854" s="24" t="s">
        <v>156</v>
      </c>
      <c r="B8854" s="24" t="s">
        <v>84</v>
      </c>
      <c r="C8854" s="32">
        <v>21.26</v>
      </c>
      <c r="D8854" s="28">
        <v>2.361111111111111E-2</v>
      </c>
    </row>
    <row r="8855" spans="1:4" x14ac:dyDescent="0.25">
      <c r="A8855" s="24" t="s">
        <v>156</v>
      </c>
      <c r="B8855" s="24" t="s">
        <v>85</v>
      </c>
      <c r="C8855" s="32">
        <v>21.442</v>
      </c>
      <c r="D8855" s="28">
        <v>2.4305555555555556E-2</v>
      </c>
    </row>
    <row r="8856" spans="1:4" x14ac:dyDescent="0.25">
      <c r="A8856" s="24" t="s">
        <v>156</v>
      </c>
      <c r="B8856" s="24" t="s">
        <v>86</v>
      </c>
      <c r="C8856" s="32">
        <v>22.838999999999999</v>
      </c>
      <c r="D8856" s="28">
        <v>2.2916666666666669E-2</v>
      </c>
    </row>
    <row r="8857" spans="1:4" x14ac:dyDescent="0.25">
      <c r="A8857" s="24" t="s">
        <v>156</v>
      </c>
      <c r="B8857" s="24" t="s">
        <v>87</v>
      </c>
      <c r="C8857" s="32">
        <v>22.032</v>
      </c>
      <c r="D8857" s="28">
        <v>2.361111111111111E-2</v>
      </c>
    </row>
    <row r="8858" spans="1:4" x14ac:dyDescent="0.25">
      <c r="A8858" s="24" t="s">
        <v>156</v>
      </c>
      <c r="B8858" s="24" t="s">
        <v>88</v>
      </c>
      <c r="C8858" s="32">
        <v>23.411000000000001</v>
      </c>
      <c r="D8858" s="28">
        <v>2.4999999999999998E-2</v>
      </c>
    </row>
    <row r="8859" spans="1:4" x14ac:dyDescent="0.25">
      <c r="A8859" s="24" t="s">
        <v>156</v>
      </c>
      <c r="B8859" s="24" t="s">
        <v>89</v>
      </c>
      <c r="C8859" s="32">
        <v>26.446000000000002</v>
      </c>
      <c r="D8859" s="28">
        <v>2.8472222222222222E-2</v>
      </c>
    </row>
    <row r="8860" spans="1:4" x14ac:dyDescent="0.25">
      <c r="A8860" s="24" t="s">
        <v>156</v>
      </c>
      <c r="B8860" s="24" t="s">
        <v>90</v>
      </c>
      <c r="C8860" s="32">
        <v>31.411999999999999</v>
      </c>
      <c r="D8860" s="28">
        <v>2.9166666666666664E-2</v>
      </c>
    </row>
    <row r="8861" spans="1:4" x14ac:dyDescent="0.25">
      <c r="A8861" s="24" t="s">
        <v>156</v>
      </c>
      <c r="B8861" s="24" t="s">
        <v>91</v>
      </c>
      <c r="C8861" s="32">
        <v>24.597999999999999</v>
      </c>
      <c r="D8861" s="28">
        <v>2.7777777777777776E-2</v>
      </c>
    </row>
    <row r="8862" spans="1:4" x14ac:dyDescent="0.25">
      <c r="A8862" s="24" t="s">
        <v>156</v>
      </c>
      <c r="B8862" s="24" t="s">
        <v>92</v>
      </c>
      <c r="C8862" s="32">
        <v>30.667999999999999</v>
      </c>
      <c r="D8862" s="28">
        <v>2.9166666666666664E-2</v>
      </c>
    </row>
    <row r="8863" spans="1:4" x14ac:dyDescent="0.25">
      <c r="A8863" s="24" t="s">
        <v>156</v>
      </c>
      <c r="B8863" s="24" t="s">
        <v>93</v>
      </c>
      <c r="C8863" s="32">
        <v>54.39</v>
      </c>
      <c r="D8863" s="28">
        <v>4.2361111111111106E-2</v>
      </c>
    </row>
    <row r="8864" spans="1:4" x14ac:dyDescent="0.25">
      <c r="A8864" s="24" t="s">
        <v>156</v>
      </c>
      <c r="B8864" s="24" t="s">
        <v>94</v>
      </c>
      <c r="C8864" s="32">
        <v>55.018999999999998</v>
      </c>
      <c r="D8864" s="28">
        <v>4.3055555555555562E-2</v>
      </c>
    </row>
    <row r="8865" spans="1:4" x14ac:dyDescent="0.25">
      <c r="A8865" s="24" t="s">
        <v>156</v>
      </c>
      <c r="B8865" s="24" t="s">
        <v>95</v>
      </c>
      <c r="C8865" s="32">
        <v>38.887</v>
      </c>
      <c r="D8865" s="28">
        <v>3.2638888888888891E-2</v>
      </c>
    </row>
    <row r="8866" spans="1:4" x14ac:dyDescent="0.25">
      <c r="A8866" s="24" t="s">
        <v>156</v>
      </c>
      <c r="B8866" s="24" t="s">
        <v>96</v>
      </c>
      <c r="C8866" s="32">
        <v>19.803000000000001</v>
      </c>
      <c r="D8866" s="28">
        <v>2.013888888888889E-2</v>
      </c>
    </row>
    <row r="8867" spans="1:4" x14ac:dyDescent="0.25">
      <c r="A8867" s="24" t="s">
        <v>156</v>
      </c>
      <c r="B8867" s="24" t="s">
        <v>97</v>
      </c>
      <c r="C8867" s="32">
        <v>28.088000000000001</v>
      </c>
      <c r="D8867" s="28">
        <v>2.7777777777777776E-2</v>
      </c>
    </row>
    <row r="8868" spans="1:4" x14ac:dyDescent="0.25">
      <c r="A8868" s="24" t="s">
        <v>156</v>
      </c>
      <c r="B8868" s="24" t="s">
        <v>98</v>
      </c>
      <c r="C8868" s="32">
        <v>27.574000000000002</v>
      </c>
      <c r="D8868" s="28">
        <v>2.5694444444444447E-2</v>
      </c>
    </row>
    <row r="8869" spans="1:4" x14ac:dyDescent="0.25">
      <c r="A8869" s="24" t="s">
        <v>156</v>
      </c>
      <c r="B8869" s="24" t="s">
        <v>99</v>
      </c>
      <c r="C8869" s="32">
        <v>29.222999999999999</v>
      </c>
      <c r="D8869" s="28">
        <v>2.8472222222222222E-2</v>
      </c>
    </row>
    <row r="8870" spans="1:4" x14ac:dyDescent="0.25">
      <c r="A8870" s="24" t="s">
        <v>156</v>
      </c>
      <c r="B8870" s="24" t="s">
        <v>100</v>
      </c>
      <c r="C8870" s="32">
        <v>35.088000000000001</v>
      </c>
      <c r="D8870" s="28">
        <v>3.0555555555555555E-2</v>
      </c>
    </row>
    <row r="8871" spans="1:4" x14ac:dyDescent="0.25">
      <c r="A8871" s="24" t="s">
        <v>156</v>
      </c>
      <c r="B8871" s="24" t="s">
        <v>101</v>
      </c>
      <c r="C8871" s="32">
        <v>27.675999999999998</v>
      </c>
      <c r="D8871" s="28">
        <v>2.7083333333333334E-2</v>
      </c>
    </row>
    <row r="8872" spans="1:4" x14ac:dyDescent="0.25">
      <c r="A8872" s="24" t="s">
        <v>156</v>
      </c>
      <c r="B8872" s="24" t="s">
        <v>102</v>
      </c>
      <c r="C8872" s="32">
        <v>26.167000000000002</v>
      </c>
      <c r="D8872" s="28">
        <v>2.7083333333333334E-2</v>
      </c>
    </row>
    <row r="8873" spans="1:4" x14ac:dyDescent="0.25">
      <c r="A8873" s="24" t="s">
        <v>156</v>
      </c>
      <c r="B8873" s="24" t="s">
        <v>103</v>
      </c>
      <c r="C8873" s="32">
        <v>25.378</v>
      </c>
      <c r="D8873" s="28">
        <v>2.4999999999999998E-2</v>
      </c>
    </row>
    <row r="8874" spans="1:4" x14ac:dyDescent="0.25">
      <c r="A8874" s="24" t="s">
        <v>156</v>
      </c>
      <c r="B8874" s="24" t="s">
        <v>104</v>
      </c>
      <c r="C8874" s="32">
        <v>29.562000000000001</v>
      </c>
      <c r="D8874" s="28">
        <v>2.8472222222222222E-2</v>
      </c>
    </row>
    <row r="8875" spans="1:4" x14ac:dyDescent="0.25">
      <c r="A8875" s="24" t="s">
        <v>156</v>
      </c>
      <c r="B8875" s="24" t="s">
        <v>105</v>
      </c>
      <c r="C8875" s="32">
        <v>28.015999999999998</v>
      </c>
      <c r="D8875" s="28">
        <v>3.125E-2</v>
      </c>
    </row>
    <row r="8876" spans="1:4" x14ac:dyDescent="0.25">
      <c r="A8876" s="24" t="s">
        <v>156</v>
      </c>
      <c r="B8876" s="24" t="s">
        <v>106</v>
      </c>
      <c r="C8876" s="32">
        <v>24.175000000000001</v>
      </c>
      <c r="D8876" s="28">
        <v>2.361111111111111E-2</v>
      </c>
    </row>
    <row r="8877" spans="1:4" x14ac:dyDescent="0.25">
      <c r="A8877" s="24" t="s">
        <v>156</v>
      </c>
      <c r="B8877" s="24" t="s">
        <v>107</v>
      </c>
      <c r="C8877" s="32">
        <v>32.31</v>
      </c>
      <c r="D8877" s="28">
        <v>3.1944444444444449E-2</v>
      </c>
    </row>
    <row r="8878" spans="1:4" x14ac:dyDescent="0.25">
      <c r="A8878" s="24" t="s">
        <v>156</v>
      </c>
      <c r="B8878" s="24" t="s">
        <v>108</v>
      </c>
      <c r="C8878" s="32">
        <v>30.696000000000002</v>
      </c>
      <c r="D8878" s="28">
        <v>2.9861111111111113E-2</v>
      </c>
    </row>
    <row r="8879" spans="1:4" x14ac:dyDescent="0.25">
      <c r="A8879" s="24" t="s">
        <v>156</v>
      </c>
      <c r="B8879" s="24" t="s">
        <v>109</v>
      </c>
      <c r="C8879" s="32">
        <v>30.725999999999999</v>
      </c>
      <c r="D8879" s="28">
        <v>2.9861111111111113E-2</v>
      </c>
    </row>
    <row r="8880" spans="1:4" x14ac:dyDescent="0.25">
      <c r="A8880" s="24" t="s">
        <v>156</v>
      </c>
      <c r="B8880" s="24" t="s">
        <v>110</v>
      </c>
      <c r="C8880" s="32">
        <v>26.471</v>
      </c>
      <c r="D8880" s="28">
        <v>2.8472222222222222E-2</v>
      </c>
    </row>
    <row r="8881" spans="1:4" x14ac:dyDescent="0.25">
      <c r="A8881" s="24" t="s">
        <v>156</v>
      </c>
      <c r="B8881" s="24" t="s">
        <v>111</v>
      </c>
      <c r="C8881" s="32">
        <v>27.617000000000001</v>
      </c>
      <c r="D8881" s="28">
        <v>2.4999999999999998E-2</v>
      </c>
    </row>
    <row r="8882" spans="1:4" x14ac:dyDescent="0.25">
      <c r="A8882" s="24" t="s">
        <v>156</v>
      </c>
      <c r="B8882" s="24" t="s">
        <v>112</v>
      </c>
      <c r="C8882" s="32">
        <v>41.378</v>
      </c>
      <c r="D8882" s="28">
        <v>3.2638888888888891E-2</v>
      </c>
    </row>
    <row r="8883" spans="1:4" x14ac:dyDescent="0.25">
      <c r="A8883" s="24" t="s">
        <v>156</v>
      </c>
      <c r="B8883" s="24" t="s">
        <v>113</v>
      </c>
      <c r="C8883" s="32">
        <v>38.511000000000003</v>
      </c>
      <c r="D8883" s="28">
        <v>3.125E-2</v>
      </c>
    </row>
    <row r="8884" spans="1:4" x14ac:dyDescent="0.25">
      <c r="A8884" s="24" t="s">
        <v>156</v>
      </c>
      <c r="B8884" s="24" t="s">
        <v>114</v>
      </c>
      <c r="C8884" s="32">
        <v>33.923000000000002</v>
      </c>
      <c r="D8884" s="28">
        <v>2.9861111111111113E-2</v>
      </c>
    </row>
    <row r="8885" spans="1:4" x14ac:dyDescent="0.25">
      <c r="A8885" s="24" t="s">
        <v>156</v>
      </c>
      <c r="B8885" s="24" t="s">
        <v>115</v>
      </c>
      <c r="C8885" s="32">
        <v>33.375</v>
      </c>
      <c r="D8885" s="28">
        <v>2.9861111111111113E-2</v>
      </c>
    </row>
    <row r="8886" spans="1:4" x14ac:dyDescent="0.25">
      <c r="A8886" s="24" t="s">
        <v>156</v>
      </c>
      <c r="B8886" s="24" t="s">
        <v>116</v>
      </c>
      <c r="C8886" s="32">
        <v>29.75</v>
      </c>
      <c r="D8886" s="28">
        <v>2.9166666666666664E-2</v>
      </c>
    </row>
    <row r="8887" spans="1:4" x14ac:dyDescent="0.25">
      <c r="A8887" s="24" t="s">
        <v>156</v>
      </c>
      <c r="B8887" s="24" t="s">
        <v>117</v>
      </c>
      <c r="C8887" s="32">
        <v>38.390999999999998</v>
      </c>
      <c r="D8887" s="28">
        <v>3.3333333333333333E-2</v>
      </c>
    </row>
    <row r="8888" spans="1:4" x14ac:dyDescent="0.25">
      <c r="A8888" s="24" t="s">
        <v>156</v>
      </c>
      <c r="B8888" s="24" t="s">
        <v>118</v>
      </c>
      <c r="C8888" s="32">
        <v>38.11</v>
      </c>
      <c r="D8888" s="28">
        <v>3.2638888888888891E-2</v>
      </c>
    </row>
    <row r="8889" spans="1:4" x14ac:dyDescent="0.25">
      <c r="A8889" s="24" t="s">
        <v>156</v>
      </c>
      <c r="B8889" s="24" t="s">
        <v>119</v>
      </c>
      <c r="C8889" s="32">
        <v>52.872999999999998</v>
      </c>
      <c r="D8889" s="28">
        <v>3.8194444444444441E-2</v>
      </c>
    </row>
    <row r="8890" spans="1:4" x14ac:dyDescent="0.25">
      <c r="A8890" s="24" t="s">
        <v>156</v>
      </c>
      <c r="B8890" s="24" t="s">
        <v>120</v>
      </c>
      <c r="C8890" s="32">
        <v>55.662999999999997</v>
      </c>
      <c r="D8890" s="28">
        <v>4.1666666666666664E-2</v>
      </c>
    </row>
    <row r="8891" spans="1:4" x14ac:dyDescent="0.25">
      <c r="A8891" s="24" t="s">
        <v>156</v>
      </c>
      <c r="B8891" s="24" t="s">
        <v>121</v>
      </c>
      <c r="C8891" s="32">
        <v>70.013999999999996</v>
      </c>
      <c r="D8891" s="28">
        <v>4.8611111111111112E-2</v>
      </c>
    </row>
    <row r="8892" spans="1:4" x14ac:dyDescent="0.25">
      <c r="A8892" s="24" t="s">
        <v>156</v>
      </c>
      <c r="B8892" s="24" t="s">
        <v>122</v>
      </c>
      <c r="C8892" s="32">
        <v>54.698</v>
      </c>
      <c r="D8892" s="28">
        <v>4.027777777777778E-2</v>
      </c>
    </row>
    <row r="8893" spans="1:4" x14ac:dyDescent="0.25">
      <c r="A8893" s="24" t="s">
        <v>156</v>
      </c>
      <c r="B8893" s="24" t="s">
        <v>123</v>
      </c>
      <c r="C8893" s="32">
        <v>63.598999999999997</v>
      </c>
      <c r="D8893" s="28">
        <v>4.5138888888888888E-2</v>
      </c>
    </row>
    <row r="8894" spans="1:4" x14ac:dyDescent="0.25">
      <c r="A8894" s="24" t="s">
        <v>156</v>
      </c>
      <c r="B8894" s="24" t="s">
        <v>124</v>
      </c>
      <c r="C8894" s="32">
        <v>63.598999999999997</v>
      </c>
      <c r="D8894" s="28">
        <v>4.5138888888888888E-2</v>
      </c>
    </row>
    <row r="8895" spans="1:4" x14ac:dyDescent="0.25">
      <c r="A8895" s="24" t="s">
        <v>156</v>
      </c>
      <c r="B8895" s="24" t="s">
        <v>125</v>
      </c>
      <c r="C8895" s="32">
        <v>15.64</v>
      </c>
      <c r="D8895" s="28">
        <v>1.8749999999999999E-2</v>
      </c>
    </row>
    <row r="8896" spans="1:4" x14ac:dyDescent="0.25">
      <c r="A8896" s="24" t="s">
        <v>156</v>
      </c>
      <c r="B8896" s="24" t="s">
        <v>126</v>
      </c>
      <c r="C8896" s="32">
        <v>15.378</v>
      </c>
      <c r="D8896" s="28">
        <v>1.8055555555555557E-2</v>
      </c>
    </row>
    <row r="8897" spans="1:4" x14ac:dyDescent="0.25">
      <c r="A8897" s="24" t="s">
        <v>156</v>
      </c>
      <c r="B8897" s="24" t="s">
        <v>127</v>
      </c>
      <c r="C8897" s="32">
        <v>16.123000000000001</v>
      </c>
      <c r="D8897" s="28">
        <v>1.9444444444444445E-2</v>
      </c>
    </row>
    <row r="8898" spans="1:4" x14ac:dyDescent="0.25">
      <c r="A8898" s="24" t="s">
        <v>156</v>
      </c>
      <c r="B8898" s="24" t="s">
        <v>128</v>
      </c>
      <c r="C8898" s="32">
        <v>15.938000000000001</v>
      </c>
      <c r="D8898" s="28">
        <v>2.013888888888889E-2</v>
      </c>
    </row>
    <row r="8899" spans="1:4" x14ac:dyDescent="0.25">
      <c r="A8899" s="24" t="s">
        <v>156</v>
      </c>
      <c r="B8899" s="24" t="s">
        <v>129</v>
      </c>
      <c r="C8899" s="32">
        <v>15.938000000000001</v>
      </c>
      <c r="D8899" s="28">
        <v>2.013888888888889E-2</v>
      </c>
    </row>
    <row r="8900" spans="1:4" x14ac:dyDescent="0.25">
      <c r="A8900" s="24" t="s">
        <v>156</v>
      </c>
      <c r="B8900" s="24" t="s">
        <v>130</v>
      </c>
      <c r="C8900" s="32">
        <v>16.041</v>
      </c>
      <c r="D8900" s="28">
        <v>1.9444444444444445E-2</v>
      </c>
    </row>
    <row r="8901" spans="1:4" x14ac:dyDescent="0.25">
      <c r="A8901" s="24" t="s">
        <v>156</v>
      </c>
      <c r="B8901" s="24" t="s">
        <v>131</v>
      </c>
      <c r="C8901" s="32">
        <v>18.588999999999999</v>
      </c>
      <c r="D8901" s="28">
        <v>2.0833333333333332E-2</v>
      </c>
    </row>
    <row r="8902" spans="1:4" x14ac:dyDescent="0.25">
      <c r="A8902" s="24" t="s">
        <v>156</v>
      </c>
      <c r="B8902" s="24" t="s">
        <v>132</v>
      </c>
      <c r="C8902" s="32">
        <v>9.75</v>
      </c>
      <c r="D8902" s="28">
        <v>1.1111111111111112E-2</v>
      </c>
    </row>
    <row r="8903" spans="1:4" x14ac:dyDescent="0.25">
      <c r="A8903" s="24" t="s">
        <v>156</v>
      </c>
      <c r="B8903" s="24" t="s">
        <v>133</v>
      </c>
      <c r="C8903" s="32">
        <v>24.745999999999999</v>
      </c>
      <c r="D8903" s="28">
        <v>2.6388888888888889E-2</v>
      </c>
    </row>
    <row r="8904" spans="1:4" x14ac:dyDescent="0.25">
      <c r="A8904" s="24" t="s">
        <v>156</v>
      </c>
      <c r="B8904" s="24" t="s">
        <v>134</v>
      </c>
      <c r="C8904" s="32">
        <v>24.28</v>
      </c>
      <c r="D8904" s="28">
        <v>2.4999999999999998E-2</v>
      </c>
    </row>
    <row r="8905" spans="1:4" x14ac:dyDescent="0.25">
      <c r="A8905" s="24" t="s">
        <v>156</v>
      </c>
      <c r="B8905" s="24" t="s">
        <v>135</v>
      </c>
      <c r="C8905" s="32">
        <v>28.347000000000001</v>
      </c>
      <c r="D8905" s="28">
        <v>2.5694444444444447E-2</v>
      </c>
    </row>
    <row r="8906" spans="1:4" x14ac:dyDescent="0.25">
      <c r="A8906" s="24" t="s">
        <v>156</v>
      </c>
      <c r="B8906" s="24" t="s">
        <v>136</v>
      </c>
      <c r="C8906" s="32">
        <v>28.347000000000001</v>
      </c>
      <c r="D8906" s="28">
        <v>2.5694444444444447E-2</v>
      </c>
    </row>
    <row r="8907" spans="1:4" x14ac:dyDescent="0.25">
      <c r="A8907" s="24" t="s">
        <v>156</v>
      </c>
      <c r="B8907" s="24" t="s">
        <v>137</v>
      </c>
      <c r="C8907" s="32">
        <v>24.433</v>
      </c>
      <c r="D8907" s="28">
        <v>2.5694444444444447E-2</v>
      </c>
    </row>
    <row r="8908" spans="1:4" x14ac:dyDescent="0.25">
      <c r="A8908" s="24" t="s">
        <v>156</v>
      </c>
      <c r="B8908" s="24" t="s">
        <v>138</v>
      </c>
      <c r="C8908" s="32">
        <v>34.369</v>
      </c>
      <c r="D8908" s="28">
        <v>2.7777777777777776E-2</v>
      </c>
    </row>
    <row r="8909" spans="1:4" x14ac:dyDescent="0.25">
      <c r="A8909" s="24" t="s">
        <v>156</v>
      </c>
      <c r="B8909" s="24" t="s">
        <v>139</v>
      </c>
      <c r="C8909" s="32">
        <v>31.417000000000002</v>
      </c>
      <c r="D8909" s="28">
        <v>2.6388888888888889E-2</v>
      </c>
    </row>
    <row r="8910" spans="1:4" x14ac:dyDescent="0.25">
      <c r="A8910" s="24" t="s">
        <v>156</v>
      </c>
      <c r="B8910" s="24" t="s">
        <v>140</v>
      </c>
      <c r="C8910" s="32">
        <v>28.64</v>
      </c>
      <c r="D8910" s="28">
        <v>2.4305555555555556E-2</v>
      </c>
    </row>
    <row r="8911" spans="1:4" x14ac:dyDescent="0.25">
      <c r="A8911" s="24" t="s">
        <v>156</v>
      </c>
      <c r="B8911" s="24" t="s">
        <v>141</v>
      </c>
      <c r="C8911" s="32">
        <v>57.561</v>
      </c>
      <c r="D8911" s="28">
        <v>4.6527777777777779E-2</v>
      </c>
    </row>
    <row r="8912" spans="1:4" x14ac:dyDescent="0.25">
      <c r="A8912" s="24" t="s">
        <v>156</v>
      </c>
      <c r="B8912" s="24" t="s">
        <v>142</v>
      </c>
      <c r="C8912" s="32">
        <v>42.363999999999997</v>
      </c>
      <c r="D8912" s="28">
        <v>3.2638888888888891E-2</v>
      </c>
    </row>
    <row r="8913" spans="1:4" x14ac:dyDescent="0.25">
      <c r="A8913" s="24" t="s">
        <v>156</v>
      </c>
      <c r="B8913" s="24" t="s">
        <v>143</v>
      </c>
      <c r="C8913" s="32">
        <v>60.741999999999997</v>
      </c>
      <c r="D8913" s="28">
        <v>3.9583333333333331E-2</v>
      </c>
    </row>
    <row r="8914" spans="1:4" x14ac:dyDescent="0.25">
      <c r="A8914" s="24" t="s">
        <v>156</v>
      </c>
      <c r="B8914" s="24" t="s">
        <v>144</v>
      </c>
      <c r="C8914" s="32">
        <v>79.858000000000004</v>
      </c>
      <c r="D8914" s="28">
        <v>5.0694444444444452E-2</v>
      </c>
    </row>
    <row r="8915" spans="1:4" x14ac:dyDescent="0.25">
      <c r="A8915" s="24" t="s">
        <v>156</v>
      </c>
      <c r="B8915" s="24" t="s">
        <v>145</v>
      </c>
      <c r="C8915" s="32">
        <v>45.601999999999997</v>
      </c>
      <c r="D8915" s="28">
        <v>3.7499999999999999E-2</v>
      </c>
    </row>
    <row r="8916" spans="1:4" x14ac:dyDescent="0.25">
      <c r="A8916" s="24" t="s">
        <v>156</v>
      </c>
      <c r="B8916" s="24" t="s">
        <v>146</v>
      </c>
      <c r="C8916" s="32">
        <v>55.588999999999999</v>
      </c>
      <c r="D8916" s="28">
        <v>4.4444444444444446E-2</v>
      </c>
    </row>
    <row r="8917" spans="1:4" x14ac:dyDescent="0.25">
      <c r="A8917" s="24" t="s">
        <v>156</v>
      </c>
      <c r="B8917" s="24" t="s">
        <v>147</v>
      </c>
      <c r="C8917" s="32">
        <v>24.102</v>
      </c>
      <c r="D8917" s="28">
        <v>2.2916666666666669E-2</v>
      </c>
    </row>
    <row r="8918" spans="1:4" x14ac:dyDescent="0.25">
      <c r="A8918" s="24" t="s">
        <v>156</v>
      </c>
      <c r="B8918" s="24" t="s">
        <v>148</v>
      </c>
      <c r="C8918" s="32">
        <v>21.276</v>
      </c>
      <c r="D8918" s="28">
        <v>2.2222222222222223E-2</v>
      </c>
    </row>
    <row r="8919" spans="1:4" x14ac:dyDescent="0.25">
      <c r="A8919" s="24" t="s">
        <v>156</v>
      </c>
      <c r="B8919" s="24" t="s">
        <v>149</v>
      </c>
      <c r="C8919" s="32">
        <v>11.118</v>
      </c>
      <c r="D8919" s="28">
        <v>1.2499999999999999E-2</v>
      </c>
    </row>
    <row r="8920" spans="1:4" x14ac:dyDescent="0.25">
      <c r="A8920" s="24" t="s">
        <v>156</v>
      </c>
      <c r="B8920" s="24" t="s">
        <v>150</v>
      </c>
      <c r="C8920" s="32">
        <v>1.403</v>
      </c>
      <c r="D8920" s="28">
        <v>2.0833333333333333E-3</v>
      </c>
    </row>
    <row r="8921" spans="1:4" x14ac:dyDescent="0.25">
      <c r="A8921" s="24" t="s">
        <v>156</v>
      </c>
      <c r="B8921" s="24" t="s">
        <v>151</v>
      </c>
      <c r="C8921" s="32">
        <v>2.335</v>
      </c>
      <c r="D8921" s="28">
        <v>3.472222222222222E-3</v>
      </c>
    </row>
    <row r="8922" spans="1:4" x14ac:dyDescent="0.25">
      <c r="A8922" s="24" t="s">
        <v>156</v>
      </c>
      <c r="B8922" s="24" t="s">
        <v>152</v>
      </c>
      <c r="C8922" s="32">
        <v>5.306</v>
      </c>
      <c r="D8922" s="28">
        <v>6.2499999999999995E-3</v>
      </c>
    </row>
    <row r="8923" spans="1:4" x14ac:dyDescent="0.25">
      <c r="A8923" s="24" t="s">
        <v>156</v>
      </c>
      <c r="B8923" s="24" t="s">
        <v>153</v>
      </c>
      <c r="C8923" s="32">
        <v>14.468999999999999</v>
      </c>
      <c r="D8923" s="28">
        <v>1.6666666666666666E-2</v>
      </c>
    </row>
    <row r="8924" spans="1:4" x14ac:dyDescent="0.25">
      <c r="A8924" s="24" t="s">
        <v>156</v>
      </c>
      <c r="B8924" s="24" t="s">
        <v>154</v>
      </c>
      <c r="C8924" s="32">
        <v>9.2870000000000008</v>
      </c>
      <c r="D8924" s="28">
        <v>1.0416666666666666E-2</v>
      </c>
    </row>
    <row r="8925" spans="1:4" x14ac:dyDescent="0.25">
      <c r="A8925" s="24" t="s">
        <v>156</v>
      </c>
      <c r="B8925" s="24" t="s">
        <v>155</v>
      </c>
      <c r="C8925" s="32">
        <v>1.6E-2</v>
      </c>
      <c r="D8925" s="28">
        <v>0</v>
      </c>
    </row>
    <row r="8926" spans="1:4" x14ac:dyDescent="0.25">
      <c r="A8926" s="24" t="s">
        <v>156</v>
      </c>
      <c r="B8926" s="24" t="s">
        <v>156</v>
      </c>
      <c r="C8926" s="32">
        <v>0</v>
      </c>
      <c r="D8926" s="28">
        <v>0</v>
      </c>
    </row>
    <row r="8927" spans="1:4" x14ac:dyDescent="0.25">
      <c r="A8927" s="24" t="s">
        <v>156</v>
      </c>
      <c r="B8927" s="24" t="s">
        <v>157</v>
      </c>
      <c r="C8927" s="32">
        <v>28.698</v>
      </c>
      <c r="D8927" s="28">
        <v>2.6388888888888889E-2</v>
      </c>
    </row>
    <row r="8928" spans="1:4" x14ac:dyDescent="0.25">
      <c r="A8928" s="24" t="s">
        <v>156</v>
      </c>
      <c r="B8928" s="24" t="s">
        <v>158</v>
      </c>
      <c r="C8928" s="32">
        <v>40.326000000000001</v>
      </c>
      <c r="D8928" s="28">
        <v>3.0555555555555555E-2</v>
      </c>
    </row>
    <row r="8929" spans="1:4" x14ac:dyDescent="0.25">
      <c r="A8929" s="24" t="s">
        <v>156</v>
      </c>
      <c r="B8929" s="24" t="s">
        <v>159</v>
      </c>
      <c r="C8929" s="32">
        <v>50.281999999999996</v>
      </c>
      <c r="D8929" s="28">
        <v>4.0972222222222222E-2</v>
      </c>
    </row>
    <row r="8930" spans="1:4" x14ac:dyDescent="0.25">
      <c r="A8930" s="24" t="s">
        <v>157</v>
      </c>
      <c r="B8930" s="24" t="s">
        <v>65</v>
      </c>
      <c r="C8930" s="32">
        <v>31.571999999999999</v>
      </c>
      <c r="D8930" s="28">
        <v>2.9861111111111113E-2</v>
      </c>
    </row>
    <row r="8931" spans="1:4" x14ac:dyDescent="0.25">
      <c r="A8931" s="24" t="s">
        <v>157</v>
      </c>
      <c r="B8931" s="24" t="s">
        <v>64</v>
      </c>
      <c r="C8931" s="32">
        <v>25.199000000000002</v>
      </c>
      <c r="D8931" s="28">
        <v>2.4999999999999998E-2</v>
      </c>
    </row>
    <row r="8932" spans="1:4" x14ac:dyDescent="0.25">
      <c r="A8932" s="24" t="s">
        <v>157</v>
      </c>
      <c r="B8932" s="24" t="s">
        <v>66</v>
      </c>
      <c r="C8932" s="32">
        <v>28.167999999999999</v>
      </c>
      <c r="D8932" s="28">
        <v>2.9166666666666664E-2</v>
      </c>
    </row>
    <row r="8933" spans="1:4" x14ac:dyDescent="0.25">
      <c r="A8933" s="24" t="s">
        <v>157</v>
      </c>
      <c r="B8933" s="24" t="s">
        <v>67</v>
      </c>
      <c r="C8933" s="32">
        <v>27.335000000000001</v>
      </c>
      <c r="D8933" s="28">
        <v>3.0555555555555555E-2</v>
      </c>
    </row>
    <row r="8934" spans="1:4" x14ac:dyDescent="0.25">
      <c r="A8934" s="24" t="s">
        <v>157</v>
      </c>
      <c r="B8934" s="24" t="s">
        <v>68</v>
      </c>
      <c r="C8934" s="32">
        <v>27.018000000000001</v>
      </c>
      <c r="D8934" s="28">
        <v>2.9861111111111113E-2</v>
      </c>
    </row>
    <row r="8935" spans="1:4" x14ac:dyDescent="0.25">
      <c r="A8935" s="24" t="s">
        <v>157</v>
      </c>
      <c r="B8935" s="24" t="s">
        <v>69</v>
      </c>
      <c r="C8935" s="32">
        <v>26.026</v>
      </c>
      <c r="D8935" s="28">
        <v>2.8472222222222222E-2</v>
      </c>
    </row>
    <row r="8936" spans="1:4" x14ac:dyDescent="0.25">
      <c r="A8936" s="24" t="s">
        <v>157</v>
      </c>
      <c r="B8936" s="24" t="s">
        <v>70</v>
      </c>
      <c r="C8936" s="32">
        <v>29.343</v>
      </c>
      <c r="D8936" s="28">
        <v>3.125E-2</v>
      </c>
    </row>
    <row r="8937" spans="1:4" x14ac:dyDescent="0.25">
      <c r="A8937" s="24" t="s">
        <v>157</v>
      </c>
      <c r="B8937" s="24" t="s">
        <v>71</v>
      </c>
      <c r="C8937" s="32">
        <v>26.603000000000002</v>
      </c>
      <c r="D8937" s="28">
        <v>2.9166666666666664E-2</v>
      </c>
    </row>
    <row r="8938" spans="1:4" x14ac:dyDescent="0.25">
      <c r="A8938" s="24" t="s">
        <v>157</v>
      </c>
      <c r="B8938" s="24" t="s">
        <v>72</v>
      </c>
      <c r="C8938" s="32">
        <v>28.568000000000001</v>
      </c>
      <c r="D8938" s="28">
        <v>3.2638888888888891E-2</v>
      </c>
    </row>
    <row r="8939" spans="1:4" x14ac:dyDescent="0.25">
      <c r="A8939" s="24" t="s">
        <v>157</v>
      </c>
      <c r="B8939" s="24" t="s">
        <v>73</v>
      </c>
      <c r="C8939" s="32">
        <v>27.504999999999999</v>
      </c>
      <c r="D8939" s="28">
        <v>3.125E-2</v>
      </c>
    </row>
    <row r="8940" spans="1:4" x14ac:dyDescent="0.25">
      <c r="A8940" s="24" t="s">
        <v>157</v>
      </c>
      <c r="B8940" s="24" t="s">
        <v>74</v>
      </c>
      <c r="C8940" s="32">
        <v>33.372999999999998</v>
      </c>
      <c r="D8940" s="28">
        <v>3.4722222222222224E-2</v>
      </c>
    </row>
    <row r="8941" spans="1:4" x14ac:dyDescent="0.25">
      <c r="A8941" s="24" t="s">
        <v>157</v>
      </c>
      <c r="B8941" s="24" t="s">
        <v>75</v>
      </c>
      <c r="C8941" s="32">
        <v>32.408999999999999</v>
      </c>
      <c r="D8941" s="28">
        <v>3.2638888888888891E-2</v>
      </c>
    </row>
    <row r="8942" spans="1:4" x14ac:dyDescent="0.25">
      <c r="A8942" s="24" t="s">
        <v>157</v>
      </c>
      <c r="B8942" s="24" t="s">
        <v>76</v>
      </c>
      <c r="C8942" s="32">
        <v>38.947000000000003</v>
      </c>
      <c r="D8942" s="28">
        <v>3.8194444444444441E-2</v>
      </c>
    </row>
    <row r="8943" spans="1:4" x14ac:dyDescent="0.25">
      <c r="A8943" s="24" t="s">
        <v>157</v>
      </c>
      <c r="B8943" s="24" t="s">
        <v>77</v>
      </c>
      <c r="C8943" s="32">
        <v>34.619999999999997</v>
      </c>
      <c r="D8943" s="28">
        <v>3.4722222222222224E-2</v>
      </c>
    </row>
    <row r="8944" spans="1:4" x14ac:dyDescent="0.25">
      <c r="A8944" s="24" t="s">
        <v>157</v>
      </c>
      <c r="B8944" s="24" t="s">
        <v>78</v>
      </c>
      <c r="C8944" s="32">
        <v>29.661000000000001</v>
      </c>
      <c r="D8944" s="28">
        <v>3.125E-2</v>
      </c>
    </row>
    <row r="8945" spans="1:4" x14ac:dyDescent="0.25">
      <c r="A8945" s="24" t="s">
        <v>157</v>
      </c>
      <c r="B8945" s="24" t="s">
        <v>79</v>
      </c>
      <c r="C8945" s="32">
        <v>48.027000000000001</v>
      </c>
      <c r="D8945" s="28">
        <v>4.7916666666666663E-2</v>
      </c>
    </row>
    <row r="8946" spans="1:4" x14ac:dyDescent="0.25">
      <c r="A8946" s="24" t="s">
        <v>157</v>
      </c>
      <c r="B8946" s="24" t="s">
        <v>80</v>
      </c>
      <c r="C8946" s="32">
        <v>28.818000000000001</v>
      </c>
      <c r="D8946" s="28">
        <v>2.9166666666666664E-2</v>
      </c>
    </row>
    <row r="8947" spans="1:4" x14ac:dyDescent="0.25">
      <c r="A8947" s="24" t="s">
        <v>157</v>
      </c>
      <c r="B8947" s="24" t="s">
        <v>81</v>
      </c>
      <c r="C8947" s="32">
        <v>33.340000000000003</v>
      </c>
      <c r="D8947" s="28">
        <v>3.1944444444444449E-2</v>
      </c>
    </row>
    <row r="8948" spans="1:4" x14ac:dyDescent="0.25">
      <c r="A8948" s="24" t="s">
        <v>157</v>
      </c>
      <c r="B8948" s="24" t="s">
        <v>82</v>
      </c>
      <c r="C8948" s="32">
        <v>33.392000000000003</v>
      </c>
      <c r="D8948" s="28">
        <v>3.1944444444444449E-2</v>
      </c>
    </row>
    <row r="8949" spans="1:4" x14ac:dyDescent="0.25">
      <c r="A8949" s="24" t="s">
        <v>157</v>
      </c>
      <c r="B8949" s="24" t="s">
        <v>83</v>
      </c>
      <c r="C8949" s="32">
        <v>27.824000000000002</v>
      </c>
      <c r="D8949" s="28">
        <v>2.7083333333333334E-2</v>
      </c>
    </row>
    <row r="8950" spans="1:4" x14ac:dyDescent="0.25">
      <c r="A8950" s="24" t="s">
        <v>157</v>
      </c>
      <c r="B8950" s="24" t="s">
        <v>84</v>
      </c>
      <c r="C8950" s="32">
        <v>30.577999999999999</v>
      </c>
      <c r="D8950" s="28">
        <v>3.0555555555555555E-2</v>
      </c>
    </row>
    <row r="8951" spans="1:4" x14ac:dyDescent="0.25">
      <c r="A8951" s="24" t="s">
        <v>157</v>
      </c>
      <c r="B8951" s="24" t="s">
        <v>85</v>
      </c>
      <c r="C8951" s="32">
        <v>30.594999999999999</v>
      </c>
      <c r="D8951" s="28">
        <v>2.9861111111111113E-2</v>
      </c>
    </row>
    <row r="8952" spans="1:4" x14ac:dyDescent="0.25">
      <c r="A8952" s="24" t="s">
        <v>157</v>
      </c>
      <c r="B8952" s="24" t="s">
        <v>86</v>
      </c>
      <c r="C8952" s="32">
        <v>28.221</v>
      </c>
      <c r="D8952" s="28">
        <v>2.7083333333333334E-2</v>
      </c>
    </row>
    <row r="8953" spans="1:4" x14ac:dyDescent="0.25">
      <c r="A8953" s="24" t="s">
        <v>157</v>
      </c>
      <c r="B8953" s="24" t="s">
        <v>87</v>
      </c>
      <c r="C8953" s="32">
        <v>28.335999999999999</v>
      </c>
      <c r="D8953" s="28">
        <v>2.7083333333333334E-2</v>
      </c>
    </row>
    <row r="8954" spans="1:4" x14ac:dyDescent="0.25">
      <c r="A8954" s="24" t="s">
        <v>157</v>
      </c>
      <c r="B8954" s="24" t="s">
        <v>88</v>
      </c>
      <c r="C8954" s="32">
        <v>29.715</v>
      </c>
      <c r="D8954" s="28">
        <v>2.9166666666666664E-2</v>
      </c>
    </row>
    <row r="8955" spans="1:4" x14ac:dyDescent="0.25">
      <c r="A8955" s="24" t="s">
        <v>157</v>
      </c>
      <c r="B8955" s="24" t="s">
        <v>89</v>
      </c>
      <c r="C8955" s="32">
        <v>30.335000000000001</v>
      </c>
      <c r="D8955" s="28">
        <v>3.0555555555555555E-2</v>
      </c>
    </row>
    <row r="8956" spans="1:4" x14ac:dyDescent="0.25">
      <c r="A8956" s="24" t="s">
        <v>157</v>
      </c>
      <c r="B8956" s="24" t="s">
        <v>90</v>
      </c>
      <c r="C8956" s="32">
        <v>26.134</v>
      </c>
      <c r="D8956" s="28">
        <v>2.7777777777777776E-2</v>
      </c>
    </row>
    <row r="8957" spans="1:4" x14ac:dyDescent="0.25">
      <c r="A8957" s="24" t="s">
        <v>157</v>
      </c>
      <c r="B8957" s="24" t="s">
        <v>91</v>
      </c>
      <c r="C8957" s="32">
        <v>30.902000000000001</v>
      </c>
      <c r="D8957" s="28">
        <v>3.125E-2</v>
      </c>
    </row>
    <row r="8958" spans="1:4" x14ac:dyDescent="0.25">
      <c r="A8958" s="24" t="s">
        <v>157</v>
      </c>
      <c r="B8958" s="24" t="s">
        <v>92</v>
      </c>
      <c r="C8958" s="32">
        <v>32.872</v>
      </c>
      <c r="D8958" s="28">
        <v>3.125E-2</v>
      </c>
    </row>
    <row r="8959" spans="1:4" x14ac:dyDescent="0.25">
      <c r="A8959" s="24" t="s">
        <v>157</v>
      </c>
      <c r="B8959" s="24" t="s">
        <v>93</v>
      </c>
      <c r="C8959" s="32">
        <v>52.637</v>
      </c>
      <c r="D8959" s="28">
        <v>4.3750000000000004E-2</v>
      </c>
    </row>
    <row r="8960" spans="1:4" x14ac:dyDescent="0.25">
      <c r="A8960" s="24" t="s">
        <v>157</v>
      </c>
      <c r="B8960" s="24" t="s">
        <v>94</v>
      </c>
      <c r="C8960" s="32">
        <v>53.265999999999998</v>
      </c>
      <c r="D8960" s="28">
        <v>4.4444444444444446E-2</v>
      </c>
    </row>
    <row r="8961" spans="1:4" x14ac:dyDescent="0.25">
      <c r="A8961" s="24" t="s">
        <v>157</v>
      </c>
      <c r="B8961" s="24" t="s">
        <v>95</v>
      </c>
      <c r="C8961" s="32">
        <v>33.676000000000002</v>
      </c>
      <c r="D8961" s="28">
        <v>3.2638888888888891E-2</v>
      </c>
    </row>
    <row r="8962" spans="1:4" x14ac:dyDescent="0.25">
      <c r="A8962" s="24" t="s">
        <v>157</v>
      </c>
      <c r="B8962" s="24" t="s">
        <v>96</v>
      </c>
      <c r="C8962" s="32">
        <v>14.712999999999999</v>
      </c>
      <c r="D8962" s="28">
        <v>1.6666666666666666E-2</v>
      </c>
    </row>
    <row r="8963" spans="1:4" x14ac:dyDescent="0.25">
      <c r="A8963" s="24" t="s">
        <v>157</v>
      </c>
      <c r="B8963" s="24" t="s">
        <v>97</v>
      </c>
      <c r="C8963" s="32">
        <v>12.523</v>
      </c>
      <c r="D8963" s="28">
        <v>1.3888888888888888E-2</v>
      </c>
    </row>
    <row r="8964" spans="1:4" x14ac:dyDescent="0.25">
      <c r="A8964" s="24" t="s">
        <v>157</v>
      </c>
      <c r="B8964" s="24" t="s">
        <v>98</v>
      </c>
      <c r="C8964" s="32">
        <v>19.756</v>
      </c>
      <c r="D8964" s="28">
        <v>2.2916666666666669E-2</v>
      </c>
    </row>
    <row r="8965" spans="1:4" x14ac:dyDescent="0.25">
      <c r="A8965" s="24" t="s">
        <v>157</v>
      </c>
      <c r="B8965" s="24" t="s">
        <v>99</v>
      </c>
      <c r="C8965" s="32">
        <v>15.359</v>
      </c>
      <c r="D8965" s="28">
        <v>1.8055555555555557E-2</v>
      </c>
    </row>
    <row r="8966" spans="1:4" x14ac:dyDescent="0.25">
      <c r="A8966" s="24" t="s">
        <v>157</v>
      </c>
      <c r="B8966" s="24" t="s">
        <v>100</v>
      </c>
      <c r="C8966" s="32">
        <v>29.81</v>
      </c>
      <c r="D8966" s="28">
        <v>2.9166666666666664E-2</v>
      </c>
    </row>
    <row r="8967" spans="1:4" x14ac:dyDescent="0.25">
      <c r="A8967" s="24" t="s">
        <v>157</v>
      </c>
      <c r="B8967" s="24" t="s">
        <v>101</v>
      </c>
      <c r="C8967" s="32">
        <v>17.922000000000001</v>
      </c>
      <c r="D8967" s="28">
        <v>2.1527777777777781E-2</v>
      </c>
    </row>
    <row r="8968" spans="1:4" x14ac:dyDescent="0.25">
      <c r="A8968" s="24" t="s">
        <v>157</v>
      </c>
      <c r="B8968" s="24" t="s">
        <v>102</v>
      </c>
      <c r="C8968" s="32">
        <v>16.978000000000002</v>
      </c>
      <c r="D8968" s="28">
        <v>2.1527777777777781E-2</v>
      </c>
    </row>
    <row r="8969" spans="1:4" x14ac:dyDescent="0.25">
      <c r="A8969" s="24" t="s">
        <v>157</v>
      </c>
      <c r="B8969" s="24" t="s">
        <v>103</v>
      </c>
      <c r="C8969" s="32">
        <v>26.99</v>
      </c>
      <c r="D8969" s="28">
        <v>2.6388888888888889E-2</v>
      </c>
    </row>
    <row r="8970" spans="1:4" x14ac:dyDescent="0.25">
      <c r="A8970" s="24" t="s">
        <v>157</v>
      </c>
      <c r="B8970" s="24" t="s">
        <v>104</v>
      </c>
      <c r="C8970" s="32">
        <v>31.765999999999998</v>
      </c>
      <c r="D8970" s="28">
        <v>3.0555555555555555E-2</v>
      </c>
    </row>
    <row r="8971" spans="1:4" x14ac:dyDescent="0.25">
      <c r="A8971" s="24" t="s">
        <v>157</v>
      </c>
      <c r="B8971" s="24" t="s">
        <v>105</v>
      </c>
      <c r="C8971" s="32">
        <v>29.98</v>
      </c>
      <c r="D8971" s="28">
        <v>3.1944444444444449E-2</v>
      </c>
    </row>
    <row r="8972" spans="1:4" x14ac:dyDescent="0.25">
      <c r="A8972" s="24" t="s">
        <v>157</v>
      </c>
      <c r="B8972" s="24" t="s">
        <v>106</v>
      </c>
      <c r="C8972" s="32">
        <v>24.751999999999999</v>
      </c>
      <c r="D8972" s="28">
        <v>2.5694444444444447E-2</v>
      </c>
    </row>
    <row r="8973" spans="1:4" x14ac:dyDescent="0.25">
      <c r="A8973" s="24" t="s">
        <v>157</v>
      </c>
      <c r="B8973" s="24" t="s">
        <v>107</v>
      </c>
      <c r="C8973" s="32">
        <v>37.692</v>
      </c>
      <c r="D8973" s="28">
        <v>3.6805555555555557E-2</v>
      </c>
    </row>
    <row r="8974" spans="1:4" x14ac:dyDescent="0.25">
      <c r="A8974" s="24" t="s">
        <v>157</v>
      </c>
      <c r="B8974" s="24" t="s">
        <v>108</v>
      </c>
      <c r="C8974" s="32">
        <v>36.078000000000003</v>
      </c>
      <c r="D8974" s="28">
        <v>3.4027777777777775E-2</v>
      </c>
    </row>
    <row r="8975" spans="1:4" x14ac:dyDescent="0.25">
      <c r="A8975" s="24" t="s">
        <v>157</v>
      </c>
      <c r="B8975" s="24" t="s">
        <v>109</v>
      </c>
      <c r="C8975" s="32">
        <v>36.107999999999997</v>
      </c>
      <c r="D8975" s="28">
        <v>3.4027777777777775E-2</v>
      </c>
    </row>
    <row r="8976" spans="1:4" x14ac:dyDescent="0.25">
      <c r="A8976" s="24" t="s">
        <v>157</v>
      </c>
      <c r="B8976" s="24" t="s">
        <v>110</v>
      </c>
      <c r="C8976" s="32">
        <v>29.89</v>
      </c>
      <c r="D8976" s="28">
        <v>2.9861111111111113E-2</v>
      </c>
    </row>
    <row r="8977" spans="1:4" x14ac:dyDescent="0.25">
      <c r="A8977" s="24" t="s">
        <v>157</v>
      </c>
      <c r="B8977" s="24" t="s">
        <v>111</v>
      </c>
      <c r="C8977" s="32">
        <v>28.384</v>
      </c>
      <c r="D8977" s="28">
        <v>2.7777777777777776E-2</v>
      </c>
    </row>
    <row r="8978" spans="1:4" x14ac:dyDescent="0.25">
      <c r="A8978" s="24" t="s">
        <v>157</v>
      </c>
      <c r="B8978" s="24" t="s">
        <v>112</v>
      </c>
      <c r="C8978" s="32">
        <v>36.761000000000003</v>
      </c>
      <c r="D8978" s="28">
        <v>3.6111111111111115E-2</v>
      </c>
    </row>
    <row r="8979" spans="1:4" x14ac:dyDescent="0.25">
      <c r="A8979" s="24" t="s">
        <v>157</v>
      </c>
      <c r="B8979" s="24" t="s">
        <v>113</v>
      </c>
      <c r="C8979" s="32">
        <v>40.384999999999998</v>
      </c>
      <c r="D8979" s="28">
        <v>3.888888888888889E-2</v>
      </c>
    </row>
    <row r="8980" spans="1:4" x14ac:dyDescent="0.25">
      <c r="A8980" s="24" t="s">
        <v>157</v>
      </c>
      <c r="B8980" s="24" t="s">
        <v>114</v>
      </c>
      <c r="C8980" s="32">
        <v>28.645</v>
      </c>
      <c r="D8980" s="28">
        <v>2.8472222222222222E-2</v>
      </c>
    </row>
    <row r="8981" spans="1:4" x14ac:dyDescent="0.25">
      <c r="A8981" s="24" t="s">
        <v>157</v>
      </c>
      <c r="B8981" s="24" t="s">
        <v>115</v>
      </c>
      <c r="C8981" s="32">
        <v>28.097000000000001</v>
      </c>
      <c r="D8981" s="28">
        <v>2.8472222222222222E-2</v>
      </c>
    </row>
    <row r="8982" spans="1:4" x14ac:dyDescent="0.25">
      <c r="A8982" s="24" t="s">
        <v>157</v>
      </c>
      <c r="B8982" s="24" t="s">
        <v>116</v>
      </c>
      <c r="C8982" s="32">
        <v>31.954000000000001</v>
      </c>
      <c r="D8982" s="28">
        <v>3.125E-2</v>
      </c>
    </row>
    <row r="8983" spans="1:4" x14ac:dyDescent="0.25">
      <c r="A8983" s="24" t="s">
        <v>157</v>
      </c>
      <c r="B8983" s="24" t="s">
        <v>117</v>
      </c>
      <c r="C8983" s="32">
        <v>33.18</v>
      </c>
      <c r="D8983" s="28">
        <v>3.3333333333333333E-2</v>
      </c>
    </row>
    <row r="8984" spans="1:4" x14ac:dyDescent="0.25">
      <c r="A8984" s="24" t="s">
        <v>157</v>
      </c>
      <c r="B8984" s="24" t="s">
        <v>118</v>
      </c>
      <c r="C8984" s="32">
        <v>38.877000000000002</v>
      </c>
      <c r="D8984" s="28">
        <v>3.5416666666666666E-2</v>
      </c>
    </row>
    <row r="8985" spans="1:4" x14ac:dyDescent="0.25">
      <c r="A8985" s="24" t="s">
        <v>157</v>
      </c>
      <c r="B8985" s="24" t="s">
        <v>119</v>
      </c>
      <c r="C8985" s="32">
        <v>52.962000000000003</v>
      </c>
      <c r="D8985" s="28">
        <v>4.2361111111111106E-2</v>
      </c>
    </row>
    <row r="8986" spans="1:4" x14ac:dyDescent="0.25">
      <c r="A8986" s="24" t="s">
        <v>157</v>
      </c>
      <c r="B8986" s="24" t="s">
        <v>120</v>
      </c>
      <c r="C8986" s="32">
        <v>55.752000000000002</v>
      </c>
      <c r="D8986" s="28">
        <v>4.5833333333333337E-2</v>
      </c>
    </row>
    <row r="8987" spans="1:4" x14ac:dyDescent="0.25">
      <c r="A8987" s="24" t="s">
        <v>157</v>
      </c>
      <c r="B8987" s="24" t="s">
        <v>121</v>
      </c>
      <c r="C8987" s="32">
        <v>70.102999999999994</v>
      </c>
      <c r="D8987" s="28">
        <v>5.2777777777777778E-2</v>
      </c>
    </row>
    <row r="8988" spans="1:4" x14ac:dyDescent="0.25">
      <c r="A8988" s="24" t="s">
        <v>157</v>
      </c>
      <c r="B8988" s="24" t="s">
        <v>122</v>
      </c>
      <c r="C8988" s="32">
        <v>51.508000000000003</v>
      </c>
      <c r="D8988" s="28">
        <v>4.3055555555555562E-2</v>
      </c>
    </row>
    <row r="8989" spans="1:4" x14ac:dyDescent="0.25">
      <c r="A8989" s="24" t="s">
        <v>157</v>
      </c>
      <c r="B8989" s="24" t="s">
        <v>123</v>
      </c>
      <c r="C8989" s="32">
        <v>63.688000000000002</v>
      </c>
      <c r="D8989" s="28">
        <v>4.9305555555555554E-2</v>
      </c>
    </row>
    <row r="8990" spans="1:4" x14ac:dyDescent="0.25">
      <c r="A8990" s="24" t="s">
        <v>157</v>
      </c>
      <c r="B8990" s="24" t="s">
        <v>124</v>
      </c>
      <c r="C8990" s="32">
        <v>63.688000000000002</v>
      </c>
      <c r="D8990" s="28">
        <v>4.9305555555555554E-2</v>
      </c>
    </row>
    <row r="8991" spans="1:4" x14ac:dyDescent="0.25">
      <c r="A8991" s="24" t="s">
        <v>157</v>
      </c>
      <c r="B8991" s="24" t="s">
        <v>125</v>
      </c>
      <c r="C8991" s="32">
        <v>22.431000000000001</v>
      </c>
      <c r="D8991" s="28">
        <v>2.361111111111111E-2</v>
      </c>
    </row>
    <row r="8992" spans="1:4" x14ac:dyDescent="0.25">
      <c r="A8992" s="24" t="s">
        <v>157</v>
      </c>
      <c r="B8992" s="24" t="s">
        <v>126</v>
      </c>
      <c r="C8992" s="32">
        <v>22.169</v>
      </c>
      <c r="D8992" s="28">
        <v>2.2916666666666669E-2</v>
      </c>
    </row>
    <row r="8993" spans="1:4" x14ac:dyDescent="0.25">
      <c r="A8993" s="24" t="s">
        <v>157</v>
      </c>
      <c r="B8993" s="24" t="s">
        <v>127</v>
      </c>
      <c r="C8993" s="32">
        <v>23.151</v>
      </c>
      <c r="D8993" s="28">
        <v>2.2222222222222223E-2</v>
      </c>
    </row>
    <row r="8994" spans="1:4" x14ac:dyDescent="0.25">
      <c r="A8994" s="24" t="s">
        <v>157</v>
      </c>
      <c r="B8994" s="24" t="s">
        <v>128</v>
      </c>
      <c r="C8994" s="32">
        <v>25.388999999999999</v>
      </c>
      <c r="D8994" s="28">
        <v>2.4305555555555556E-2</v>
      </c>
    </row>
    <row r="8995" spans="1:4" x14ac:dyDescent="0.25">
      <c r="A8995" s="24" t="s">
        <v>157</v>
      </c>
      <c r="B8995" s="24" t="s">
        <v>129</v>
      </c>
      <c r="C8995" s="32">
        <v>25.388999999999999</v>
      </c>
      <c r="D8995" s="28">
        <v>2.4305555555555556E-2</v>
      </c>
    </row>
    <row r="8996" spans="1:4" x14ac:dyDescent="0.25">
      <c r="A8996" s="24" t="s">
        <v>157</v>
      </c>
      <c r="B8996" s="24" t="s">
        <v>130</v>
      </c>
      <c r="C8996" s="32">
        <v>22.832000000000001</v>
      </c>
      <c r="D8996" s="28">
        <v>2.4999999999999998E-2</v>
      </c>
    </row>
    <row r="8997" spans="1:4" x14ac:dyDescent="0.25">
      <c r="A8997" s="24" t="s">
        <v>157</v>
      </c>
      <c r="B8997" s="24" t="s">
        <v>131</v>
      </c>
      <c r="C8997" s="32">
        <v>23.129000000000001</v>
      </c>
      <c r="D8997" s="28">
        <v>2.4305555555555556E-2</v>
      </c>
    </row>
    <row r="8998" spans="1:4" x14ac:dyDescent="0.25">
      <c r="A8998" s="24" t="s">
        <v>157</v>
      </c>
      <c r="B8998" s="24" t="s">
        <v>132</v>
      </c>
      <c r="C8998" s="32">
        <v>19.704999999999998</v>
      </c>
      <c r="D8998" s="28">
        <v>2.0833333333333332E-2</v>
      </c>
    </row>
    <row r="8999" spans="1:4" x14ac:dyDescent="0.25">
      <c r="A8999" s="24" t="s">
        <v>157</v>
      </c>
      <c r="B8999" s="24" t="s">
        <v>133</v>
      </c>
      <c r="C8999" s="32">
        <v>32.984000000000002</v>
      </c>
      <c r="D8999" s="28">
        <v>3.3333333333333333E-2</v>
      </c>
    </row>
    <row r="9000" spans="1:4" x14ac:dyDescent="0.25">
      <c r="A9000" s="24" t="s">
        <v>157</v>
      </c>
      <c r="B9000" s="24" t="s">
        <v>134</v>
      </c>
      <c r="C9000" s="32">
        <v>32.518000000000001</v>
      </c>
      <c r="D9000" s="28">
        <v>3.1944444444444449E-2</v>
      </c>
    </row>
    <row r="9001" spans="1:4" x14ac:dyDescent="0.25">
      <c r="A9001" s="24" t="s">
        <v>157</v>
      </c>
      <c r="B9001" s="24" t="s">
        <v>135</v>
      </c>
      <c r="C9001" s="32">
        <v>33.848999999999997</v>
      </c>
      <c r="D9001" s="28">
        <v>3.3333333333333333E-2</v>
      </c>
    </row>
    <row r="9002" spans="1:4" x14ac:dyDescent="0.25">
      <c r="A9002" s="24" t="s">
        <v>157</v>
      </c>
      <c r="B9002" s="24" t="s">
        <v>136</v>
      </c>
      <c r="C9002" s="32">
        <v>33.848999999999997</v>
      </c>
      <c r="D9002" s="28">
        <v>3.3333333333333333E-2</v>
      </c>
    </row>
    <row r="9003" spans="1:4" x14ac:dyDescent="0.25">
      <c r="A9003" s="24" t="s">
        <v>157</v>
      </c>
      <c r="B9003" s="24" t="s">
        <v>137</v>
      </c>
      <c r="C9003" s="32">
        <v>33.750999999999998</v>
      </c>
      <c r="D9003" s="28">
        <v>3.3333333333333333E-2</v>
      </c>
    </row>
    <row r="9004" spans="1:4" x14ac:dyDescent="0.25">
      <c r="A9004" s="24" t="s">
        <v>157</v>
      </c>
      <c r="B9004" s="24" t="s">
        <v>138</v>
      </c>
      <c r="C9004" s="32">
        <v>38.006999999999998</v>
      </c>
      <c r="D9004" s="28">
        <v>3.4027777777777775E-2</v>
      </c>
    </row>
    <row r="9005" spans="1:4" x14ac:dyDescent="0.25">
      <c r="A9005" s="24" t="s">
        <v>157</v>
      </c>
      <c r="B9005" s="24" t="s">
        <v>139</v>
      </c>
      <c r="C9005" s="32">
        <v>48.128</v>
      </c>
      <c r="D9005" s="28">
        <v>4.027777777777778E-2</v>
      </c>
    </row>
    <row r="9006" spans="1:4" x14ac:dyDescent="0.25">
      <c r="A9006" s="24" t="s">
        <v>157</v>
      </c>
      <c r="B9006" s="24" t="s">
        <v>140</v>
      </c>
      <c r="C9006" s="32">
        <v>42.088999999999999</v>
      </c>
      <c r="D9006" s="28">
        <v>3.888888888888889E-2</v>
      </c>
    </row>
    <row r="9007" spans="1:4" x14ac:dyDescent="0.25">
      <c r="A9007" s="24" t="s">
        <v>157</v>
      </c>
      <c r="B9007" s="24" t="s">
        <v>141</v>
      </c>
      <c r="C9007" s="32">
        <v>69.576999999999998</v>
      </c>
      <c r="D9007" s="28">
        <v>6.0416666666666667E-2</v>
      </c>
    </row>
    <row r="9008" spans="1:4" x14ac:dyDescent="0.25">
      <c r="A9008" s="24" t="s">
        <v>157</v>
      </c>
      <c r="B9008" s="24" t="s">
        <v>142</v>
      </c>
      <c r="C9008" s="32">
        <v>61.906999999999996</v>
      </c>
      <c r="D9008" s="28">
        <v>5.1388888888888894E-2</v>
      </c>
    </row>
    <row r="9009" spans="1:4" x14ac:dyDescent="0.25">
      <c r="A9009" s="24" t="s">
        <v>157</v>
      </c>
      <c r="B9009" s="24" t="s">
        <v>143</v>
      </c>
      <c r="C9009" s="32">
        <v>80.284999999999997</v>
      </c>
      <c r="D9009" s="28">
        <v>5.9027777777777783E-2</v>
      </c>
    </row>
    <row r="9010" spans="1:4" x14ac:dyDescent="0.25">
      <c r="A9010" s="24" t="s">
        <v>157</v>
      </c>
      <c r="B9010" s="24" t="s">
        <v>144</v>
      </c>
      <c r="C9010" s="32">
        <v>99.400999999999996</v>
      </c>
      <c r="D9010" s="28">
        <v>6.9444444444444434E-2</v>
      </c>
    </row>
    <row r="9011" spans="1:4" x14ac:dyDescent="0.25">
      <c r="A9011" s="24" t="s">
        <v>157</v>
      </c>
      <c r="B9011" s="24" t="s">
        <v>145</v>
      </c>
      <c r="C9011" s="32">
        <v>52.814</v>
      </c>
      <c r="D9011" s="28">
        <v>4.3055555555555562E-2</v>
      </c>
    </row>
    <row r="9012" spans="1:4" x14ac:dyDescent="0.25">
      <c r="A9012" s="24" t="s">
        <v>157</v>
      </c>
      <c r="B9012" s="24" t="s">
        <v>146</v>
      </c>
      <c r="C9012" s="32">
        <v>68.272999999999996</v>
      </c>
      <c r="D9012" s="28">
        <v>5.1388888888888894E-2</v>
      </c>
    </row>
    <row r="9013" spans="1:4" x14ac:dyDescent="0.25">
      <c r="A9013" s="24" t="s">
        <v>157</v>
      </c>
      <c r="B9013" s="24" t="s">
        <v>147</v>
      </c>
      <c r="C9013" s="32">
        <v>24.728000000000002</v>
      </c>
      <c r="D9013" s="28">
        <v>2.4305555555555556E-2</v>
      </c>
    </row>
    <row r="9014" spans="1:4" x14ac:dyDescent="0.25">
      <c r="A9014" s="24" t="s">
        <v>157</v>
      </c>
      <c r="B9014" s="24" t="s">
        <v>148</v>
      </c>
      <c r="C9014" s="32">
        <v>26.347999999999999</v>
      </c>
      <c r="D9014" s="28">
        <v>2.6388888888888889E-2</v>
      </c>
    </row>
    <row r="9015" spans="1:4" x14ac:dyDescent="0.25">
      <c r="A9015" s="24" t="s">
        <v>157</v>
      </c>
      <c r="B9015" s="24" t="s">
        <v>149</v>
      </c>
      <c r="C9015" s="32">
        <v>19.61</v>
      </c>
      <c r="D9015" s="28">
        <v>2.0833333333333332E-2</v>
      </c>
    </row>
    <row r="9016" spans="1:4" x14ac:dyDescent="0.25">
      <c r="A9016" s="24" t="s">
        <v>157</v>
      </c>
      <c r="B9016" s="24" t="s">
        <v>150</v>
      </c>
      <c r="C9016" s="32">
        <v>27.001000000000001</v>
      </c>
      <c r="D9016" s="28">
        <v>2.4999999999999998E-2</v>
      </c>
    </row>
    <row r="9017" spans="1:4" x14ac:dyDescent="0.25">
      <c r="A9017" s="24" t="s">
        <v>157</v>
      </c>
      <c r="B9017" s="24" t="s">
        <v>151</v>
      </c>
      <c r="C9017" s="32">
        <v>28.785</v>
      </c>
      <c r="D9017" s="28">
        <v>2.5694444444444447E-2</v>
      </c>
    </row>
    <row r="9018" spans="1:4" x14ac:dyDescent="0.25">
      <c r="A9018" s="24" t="s">
        <v>157</v>
      </c>
      <c r="B9018" s="24" t="s">
        <v>152</v>
      </c>
      <c r="C9018" s="32">
        <v>24.518000000000001</v>
      </c>
      <c r="D9018" s="28">
        <v>2.2222222222222223E-2</v>
      </c>
    </row>
    <row r="9019" spans="1:4" x14ac:dyDescent="0.25">
      <c r="A9019" s="24" t="s">
        <v>157</v>
      </c>
      <c r="B9019" s="24" t="s">
        <v>153</v>
      </c>
      <c r="C9019" s="32">
        <v>28.902999999999999</v>
      </c>
      <c r="D9019" s="28">
        <v>2.361111111111111E-2</v>
      </c>
    </row>
    <row r="9020" spans="1:4" x14ac:dyDescent="0.25">
      <c r="A9020" s="24" t="s">
        <v>157</v>
      </c>
      <c r="B9020" s="24" t="s">
        <v>154</v>
      </c>
      <c r="C9020" s="32">
        <v>23.853999999999999</v>
      </c>
      <c r="D9020" s="28">
        <v>2.2916666666666669E-2</v>
      </c>
    </row>
    <row r="9021" spans="1:4" x14ac:dyDescent="0.25">
      <c r="A9021" s="24" t="s">
        <v>157</v>
      </c>
      <c r="B9021" s="24" t="s">
        <v>155</v>
      </c>
      <c r="C9021" s="32">
        <v>29.388999999999999</v>
      </c>
      <c r="D9021" s="28">
        <v>2.6388888888888889E-2</v>
      </c>
    </row>
    <row r="9022" spans="1:4" x14ac:dyDescent="0.25">
      <c r="A9022" s="24" t="s">
        <v>157</v>
      </c>
      <c r="B9022" s="24" t="s">
        <v>156</v>
      </c>
      <c r="C9022" s="32">
        <v>29.373000000000001</v>
      </c>
      <c r="D9022" s="28">
        <v>2.6388888888888889E-2</v>
      </c>
    </row>
    <row r="9023" spans="1:4" x14ac:dyDescent="0.25">
      <c r="A9023" s="24" t="s">
        <v>157</v>
      </c>
      <c r="B9023" s="24" t="s">
        <v>157</v>
      </c>
      <c r="C9023" s="32">
        <v>0</v>
      </c>
      <c r="D9023" s="28">
        <v>0</v>
      </c>
    </row>
    <row r="9024" spans="1:4" x14ac:dyDescent="0.25">
      <c r="A9024" s="24" t="s">
        <v>157</v>
      </c>
      <c r="B9024" s="24" t="s">
        <v>158</v>
      </c>
      <c r="C9024" s="32">
        <v>16.378</v>
      </c>
      <c r="D9024" s="28">
        <v>1.4583333333333332E-2</v>
      </c>
    </row>
    <row r="9025" spans="1:4" x14ac:dyDescent="0.25">
      <c r="A9025" s="24" t="s">
        <v>157</v>
      </c>
      <c r="B9025" s="24" t="s">
        <v>159</v>
      </c>
      <c r="C9025" s="32">
        <v>26.334</v>
      </c>
      <c r="D9025" s="28">
        <v>2.4999999999999998E-2</v>
      </c>
    </row>
    <row r="9026" spans="1:4" x14ac:dyDescent="0.25">
      <c r="A9026" s="24" t="s">
        <v>158</v>
      </c>
      <c r="B9026" s="24" t="s">
        <v>65</v>
      </c>
      <c r="C9026" s="32">
        <v>43.643000000000001</v>
      </c>
      <c r="D9026" s="28">
        <v>3.4027777777777775E-2</v>
      </c>
    </row>
    <row r="9027" spans="1:4" x14ac:dyDescent="0.25">
      <c r="A9027" s="24" t="s">
        <v>158</v>
      </c>
      <c r="B9027" s="24" t="s">
        <v>64</v>
      </c>
      <c r="C9027" s="32">
        <v>38.350999999999999</v>
      </c>
      <c r="D9027" s="28">
        <v>3.6111111111111115E-2</v>
      </c>
    </row>
    <row r="9028" spans="1:4" x14ac:dyDescent="0.25">
      <c r="A9028" s="24" t="s">
        <v>158</v>
      </c>
      <c r="B9028" s="24" t="s">
        <v>66</v>
      </c>
      <c r="C9028" s="32">
        <v>37.695</v>
      </c>
      <c r="D9028" s="28">
        <v>3.8194444444444441E-2</v>
      </c>
    </row>
    <row r="9029" spans="1:4" x14ac:dyDescent="0.25">
      <c r="A9029" s="24" t="s">
        <v>158</v>
      </c>
      <c r="B9029" s="24" t="s">
        <v>67</v>
      </c>
      <c r="C9029" s="32">
        <v>40.487000000000002</v>
      </c>
      <c r="D9029" s="28">
        <v>4.027777777777778E-2</v>
      </c>
    </row>
    <row r="9030" spans="1:4" x14ac:dyDescent="0.25">
      <c r="A9030" s="24" t="s">
        <v>158</v>
      </c>
      <c r="B9030" s="24" t="s">
        <v>68</v>
      </c>
      <c r="C9030" s="32">
        <v>37.002000000000002</v>
      </c>
      <c r="D9030" s="28">
        <v>3.888888888888889E-2</v>
      </c>
    </row>
    <row r="9031" spans="1:4" x14ac:dyDescent="0.25">
      <c r="A9031" s="24" t="s">
        <v>158</v>
      </c>
      <c r="B9031" s="24" t="s">
        <v>69</v>
      </c>
      <c r="C9031" s="32">
        <v>36.817999999999998</v>
      </c>
      <c r="D9031" s="28">
        <v>3.888888888888889E-2</v>
      </c>
    </row>
    <row r="9032" spans="1:4" x14ac:dyDescent="0.25">
      <c r="A9032" s="24" t="s">
        <v>158</v>
      </c>
      <c r="B9032" s="24" t="s">
        <v>70</v>
      </c>
      <c r="C9032" s="32">
        <v>36.634999999999998</v>
      </c>
      <c r="D9032" s="28">
        <v>3.8194444444444441E-2</v>
      </c>
    </row>
    <row r="9033" spans="1:4" x14ac:dyDescent="0.25">
      <c r="A9033" s="24" t="s">
        <v>158</v>
      </c>
      <c r="B9033" s="24" t="s">
        <v>71</v>
      </c>
      <c r="C9033" s="32">
        <v>37.395000000000003</v>
      </c>
      <c r="D9033" s="28">
        <v>3.9583333333333331E-2</v>
      </c>
    </row>
    <row r="9034" spans="1:4" x14ac:dyDescent="0.25">
      <c r="A9034" s="24" t="s">
        <v>158</v>
      </c>
      <c r="B9034" s="24" t="s">
        <v>72</v>
      </c>
      <c r="C9034" s="32">
        <v>38.887</v>
      </c>
      <c r="D9034" s="28">
        <v>4.3055555555555562E-2</v>
      </c>
    </row>
    <row r="9035" spans="1:4" x14ac:dyDescent="0.25">
      <c r="A9035" s="24" t="s">
        <v>158</v>
      </c>
      <c r="B9035" s="24" t="s">
        <v>73</v>
      </c>
      <c r="C9035" s="32">
        <v>38.42</v>
      </c>
      <c r="D9035" s="28">
        <v>4.1666666666666664E-2</v>
      </c>
    </row>
    <row r="9036" spans="1:4" x14ac:dyDescent="0.25">
      <c r="A9036" s="24" t="s">
        <v>158</v>
      </c>
      <c r="B9036" s="24" t="s">
        <v>74</v>
      </c>
      <c r="C9036" s="32">
        <v>42.079000000000001</v>
      </c>
      <c r="D9036" s="28">
        <v>4.6527777777777779E-2</v>
      </c>
    </row>
    <row r="9037" spans="1:4" x14ac:dyDescent="0.25">
      <c r="A9037" s="24" t="s">
        <v>158</v>
      </c>
      <c r="B9037" s="24" t="s">
        <v>75</v>
      </c>
      <c r="C9037" s="32">
        <v>44.238</v>
      </c>
      <c r="D9037" s="28">
        <v>4.3750000000000004E-2</v>
      </c>
    </row>
    <row r="9038" spans="1:4" x14ac:dyDescent="0.25">
      <c r="A9038" s="24" t="s">
        <v>158</v>
      </c>
      <c r="B9038" s="24" t="s">
        <v>76</v>
      </c>
      <c r="C9038" s="32">
        <v>48.554000000000002</v>
      </c>
      <c r="D9038" s="28">
        <v>4.7222222222222221E-2</v>
      </c>
    </row>
    <row r="9039" spans="1:4" x14ac:dyDescent="0.25">
      <c r="A9039" s="24" t="s">
        <v>158</v>
      </c>
      <c r="B9039" s="24" t="s">
        <v>77</v>
      </c>
      <c r="C9039" s="32">
        <v>41.911999999999999</v>
      </c>
      <c r="D9039" s="28">
        <v>4.1666666666666664E-2</v>
      </c>
    </row>
    <row r="9040" spans="1:4" x14ac:dyDescent="0.25">
      <c r="A9040" s="24" t="s">
        <v>158</v>
      </c>
      <c r="B9040" s="24" t="s">
        <v>78</v>
      </c>
      <c r="C9040" s="32">
        <v>36.953000000000003</v>
      </c>
      <c r="D9040" s="28">
        <v>3.8194444444444441E-2</v>
      </c>
    </row>
    <row r="9041" spans="1:4" x14ac:dyDescent="0.25">
      <c r="A9041" s="24" t="s">
        <v>158</v>
      </c>
      <c r="B9041" s="24" t="s">
        <v>79</v>
      </c>
      <c r="C9041" s="32">
        <v>55.332999999999998</v>
      </c>
      <c r="D9041" s="28">
        <v>5.486111111111111E-2</v>
      </c>
    </row>
    <row r="9042" spans="1:4" x14ac:dyDescent="0.25">
      <c r="A9042" s="24" t="s">
        <v>158</v>
      </c>
      <c r="B9042" s="24" t="s">
        <v>80</v>
      </c>
      <c r="C9042" s="32">
        <v>41.661000000000001</v>
      </c>
      <c r="D9042" s="28">
        <v>3.2638888888888891E-2</v>
      </c>
    </row>
    <row r="9043" spans="1:4" x14ac:dyDescent="0.25">
      <c r="A9043" s="24" t="s">
        <v>158</v>
      </c>
      <c r="B9043" s="24" t="s">
        <v>81</v>
      </c>
      <c r="C9043" s="32">
        <v>46.183</v>
      </c>
      <c r="D9043" s="28">
        <v>3.5416666666666666E-2</v>
      </c>
    </row>
    <row r="9044" spans="1:4" x14ac:dyDescent="0.25">
      <c r="A9044" s="24" t="s">
        <v>158</v>
      </c>
      <c r="B9044" s="24" t="s">
        <v>82</v>
      </c>
      <c r="C9044" s="32">
        <v>46.234999999999999</v>
      </c>
      <c r="D9044" s="28">
        <v>3.5416666666666666E-2</v>
      </c>
    </row>
    <row r="9045" spans="1:4" x14ac:dyDescent="0.25">
      <c r="A9045" s="24" t="s">
        <v>158</v>
      </c>
      <c r="B9045" s="24" t="s">
        <v>83</v>
      </c>
      <c r="C9045" s="32">
        <v>40.975999999999999</v>
      </c>
      <c r="D9045" s="28">
        <v>3.8194444444444441E-2</v>
      </c>
    </row>
    <row r="9046" spans="1:4" x14ac:dyDescent="0.25">
      <c r="A9046" s="24" t="s">
        <v>158</v>
      </c>
      <c r="B9046" s="24" t="s">
        <v>84</v>
      </c>
      <c r="C9046" s="32">
        <v>41.54</v>
      </c>
      <c r="D9046" s="28">
        <v>4.1666666666666664E-2</v>
      </c>
    </row>
    <row r="9047" spans="1:4" x14ac:dyDescent="0.25">
      <c r="A9047" s="24" t="s">
        <v>158</v>
      </c>
      <c r="B9047" s="24" t="s">
        <v>85</v>
      </c>
      <c r="C9047" s="32">
        <v>43.747</v>
      </c>
      <c r="D9047" s="28">
        <v>4.0972222222222222E-2</v>
      </c>
    </row>
    <row r="9048" spans="1:4" x14ac:dyDescent="0.25">
      <c r="A9048" s="24" t="s">
        <v>158</v>
      </c>
      <c r="B9048" s="24" t="s">
        <v>86</v>
      </c>
      <c r="C9048" s="32">
        <v>41.372999999999998</v>
      </c>
      <c r="D9048" s="28">
        <v>3.8194444444444441E-2</v>
      </c>
    </row>
    <row r="9049" spans="1:4" x14ac:dyDescent="0.25">
      <c r="A9049" s="24" t="s">
        <v>158</v>
      </c>
      <c r="B9049" s="24" t="s">
        <v>87</v>
      </c>
      <c r="C9049" s="32">
        <v>41.488</v>
      </c>
      <c r="D9049" s="28">
        <v>3.8194444444444441E-2</v>
      </c>
    </row>
    <row r="9050" spans="1:4" x14ac:dyDescent="0.25">
      <c r="A9050" s="24" t="s">
        <v>158</v>
      </c>
      <c r="B9050" s="24" t="s">
        <v>88</v>
      </c>
      <c r="C9050" s="32">
        <v>42.866999999999997</v>
      </c>
      <c r="D9050" s="28">
        <v>3.9583333333333331E-2</v>
      </c>
    </row>
    <row r="9051" spans="1:4" x14ac:dyDescent="0.25">
      <c r="A9051" s="24" t="s">
        <v>158</v>
      </c>
      <c r="B9051" s="24" t="s">
        <v>89</v>
      </c>
      <c r="C9051" s="32">
        <v>51.036000000000001</v>
      </c>
      <c r="D9051" s="28">
        <v>4.027777777777778E-2</v>
      </c>
    </row>
    <row r="9052" spans="1:4" x14ac:dyDescent="0.25">
      <c r="A9052" s="24" t="s">
        <v>158</v>
      </c>
      <c r="B9052" s="24" t="s">
        <v>90</v>
      </c>
      <c r="C9052" s="32">
        <v>38.976999999999997</v>
      </c>
      <c r="D9052" s="28">
        <v>3.125E-2</v>
      </c>
    </row>
    <row r="9053" spans="1:4" x14ac:dyDescent="0.25">
      <c r="A9053" s="24" t="s">
        <v>158</v>
      </c>
      <c r="B9053" s="24" t="s">
        <v>91</v>
      </c>
      <c r="C9053" s="32">
        <v>39.753</v>
      </c>
      <c r="D9053" s="28">
        <v>4.2361111111111106E-2</v>
      </c>
    </row>
    <row r="9054" spans="1:4" x14ac:dyDescent="0.25">
      <c r="A9054" s="24" t="s">
        <v>158</v>
      </c>
      <c r="B9054" s="24" t="s">
        <v>92</v>
      </c>
      <c r="C9054" s="32">
        <v>46.292000000000002</v>
      </c>
      <c r="D9054" s="28">
        <v>3.7499999999999999E-2</v>
      </c>
    </row>
    <row r="9055" spans="1:4" x14ac:dyDescent="0.25">
      <c r="A9055" s="24" t="s">
        <v>158</v>
      </c>
      <c r="B9055" s="24" t="s">
        <v>93</v>
      </c>
      <c r="C9055" s="32">
        <v>62.49</v>
      </c>
      <c r="D9055" s="28">
        <v>4.6527777777777779E-2</v>
      </c>
    </row>
    <row r="9056" spans="1:4" x14ac:dyDescent="0.25">
      <c r="A9056" s="24" t="s">
        <v>158</v>
      </c>
      <c r="B9056" s="24" t="s">
        <v>94</v>
      </c>
      <c r="C9056" s="32">
        <v>63.119</v>
      </c>
      <c r="D9056" s="28">
        <v>4.7222222222222221E-2</v>
      </c>
    </row>
    <row r="9057" spans="1:4" x14ac:dyDescent="0.25">
      <c r="A9057" s="24" t="s">
        <v>158</v>
      </c>
      <c r="B9057" s="24" t="s">
        <v>95</v>
      </c>
      <c r="C9057" s="32">
        <v>46.518999999999998</v>
      </c>
      <c r="D9057" s="28">
        <v>3.6111111111111115E-2</v>
      </c>
    </row>
    <row r="9058" spans="1:4" x14ac:dyDescent="0.25">
      <c r="A9058" s="24" t="s">
        <v>158</v>
      </c>
      <c r="B9058" s="24" t="s">
        <v>96</v>
      </c>
      <c r="C9058" s="32">
        <v>25.44</v>
      </c>
      <c r="D9058" s="28">
        <v>2.6388888888888889E-2</v>
      </c>
    </row>
    <row r="9059" spans="1:4" x14ac:dyDescent="0.25">
      <c r="A9059" s="24" t="s">
        <v>158</v>
      </c>
      <c r="B9059" s="24" t="s">
        <v>97</v>
      </c>
      <c r="C9059" s="32">
        <v>24.209</v>
      </c>
      <c r="D9059" s="28">
        <v>1.9444444444444445E-2</v>
      </c>
    </row>
    <row r="9060" spans="1:4" x14ac:dyDescent="0.25">
      <c r="A9060" s="24" t="s">
        <v>158</v>
      </c>
      <c r="B9060" s="24" t="s">
        <v>98</v>
      </c>
      <c r="C9060" s="32">
        <v>32.598999999999997</v>
      </c>
      <c r="D9060" s="28">
        <v>2.6388888888888889E-2</v>
      </c>
    </row>
    <row r="9061" spans="1:4" x14ac:dyDescent="0.25">
      <c r="A9061" s="24" t="s">
        <v>158</v>
      </c>
      <c r="B9061" s="24" t="s">
        <v>99</v>
      </c>
      <c r="C9061" s="32">
        <v>25.323</v>
      </c>
      <c r="D9061" s="28">
        <v>2.0833333333333332E-2</v>
      </c>
    </row>
    <row r="9062" spans="1:4" x14ac:dyDescent="0.25">
      <c r="A9062" s="24" t="s">
        <v>158</v>
      </c>
      <c r="B9062" s="24" t="s">
        <v>100</v>
      </c>
      <c r="C9062" s="32">
        <v>42.652999999999999</v>
      </c>
      <c r="D9062" s="28">
        <v>3.3333333333333333E-2</v>
      </c>
    </row>
    <row r="9063" spans="1:4" x14ac:dyDescent="0.25">
      <c r="A9063" s="24" t="s">
        <v>158</v>
      </c>
      <c r="B9063" s="24" t="s">
        <v>101</v>
      </c>
      <c r="C9063" s="32">
        <v>30.765000000000001</v>
      </c>
      <c r="D9063" s="28">
        <v>2.4999999999999998E-2</v>
      </c>
    </row>
    <row r="9064" spans="1:4" x14ac:dyDescent="0.25">
      <c r="A9064" s="24" t="s">
        <v>158</v>
      </c>
      <c r="B9064" s="24" t="s">
        <v>102</v>
      </c>
      <c r="C9064" s="32">
        <v>30.635000000000002</v>
      </c>
      <c r="D9064" s="28">
        <v>2.6388888888888889E-2</v>
      </c>
    </row>
    <row r="9065" spans="1:4" x14ac:dyDescent="0.25">
      <c r="A9065" s="24" t="s">
        <v>158</v>
      </c>
      <c r="B9065" s="24" t="s">
        <v>103</v>
      </c>
      <c r="C9065" s="32">
        <v>47.383000000000003</v>
      </c>
      <c r="D9065" s="28">
        <v>3.6111111111111115E-2</v>
      </c>
    </row>
    <row r="9066" spans="1:4" x14ac:dyDescent="0.25">
      <c r="A9066" s="24" t="s">
        <v>158</v>
      </c>
      <c r="B9066" s="24" t="s">
        <v>104</v>
      </c>
      <c r="C9066" s="32">
        <v>43.78</v>
      </c>
      <c r="D9066" s="28">
        <v>3.4722222222222224E-2</v>
      </c>
    </row>
    <row r="9067" spans="1:4" x14ac:dyDescent="0.25">
      <c r="A9067" s="24" t="s">
        <v>158</v>
      </c>
      <c r="B9067" s="24" t="s">
        <v>105</v>
      </c>
      <c r="C9067" s="32">
        <v>50.680999999999997</v>
      </c>
      <c r="D9067" s="28">
        <v>4.1666666666666664E-2</v>
      </c>
    </row>
    <row r="9068" spans="1:4" x14ac:dyDescent="0.25">
      <c r="A9068" s="24" t="s">
        <v>158</v>
      </c>
      <c r="B9068" s="24" t="s">
        <v>106</v>
      </c>
      <c r="C9068" s="32">
        <v>33.968000000000004</v>
      </c>
      <c r="D9068" s="28">
        <v>3.6111111111111115E-2</v>
      </c>
    </row>
    <row r="9069" spans="1:4" x14ac:dyDescent="0.25">
      <c r="A9069" s="24" t="s">
        <v>158</v>
      </c>
      <c r="B9069" s="24" t="s">
        <v>107</v>
      </c>
      <c r="C9069" s="32">
        <v>52.965000000000003</v>
      </c>
      <c r="D9069" s="28">
        <v>4.4444444444444446E-2</v>
      </c>
    </row>
    <row r="9070" spans="1:4" x14ac:dyDescent="0.25">
      <c r="A9070" s="24" t="s">
        <v>158</v>
      </c>
      <c r="B9070" s="24" t="s">
        <v>108</v>
      </c>
      <c r="C9070" s="32">
        <v>53.561999999999998</v>
      </c>
      <c r="D9070" s="28">
        <v>4.3750000000000004E-2</v>
      </c>
    </row>
    <row r="9071" spans="1:4" x14ac:dyDescent="0.25">
      <c r="A9071" s="24" t="s">
        <v>158</v>
      </c>
      <c r="B9071" s="24" t="s">
        <v>109</v>
      </c>
      <c r="C9071" s="32">
        <v>53.531999999999996</v>
      </c>
      <c r="D9071" s="28">
        <v>4.3750000000000004E-2</v>
      </c>
    </row>
    <row r="9072" spans="1:4" x14ac:dyDescent="0.25">
      <c r="A9072" s="24" t="s">
        <v>158</v>
      </c>
      <c r="B9072" s="24" t="s">
        <v>110</v>
      </c>
      <c r="C9072" s="32">
        <v>51.622</v>
      </c>
      <c r="D9072" s="28">
        <v>4.027777777777778E-2</v>
      </c>
    </row>
    <row r="9073" spans="1:4" x14ac:dyDescent="0.25">
      <c r="A9073" s="24" t="s">
        <v>158</v>
      </c>
      <c r="B9073" s="24" t="s">
        <v>111</v>
      </c>
      <c r="C9073" s="32">
        <v>49.140999999999998</v>
      </c>
      <c r="D9073" s="28">
        <v>3.7499999999999999E-2</v>
      </c>
    </row>
    <row r="9074" spans="1:4" x14ac:dyDescent="0.25">
      <c r="A9074" s="24" t="s">
        <v>158</v>
      </c>
      <c r="B9074" s="24" t="s">
        <v>112</v>
      </c>
      <c r="C9074" s="32">
        <v>52.639000000000003</v>
      </c>
      <c r="D9074" s="28">
        <v>4.3055555555555562E-2</v>
      </c>
    </row>
    <row r="9075" spans="1:4" x14ac:dyDescent="0.25">
      <c r="A9075" s="24" t="s">
        <v>158</v>
      </c>
      <c r="B9075" s="24" t="s">
        <v>113</v>
      </c>
      <c r="C9075" s="32">
        <v>56.262999999999998</v>
      </c>
      <c r="D9075" s="28">
        <v>4.5138888888888888E-2</v>
      </c>
    </row>
    <row r="9076" spans="1:4" x14ac:dyDescent="0.25">
      <c r="A9076" s="24" t="s">
        <v>158</v>
      </c>
      <c r="B9076" s="24" t="s">
        <v>114</v>
      </c>
      <c r="C9076" s="32">
        <v>41.488</v>
      </c>
      <c r="D9076" s="28">
        <v>3.1944444444444449E-2</v>
      </c>
    </row>
    <row r="9077" spans="1:4" x14ac:dyDescent="0.25">
      <c r="A9077" s="24" t="s">
        <v>158</v>
      </c>
      <c r="B9077" s="24" t="s">
        <v>115</v>
      </c>
      <c r="C9077" s="32">
        <v>40.94</v>
      </c>
      <c r="D9077" s="28">
        <v>3.1944444444444449E-2</v>
      </c>
    </row>
    <row r="9078" spans="1:4" x14ac:dyDescent="0.25">
      <c r="A9078" s="24" t="s">
        <v>158</v>
      </c>
      <c r="B9078" s="24" t="s">
        <v>116</v>
      </c>
      <c r="C9078" s="32">
        <v>44.756</v>
      </c>
      <c r="D9078" s="28">
        <v>3.6111111111111115E-2</v>
      </c>
    </row>
    <row r="9079" spans="1:4" x14ac:dyDescent="0.25">
      <c r="A9079" s="24" t="s">
        <v>158</v>
      </c>
      <c r="B9079" s="24" t="s">
        <v>117</v>
      </c>
      <c r="C9079" s="32">
        <v>46.023000000000003</v>
      </c>
      <c r="D9079" s="28">
        <v>3.7499999999999999E-2</v>
      </c>
    </row>
    <row r="9080" spans="1:4" x14ac:dyDescent="0.25">
      <c r="A9080" s="24" t="s">
        <v>158</v>
      </c>
      <c r="B9080" s="24" t="s">
        <v>118</v>
      </c>
      <c r="C9080" s="32">
        <v>51.405000000000001</v>
      </c>
      <c r="D9080" s="28">
        <v>4.1666666666666664E-2</v>
      </c>
    </row>
    <row r="9081" spans="1:4" x14ac:dyDescent="0.25">
      <c r="A9081" s="24" t="s">
        <v>158</v>
      </c>
      <c r="B9081" s="24" t="s">
        <v>119</v>
      </c>
      <c r="C9081" s="32">
        <v>60.597000000000001</v>
      </c>
      <c r="D9081" s="28">
        <v>4.4444444444444446E-2</v>
      </c>
    </row>
    <row r="9082" spans="1:4" x14ac:dyDescent="0.25">
      <c r="A9082" s="24" t="s">
        <v>158</v>
      </c>
      <c r="B9082" s="24" t="s">
        <v>120</v>
      </c>
      <c r="C9082" s="32">
        <v>65.558000000000007</v>
      </c>
      <c r="D9082" s="28">
        <v>4.9999999999999996E-2</v>
      </c>
    </row>
    <row r="9083" spans="1:4" x14ac:dyDescent="0.25">
      <c r="A9083" s="24" t="s">
        <v>158</v>
      </c>
      <c r="B9083" s="24" t="s">
        <v>121</v>
      </c>
      <c r="C9083" s="32">
        <v>78.823999999999998</v>
      </c>
      <c r="D9083" s="28">
        <v>5.7638888888888885E-2</v>
      </c>
    </row>
    <row r="9084" spans="1:4" x14ac:dyDescent="0.25">
      <c r="A9084" s="24" t="s">
        <v>158</v>
      </c>
      <c r="B9084" s="24" t="s">
        <v>122</v>
      </c>
      <c r="C9084" s="32">
        <v>61.360999999999997</v>
      </c>
      <c r="D9084" s="28">
        <v>4.5833333333333337E-2</v>
      </c>
    </row>
    <row r="9085" spans="1:4" x14ac:dyDescent="0.25">
      <c r="A9085" s="24" t="s">
        <v>158</v>
      </c>
      <c r="B9085" s="24" t="s">
        <v>123</v>
      </c>
      <c r="C9085" s="32">
        <v>72.409000000000006</v>
      </c>
      <c r="D9085" s="28">
        <v>5.347222222222222E-2</v>
      </c>
    </row>
    <row r="9086" spans="1:4" x14ac:dyDescent="0.25">
      <c r="A9086" s="24" t="s">
        <v>158</v>
      </c>
      <c r="B9086" s="24" t="s">
        <v>124</v>
      </c>
      <c r="C9086" s="32">
        <v>72.409000000000006</v>
      </c>
      <c r="D9086" s="28">
        <v>5.347222222222222E-2</v>
      </c>
    </row>
    <row r="9087" spans="1:4" x14ac:dyDescent="0.25">
      <c r="A9087" s="24" t="s">
        <v>158</v>
      </c>
      <c r="B9087" s="24" t="s">
        <v>125</v>
      </c>
      <c r="C9087" s="32">
        <v>35.582999999999998</v>
      </c>
      <c r="D9087" s="28">
        <v>3.4722222222222224E-2</v>
      </c>
    </row>
    <row r="9088" spans="1:4" x14ac:dyDescent="0.25">
      <c r="A9088" s="24" t="s">
        <v>158</v>
      </c>
      <c r="B9088" s="24" t="s">
        <v>126</v>
      </c>
      <c r="C9088" s="32">
        <v>35.320999999999998</v>
      </c>
      <c r="D9088" s="28">
        <v>3.4027777777777775E-2</v>
      </c>
    </row>
    <row r="9089" spans="1:4" x14ac:dyDescent="0.25">
      <c r="A9089" s="24" t="s">
        <v>158</v>
      </c>
      <c r="B9089" s="24" t="s">
        <v>127</v>
      </c>
      <c r="C9089" s="32">
        <v>36.302999999999997</v>
      </c>
      <c r="D9089" s="28">
        <v>3.3333333333333333E-2</v>
      </c>
    </row>
    <row r="9090" spans="1:4" x14ac:dyDescent="0.25">
      <c r="A9090" s="24" t="s">
        <v>158</v>
      </c>
      <c r="B9090" s="24" t="s">
        <v>128</v>
      </c>
      <c r="C9090" s="32">
        <v>38.540999999999997</v>
      </c>
      <c r="D9090" s="28">
        <v>3.5416666666666666E-2</v>
      </c>
    </row>
    <row r="9091" spans="1:4" x14ac:dyDescent="0.25">
      <c r="A9091" s="24" t="s">
        <v>158</v>
      </c>
      <c r="B9091" s="24" t="s">
        <v>129</v>
      </c>
      <c r="C9091" s="32">
        <v>38.540999999999997</v>
      </c>
      <c r="D9091" s="28">
        <v>3.5416666666666666E-2</v>
      </c>
    </row>
    <row r="9092" spans="1:4" x14ac:dyDescent="0.25">
      <c r="A9092" s="24" t="s">
        <v>158</v>
      </c>
      <c r="B9092" s="24" t="s">
        <v>130</v>
      </c>
      <c r="C9092" s="32">
        <v>35.984000000000002</v>
      </c>
      <c r="D9092" s="28">
        <v>3.5416666666666666E-2</v>
      </c>
    </row>
    <row r="9093" spans="1:4" x14ac:dyDescent="0.25">
      <c r="A9093" s="24" t="s">
        <v>158</v>
      </c>
      <c r="B9093" s="24" t="s">
        <v>131</v>
      </c>
      <c r="C9093" s="32">
        <v>35.594999999999999</v>
      </c>
      <c r="D9093" s="28">
        <v>3.5416666666666666E-2</v>
      </c>
    </row>
    <row r="9094" spans="1:4" x14ac:dyDescent="0.25">
      <c r="A9094" s="24" t="s">
        <v>158</v>
      </c>
      <c r="B9094" s="24" t="s">
        <v>132</v>
      </c>
      <c r="C9094" s="32">
        <v>32.856999999999999</v>
      </c>
      <c r="D9094" s="28">
        <v>3.0555555555555555E-2</v>
      </c>
    </row>
    <row r="9095" spans="1:4" x14ac:dyDescent="0.25">
      <c r="A9095" s="24" t="s">
        <v>158</v>
      </c>
      <c r="B9095" s="24" t="s">
        <v>133</v>
      </c>
      <c r="C9095" s="32">
        <v>44.813000000000002</v>
      </c>
      <c r="D9095" s="28">
        <v>4.3750000000000004E-2</v>
      </c>
    </row>
    <row r="9096" spans="1:4" x14ac:dyDescent="0.25">
      <c r="A9096" s="24" t="s">
        <v>158</v>
      </c>
      <c r="B9096" s="24" t="s">
        <v>134</v>
      </c>
      <c r="C9096" s="32">
        <v>44.347000000000001</v>
      </c>
      <c r="D9096" s="28">
        <v>4.3055555555555562E-2</v>
      </c>
    </row>
    <row r="9097" spans="1:4" x14ac:dyDescent="0.25">
      <c r="A9097" s="24" t="s">
        <v>158</v>
      </c>
      <c r="B9097" s="24" t="s">
        <v>135</v>
      </c>
      <c r="C9097" s="32">
        <v>45.677999999999997</v>
      </c>
      <c r="D9097" s="28">
        <v>4.4444444444444446E-2</v>
      </c>
    </row>
    <row r="9098" spans="1:4" x14ac:dyDescent="0.25">
      <c r="A9098" s="24" t="s">
        <v>158</v>
      </c>
      <c r="B9098" s="24" t="s">
        <v>136</v>
      </c>
      <c r="C9098" s="32">
        <v>45.677999999999997</v>
      </c>
      <c r="D9098" s="28">
        <v>4.4444444444444446E-2</v>
      </c>
    </row>
    <row r="9099" spans="1:4" x14ac:dyDescent="0.25">
      <c r="A9099" s="24" t="s">
        <v>158</v>
      </c>
      <c r="B9099" s="24" t="s">
        <v>137</v>
      </c>
      <c r="C9099" s="32">
        <v>45.58</v>
      </c>
      <c r="D9099" s="28">
        <v>4.3750000000000004E-2</v>
      </c>
    </row>
    <row r="9100" spans="1:4" x14ac:dyDescent="0.25">
      <c r="A9100" s="24" t="s">
        <v>158</v>
      </c>
      <c r="B9100" s="24" t="s">
        <v>138</v>
      </c>
      <c r="C9100" s="32">
        <v>51.158999999999999</v>
      </c>
      <c r="D9100" s="28">
        <v>4.5138888888888888E-2</v>
      </c>
    </row>
    <row r="9101" spans="1:4" x14ac:dyDescent="0.25">
      <c r="A9101" s="24" t="s">
        <v>158</v>
      </c>
      <c r="B9101" s="24" t="s">
        <v>139</v>
      </c>
      <c r="C9101" s="32">
        <v>54.472999999999999</v>
      </c>
      <c r="D9101" s="28">
        <v>4.9999999999999996E-2</v>
      </c>
    </row>
    <row r="9102" spans="1:4" x14ac:dyDescent="0.25">
      <c r="A9102" s="24" t="s">
        <v>158</v>
      </c>
      <c r="B9102" s="24" t="s">
        <v>140</v>
      </c>
      <c r="C9102" s="32">
        <v>51.695999999999998</v>
      </c>
      <c r="D9102" s="28">
        <v>4.7916666666666663E-2</v>
      </c>
    </row>
    <row r="9103" spans="1:4" x14ac:dyDescent="0.25">
      <c r="A9103" s="24" t="s">
        <v>158</v>
      </c>
      <c r="B9103" s="24" t="s">
        <v>141</v>
      </c>
      <c r="C9103" s="32">
        <v>79.183999999999997</v>
      </c>
      <c r="D9103" s="28">
        <v>6.9444444444444434E-2</v>
      </c>
    </row>
    <row r="9104" spans="1:4" x14ac:dyDescent="0.25">
      <c r="A9104" s="24" t="s">
        <v>158</v>
      </c>
      <c r="B9104" s="24" t="s">
        <v>142</v>
      </c>
      <c r="C9104" s="32">
        <v>71.513999999999996</v>
      </c>
      <c r="D9104" s="28">
        <v>6.0416666666666667E-2</v>
      </c>
    </row>
    <row r="9105" spans="1:4" x14ac:dyDescent="0.25">
      <c r="A9105" s="24" t="s">
        <v>158</v>
      </c>
      <c r="B9105" s="24" t="s">
        <v>143</v>
      </c>
      <c r="C9105" s="32">
        <v>99.730999999999995</v>
      </c>
      <c r="D9105" s="28">
        <v>6.8749999999999992E-2</v>
      </c>
    </row>
    <row r="9106" spans="1:4" x14ac:dyDescent="0.25">
      <c r="A9106" s="24" t="s">
        <v>158</v>
      </c>
      <c r="B9106" s="24" t="s">
        <v>144</v>
      </c>
      <c r="C9106" s="32">
        <v>118.84699999999999</v>
      </c>
      <c r="D9106" s="28">
        <v>7.9166666666666663E-2</v>
      </c>
    </row>
    <row r="9107" spans="1:4" x14ac:dyDescent="0.25">
      <c r="A9107" s="24" t="s">
        <v>158</v>
      </c>
      <c r="B9107" s="24" t="s">
        <v>145</v>
      </c>
      <c r="C9107" s="32">
        <v>65.965999999999994</v>
      </c>
      <c r="D9107" s="28">
        <v>5.4166666666666669E-2</v>
      </c>
    </row>
    <row r="9108" spans="1:4" x14ac:dyDescent="0.25">
      <c r="A9108" s="24" t="s">
        <v>158</v>
      </c>
      <c r="B9108" s="24" t="s">
        <v>146</v>
      </c>
      <c r="C9108" s="32">
        <v>81.424999999999997</v>
      </c>
      <c r="D9108" s="28">
        <v>6.25E-2</v>
      </c>
    </row>
    <row r="9109" spans="1:4" x14ac:dyDescent="0.25">
      <c r="A9109" s="24" t="s">
        <v>158</v>
      </c>
      <c r="B9109" s="24" t="s">
        <v>147</v>
      </c>
      <c r="C9109" s="32">
        <v>33.944000000000003</v>
      </c>
      <c r="D9109" s="28">
        <v>3.4722222222222224E-2</v>
      </c>
    </row>
    <row r="9110" spans="1:4" x14ac:dyDescent="0.25">
      <c r="A9110" s="24" t="s">
        <v>158</v>
      </c>
      <c r="B9110" s="24" t="s">
        <v>148</v>
      </c>
      <c r="C9110" s="32">
        <v>35.564</v>
      </c>
      <c r="D9110" s="28">
        <v>3.7499999999999999E-2</v>
      </c>
    </row>
    <row r="9111" spans="1:4" x14ac:dyDescent="0.25">
      <c r="A9111" s="24" t="s">
        <v>158</v>
      </c>
      <c r="B9111" s="24" t="s">
        <v>149</v>
      </c>
      <c r="C9111" s="32">
        <v>32.762</v>
      </c>
      <c r="D9111" s="28">
        <v>3.0555555555555555E-2</v>
      </c>
    </row>
    <row r="9112" spans="1:4" x14ac:dyDescent="0.25">
      <c r="A9112" s="24" t="s">
        <v>158</v>
      </c>
      <c r="B9112" s="24" t="s">
        <v>150</v>
      </c>
      <c r="C9112" s="32">
        <v>38.098999999999997</v>
      </c>
      <c r="D9112" s="28">
        <v>2.9861111111111113E-2</v>
      </c>
    </row>
    <row r="9113" spans="1:4" x14ac:dyDescent="0.25">
      <c r="A9113" s="24" t="s">
        <v>158</v>
      </c>
      <c r="B9113" s="24" t="s">
        <v>151</v>
      </c>
      <c r="C9113" s="32">
        <v>38.838999999999999</v>
      </c>
      <c r="D9113" s="28">
        <v>2.9861111111111113E-2</v>
      </c>
    </row>
    <row r="9114" spans="1:4" x14ac:dyDescent="0.25">
      <c r="A9114" s="24" t="s">
        <v>158</v>
      </c>
      <c r="B9114" s="24" t="s">
        <v>152</v>
      </c>
      <c r="C9114" s="32">
        <v>31.81</v>
      </c>
      <c r="D9114" s="28">
        <v>2.9861111111111113E-2</v>
      </c>
    </row>
    <row r="9115" spans="1:4" x14ac:dyDescent="0.25">
      <c r="A9115" s="24" t="s">
        <v>158</v>
      </c>
      <c r="B9115" s="24" t="s">
        <v>153</v>
      </c>
      <c r="C9115" s="32">
        <v>31.491</v>
      </c>
      <c r="D9115" s="28">
        <v>2.7777777777777776E-2</v>
      </c>
    </row>
    <row r="9116" spans="1:4" x14ac:dyDescent="0.25">
      <c r="A9116" s="24" t="s">
        <v>158</v>
      </c>
      <c r="B9116" s="24" t="s">
        <v>154</v>
      </c>
      <c r="C9116" s="32">
        <v>32.311</v>
      </c>
      <c r="D9116" s="28">
        <v>2.4999999999999998E-2</v>
      </c>
    </row>
    <row r="9117" spans="1:4" x14ac:dyDescent="0.25">
      <c r="A9117" s="24" t="s">
        <v>158</v>
      </c>
      <c r="B9117" s="24" t="s">
        <v>155</v>
      </c>
      <c r="C9117" s="32">
        <v>39.442999999999998</v>
      </c>
      <c r="D9117" s="28">
        <v>3.0555555555555555E-2</v>
      </c>
    </row>
    <row r="9118" spans="1:4" x14ac:dyDescent="0.25">
      <c r="A9118" s="24" t="s">
        <v>158</v>
      </c>
      <c r="B9118" s="24" t="s">
        <v>156</v>
      </c>
      <c r="C9118" s="32">
        <v>39.427</v>
      </c>
      <c r="D9118" s="28">
        <v>2.9861111111111113E-2</v>
      </c>
    </row>
    <row r="9119" spans="1:4" x14ac:dyDescent="0.25">
      <c r="A9119" s="24" t="s">
        <v>158</v>
      </c>
      <c r="B9119" s="24" t="s">
        <v>157</v>
      </c>
      <c r="C9119" s="32">
        <v>15.673</v>
      </c>
      <c r="D9119" s="28">
        <v>1.5972222222222224E-2</v>
      </c>
    </row>
    <row r="9120" spans="1:4" x14ac:dyDescent="0.25">
      <c r="A9120" s="24" t="s">
        <v>158</v>
      </c>
      <c r="B9120" s="24" t="s">
        <v>158</v>
      </c>
      <c r="C9120" s="32">
        <v>0</v>
      </c>
      <c r="D9120" s="28">
        <v>0</v>
      </c>
    </row>
    <row r="9121" spans="1:4" x14ac:dyDescent="0.25">
      <c r="A9121" s="24" t="s">
        <v>158</v>
      </c>
      <c r="B9121" s="24" t="s">
        <v>159</v>
      </c>
      <c r="C9121" s="32">
        <v>16.335000000000001</v>
      </c>
      <c r="D9121" s="28">
        <v>1.5972222222222224E-2</v>
      </c>
    </row>
    <row r="9122" spans="1:4" x14ac:dyDescent="0.25">
      <c r="A9122" s="24" t="s">
        <v>159</v>
      </c>
      <c r="B9122" s="24" t="s">
        <v>65</v>
      </c>
      <c r="C9122" s="32">
        <v>37.573</v>
      </c>
      <c r="D9122" s="28">
        <v>3.4722222222222224E-2</v>
      </c>
    </row>
    <row r="9123" spans="1:4" x14ac:dyDescent="0.25">
      <c r="A9123" s="24" t="s">
        <v>159</v>
      </c>
      <c r="B9123" s="24" t="s">
        <v>64</v>
      </c>
      <c r="C9123" s="32">
        <v>43.595999999999997</v>
      </c>
      <c r="D9123" s="28">
        <v>3.8194444444444441E-2</v>
      </c>
    </row>
    <row r="9124" spans="1:4" x14ac:dyDescent="0.25">
      <c r="A9124" s="24" t="s">
        <v>159</v>
      </c>
      <c r="B9124" s="24" t="s">
        <v>66</v>
      </c>
      <c r="C9124" s="32">
        <v>48.405999999999999</v>
      </c>
      <c r="D9124" s="28">
        <v>4.3055555555555562E-2</v>
      </c>
    </row>
    <row r="9125" spans="1:4" x14ac:dyDescent="0.25">
      <c r="A9125" s="24" t="s">
        <v>159</v>
      </c>
      <c r="B9125" s="24" t="s">
        <v>67</v>
      </c>
      <c r="C9125" s="32">
        <v>47.456000000000003</v>
      </c>
      <c r="D9125" s="28">
        <v>4.3750000000000004E-2</v>
      </c>
    </row>
    <row r="9126" spans="1:4" x14ac:dyDescent="0.25">
      <c r="A9126" s="24" t="s">
        <v>159</v>
      </c>
      <c r="B9126" s="24" t="s">
        <v>68</v>
      </c>
      <c r="C9126" s="32">
        <v>47.256</v>
      </c>
      <c r="D9126" s="28">
        <v>4.3750000000000004E-2</v>
      </c>
    </row>
    <row r="9127" spans="1:4" x14ac:dyDescent="0.25">
      <c r="A9127" s="24" t="s">
        <v>159</v>
      </c>
      <c r="B9127" s="24" t="s">
        <v>69</v>
      </c>
      <c r="C9127" s="32">
        <v>46.264000000000003</v>
      </c>
      <c r="D9127" s="28">
        <v>4.3055555555555562E-2</v>
      </c>
    </row>
    <row r="9128" spans="1:4" x14ac:dyDescent="0.25">
      <c r="A9128" s="24" t="s">
        <v>159</v>
      </c>
      <c r="B9128" s="24" t="s">
        <v>70</v>
      </c>
      <c r="C9128" s="32">
        <v>47.334000000000003</v>
      </c>
      <c r="D9128" s="28">
        <v>4.3055555555555562E-2</v>
      </c>
    </row>
    <row r="9129" spans="1:4" x14ac:dyDescent="0.25">
      <c r="A9129" s="24" t="s">
        <v>159</v>
      </c>
      <c r="B9129" s="24" t="s">
        <v>71</v>
      </c>
      <c r="C9129" s="32">
        <v>46.841000000000001</v>
      </c>
      <c r="D9129" s="28">
        <v>4.3055555555555562E-2</v>
      </c>
    </row>
    <row r="9130" spans="1:4" x14ac:dyDescent="0.25">
      <c r="A9130" s="24" t="s">
        <v>159</v>
      </c>
      <c r="B9130" s="24" t="s">
        <v>72</v>
      </c>
      <c r="C9130" s="32">
        <v>48.689</v>
      </c>
      <c r="D9130" s="28">
        <v>4.6527777777777779E-2</v>
      </c>
    </row>
    <row r="9131" spans="1:4" x14ac:dyDescent="0.25">
      <c r="A9131" s="24" t="s">
        <v>159</v>
      </c>
      <c r="B9131" s="24" t="s">
        <v>73</v>
      </c>
      <c r="C9131" s="32">
        <v>47.216999999999999</v>
      </c>
      <c r="D9131" s="28">
        <v>4.3750000000000004E-2</v>
      </c>
    </row>
    <row r="9132" spans="1:4" x14ac:dyDescent="0.25">
      <c r="A9132" s="24" t="s">
        <v>159</v>
      </c>
      <c r="B9132" s="24" t="s">
        <v>74</v>
      </c>
      <c r="C9132" s="32">
        <v>50.817</v>
      </c>
      <c r="D9132" s="28">
        <v>4.7222222222222221E-2</v>
      </c>
    </row>
    <row r="9133" spans="1:4" x14ac:dyDescent="0.25">
      <c r="A9133" s="24" t="s">
        <v>159</v>
      </c>
      <c r="B9133" s="24" t="s">
        <v>75</v>
      </c>
      <c r="C9133" s="32">
        <v>49.853000000000002</v>
      </c>
      <c r="D9133" s="28">
        <v>4.5833333333333337E-2</v>
      </c>
    </row>
    <row r="9134" spans="1:4" x14ac:dyDescent="0.25">
      <c r="A9134" s="24" t="s">
        <v>159</v>
      </c>
      <c r="B9134" s="24" t="s">
        <v>76</v>
      </c>
      <c r="C9134" s="32">
        <v>53.96</v>
      </c>
      <c r="D9134" s="28">
        <v>5.1388888888888894E-2</v>
      </c>
    </row>
    <row r="9135" spans="1:4" x14ac:dyDescent="0.25">
      <c r="A9135" s="24" t="s">
        <v>159</v>
      </c>
      <c r="B9135" s="24" t="s">
        <v>77</v>
      </c>
      <c r="C9135" s="32">
        <v>52.557000000000002</v>
      </c>
      <c r="D9135" s="28">
        <v>4.6527777777777779E-2</v>
      </c>
    </row>
    <row r="9136" spans="1:4" x14ac:dyDescent="0.25">
      <c r="A9136" s="24" t="s">
        <v>159</v>
      </c>
      <c r="B9136" s="24" t="s">
        <v>78</v>
      </c>
      <c r="C9136" s="32">
        <v>47.597999999999999</v>
      </c>
      <c r="D9136" s="28">
        <v>4.3055555555555562E-2</v>
      </c>
    </row>
    <row r="9137" spans="1:4" x14ac:dyDescent="0.25">
      <c r="A9137" s="24" t="s">
        <v>159</v>
      </c>
      <c r="B9137" s="24" t="s">
        <v>79</v>
      </c>
      <c r="C9137" s="32">
        <v>65.963999999999999</v>
      </c>
      <c r="D9137" s="28">
        <v>5.9722222222222225E-2</v>
      </c>
    </row>
    <row r="9138" spans="1:4" x14ac:dyDescent="0.25">
      <c r="A9138" s="24" t="s">
        <v>159</v>
      </c>
      <c r="B9138" s="24" t="s">
        <v>80</v>
      </c>
      <c r="C9138" s="32">
        <v>35.591000000000001</v>
      </c>
      <c r="D9138" s="28">
        <v>3.3333333333333333E-2</v>
      </c>
    </row>
    <row r="9139" spans="1:4" x14ac:dyDescent="0.25">
      <c r="A9139" s="24" t="s">
        <v>159</v>
      </c>
      <c r="B9139" s="24" t="s">
        <v>81</v>
      </c>
      <c r="C9139" s="32">
        <v>40.113</v>
      </c>
      <c r="D9139" s="28">
        <v>3.5416666666666666E-2</v>
      </c>
    </row>
    <row r="9140" spans="1:4" x14ac:dyDescent="0.25">
      <c r="A9140" s="24" t="s">
        <v>159</v>
      </c>
      <c r="B9140" s="24" t="s">
        <v>82</v>
      </c>
      <c r="C9140" s="32">
        <v>40.164999999999999</v>
      </c>
      <c r="D9140" s="28">
        <v>3.5416666666666666E-2</v>
      </c>
    </row>
    <row r="9141" spans="1:4" x14ac:dyDescent="0.25">
      <c r="A9141" s="24" t="s">
        <v>159</v>
      </c>
      <c r="B9141" s="24" t="s">
        <v>83</v>
      </c>
      <c r="C9141" s="32">
        <v>46.101999999999997</v>
      </c>
      <c r="D9141" s="28">
        <v>4.027777777777778E-2</v>
      </c>
    </row>
    <row r="9142" spans="1:4" x14ac:dyDescent="0.25">
      <c r="A9142" s="24" t="s">
        <v>159</v>
      </c>
      <c r="B9142" s="24" t="s">
        <v>84</v>
      </c>
      <c r="C9142" s="32">
        <v>48.021999999999998</v>
      </c>
      <c r="D9142" s="28">
        <v>4.3055555555555562E-2</v>
      </c>
    </row>
    <row r="9143" spans="1:4" x14ac:dyDescent="0.25">
      <c r="A9143" s="24" t="s">
        <v>159</v>
      </c>
      <c r="B9143" s="24" t="s">
        <v>85</v>
      </c>
      <c r="C9143" s="32">
        <v>48.872999999999998</v>
      </c>
      <c r="D9143" s="28">
        <v>4.3055555555555562E-2</v>
      </c>
    </row>
    <row r="9144" spans="1:4" x14ac:dyDescent="0.25">
      <c r="A9144" s="24" t="s">
        <v>159</v>
      </c>
      <c r="B9144" s="24" t="s">
        <v>86</v>
      </c>
      <c r="C9144" s="32">
        <v>46.499000000000002</v>
      </c>
      <c r="D9144" s="28">
        <v>4.027777777777778E-2</v>
      </c>
    </row>
    <row r="9145" spans="1:4" x14ac:dyDescent="0.25">
      <c r="A9145" s="24" t="s">
        <v>159</v>
      </c>
      <c r="B9145" s="24" t="s">
        <v>87</v>
      </c>
      <c r="C9145" s="32">
        <v>46.613999999999997</v>
      </c>
      <c r="D9145" s="28">
        <v>4.0972222222222222E-2</v>
      </c>
    </row>
    <row r="9146" spans="1:4" x14ac:dyDescent="0.25">
      <c r="A9146" s="24" t="s">
        <v>159</v>
      </c>
      <c r="B9146" s="24" t="s">
        <v>88</v>
      </c>
      <c r="C9146" s="32">
        <v>47.993000000000002</v>
      </c>
      <c r="D9146" s="28">
        <v>4.2361111111111106E-2</v>
      </c>
    </row>
    <row r="9147" spans="1:4" x14ac:dyDescent="0.25">
      <c r="A9147" s="24" t="s">
        <v>159</v>
      </c>
      <c r="B9147" s="24" t="s">
        <v>89</v>
      </c>
      <c r="C9147" s="32">
        <v>44.966000000000001</v>
      </c>
      <c r="D9147" s="28">
        <v>4.0972222222222222E-2</v>
      </c>
    </row>
    <row r="9148" spans="1:4" x14ac:dyDescent="0.25">
      <c r="A9148" s="24" t="s">
        <v>159</v>
      </c>
      <c r="B9148" s="24" t="s">
        <v>90</v>
      </c>
      <c r="C9148" s="32">
        <v>32.906999999999996</v>
      </c>
      <c r="D9148" s="28">
        <v>3.1944444444444449E-2</v>
      </c>
    </row>
    <row r="9149" spans="1:4" x14ac:dyDescent="0.25">
      <c r="A9149" s="24" t="s">
        <v>159</v>
      </c>
      <c r="B9149" s="24" t="s">
        <v>91</v>
      </c>
      <c r="C9149" s="32">
        <v>43.396000000000001</v>
      </c>
      <c r="D9149" s="28">
        <v>4.3055555555555562E-2</v>
      </c>
    </row>
    <row r="9150" spans="1:4" x14ac:dyDescent="0.25">
      <c r="A9150" s="24" t="s">
        <v>159</v>
      </c>
      <c r="B9150" s="24" t="s">
        <v>92</v>
      </c>
      <c r="C9150" s="32">
        <v>40.222000000000001</v>
      </c>
      <c r="D9150" s="28">
        <v>3.7499999999999999E-2</v>
      </c>
    </row>
    <row r="9151" spans="1:4" x14ac:dyDescent="0.25">
      <c r="A9151" s="24" t="s">
        <v>159</v>
      </c>
      <c r="B9151" s="24" t="s">
        <v>93</v>
      </c>
      <c r="C9151" s="32">
        <v>56.972999999999999</v>
      </c>
      <c r="D9151" s="28">
        <v>4.4444444444444446E-2</v>
      </c>
    </row>
    <row r="9152" spans="1:4" x14ac:dyDescent="0.25">
      <c r="A9152" s="24" t="s">
        <v>159</v>
      </c>
      <c r="B9152" s="24" t="s">
        <v>94</v>
      </c>
      <c r="C9152" s="32">
        <v>57.601999999999997</v>
      </c>
      <c r="D9152" s="28">
        <v>4.5138888888888888E-2</v>
      </c>
    </row>
    <row r="9153" spans="1:4" x14ac:dyDescent="0.25">
      <c r="A9153" s="24" t="s">
        <v>159</v>
      </c>
      <c r="B9153" s="24" t="s">
        <v>95</v>
      </c>
      <c r="C9153" s="32">
        <v>40.448999999999998</v>
      </c>
      <c r="D9153" s="28">
        <v>3.6805555555555557E-2</v>
      </c>
    </row>
    <row r="9154" spans="1:4" x14ac:dyDescent="0.25">
      <c r="A9154" s="24" t="s">
        <v>159</v>
      </c>
      <c r="B9154" s="24" t="s">
        <v>96</v>
      </c>
      <c r="C9154" s="32">
        <v>31.155999999999999</v>
      </c>
      <c r="D9154" s="28">
        <v>2.7777777777777776E-2</v>
      </c>
    </row>
    <row r="9155" spans="1:4" x14ac:dyDescent="0.25">
      <c r="A9155" s="24" t="s">
        <v>159</v>
      </c>
      <c r="B9155" s="24" t="s">
        <v>97</v>
      </c>
      <c r="C9155" s="32">
        <v>19.091000000000001</v>
      </c>
      <c r="D9155" s="28">
        <v>2.013888888888889E-2</v>
      </c>
    </row>
    <row r="9156" spans="1:4" x14ac:dyDescent="0.25">
      <c r="A9156" s="24" t="s">
        <v>159</v>
      </c>
      <c r="B9156" s="24" t="s">
        <v>98</v>
      </c>
      <c r="C9156" s="32">
        <v>26.529</v>
      </c>
      <c r="D9156" s="28">
        <v>2.7083333333333334E-2</v>
      </c>
    </row>
    <row r="9157" spans="1:4" x14ac:dyDescent="0.25">
      <c r="A9157" s="24" t="s">
        <v>159</v>
      </c>
      <c r="B9157" s="24" t="s">
        <v>99</v>
      </c>
      <c r="C9157" s="32">
        <v>19.253</v>
      </c>
      <c r="D9157" s="28">
        <v>2.0833333333333332E-2</v>
      </c>
    </row>
    <row r="9158" spans="1:4" x14ac:dyDescent="0.25">
      <c r="A9158" s="24" t="s">
        <v>159</v>
      </c>
      <c r="B9158" s="24" t="s">
        <v>100</v>
      </c>
      <c r="C9158" s="32">
        <v>36.582999999999998</v>
      </c>
      <c r="D9158" s="28">
        <v>3.3333333333333333E-2</v>
      </c>
    </row>
    <row r="9159" spans="1:4" x14ac:dyDescent="0.25">
      <c r="A9159" s="24" t="s">
        <v>159</v>
      </c>
      <c r="B9159" s="24" t="s">
        <v>101</v>
      </c>
      <c r="C9159" s="32">
        <v>24.695</v>
      </c>
      <c r="D9159" s="28">
        <v>2.4999999999999998E-2</v>
      </c>
    </row>
    <row r="9160" spans="1:4" x14ac:dyDescent="0.25">
      <c r="A9160" s="24" t="s">
        <v>159</v>
      </c>
      <c r="B9160" s="24" t="s">
        <v>102</v>
      </c>
      <c r="C9160" s="32">
        <v>24.565000000000001</v>
      </c>
      <c r="D9160" s="28">
        <v>2.6388888888888889E-2</v>
      </c>
    </row>
    <row r="9161" spans="1:4" x14ac:dyDescent="0.25">
      <c r="A9161" s="24" t="s">
        <v>159</v>
      </c>
      <c r="B9161" s="24" t="s">
        <v>103</v>
      </c>
      <c r="C9161" s="32">
        <v>41.313000000000002</v>
      </c>
      <c r="D9161" s="28">
        <v>3.6805555555555557E-2</v>
      </c>
    </row>
    <row r="9162" spans="1:4" x14ac:dyDescent="0.25">
      <c r="A9162" s="24" t="s">
        <v>159</v>
      </c>
      <c r="B9162" s="24" t="s">
        <v>104</v>
      </c>
      <c r="C9162" s="32">
        <v>37.71</v>
      </c>
      <c r="D9162" s="28">
        <v>3.4722222222222224E-2</v>
      </c>
    </row>
    <row r="9163" spans="1:4" x14ac:dyDescent="0.25">
      <c r="A9163" s="24" t="s">
        <v>159</v>
      </c>
      <c r="B9163" s="24" t="s">
        <v>105</v>
      </c>
      <c r="C9163" s="32">
        <v>44.610999999999997</v>
      </c>
      <c r="D9163" s="28">
        <v>4.2361111111111106E-2</v>
      </c>
    </row>
    <row r="9164" spans="1:4" x14ac:dyDescent="0.25">
      <c r="A9164" s="24" t="s">
        <v>159</v>
      </c>
      <c r="B9164" s="24" t="s">
        <v>106</v>
      </c>
      <c r="C9164" s="32">
        <v>37.610999999999997</v>
      </c>
      <c r="D9164" s="28">
        <v>3.6805555555555557E-2</v>
      </c>
    </row>
    <row r="9165" spans="1:4" x14ac:dyDescent="0.25">
      <c r="A9165" s="24" t="s">
        <v>159</v>
      </c>
      <c r="B9165" s="24" t="s">
        <v>107</v>
      </c>
      <c r="C9165" s="32">
        <v>46.895000000000003</v>
      </c>
      <c r="D9165" s="28">
        <v>4.4444444444444446E-2</v>
      </c>
    </row>
    <row r="9166" spans="1:4" x14ac:dyDescent="0.25">
      <c r="A9166" s="24" t="s">
        <v>159</v>
      </c>
      <c r="B9166" s="24" t="s">
        <v>108</v>
      </c>
      <c r="C9166" s="32">
        <v>47.491999999999997</v>
      </c>
      <c r="D9166" s="28">
        <v>4.3750000000000004E-2</v>
      </c>
    </row>
    <row r="9167" spans="1:4" x14ac:dyDescent="0.25">
      <c r="A9167" s="24" t="s">
        <v>159</v>
      </c>
      <c r="B9167" s="24" t="s">
        <v>109</v>
      </c>
      <c r="C9167" s="32">
        <v>47.462000000000003</v>
      </c>
      <c r="D9167" s="28">
        <v>4.3750000000000004E-2</v>
      </c>
    </row>
    <row r="9168" spans="1:4" x14ac:dyDescent="0.25">
      <c r="A9168" s="24" t="s">
        <v>159</v>
      </c>
      <c r="B9168" s="24" t="s">
        <v>110</v>
      </c>
      <c r="C9168" s="32">
        <v>45.552</v>
      </c>
      <c r="D9168" s="28">
        <v>4.027777777777778E-2</v>
      </c>
    </row>
    <row r="9169" spans="1:4" x14ac:dyDescent="0.25">
      <c r="A9169" s="24" t="s">
        <v>159</v>
      </c>
      <c r="B9169" s="24" t="s">
        <v>111</v>
      </c>
      <c r="C9169" s="32">
        <v>43.070999999999998</v>
      </c>
      <c r="D9169" s="28">
        <v>3.7499999999999999E-2</v>
      </c>
    </row>
    <row r="9170" spans="1:4" x14ac:dyDescent="0.25">
      <c r="A9170" s="24" t="s">
        <v>159</v>
      </c>
      <c r="B9170" s="24" t="s">
        <v>112</v>
      </c>
      <c r="C9170" s="32">
        <v>46.569000000000003</v>
      </c>
      <c r="D9170" s="28">
        <v>4.3055555555555562E-2</v>
      </c>
    </row>
    <row r="9171" spans="1:4" x14ac:dyDescent="0.25">
      <c r="A9171" s="24" t="s">
        <v>159</v>
      </c>
      <c r="B9171" s="24" t="s">
        <v>113</v>
      </c>
      <c r="C9171" s="32">
        <v>50.192999999999998</v>
      </c>
      <c r="D9171" s="28">
        <v>4.5833333333333337E-2</v>
      </c>
    </row>
    <row r="9172" spans="1:4" x14ac:dyDescent="0.25">
      <c r="A9172" s="24" t="s">
        <v>159</v>
      </c>
      <c r="B9172" s="24" t="s">
        <v>114</v>
      </c>
      <c r="C9172" s="32">
        <v>35.417999999999999</v>
      </c>
      <c r="D9172" s="28">
        <v>3.2638888888888891E-2</v>
      </c>
    </row>
    <row r="9173" spans="1:4" x14ac:dyDescent="0.25">
      <c r="A9173" s="24" t="s">
        <v>159</v>
      </c>
      <c r="B9173" s="24" t="s">
        <v>115</v>
      </c>
      <c r="C9173" s="32">
        <v>34.869999999999997</v>
      </c>
      <c r="D9173" s="28">
        <v>3.2638888888888891E-2</v>
      </c>
    </row>
    <row r="9174" spans="1:4" x14ac:dyDescent="0.25">
      <c r="A9174" s="24" t="s">
        <v>159</v>
      </c>
      <c r="B9174" s="24" t="s">
        <v>116</v>
      </c>
      <c r="C9174" s="32">
        <v>38.686</v>
      </c>
      <c r="D9174" s="28">
        <v>3.6111111111111115E-2</v>
      </c>
    </row>
    <row r="9175" spans="1:4" x14ac:dyDescent="0.25">
      <c r="A9175" s="24" t="s">
        <v>159</v>
      </c>
      <c r="B9175" s="24" t="s">
        <v>117</v>
      </c>
      <c r="C9175" s="32">
        <v>39.953000000000003</v>
      </c>
      <c r="D9175" s="28">
        <v>3.7499999999999999E-2</v>
      </c>
    </row>
    <row r="9176" spans="1:4" x14ac:dyDescent="0.25">
      <c r="A9176" s="24" t="s">
        <v>159</v>
      </c>
      <c r="B9176" s="24" t="s">
        <v>118</v>
      </c>
      <c r="C9176" s="32">
        <v>45.335000000000001</v>
      </c>
      <c r="D9176" s="28">
        <v>4.1666666666666664E-2</v>
      </c>
    </row>
    <row r="9177" spans="1:4" x14ac:dyDescent="0.25">
      <c r="A9177" s="24" t="s">
        <v>159</v>
      </c>
      <c r="B9177" s="24" t="s">
        <v>119</v>
      </c>
      <c r="C9177" s="32">
        <v>54.527000000000001</v>
      </c>
      <c r="D9177" s="28">
        <v>4.4444444444444446E-2</v>
      </c>
    </row>
    <row r="9178" spans="1:4" x14ac:dyDescent="0.25">
      <c r="A9178" s="24" t="s">
        <v>159</v>
      </c>
      <c r="B9178" s="24" t="s">
        <v>120</v>
      </c>
      <c r="C9178" s="32">
        <v>59.488</v>
      </c>
      <c r="D9178" s="28">
        <v>4.9999999999999996E-2</v>
      </c>
    </row>
    <row r="9179" spans="1:4" x14ac:dyDescent="0.25">
      <c r="A9179" s="24" t="s">
        <v>159</v>
      </c>
      <c r="B9179" s="24" t="s">
        <v>121</v>
      </c>
      <c r="C9179" s="32">
        <v>75.489000000000004</v>
      </c>
      <c r="D9179" s="28">
        <v>5.6250000000000001E-2</v>
      </c>
    </row>
    <row r="9180" spans="1:4" x14ac:dyDescent="0.25">
      <c r="A9180" s="24" t="s">
        <v>159</v>
      </c>
      <c r="B9180" s="24" t="s">
        <v>122</v>
      </c>
      <c r="C9180" s="32">
        <v>55.844000000000001</v>
      </c>
      <c r="D9180" s="28">
        <v>4.3750000000000004E-2</v>
      </c>
    </row>
    <row r="9181" spans="1:4" x14ac:dyDescent="0.25">
      <c r="A9181" s="24" t="s">
        <v>159</v>
      </c>
      <c r="B9181" s="24" t="s">
        <v>123</v>
      </c>
      <c r="C9181" s="32">
        <v>66.338999999999999</v>
      </c>
      <c r="D9181" s="28">
        <v>5.4166666666666669E-2</v>
      </c>
    </row>
    <row r="9182" spans="1:4" x14ac:dyDescent="0.25">
      <c r="A9182" s="24" t="s">
        <v>159</v>
      </c>
      <c r="B9182" s="24" t="s">
        <v>124</v>
      </c>
      <c r="C9182" s="32">
        <v>66.338999999999999</v>
      </c>
      <c r="D9182" s="28">
        <v>5.4166666666666669E-2</v>
      </c>
    </row>
    <row r="9183" spans="1:4" x14ac:dyDescent="0.25">
      <c r="A9183" s="24" t="s">
        <v>159</v>
      </c>
      <c r="B9183" s="24" t="s">
        <v>125</v>
      </c>
      <c r="C9183" s="32">
        <v>40.709000000000003</v>
      </c>
      <c r="D9183" s="28">
        <v>3.7499999999999999E-2</v>
      </c>
    </row>
    <row r="9184" spans="1:4" x14ac:dyDescent="0.25">
      <c r="A9184" s="24" t="s">
        <v>159</v>
      </c>
      <c r="B9184" s="24" t="s">
        <v>126</v>
      </c>
      <c r="C9184" s="32">
        <v>40.447000000000003</v>
      </c>
      <c r="D9184" s="28">
        <v>3.6111111111111115E-2</v>
      </c>
    </row>
    <row r="9185" spans="1:4" x14ac:dyDescent="0.25">
      <c r="A9185" s="24" t="s">
        <v>159</v>
      </c>
      <c r="B9185" s="24" t="s">
        <v>127</v>
      </c>
      <c r="C9185" s="32">
        <v>41.429000000000002</v>
      </c>
      <c r="D9185" s="28">
        <v>3.6111111111111115E-2</v>
      </c>
    </row>
    <row r="9186" spans="1:4" x14ac:dyDescent="0.25">
      <c r="A9186" s="24" t="s">
        <v>159</v>
      </c>
      <c r="B9186" s="24" t="s">
        <v>128</v>
      </c>
      <c r="C9186" s="32">
        <v>43.667000000000002</v>
      </c>
      <c r="D9186" s="28">
        <v>3.7499999999999999E-2</v>
      </c>
    </row>
    <row r="9187" spans="1:4" x14ac:dyDescent="0.25">
      <c r="A9187" s="24" t="s">
        <v>159</v>
      </c>
      <c r="B9187" s="24" t="s">
        <v>129</v>
      </c>
      <c r="C9187" s="32">
        <v>43.667000000000002</v>
      </c>
      <c r="D9187" s="28">
        <v>3.7499999999999999E-2</v>
      </c>
    </row>
    <row r="9188" spans="1:4" x14ac:dyDescent="0.25">
      <c r="A9188" s="24" t="s">
        <v>159</v>
      </c>
      <c r="B9188" s="24" t="s">
        <v>130</v>
      </c>
      <c r="C9188" s="32">
        <v>41.11</v>
      </c>
      <c r="D9188" s="28">
        <v>3.8194444444444441E-2</v>
      </c>
    </row>
    <row r="9189" spans="1:4" x14ac:dyDescent="0.25">
      <c r="A9189" s="24" t="s">
        <v>159</v>
      </c>
      <c r="B9189" s="24" t="s">
        <v>131</v>
      </c>
      <c r="C9189" s="32">
        <v>36.935000000000002</v>
      </c>
      <c r="D9189" s="28">
        <v>3.6805555555555557E-2</v>
      </c>
    </row>
    <row r="9190" spans="1:4" x14ac:dyDescent="0.25">
      <c r="A9190" s="24" t="s">
        <v>159</v>
      </c>
      <c r="B9190" s="24" t="s">
        <v>132</v>
      </c>
      <c r="C9190" s="32">
        <v>39.433999999999997</v>
      </c>
      <c r="D9190" s="28">
        <v>3.4027777777777775E-2</v>
      </c>
    </row>
    <row r="9191" spans="1:4" x14ac:dyDescent="0.25">
      <c r="A9191" s="24" t="s">
        <v>159</v>
      </c>
      <c r="B9191" s="24" t="s">
        <v>133</v>
      </c>
      <c r="C9191" s="32">
        <v>51.508000000000003</v>
      </c>
      <c r="D9191" s="28">
        <v>4.5833333333333337E-2</v>
      </c>
    </row>
    <row r="9192" spans="1:4" x14ac:dyDescent="0.25">
      <c r="A9192" s="24" t="s">
        <v>159</v>
      </c>
      <c r="B9192" s="24" t="s">
        <v>134</v>
      </c>
      <c r="C9192" s="32">
        <v>51.042000000000002</v>
      </c>
      <c r="D9192" s="28">
        <v>4.5138888888888888E-2</v>
      </c>
    </row>
    <row r="9193" spans="1:4" x14ac:dyDescent="0.25">
      <c r="A9193" s="24" t="s">
        <v>159</v>
      </c>
      <c r="B9193" s="24" t="s">
        <v>135</v>
      </c>
      <c r="C9193" s="32">
        <v>51.585999999999999</v>
      </c>
      <c r="D9193" s="28">
        <v>4.6527777777777779E-2</v>
      </c>
    </row>
    <row r="9194" spans="1:4" x14ac:dyDescent="0.25">
      <c r="A9194" s="24" t="s">
        <v>159</v>
      </c>
      <c r="B9194" s="24" t="s">
        <v>136</v>
      </c>
      <c r="C9194" s="32">
        <v>51.585999999999999</v>
      </c>
      <c r="D9194" s="28">
        <v>4.6527777777777779E-2</v>
      </c>
    </row>
    <row r="9195" spans="1:4" x14ac:dyDescent="0.25">
      <c r="A9195" s="24" t="s">
        <v>159</v>
      </c>
      <c r="B9195" s="24" t="s">
        <v>137</v>
      </c>
      <c r="C9195" s="32">
        <v>51.195</v>
      </c>
      <c r="D9195" s="28">
        <v>4.5833333333333337E-2</v>
      </c>
    </row>
    <row r="9196" spans="1:4" x14ac:dyDescent="0.25">
      <c r="A9196" s="24" t="s">
        <v>159</v>
      </c>
      <c r="B9196" s="24" t="s">
        <v>138</v>
      </c>
      <c r="C9196" s="32">
        <v>56.284999999999997</v>
      </c>
      <c r="D9196" s="28">
        <v>4.7916666666666663E-2</v>
      </c>
    </row>
    <row r="9197" spans="1:4" x14ac:dyDescent="0.25">
      <c r="A9197" s="24" t="s">
        <v>159</v>
      </c>
      <c r="B9197" s="24" t="s">
        <v>139</v>
      </c>
      <c r="C9197" s="32">
        <v>66.408000000000001</v>
      </c>
      <c r="D9197" s="28">
        <v>5.2777777777777778E-2</v>
      </c>
    </row>
    <row r="9198" spans="1:4" x14ac:dyDescent="0.25">
      <c r="A9198" s="24" t="s">
        <v>159</v>
      </c>
      <c r="B9198" s="24" t="s">
        <v>140</v>
      </c>
      <c r="C9198" s="32">
        <v>62.326999999999998</v>
      </c>
      <c r="D9198" s="28">
        <v>5.2777777777777778E-2</v>
      </c>
    </row>
    <row r="9199" spans="1:4" x14ac:dyDescent="0.25">
      <c r="A9199" s="24" t="s">
        <v>159</v>
      </c>
      <c r="B9199" s="24" t="s">
        <v>141</v>
      </c>
      <c r="C9199" s="32">
        <v>91.119</v>
      </c>
      <c r="D9199" s="28">
        <v>7.2222222222222229E-2</v>
      </c>
    </row>
    <row r="9200" spans="1:4" x14ac:dyDescent="0.25">
      <c r="A9200" s="24" t="s">
        <v>159</v>
      </c>
      <c r="B9200" s="24" t="s">
        <v>142</v>
      </c>
      <c r="C9200" s="32">
        <v>89.206999999999994</v>
      </c>
      <c r="D9200" s="28">
        <v>6.458333333333334E-2</v>
      </c>
    </row>
    <row r="9201" spans="1:4" x14ac:dyDescent="0.25">
      <c r="A9201" s="24" t="s">
        <v>159</v>
      </c>
      <c r="B9201" s="24" t="s">
        <v>143</v>
      </c>
      <c r="C9201" s="32">
        <v>107.58499999999999</v>
      </c>
      <c r="D9201" s="28">
        <v>7.1527777777777787E-2</v>
      </c>
    </row>
    <row r="9202" spans="1:4" x14ac:dyDescent="0.25">
      <c r="A9202" s="24" t="s">
        <v>159</v>
      </c>
      <c r="B9202" s="24" t="s">
        <v>144</v>
      </c>
      <c r="C9202" s="32">
        <v>126.70099999999999</v>
      </c>
      <c r="D9202" s="28">
        <v>8.2638888888888887E-2</v>
      </c>
    </row>
    <row r="9203" spans="1:4" x14ac:dyDescent="0.25">
      <c r="A9203" s="24" t="s">
        <v>159</v>
      </c>
      <c r="B9203" s="24" t="s">
        <v>145</v>
      </c>
      <c r="C9203" s="32">
        <v>71.215000000000003</v>
      </c>
      <c r="D9203" s="28">
        <v>5.6944444444444443E-2</v>
      </c>
    </row>
    <row r="9204" spans="1:4" x14ac:dyDescent="0.25">
      <c r="A9204" s="24" t="s">
        <v>159</v>
      </c>
      <c r="B9204" s="24" t="s">
        <v>146</v>
      </c>
      <c r="C9204" s="32">
        <v>86.551000000000002</v>
      </c>
      <c r="D9204" s="28">
        <v>6.458333333333334E-2</v>
      </c>
    </row>
    <row r="9205" spans="1:4" x14ac:dyDescent="0.25">
      <c r="A9205" s="24" t="s">
        <v>159</v>
      </c>
      <c r="B9205" s="24" t="s">
        <v>147</v>
      </c>
      <c r="C9205" s="32">
        <v>37.587000000000003</v>
      </c>
      <c r="D9205" s="28">
        <v>3.6111111111111115E-2</v>
      </c>
    </row>
    <row r="9206" spans="1:4" x14ac:dyDescent="0.25">
      <c r="A9206" s="24" t="s">
        <v>159</v>
      </c>
      <c r="B9206" s="24" t="s">
        <v>148</v>
      </c>
      <c r="C9206" s="32">
        <v>39.207000000000001</v>
      </c>
      <c r="D9206" s="28">
        <v>3.8194444444444441E-2</v>
      </c>
    </row>
    <row r="9207" spans="1:4" x14ac:dyDescent="0.25">
      <c r="A9207" s="24" t="s">
        <v>159</v>
      </c>
      <c r="B9207" s="24" t="s">
        <v>149</v>
      </c>
      <c r="C9207" s="32">
        <v>39.54</v>
      </c>
      <c r="D9207" s="28">
        <v>3.4722222222222224E-2</v>
      </c>
    </row>
    <row r="9208" spans="1:4" x14ac:dyDescent="0.25">
      <c r="A9208" s="24" t="s">
        <v>159</v>
      </c>
      <c r="B9208" s="24" t="s">
        <v>150</v>
      </c>
      <c r="C9208" s="32">
        <v>49.548999999999999</v>
      </c>
      <c r="D9208" s="28">
        <v>3.888888888888889E-2</v>
      </c>
    </row>
    <row r="9209" spans="1:4" x14ac:dyDescent="0.25">
      <c r="A9209" s="24" t="s">
        <v>159</v>
      </c>
      <c r="B9209" s="24" t="s">
        <v>151</v>
      </c>
      <c r="C9209" s="32">
        <v>50.642000000000003</v>
      </c>
      <c r="D9209" s="28">
        <v>3.9583333333333331E-2</v>
      </c>
    </row>
    <row r="9210" spans="1:4" x14ac:dyDescent="0.25">
      <c r="A9210" s="24" t="s">
        <v>159</v>
      </c>
      <c r="B9210" s="24" t="s">
        <v>152</v>
      </c>
      <c r="C9210" s="32">
        <v>47.011000000000003</v>
      </c>
      <c r="D9210" s="28">
        <v>3.8194444444444441E-2</v>
      </c>
    </row>
    <row r="9211" spans="1:4" x14ac:dyDescent="0.25">
      <c r="A9211" s="24" t="s">
        <v>159</v>
      </c>
      <c r="B9211" s="24" t="s">
        <v>153</v>
      </c>
      <c r="C9211" s="32">
        <v>42.941000000000003</v>
      </c>
      <c r="D9211" s="28">
        <v>3.6805555555555557E-2</v>
      </c>
    </row>
    <row r="9212" spans="1:4" x14ac:dyDescent="0.25">
      <c r="A9212" s="24" t="s">
        <v>159</v>
      </c>
      <c r="B9212" s="24" t="s">
        <v>154</v>
      </c>
      <c r="C9212" s="32">
        <v>48.465000000000003</v>
      </c>
      <c r="D9212" s="28">
        <v>3.7499999999999999E-2</v>
      </c>
    </row>
    <row r="9213" spans="1:4" x14ac:dyDescent="0.25">
      <c r="A9213" s="24" t="s">
        <v>159</v>
      </c>
      <c r="B9213" s="24" t="s">
        <v>155</v>
      </c>
      <c r="C9213" s="32">
        <v>50.893000000000001</v>
      </c>
      <c r="D9213" s="28">
        <v>3.9583333333333331E-2</v>
      </c>
    </row>
    <row r="9214" spans="1:4" x14ac:dyDescent="0.25">
      <c r="A9214" s="24" t="s">
        <v>159</v>
      </c>
      <c r="B9214" s="24" t="s">
        <v>156</v>
      </c>
      <c r="C9214" s="32">
        <v>50.877000000000002</v>
      </c>
      <c r="D9214" s="28">
        <v>3.9583333333333331E-2</v>
      </c>
    </row>
    <row r="9215" spans="1:4" x14ac:dyDescent="0.25">
      <c r="A9215" s="24" t="s">
        <v>159</v>
      </c>
      <c r="B9215" s="24" t="s">
        <v>157</v>
      </c>
      <c r="C9215" s="32">
        <v>27.123000000000001</v>
      </c>
      <c r="D9215" s="28">
        <v>2.5694444444444447E-2</v>
      </c>
    </row>
    <row r="9216" spans="1:4" x14ac:dyDescent="0.25">
      <c r="A9216" s="24" t="s">
        <v>159</v>
      </c>
      <c r="B9216" s="24" t="s">
        <v>158</v>
      </c>
      <c r="C9216" s="32">
        <v>16.888000000000002</v>
      </c>
      <c r="D9216" s="28">
        <v>1.5972222222222224E-2</v>
      </c>
    </row>
    <row r="9217" spans="1:4" x14ac:dyDescent="0.25">
      <c r="A9217" s="20" t="s">
        <v>159</v>
      </c>
      <c r="B9217" s="20" t="s">
        <v>159</v>
      </c>
      <c r="C9217" s="31">
        <v>0</v>
      </c>
      <c r="D9217" s="2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workbookViewId="0">
      <selection activeCell="C9" sqref="C9"/>
    </sheetView>
  </sheetViews>
  <sheetFormatPr defaultRowHeight="15" x14ac:dyDescent="0.25"/>
  <cols>
    <col min="1" max="1" width="14.5703125" bestFit="1" customWidth="1"/>
    <col min="2" max="2" width="10.7109375" bestFit="1" customWidth="1"/>
    <col min="3" max="3" width="8.42578125" bestFit="1" customWidth="1"/>
    <col min="4" max="4" width="17" bestFit="1" customWidth="1"/>
    <col min="5" max="5" width="20.42578125" bestFit="1" customWidth="1"/>
    <col min="6" max="6" width="16.85546875" bestFit="1" customWidth="1"/>
  </cols>
  <sheetData>
    <row r="1" spans="1:6" s="13" customFormat="1" x14ac:dyDescent="0.25">
      <c r="A1" s="13" t="s">
        <v>165</v>
      </c>
      <c r="B1" s="13" t="s">
        <v>166</v>
      </c>
      <c r="C1" s="13" t="s">
        <v>167</v>
      </c>
      <c r="D1" s="13" t="s">
        <v>168</v>
      </c>
      <c r="E1" s="13" t="s">
        <v>169</v>
      </c>
      <c r="F1" s="13" t="s">
        <v>170</v>
      </c>
    </row>
    <row r="2" spans="1:6" x14ac:dyDescent="0.25">
      <c r="A2" s="14">
        <v>1</v>
      </c>
      <c r="B2" s="15" t="s">
        <v>171</v>
      </c>
      <c r="C2" s="15">
        <v>15</v>
      </c>
      <c r="D2" s="15">
        <v>0</v>
      </c>
      <c r="E2" s="15">
        <v>1</v>
      </c>
      <c r="F2" s="15">
        <v>1</v>
      </c>
    </row>
    <row r="3" spans="1:6" x14ac:dyDescent="0.25">
      <c r="A3" s="24">
        <v>2</v>
      </c>
      <c r="B3" s="25" t="s">
        <v>185</v>
      </c>
      <c r="C3" s="25">
        <v>15</v>
      </c>
      <c r="D3" s="25">
        <v>0</v>
      </c>
      <c r="E3" s="25">
        <v>1</v>
      </c>
      <c r="F3" s="25">
        <v>1</v>
      </c>
    </row>
    <row r="4" spans="1:6" x14ac:dyDescent="0.25">
      <c r="A4" s="24">
        <v>3</v>
      </c>
      <c r="B4" s="25" t="s">
        <v>186</v>
      </c>
      <c r="C4" s="25">
        <v>15</v>
      </c>
      <c r="D4" s="25">
        <v>0</v>
      </c>
      <c r="E4" s="25">
        <v>1</v>
      </c>
      <c r="F4" s="25">
        <v>1</v>
      </c>
    </row>
    <row r="5" spans="1:6" x14ac:dyDescent="0.25">
      <c r="A5" s="24">
        <v>4</v>
      </c>
      <c r="B5" s="25" t="s">
        <v>187</v>
      </c>
      <c r="C5" s="25">
        <v>15</v>
      </c>
      <c r="D5" s="25">
        <v>0</v>
      </c>
      <c r="E5" s="25">
        <v>1</v>
      </c>
      <c r="F5" s="25">
        <v>1</v>
      </c>
    </row>
    <row r="6" spans="1:6" x14ac:dyDescent="0.25">
      <c r="A6" s="24">
        <v>5</v>
      </c>
      <c r="B6" s="25" t="s">
        <v>188</v>
      </c>
      <c r="C6" s="25">
        <v>15</v>
      </c>
      <c r="D6" s="25">
        <v>0</v>
      </c>
      <c r="E6" s="25">
        <v>1</v>
      </c>
      <c r="F6" s="25">
        <v>1</v>
      </c>
    </row>
    <row r="7" spans="1:6" x14ac:dyDescent="0.25">
      <c r="A7" s="24">
        <v>6</v>
      </c>
      <c r="B7" s="25" t="s">
        <v>193</v>
      </c>
      <c r="C7" s="25">
        <v>15</v>
      </c>
      <c r="D7" s="25">
        <v>0</v>
      </c>
      <c r="E7" s="25">
        <v>1</v>
      </c>
      <c r="F7" s="25">
        <v>1</v>
      </c>
    </row>
    <row r="8" spans="1:6" x14ac:dyDescent="0.25">
      <c r="A8" s="20">
        <v>7</v>
      </c>
      <c r="B8" s="19" t="s">
        <v>194</v>
      </c>
      <c r="C8" s="19">
        <v>15</v>
      </c>
      <c r="D8" s="19">
        <v>0</v>
      </c>
      <c r="E8" s="19">
        <v>1</v>
      </c>
      <c r="F8" s="19">
        <v>1</v>
      </c>
    </row>
  </sheetData>
  <dataValidations count="28">
    <dataValidation type="decimal" operator="greaterThan" allowBlank="1" showInputMessage="1" showErrorMessage="1" error="Please enter a nonnegative value" sqref="C2">
      <formula1>-0.0001</formula1>
    </dataValidation>
    <dataValidation type="decimal" operator="greaterThan" allowBlank="1" showInputMessage="1" showErrorMessage="1" error="Please enter a nonnegative value" sqref="D2">
      <formula1>-0.0001</formula1>
    </dataValidation>
    <dataValidation type="decimal" operator="greaterThan" allowBlank="1" showInputMessage="1" showErrorMessage="1" error="Please enter a nonnegative value" sqref="E2">
      <formula1>-0.0001</formula1>
    </dataValidation>
    <dataValidation type="whole" operator="greaterThan" allowBlank="1" showInputMessage="1" showErrorMessage="1" error="Please enter a nonnegative integer value" sqref="F2">
      <formula1>-1</formula1>
    </dataValidation>
    <dataValidation type="decimal" operator="greaterThan" allowBlank="1" showInputMessage="1" showErrorMessage="1" error="Please enter a nonnegative value" sqref="C3">
      <formula1>-0.0001</formula1>
    </dataValidation>
    <dataValidation type="decimal" operator="greaterThan" allowBlank="1" showInputMessage="1" showErrorMessage="1" error="Please enter a nonnegative value" sqref="D3">
      <formula1>-0.0001</formula1>
    </dataValidation>
    <dataValidation type="decimal" operator="greaterThan" allowBlank="1" showInputMessage="1" showErrorMessage="1" error="Please enter a nonnegative value" sqref="E3">
      <formula1>-0.0001</formula1>
    </dataValidation>
    <dataValidation type="whole" operator="greaterThan" allowBlank="1" showInputMessage="1" showErrorMessage="1" error="Please enter a nonnegative integer value" sqref="F3">
      <formula1>-1</formula1>
    </dataValidation>
    <dataValidation type="decimal" operator="greaterThan" allowBlank="1" showInputMessage="1" showErrorMessage="1" error="Please enter a nonnegative value" sqref="C4">
      <formula1>-0.0001</formula1>
    </dataValidation>
    <dataValidation type="decimal" operator="greaterThan" allowBlank="1" showInputMessage="1" showErrorMessage="1" error="Please enter a nonnegative value" sqref="D4">
      <formula1>-0.0001</formula1>
    </dataValidation>
    <dataValidation type="decimal" operator="greaterThan" allowBlank="1" showInputMessage="1" showErrorMessage="1" error="Please enter a nonnegative value" sqref="E4">
      <formula1>-0.0001</formula1>
    </dataValidation>
    <dataValidation type="whole" operator="greaterThan" allowBlank="1" showInputMessage="1" showErrorMessage="1" error="Please enter a nonnegative integer value" sqref="F4">
      <formula1>-1</formula1>
    </dataValidation>
    <dataValidation type="decimal" operator="greaterThan" allowBlank="1" showInputMessage="1" showErrorMessage="1" error="Please enter a nonnegative value" sqref="C5">
      <formula1>-0.0001</formula1>
    </dataValidation>
    <dataValidation type="decimal" operator="greaterThan" allowBlank="1" showInputMessage="1" showErrorMessage="1" error="Please enter a nonnegative value" sqref="D5">
      <formula1>-0.0001</formula1>
    </dataValidation>
    <dataValidation type="decimal" operator="greaterThan" allowBlank="1" showInputMessage="1" showErrorMessage="1" error="Please enter a nonnegative value" sqref="E5">
      <formula1>-0.0001</formula1>
    </dataValidation>
    <dataValidation type="whole" operator="greaterThan" allowBlank="1" showInputMessage="1" showErrorMessage="1" error="Please enter a nonnegative integer value" sqref="F5">
      <formula1>-1</formula1>
    </dataValidation>
    <dataValidation type="decimal" operator="greaterThan" allowBlank="1" showInputMessage="1" showErrorMessage="1" error="Please enter a nonnegative value" sqref="C6">
      <formula1>-0.0001</formula1>
    </dataValidation>
    <dataValidation type="decimal" operator="greaterThan" allowBlank="1" showInputMessage="1" showErrorMessage="1" error="Please enter a nonnegative value" sqref="D6">
      <formula1>-0.0001</formula1>
    </dataValidation>
    <dataValidation type="decimal" operator="greaterThan" allowBlank="1" showInputMessage="1" showErrorMessage="1" error="Please enter a nonnegative value" sqref="E6">
      <formula1>-0.0001</formula1>
    </dataValidation>
    <dataValidation type="whole" operator="greaterThan" allowBlank="1" showInputMessage="1" showErrorMessage="1" error="Please enter a nonnegative integer value" sqref="F6">
      <formula1>-1</formula1>
    </dataValidation>
    <dataValidation type="decimal" operator="greaterThan" allowBlank="1" showInputMessage="1" showErrorMessage="1" error="Please enter a nonnegative value" sqref="C7">
      <formula1>-0.0001</formula1>
    </dataValidation>
    <dataValidation type="decimal" operator="greaterThan" allowBlank="1" showInputMessage="1" showErrorMessage="1" error="Please enter a nonnegative value" sqref="D7">
      <formula1>-0.0001</formula1>
    </dataValidation>
    <dataValidation type="decimal" operator="greaterThan" allowBlank="1" showInputMessage="1" showErrorMessage="1" error="Please enter a nonnegative value" sqref="E7">
      <formula1>-0.0001</formula1>
    </dataValidation>
    <dataValidation type="whole" operator="greaterThan" allowBlank="1" showInputMessage="1" showErrorMessage="1" error="Please enter a nonnegative integer value" sqref="F7">
      <formula1>-1</formula1>
    </dataValidation>
    <dataValidation type="decimal" operator="greaterThan" allowBlank="1" showInputMessage="1" showErrorMessage="1" error="Please enter a nonnegative value" sqref="C8">
      <formula1>-0.0001</formula1>
    </dataValidation>
    <dataValidation type="decimal" operator="greaterThan" allowBlank="1" showInputMessage="1" showErrorMessage="1" error="Please enter a nonnegative value" sqref="D8">
      <formula1>-0.0001</formula1>
    </dataValidation>
    <dataValidation type="decimal" operator="greaterThan" allowBlank="1" showInputMessage="1" showErrorMessage="1" error="Please enter a nonnegative value" sqref="E8">
      <formula1>-0.0001</formula1>
    </dataValidation>
    <dataValidation type="whole" operator="greaterThan" allowBlank="1" showInputMessage="1" showErrorMessage="1" error="Please enter a nonnegative integer value" sqref="F8">
      <formula1>-1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03"/>
  <sheetViews>
    <sheetView workbookViewId="0"/>
  </sheetViews>
  <sheetFormatPr defaultRowHeight="15" x14ac:dyDescent="0.25"/>
  <cols>
    <col min="1" max="1" width="15" bestFit="1" customWidth="1"/>
    <col min="2" max="2" width="14" bestFit="1" customWidth="1"/>
    <col min="3" max="3" width="10.7109375" hidden="1" customWidth="1"/>
    <col min="4" max="4" width="11.140625" hidden="1" customWidth="1"/>
    <col min="5" max="5" width="12.7109375" hidden="1" customWidth="1"/>
    <col min="6" max="6" width="8.5703125" bestFit="1" customWidth="1"/>
    <col min="7" max="7" width="9.7109375" bestFit="1" customWidth="1"/>
    <col min="8" max="8" width="6" hidden="1" customWidth="1"/>
    <col min="9" max="9" width="11.85546875" bestFit="1" customWidth="1"/>
    <col min="10" max="10" width="10.7109375" customWidth="1"/>
    <col min="11" max="11" width="10" bestFit="1" customWidth="1"/>
    <col min="12" max="12" width="13.28515625" bestFit="1" customWidth="1"/>
    <col min="14" max="14" width="10.42578125" bestFit="1" customWidth="1"/>
    <col min="15" max="15" width="14" bestFit="1" customWidth="1"/>
    <col min="16" max="16" width="10.7109375" hidden="1" customWidth="1"/>
    <col min="17" max="17" width="11.140625" hidden="1" customWidth="1"/>
    <col min="18" max="18" width="12.7109375" hidden="1" customWidth="1"/>
    <col min="19" max="19" width="8.5703125" bestFit="1" customWidth="1"/>
    <col min="20" max="20" width="9.7109375" bestFit="1" customWidth="1"/>
    <col min="21" max="21" width="6" hidden="1" customWidth="1"/>
    <col min="22" max="22" width="11.85546875" bestFit="1" customWidth="1"/>
    <col min="23" max="23" width="10.7109375" customWidth="1"/>
    <col min="24" max="24" width="10" bestFit="1" customWidth="1"/>
    <col min="25" max="25" width="13.28515625" bestFit="1" customWidth="1"/>
    <col min="27" max="27" width="10.42578125" bestFit="1" customWidth="1"/>
    <col min="28" max="28" width="14" bestFit="1" customWidth="1"/>
    <col min="29" max="29" width="10.7109375" hidden="1" customWidth="1"/>
    <col min="30" max="30" width="11.140625" hidden="1" customWidth="1"/>
    <col min="31" max="31" width="12.7109375" hidden="1" customWidth="1"/>
    <col min="32" max="32" width="8.5703125" bestFit="1" customWidth="1"/>
    <col min="33" max="33" width="9.7109375" bestFit="1" customWidth="1"/>
    <col min="34" max="34" width="6" hidden="1" customWidth="1"/>
    <col min="35" max="35" width="11.85546875" bestFit="1" customWidth="1"/>
    <col min="36" max="36" width="10.7109375" customWidth="1"/>
    <col min="37" max="37" width="10" bestFit="1" customWidth="1"/>
    <col min="38" max="38" width="13.28515625" bestFit="1" customWidth="1"/>
    <col min="40" max="40" width="10.42578125" bestFit="1" customWidth="1"/>
    <col min="41" max="41" width="14" bestFit="1" customWidth="1"/>
    <col min="42" max="42" width="10.7109375" hidden="1" customWidth="1"/>
    <col min="43" max="43" width="11.140625" hidden="1" customWidth="1"/>
    <col min="44" max="44" width="12.7109375" hidden="1" customWidth="1"/>
    <col min="45" max="45" width="8.5703125" bestFit="1" customWidth="1"/>
    <col min="46" max="46" width="9.7109375" bestFit="1" customWidth="1"/>
    <col min="47" max="47" width="6" hidden="1" customWidth="1"/>
    <col min="48" max="48" width="11.85546875" bestFit="1" customWidth="1"/>
    <col min="49" max="49" width="10.7109375" customWidth="1"/>
    <col min="50" max="50" width="10" bestFit="1" customWidth="1"/>
    <col min="51" max="51" width="13.28515625" bestFit="1" customWidth="1"/>
    <col min="53" max="53" width="10.42578125" bestFit="1" customWidth="1"/>
    <col min="54" max="54" width="14" bestFit="1" customWidth="1"/>
    <col min="55" max="55" width="10.7109375" hidden="1" customWidth="1"/>
    <col min="56" max="56" width="11.140625" hidden="1" customWidth="1"/>
    <col min="57" max="57" width="12.7109375" hidden="1" customWidth="1"/>
    <col min="58" max="58" width="8.5703125" bestFit="1" customWidth="1"/>
    <col min="59" max="59" width="9.7109375" bestFit="1" customWidth="1"/>
    <col min="60" max="60" width="6" hidden="1" customWidth="1"/>
    <col min="61" max="61" width="11.85546875" bestFit="1" customWidth="1"/>
    <col min="62" max="62" width="10.7109375" customWidth="1"/>
    <col min="63" max="63" width="10" bestFit="1" customWidth="1"/>
    <col min="64" max="64" width="13.28515625" bestFit="1" customWidth="1"/>
    <col min="66" max="66" width="10.42578125" bestFit="1" customWidth="1"/>
    <col min="67" max="67" width="14" bestFit="1" customWidth="1"/>
    <col min="68" max="68" width="10.7109375" hidden="1" customWidth="1"/>
    <col min="69" max="69" width="11.140625" hidden="1" customWidth="1"/>
    <col min="70" max="70" width="12.7109375" hidden="1" customWidth="1"/>
    <col min="71" max="71" width="8.5703125" bestFit="1" customWidth="1"/>
    <col min="72" max="72" width="9.7109375" bestFit="1" customWidth="1"/>
    <col min="73" max="73" width="6" hidden="1" customWidth="1"/>
    <col min="74" max="74" width="11.85546875" bestFit="1" customWidth="1"/>
    <col min="75" max="75" width="10.7109375" customWidth="1"/>
    <col min="76" max="76" width="10" bestFit="1" customWidth="1"/>
    <col min="77" max="77" width="13.28515625" bestFit="1" customWidth="1"/>
    <col min="79" max="79" width="10.42578125" bestFit="1" customWidth="1"/>
    <col min="80" max="80" width="14" bestFit="1" customWidth="1"/>
    <col min="81" max="81" width="10.7109375" hidden="1" customWidth="1"/>
    <col min="82" max="82" width="11.140625" hidden="1" customWidth="1"/>
    <col min="83" max="83" width="12.7109375" hidden="1" customWidth="1"/>
    <col min="84" max="84" width="8.5703125" bestFit="1" customWidth="1"/>
    <col min="85" max="85" width="9.7109375" bestFit="1" customWidth="1"/>
    <col min="86" max="86" width="6" hidden="1" customWidth="1"/>
    <col min="87" max="87" width="11.85546875" bestFit="1" customWidth="1"/>
    <col min="88" max="88" width="10.7109375" customWidth="1"/>
    <col min="89" max="89" width="10" bestFit="1" customWidth="1"/>
    <col min="90" max="90" width="13.28515625" bestFit="1" customWidth="1"/>
  </cols>
  <sheetData>
    <row r="1" spans="1:90" s="13" customFormat="1" x14ac:dyDescent="0.25">
      <c r="A1" s="13" t="s">
        <v>172</v>
      </c>
      <c r="B1" s="47">
        <f ca="1">+$J$3+$W$3+$AJ$3+$AW$3+$BJ$3+$BW$3+$CJ$3</f>
        <v>0</v>
      </c>
    </row>
    <row r="2" spans="1:90" s="13" customFormat="1" x14ac:dyDescent="0.25"/>
    <row r="3" spans="1:90" s="13" customFormat="1" x14ac:dyDescent="0.25">
      <c r="A3" s="13" t="s">
        <v>180</v>
      </c>
      <c r="B3" s="13" t="s">
        <v>181</v>
      </c>
      <c r="F3" s="13" t="s">
        <v>182</v>
      </c>
      <c r="G3" s="48">
        <f>COUNTA($B$6:$B$101)</f>
        <v>0</v>
      </c>
      <c r="I3" s="13" t="s">
        <v>183</v>
      </c>
      <c r="J3" s="49">
        <f ca="1">INDEX($H$5:$H$101,$G$3+ 1)-(INDEX($F$5:$F$101,$G$3+ 1) * '3.Vehicles'!$E$2)- IF(INDIRECT("$G$3") &gt; 1, INDIRECT("'3.Vehicles'!$D$2"), 0)</f>
        <v>0</v>
      </c>
      <c r="N3" s="13" t="s">
        <v>180</v>
      </c>
      <c r="O3" s="13" t="s">
        <v>189</v>
      </c>
      <c r="S3" s="13" t="s">
        <v>182</v>
      </c>
      <c r="T3" s="48">
        <f>COUNTA($O$6:$O$101)</f>
        <v>0</v>
      </c>
      <c r="V3" s="13" t="s">
        <v>183</v>
      </c>
      <c r="W3" s="49">
        <f ca="1">INDEX($U$5:$U$101,$T$3+ 1)-(INDEX($S$5:$S$101,$T$3+ 1) * '3.Vehicles'!$E$3)- IF(INDIRECT("$T$3") &gt; 1, INDIRECT("'3.Vehicles'!$D$3"), 0)</f>
        <v>0</v>
      </c>
      <c r="AA3" s="13" t="s">
        <v>180</v>
      </c>
      <c r="AB3" s="13" t="s">
        <v>190</v>
      </c>
      <c r="AF3" s="13" t="s">
        <v>182</v>
      </c>
      <c r="AG3" s="48">
        <f>COUNTA($AB$6:$AB$101)</f>
        <v>0</v>
      </c>
      <c r="AI3" s="13" t="s">
        <v>183</v>
      </c>
      <c r="AJ3" s="49">
        <f ca="1">INDEX($AH$5:$AH$101,$AG$3+ 1)-(INDEX($AF$5:$AF$101,$AG$3+ 1) * '3.Vehicles'!$E$4)- IF(INDIRECT("$AG$3") &gt; 1, INDIRECT("'3.Vehicles'!$D$4"), 0)</f>
        <v>0</v>
      </c>
      <c r="AN3" s="13" t="s">
        <v>180</v>
      </c>
      <c r="AO3" s="13" t="s">
        <v>191</v>
      </c>
      <c r="AS3" s="13" t="s">
        <v>182</v>
      </c>
      <c r="AT3" s="48">
        <f>COUNTA($AO$6:$AO$101)</f>
        <v>0</v>
      </c>
      <c r="AV3" s="13" t="s">
        <v>183</v>
      </c>
      <c r="AW3" s="49">
        <f ca="1">INDEX($AU$5:$AU$101,$AT$3+ 1)-(INDEX($AS$5:$AS$101,$AT$3+ 1) * '3.Vehicles'!$E$5)- IF(INDIRECT("$AT$3") &gt; 1, INDIRECT("'3.Vehicles'!$D$5"), 0)</f>
        <v>0</v>
      </c>
      <c r="BA3" s="13" t="s">
        <v>180</v>
      </c>
      <c r="BB3" s="13" t="s">
        <v>192</v>
      </c>
      <c r="BF3" s="13" t="s">
        <v>182</v>
      </c>
      <c r="BG3" s="48">
        <f>COUNTA($BB$6:$BB$101)</f>
        <v>0</v>
      </c>
      <c r="BI3" s="13" t="s">
        <v>183</v>
      </c>
      <c r="BJ3" s="49">
        <f ca="1">INDEX($BH$5:$BH$101,$BG$3+ 1)-(INDEX($BF$5:$BF$101,$BG$3+ 1) * '3.Vehicles'!$E$6)- IF(INDIRECT("$BG$3") &gt; 1, INDIRECT("'3.Vehicles'!$D$6"), 0)</f>
        <v>0</v>
      </c>
      <c r="BN3" s="13" t="s">
        <v>180</v>
      </c>
      <c r="BO3" s="13" t="s">
        <v>195</v>
      </c>
      <c r="BS3" s="13" t="s">
        <v>182</v>
      </c>
      <c r="BT3" s="48">
        <f>COUNTA($BO$6:$BO$101)</f>
        <v>0</v>
      </c>
      <c r="BV3" s="13" t="s">
        <v>183</v>
      </c>
      <c r="BW3" s="49">
        <f ca="1">INDEX($BU$5:$BU$101,$BT$3+ 1)-(INDEX($BS$5:$BS$101,$BT$3+ 1) * '3.Vehicles'!$E$7)- IF(INDIRECT("$BT$3") &gt; 1, INDIRECT("'3.Vehicles'!$D$7"), 0)</f>
        <v>0</v>
      </c>
      <c r="CA3" s="13" t="s">
        <v>180</v>
      </c>
      <c r="CB3" s="13" t="s">
        <v>196</v>
      </c>
      <c r="CF3" s="13" t="s">
        <v>182</v>
      </c>
      <c r="CG3" s="48">
        <f>COUNTA($CB$6:$CB$101)</f>
        <v>0</v>
      </c>
      <c r="CI3" s="13" t="s">
        <v>183</v>
      </c>
      <c r="CJ3" s="49">
        <f ca="1">INDEX($CH$5:$CH$101,$CG$3+ 1)-(INDEX($CF$5:$CF$101,$CG$3+ 1) * '3.Vehicles'!$E$8)- IF(INDIRECT("$CG$3") &gt; 1, INDIRECT("'3.Vehicles'!$D$8"), 0)</f>
        <v>0</v>
      </c>
    </row>
    <row r="4" spans="1:90" s="13" customFormat="1" x14ac:dyDescent="0.25">
      <c r="A4" s="13" t="s">
        <v>173</v>
      </c>
      <c r="B4" s="13" t="s">
        <v>174</v>
      </c>
      <c r="C4" s="13" t="s">
        <v>51</v>
      </c>
      <c r="D4" s="13" t="s">
        <v>54</v>
      </c>
      <c r="E4" s="13" t="s">
        <v>55</v>
      </c>
      <c r="F4" s="13" t="s">
        <v>162</v>
      </c>
      <c r="G4" s="13" t="s">
        <v>175</v>
      </c>
      <c r="H4" s="13" t="s">
        <v>61</v>
      </c>
      <c r="I4" s="13" t="s">
        <v>176</v>
      </c>
      <c r="J4" s="13" t="s">
        <v>177</v>
      </c>
      <c r="K4" s="13" t="s">
        <v>178</v>
      </c>
      <c r="L4" s="13" t="s">
        <v>179</v>
      </c>
      <c r="N4" s="13" t="s">
        <v>173</v>
      </c>
      <c r="O4" s="13" t="s">
        <v>174</v>
      </c>
      <c r="P4" s="13" t="s">
        <v>51</v>
      </c>
      <c r="Q4" s="13" t="s">
        <v>54</v>
      </c>
      <c r="R4" s="13" t="s">
        <v>55</v>
      </c>
      <c r="S4" s="13" t="s">
        <v>162</v>
      </c>
      <c r="T4" s="13" t="s">
        <v>175</v>
      </c>
      <c r="U4" s="13" t="s">
        <v>61</v>
      </c>
      <c r="V4" s="13" t="s">
        <v>176</v>
      </c>
      <c r="W4" s="13" t="s">
        <v>177</v>
      </c>
      <c r="X4" s="13" t="s">
        <v>178</v>
      </c>
      <c r="Y4" s="13" t="s">
        <v>179</v>
      </c>
      <c r="AA4" s="13" t="s">
        <v>173</v>
      </c>
      <c r="AB4" s="13" t="s">
        <v>174</v>
      </c>
      <c r="AC4" s="13" t="s">
        <v>51</v>
      </c>
      <c r="AD4" s="13" t="s">
        <v>54</v>
      </c>
      <c r="AE4" s="13" t="s">
        <v>55</v>
      </c>
      <c r="AF4" s="13" t="s">
        <v>162</v>
      </c>
      <c r="AG4" s="13" t="s">
        <v>175</v>
      </c>
      <c r="AH4" s="13" t="s">
        <v>61</v>
      </c>
      <c r="AI4" s="13" t="s">
        <v>176</v>
      </c>
      <c r="AJ4" s="13" t="s">
        <v>177</v>
      </c>
      <c r="AK4" s="13" t="s">
        <v>178</v>
      </c>
      <c r="AL4" s="13" t="s">
        <v>179</v>
      </c>
      <c r="AN4" s="13" t="s">
        <v>173</v>
      </c>
      <c r="AO4" s="13" t="s">
        <v>174</v>
      </c>
      <c r="AP4" s="13" t="s">
        <v>51</v>
      </c>
      <c r="AQ4" s="13" t="s">
        <v>54</v>
      </c>
      <c r="AR4" s="13" t="s">
        <v>55</v>
      </c>
      <c r="AS4" s="13" t="s">
        <v>162</v>
      </c>
      <c r="AT4" s="13" t="s">
        <v>175</v>
      </c>
      <c r="AU4" s="13" t="s">
        <v>61</v>
      </c>
      <c r="AV4" s="13" t="s">
        <v>176</v>
      </c>
      <c r="AW4" s="13" t="s">
        <v>177</v>
      </c>
      <c r="AX4" s="13" t="s">
        <v>178</v>
      </c>
      <c r="AY4" s="13" t="s">
        <v>179</v>
      </c>
      <c r="BA4" s="13" t="s">
        <v>173</v>
      </c>
      <c r="BB4" s="13" t="s">
        <v>174</v>
      </c>
      <c r="BC4" s="13" t="s">
        <v>51</v>
      </c>
      <c r="BD4" s="13" t="s">
        <v>54</v>
      </c>
      <c r="BE4" s="13" t="s">
        <v>55</v>
      </c>
      <c r="BF4" s="13" t="s">
        <v>162</v>
      </c>
      <c r="BG4" s="13" t="s">
        <v>175</v>
      </c>
      <c r="BH4" s="13" t="s">
        <v>61</v>
      </c>
      <c r="BI4" s="13" t="s">
        <v>176</v>
      </c>
      <c r="BJ4" s="13" t="s">
        <v>177</v>
      </c>
      <c r="BK4" s="13" t="s">
        <v>178</v>
      </c>
      <c r="BL4" s="13" t="s">
        <v>179</v>
      </c>
      <c r="BN4" s="13" t="s">
        <v>173</v>
      </c>
      <c r="BO4" s="13" t="s">
        <v>174</v>
      </c>
      <c r="BP4" s="13" t="s">
        <v>51</v>
      </c>
      <c r="BQ4" s="13" t="s">
        <v>54</v>
      </c>
      <c r="BR4" s="13" t="s">
        <v>55</v>
      </c>
      <c r="BS4" s="13" t="s">
        <v>162</v>
      </c>
      <c r="BT4" s="13" t="s">
        <v>175</v>
      </c>
      <c r="BU4" s="13" t="s">
        <v>61</v>
      </c>
      <c r="BV4" s="13" t="s">
        <v>176</v>
      </c>
      <c r="BW4" s="13" t="s">
        <v>177</v>
      </c>
      <c r="BX4" s="13" t="s">
        <v>178</v>
      </c>
      <c r="BY4" s="13" t="s">
        <v>179</v>
      </c>
      <c r="CA4" s="13" t="s">
        <v>173</v>
      </c>
      <c r="CB4" s="13" t="s">
        <v>174</v>
      </c>
      <c r="CC4" s="13" t="s">
        <v>51</v>
      </c>
      <c r="CD4" s="13" t="s">
        <v>54</v>
      </c>
      <c r="CE4" s="13" t="s">
        <v>55</v>
      </c>
      <c r="CF4" s="13" t="s">
        <v>162</v>
      </c>
      <c r="CG4" s="13" t="s">
        <v>175</v>
      </c>
      <c r="CH4" s="13" t="s">
        <v>61</v>
      </c>
      <c r="CI4" s="13" t="s">
        <v>176</v>
      </c>
      <c r="CJ4" s="13" t="s">
        <v>177</v>
      </c>
      <c r="CK4" s="13" t="s">
        <v>178</v>
      </c>
      <c r="CL4" s="13" t="s">
        <v>179</v>
      </c>
    </row>
    <row r="5" spans="1:90" x14ac:dyDescent="0.25">
      <c r="A5" s="14">
        <v>0</v>
      </c>
      <c r="B5" s="14" t="str">
        <f>'1.Locations'!$B$2</f>
        <v>รีเทลลิงค์</v>
      </c>
      <c r="C5" s="14">
        <f ca="1">IFERROR(MATCH(INDIRECT("$B$5"),'1.Locations'!$B$2:$B$97, 0) - 1," ")</f>
        <v>0</v>
      </c>
      <c r="D5" s="35">
        <f ca="1">IFERROR(IF(ISNUMBER($C$5),INDEX('1.Locations'!$D$2:$D$97,$C$5 + 1),NA()),NA())</f>
        <v>13.871881699999999</v>
      </c>
      <c r="E5" s="35">
        <f ca="1">IFERROR(IF(ISNUMBER($C$5),INDEX('1.Locations'!$E$2:$E$97,$C$5 + 1),NA()),NA())</f>
        <v>100.57387679999999</v>
      </c>
      <c r="F5" s="36">
        <v>0</v>
      </c>
      <c r="G5" s="35">
        <v>0</v>
      </c>
      <c r="H5" s="35">
        <v>0</v>
      </c>
      <c r="I5" s="37">
        <v>0</v>
      </c>
      <c r="J5" s="38">
        <f>'VRP Solver Console'!$C$16</f>
        <v>0.375</v>
      </c>
      <c r="K5" s="38">
        <f>'VRP Solver Console'!$C$16</f>
        <v>0.375</v>
      </c>
      <c r="L5" s="37">
        <v>0</v>
      </c>
      <c r="N5" s="14">
        <v>0</v>
      </c>
      <c r="O5" s="14" t="str">
        <f>'1.Locations'!$B$2</f>
        <v>รีเทลลิงค์</v>
      </c>
      <c r="P5" s="14">
        <f ca="1">IFERROR(MATCH(INDIRECT("$O$5"),'1.Locations'!$B$2:$B$97, 0) - 1," ")</f>
        <v>0</v>
      </c>
      <c r="Q5" s="35">
        <f ca="1">IFERROR(IF(ISNUMBER($P$5),INDEX('1.Locations'!$D$2:$D$97,$P$5 + 1),NA()),NA())</f>
        <v>13.871881699999999</v>
      </c>
      <c r="R5" s="35">
        <f ca="1">IFERROR(IF(ISNUMBER($P$5),INDEX('1.Locations'!$E$2:$E$97,$P$5 + 1),NA()),NA())</f>
        <v>100.57387679999999</v>
      </c>
      <c r="S5" s="36">
        <v>0</v>
      </c>
      <c r="T5" s="35">
        <v>0</v>
      </c>
      <c r="U5" s="35">
        <v>0</v>
      </c>
      <c r="V5" s="37">
        <v>0</v>
      </c>
      <c r="W5" s="38">
        <f>'VRP Solver Console'!$C$16</f>
        <v>0.375</v>
      </c>
      <c r="X5" s="38">
        <f>'VRP Solver Console'!$C$16</f>
        <v>0.375</v>
      </c>
      <c r="Y5" s="37">
        <v>0</v>
      </c>
      <c r="AA5" s="14">
        <v>0</v>
      </c>
      <c r="AB5" s="14" t="str">
        <f>'1.Locations'!$B$2</f>
        <v>รีเทลลิงค์</v>
      </c>
      <c r="AC5" s="14">
        <f ca="1">IFERROR(MATCH(INDIRECT("$AB$5"),'1.Locations'!$B$2:$B$97, 0) - 1," ")</f>
        <v>0</v>
      </c>
      <c r="AD5" s="35">
        <f ca="1">IFERROR(IF(ISNUMBER($AC$5),INDEX('1.Locations'!$D$2:$D$97,$AC$5 + 1),NA()),NA())</f>
        <v>13.871881699999999</v>
      </c>
      <c r="AE5" s="35">
        <f ca="1">IFERROR(IF(ISNUMBER($AC$5),INDEX('1.Locations'!$E$2:$E$97,$AC$5 + 1),NA()),NA())</f>
        <v>100.57387679999999</v>
      </c>
      <c r="AF5" s="36">
        <v>0</v>
      </c>
      <c r="AG5" s="35">
        <v>0</v>
      </c>
      <c r="AH5" s="35">
        <v>0</v>
      </c>
      <c r="AI5" s="37">
        <v>0</v>
      </c>
      <c r="AJ5" s="38">
        <f>'VRP Solver Console'!$C$16</f>
        <v>0.375</v>
      </c>
      <c r="AK5" s="38">
        <f>'VRP Solver Console'!$C$16</f>
        <v>0.375</v>
      </c>
      <c r="AL5" s="37">
        <v>0</v>
      </c>
      <c r="AN5" s="14">
        <v>0</v>
      </c>
      <c r="AO5" s="14" t="str">
        <f>'1.Locations'!$B$2</f>
        <v>รีเทลลิงค์</v>
      </c>
      <c r="AP5" s="14">
        <f ca="1">IFERROR(MATCH(INDIRECT("$AO$5"),'1.Locations'!$B$2:$B$97, 0) - 1," ")</f>
        <v>0</v>
      </c>
      <c r="AQ5" s="35">
        <f ca="1">IFERROR(IF(ISNUMBER($AP$5),INDEX('1.Locations'!$D$2:$D$97,$AP$5 + 1),NA()),NA())</f>
        <v>13.871881699999999</v>
      </c>
      <c r="AR5" s="35">
        <f ca="1">IFERROR(IF(ISNUMBER($AP$5),INDEX('1.Locations'!$E$2:$E$97,$AP$5 + 1),NA()),NA())</f>
        <v>100.57387679999999</v>
      </c>
      <c r="AS5" s="36">
        <v>0</v>
      </c>
      <c r="AT5" s="35">
        <v>0</v>
      </c>
      <c r="AU5" s="35">
        <v>0</v>
      </c>
      <c r="AV5" s="37">
        <v>0</v>
      </c>
      <c r="AW5" s="38">
        <f>'VRP Solver Console'!$C$16</f>
        <v>0.375</v>
      </c>
      <c r="AX5" s="38">
        <f>'VRP Solver Console'!$C$16</f>
        <v>0.375</v>
      </c>
      <c r="AY5" s="37">
        <v>0</v>
      </c>
      <c r="BA5" s="14">
        <v>0</v>
      </c>
      <c r="BB5" s="14" t="str">
        <f>'1.Locations'!$B$2</f>
        <v>รีเทลลิงค์</v>
      </c>
      <c r="BC5" s="14">
        <f ca="1">IFERROR(MATCH(INDIRECT("$BB$5"),'1.Locations'!$B$2:$B$97, 0) - 1," ")</f>
        <v>0</v>
      </c>
      <c r="BD5" s="35">
        <f ca="1">IFERROR(IF(ISNUMBER($BC$5),INDEX('1.Locations'!$D$2:$D$97,$BC$5 + 1),NA()),NA())</f>
        <v>13.871881699999999</v>
      </c>
      <c r="BE5" s="35">
        <f ca="1">IFERROR(IF(ISNUMBER($BC$5),INDEX('1.Locations'!$E$2:$E$97,$BC$5 + 1),NA()),NA())</f>
        <v>100.57387679999999</v>
      </c>
      <c r="BF5" s="36">
        <v>0</v>
      </c>
      <c r="BG5" s="35">
        <v>0</v>
      </c>
      <c r="BH5" s="35">
        <v>0</v>
      </c>
      <c r="BI5" s="37">
        <v>0</v>
      </c>
      <c r="BJ5" s="38">
        <f>'VRP Solver Console'!$C$16</f>
        <v>0.375</v>
      </c>
      <c r="BK5" s="38">
        <f>'VRP Solver Console'!$C$16</f>
        <v>0.375</v>
      </c>
      <c r="BL5" s="37">
        <v>0</v>
      </c>
      <c r="BN5" s="14">
        <v>0</v>
      </c>
      <c r="BO5" s="14" t="str">
        <f>'1.Locations'!$B$2</f>
        <v>รีเทลลิงค์</v>
      </c>
      <c r="BP5" s="14">
        <f ca="1">IFERROR(MATCH(INDIRECT("$BO$5"),'1.Locations'!$B$2:$B$97, 0) - 1," ")</f>
        <v>0</v>
      </c>
      <c r="BQ5" s="35">
        <f ca="1">IFERROR(IF(ISNUMBER($BP$5),INDEX('1.Locations'!$D$2:$D$97,$BP$5 + 1),NA()),NA())</f>
        <v>13.871881699999999</v>
      </c>
      <c r="BR5" s="35">
        <f ca="1">IFERROR(IF(ISNUMBER($BP$5),INDEX('1.Locations'!$E$2:$E$97,$BP$5 + 1),NA()),NA())</f>
        <v>100.57387679999999</v>
      </c>
      <c r="BS5" s="36">
        <v>0</v>
      </c>
      <c r="BT5" s="35">
        <v>0</v>
      </c>
      <c r="BU5" s="35">
        <v>0</v>
      </c>
      <c r="BV5" s="37">
        <v>0</v>
      </c>
      <c r="BW5" s="38">
        <f>'VRP Solver Console'!$C$16</f>
        <v>0.375</v>
      </c>
      <c r="BX5" s="38">
        <f>'VRP Solver Console'!$C$16</f>
        <v>0.375</v>
      </c>
      <c r="BY5" s="37">
        <v>0</v>
      </c>
      <c r="CA5" s="14">
        <v>0</v>
      </c>
      <c r="CB5" s="14" t="str">
        <f>'1.Locations'!$B$2</f>
        <v>รีเทลลิงค์</v>
      </c>
      <c r="CC5" s="14">
        <f ca="1">IFERROR(MATCH(INDIRECT("$CB$5"),'1.Locations'!$B$2:$B$97, 0) - 1," ")</f>
        <v>0</v>
      </c>
      <c r="CD5" s="35">
        <f ca="1">IFERROR(IF(ISNUMBER($CC$5),INDEX('1.Locations'!$D$2:$D$97,$CC$5 + 1),NA()),NA())</f>
        <v>13.871881699999999</v>
      </c>
      <c r="CE5" s="35">
        <f ca="1">IFERROR(IF(ISNUMBER($CC$5),INDEX('1.Locations'!$E$2:$E$97,$CC$5 + 1),NA()),NA())</f>
        <v>100.57387679999999</v>
      </c>
      <c r="CF5" s="36">
        <v>0</v>
      </c>
      <c r="CG5" s="35">
        <v>0</v>
      </c>
      <c r="CH5" s="35">
        <v>0</v>
      </c>
      <c r="CI5" s="37">
        <v>0</v>
      </c>
      <c r="CJ5" s="38">
        <f>'VRP Solver Console'!$C$16</f>
        <v>0.375</v>
      </c>
      <c r="CK5" s="38">
        <f>'VRP Solver Console'!$C$16</f>
        <v>0.375</v>
      </c>
      <c r="CL5" s="37">
        <v>0</v>
      </c>
    </row>
    <row r="6" spans="1:90" x14ac:dyDescent="0.25">
      <c r="A6" s="24">
        <v>1</v>
      </c>
      <c r="B6" s="25"/>
      <c r="C6" s="43" t="str">
        <f ca="1">IFERROR(MATCH(INDIRECT("$B$6"),'1.Locations'!$B$2:$B$97, 0) - 1," ")</f>
        <v xml:space="preserve"> </v>
      </c>
      <c r="D6" s="43" t="e">
        <f ca="1">IFERROR(IF(ISNUMBER($C$6),INDEX('1.Locations'!$D$2:$D$97,$C$6 + 1),NA()),NA())</f>
        <v>#N/A</v>
      </c>
      <c r="E6" s="43" t="e">
        <f ca="1">IFERROR(IF(ISNUMBER($C$6),INDEX('1.Locations'!$E$2:$E$97,$C$6 + 1),NA()),NA())</f>
        <v>#N/A</v>
      </c>
      <c r="F6" s="44" t="str">
        <f ca="1">IFERROR(IF(AND(ISNUMBER($C$6),$C$6&lt;=95),INDEX('2.Distances'!$C$2:$C$9218,$C$5*96+$C$6+ 1) +$F$5," ")," ")</f>
        <v xml:space="preserve"> </v>
      </c>
      <c r="G6" s="43" t="str">
        <f ca="1">IFERROR(IF(ISNUMBER($C$6),INDEX('1.Locations'!$J$2:$J$97,$C$6 + 1) +$G$5," ")," ")</f>
        <v xml:space="preserve"> </v>
      </c>
      <c r="H6" s="43" t="str">
        <f ca="1">IFERROR(IF(ISNUMBER($C$6),INDEX('1.Locations'!$K$2:$K$97,$C$6 + 1) +$H$5," ")," ")</f>
        <v xml:space="preserve"> </v>
      </c>
      <c r="I6" s="45" t="str">
        <f ca="1">IFERROR(IF(AND(ISNUMBER($C$6),$C$6&lt;=95),INDEX('2.Distances'!$D$2:$D$9218,$C$5*96+$C$6+ 1) +$I$5," ")," ")</f>
        <v xml:space="preserve"> </v>
      </c>
      <c r="J6" s="46" t="str">
        <f ca="1">IFERROR(IF(AND(ISNUMBER($C$6),$C$6&lt;=95),INDEX('2.Distances'!$D$2:$D$9218,$C$5*96+$C$6+ 1) +$K$5," ")," ")</f>
        <v xml:space="preserve"> </v>
      </c>
      <c r="K6" s="46" t="str">
        <f ca="1">IFERROR(IF(ISNUMBER($J$6),INDEX('1.Locations'!$I$2:$I$97,$C$6 + 1) + MAX($J$6,INDEX('1.Locations'!$F$2:$F$97,$C$6 + 1))," ")," ")</f>
        <v xml:space="preserve"> </v>
      </c>
      <c r="L6" s="45" t="str">
        <f ca="1">IFERROR($L$5 + INDEX('2.Distances'!$D$2:$D$9218,$C$5*96+$C$6+ 1) + INDEX('1.Locations'!$I$2:$I$97,$C$6 + 1)," ")</f>
        <v xml:space="preserve"> </v>
      </c>
      <c r="N6" s="24">
        <v>1</v>
      </c>
      <c r="O6" s="25"/>
      <c r="P6" s="43" t="str">
        <f ca="1">IFERROR(MATCH(INDIRECT("$O$6"),'1.Locations'!$B$2:$B$97, 0) - 1," ")</f>
        <v xml:space="preserve"> </v>
      </c>
      <c r="Q6" s="43" t="e">
        <f ca="1">IFERROR(IF(ISNUMBER($P$6),INDEX('1.Locations'!$D$2:$D$97,$P$6 + 1),NA()),NA())</f>
        <v>#N/A</v>
      </c>
      <c r="R6" s="43" t="e">
        <f ca="1">IFERROR(IF(ISNUMBER($P$6),INDEX('1.Locations'!$E$2:$E$97,$P$6 + 1),NA()),NA())</f>
        <v>#N/A</v>
      </c>
      <c r="S6" s="44" t="str">
        <f ca="1">IFERROR(IF(AND(ISNUMBER($P$6),$P$6&lt;=95),INDEX('2.Distances'!$C$2:$C$9218,$P$5*96+$P$6+ 1) +$S$5," ")," ")</f>
        <v xml:space="preserve"> </v>
      </c>
      <c r="T6" s="43" t="str">
        <f ca="1">IFERROR(IF(ISNUMBER($P$6),INDEX('1.Locations'!$J$2:$J$97,$P$6 + 1) +$T$5," ")," ")</f>
        <v xml:space="preserve"> </v>
      </c>
      <c r="U6" s="43" t="str">
        <f ca="1">IFERROR(IF(ISNUMBER($P$6),INDEX('1.Locations'!$K$2:$K$97,$P$6 + 1) +$U$5," ")," ")</f>
        <v xml:space="preserve"> </v>
      </c>
      <c r="V6" s="45" t="str">
        <f ca="1">IFERROR(IF(AND(ISNUMBER($P$6),$P$6&lt;=95),INDEX('2.Distances'!$D$2:$D$9218,$P$5*96+$P$6+ 1) +$V$5," ")," ")</f>
        <v xml:space="preserve"> </v>
      </c>
      <c r="W6" s="46" t="str">
        <f ca="1">IFERROR(IF(AND(ISNUMBER($P$6),$P$6&lt;=95),INDEX('2.Distances'!$D$2:$D$9218,$P$5*96+$P$6+ 1) +$X$5," ")," ")</f>
        <v xml:space="preserve"> </v>
      </c>
      <c r="X6" s="46" t="str">
        <f ca="1">IFERROR(IF(ISNUMBER($W$6),INDEX('1.Locations'!$I$2:$I$97,$P$6 + 1) + MAX($W$6,INDEX('1.Locations'!$F$2:$F$97,$P$6 + 1))," ")," ")</f>
        <v xml:space="preserve"> </v>
      </c>
      <c r="Y6" s="45" t="str">
        <f ca="1">IFERROR($Y$5 + INDEX('2.Distances'!$D$2:$D$9218,$P$5*96+$P$6+ 1) + INDEX('1.Locations'!$I$2:$I$97,$P$6 + 1)," ")</f>
        <v xml:space="preserve"> </v>
      </c>
      <c r="AA6" s="24">
        <v>1</v>
      </c>
      <c r="AB6" s="25"/>
      <c r="AC6" s="43" t="str">
        <f ca="1">IFERROR(MATCH(INDIRECT("$AB$6"),'1.Locations'!$B$2:$B$97, 0) - 1," ")</f>
        <v xml:space="preserve"> </v>
      </c>
      <c r="AD6" s="43" t="e">
        <f ca="1">IFERROR(IF(ISNUMBER($AC$6),INDEX('1.Locations'!$D$2:$D$97,$AC$6 + 1),NA()),NA())</f>
        <v>#N/A</v>
      </c>
      <c r="AE6" s="43" t="e">
        <f ca="1">IFERROR(IF(ISNUMBER($AC$6),INDEX('1.Locations'!$E$2:$E$97,$AC$6 + 1),NA()),NA())</f>
        <v>#N/A</v>
      </c>
      <c r="AF6" s="44" t="str">
        <f ca="1">IFERROR(IF(AND(ISNUMBER($AC$6),$AC$6&lt;=95),INDEX('2.Distances'!$C$2:$C$9218,$AC$5*96+$AC$6+ 1) +$AF$5," ")," ")</f>
        <v xml:space="preserve"> </v>
      </c>
      <c r="AG6" s="43" t="str">
        <f ca="1">IFERROR(IF(ISNUMBER($AC$6),INDEX('1.Locations'!$J$2:$J$97,$AC$6 + 1) +$AG$5," ")," ")</f>
        <v xml:space="preserve"> </v>
      </c>
      <c r="AH6" s="43" t="str">
        <f ca="1">IFERROR(IF(ISNUMBER($AC$6),INDEX('1.Locations'!$K$2:$K$97,$AC$6 + 1) +$AH$5," ")," ")</f>
        <v xml:space="preserve"> </v>
      </c>
      <c r="AI6" s="45" t="str">
        <f ca="1">IFERROR(IF(AND(ISNUMBER($AC$6),$AC$6&lt;=95),INDEX('2.Distances'!$D$2:$D$9218,$AC$5*96+$AC$6+ 1) +$AI$5," ")," ")</f>
        <v xml:space="preserve"> </v>
      </c>
      <c r="AJ6" s="46" t="str">
        <f ca="1">IFERROR(IF(AND(ISNUMBER($AC$6),$AC$6&lt;=95),INDEX('2.Distances'!$D$2:$D$9218,$AC$5*96+$AC$6+ 1) +$AK$5," ")," ")</f>
        <v xml:space="preserve"> </v>
      </c>
      <c r="AK6" s="46" t="str">
        <f ca="1">IFERROR(IF(ISNUMBER($AJ$6),INDEX('1.Locations'!$I$2:$I$97,$AC$6 + 1) + MAX($AJ$6,INDEX('1.Locations'!$F$2:$F$97,$AC$6 + 1))," ")," ")</f>
        <v xml:space="preserve"> </v>
      </c>
      <c r="AL6" s="45" t="str">
        <f ca="1">IFERROR($AL$5 + INDEX('2.Distances'!$D$2:$D$9218,$AC$5*96+$AC$6+ 1) + INDEX('1.Locations'!$I$2:$I$97,$AC$6 + 1)," ")</f>
        <v xml:space="preserve"> </v>
      </c>
      <c r="AN6" s="24">
        <v>1</v>
      </c>
      <c r="AO6" s="25"/>
      <c r="AP6" s="43" t="str">
        <f ca="1">IFERROR(MATCH(INDIRECT("$AO$6"),'1.Locations'!$B$2:$B$97, 0) - 1," ")</f>
        <v xml:space="preserve"> </v>
      </c>
      <c r="AQ6" s="43" t="e">
        <f ca="1">IFERROR(IF(ISNUMBER($AP$6),INDEX('1.Locations'!$D$2:$D$97,$AP$6 + 1),NA()),NA())</f>
        <v>#N/A</v>
      </c>
      <c r="AR6" s="43" t="e">
        <f ca="1">IFERROR(IF(ISNUMBER($AP$6),INDEX('1.Locations'!$E$2:$E$97,$AP$6 + 1),NA()),NA())</f>
        <v>#N/A</v>
      </c>
      <c r="AS6" s="44" t="str">
        <f ca="1">IFERROR(IF(AND(ISNUMBER($AP$6),$AP$6&lt;=95),INDEX('2.Distances'!$C$2:$C$9218,$AP$5*96+$AP$6+ 1) +$AS$5," ")," ")</f>
        <v xml:space="preserve"> </v>
      </c>
      <c r="AT6" s="43" t="str">
        <f ca="1">IFERROR(IF(ISNUMBER($AP$6),INDEX('1.Locations'!$J$2:$J$97,$AP$6 + 1) +$AT$5," ")," ")</f>
        <v xml:space="preserve"> </v>
      </c>
      <c r="AU6" s="43" t="str">
        <f ca="1">IFERROR(IF(ISNUMBER($AP$6),INDEX('1.Locations'!$K$2:$K$97,$AP$6 + 1) +$AU$5," ")," ")</f>
        <v xml:space="preserve"> </v>
      </c>
      <c r="AV6" s="45" t="str">
        <f ca="1">IFERROR(IF(AND(ISNUMBER($AP$6),$AP$6&lt;=95),INDEX('2.Distances'!$D$2:$D$9218,$AP$5*96+$AP$6+ 1) +$AV$5," ")," ")</f>
        <v xml:space="preserve"> </v>
      </c>
      <c r="AW6" s="46" t="str">
        <f ca="1">IFERROR(IF(AND(ISNUMBER($AP$6),$AP$6&lt;=95),INDEX('2.Distances'!$D$2:$D$9218,$AP$5*96+$AP$6+ 1) +$AX$5," ")," ")</f>
        <v xml:space="preserve"> </v>
      </c>
      <c r="AX6" s="46" t="str">
        <f ca="1">IFERROR(IF(ISNUMBER($AW$6),INDEX('1.Locations'!$I$2:$I$97,$AP$6 + 1) + MAX($AW$6,INDEX('1.Locations'!$F$2:$F$97,$AP$6 + 1))," ")," ")</f>
        <v xml:space="preserve"> </v>
      </c>
      <c r="AY6" s="45" t="str">
        <f ca="1">IFERROR($AY$5 + INDEX('2.Distances'!$D$2:$D$9218,$AP$5*96+$AP$6+ 1) + INDEX('1.Locations'!$I$2:$I$97,$AP$6 + 1)," ")</f>
        <v xml:space="preserve"> </v>
      </c>
      <c r="BA6" s="24">
        <v>1</v>
      </c>
      <c r="BB6" s="25"/>
      <c r="BC6" s="43" t="str">
        <f ca="1">IFERROR(MATCH(INDIRECT("$BB$6"),'1.Locations'!$B$2:$B$97, 0) - 1," ")</f>
        <v xml:space="preserve"> </v>
      </c>
      <c r="BD6" s="43" t="e">
        <f ca="1">IFERROR(IF(ISNUMBER($BC$6),INDEX('1.Locations'!$D$2:$D$97,$BC$6 + 1),NA()),NA())</f>
        <v>#N/A</v>
      </c>
      <c r="BE6" s="43" t="e">
        <f ca="1">IFERROR(IF(ISNUMBER($BC$6),INDEX('1.Locations'!$E$2:$E$97,$BC$6 + 1),NA()),NA())</f>
        <v>#N/A</v>
      </c>
      <c r="BF6" s="44" t="str">
        <f ca="1">IFERROR(IF(AND(ISNUMBER($BC$6),$BC$6&lt;=95),INDEX('2.Distances'!$C$2:$C$9218,$BC$5*96+$BC$6+ 1) +$BF$5," ")," ")</f>
        <v xml:space="preserve"> </v>
      </c>
      <c r="BG6" s="43" t="str">
        <f ca="1">IFERROR(IF(ISNUMBER($BC$6),INDEX('1.Locations'!$J$2:$J$97,$BC$6 + 1) +$BG$5," ")," ")</f>
        <v xml:space="preserve"> </v>
      </c>
      <c r="BH6" s="43" t="str">
        <f ca="1">IFERROR(IF(ISNUMBER($BC$6),INDEX('1.Locations'!$K$2:$K$97,$BC$6 + 1) +$BH$5," ")," ")</f>
        <v xml:space="preserve"> </v>
      </c>
      <c r="BI6" s="45" t="str">
        <f ca="1">IFERROR(IF(AND(ISNUMBER($BC$6),$BC$6&lt;=95),INDEX('2.Distances'!$D$2:$D$9218,$BC$5*96+$BC$6+ 1) +$BI$5," ")," ")</f>
        <v xml:space="preserve"> </v>
      </c>
      <c r="BJ6" s="46" t="str">
        <f ca="1">IFERROR(IF(AND(ISNUMBER($BC$6),$BC$6&lt;=95),INDEX('2.Distances'!$D$2:$D$9218,$BC$5*96+$BC$6+ 1) +$BK$5," ")," ")</f>
        <v xml:space="preserve"> </v>
      </c>
      <c r="BK6" s="46" t="str">
        <f ca="1">IFERROR(IF(ISNUMBER($BJ$6),INDEX('1.Locations'!$I$2:$I$97,$BC$6 + 1) + MAX($BJ$6,INDEX('1.Locations'!$F$2:$F$97,$BC$6 + 1))," ")," ")</f>
        <v xml:space="preserve"> </v>
      </c>
      <c r="BL6" s="45" t="str">
        <f ca="1">IFERROR($BL$5 + INDEX('2.Distances'!$D$2:$D$9218,$BC$5*96+$BC$6+ 1) + INDEX('1.Locations'!$I$2:$I$97,$BC$6 + 1)," ")</f>
        <v xml:space="preserve"> </v>
      </c>
      <c r="BN6" s="24">
        <v>1</v>
      </c>
      <c r="BO6" s="25"/>
      <c r="BP6" s="43" t="str">
        <f ca="1">IFERROR(MATCH(INDIRECT("$BO$6"),'1.Locations'!$B$2:$B$97, 0) - 1," ")</f>
        <v xml:space="preserve"> </v>
      </c>
      <c r="BQ6" s="43" t="e">
        <f ca="1">IFERROR(IF(ISNUMBER($BP$6),INDEX('1.Locations'!$D$2:$D$97,$BP$6 + 1),NA()),NA())</f>
        <v>#N/A</v>
      </c>
      <c r="BR6" s="43" t="e">
        <f ca="1">IFERROR(IF(ISNUMBER($BP$6),INDEX('1.Locations'!$E$2:$E$97,$BP$6 + 1),NA()),NA())</f>
        <v>#N/A</v>
      </c>
      <c r="BS6" s="44" t="str">
        <f ca="1">IFERROR(IF(AND(ISNUMBER($BP$6),$BP$6&lt;=95),INDEX('2.Distances'!$C$2:$C$9218,$BP$5*96+$BP$6+ 1) +$BS$5," ")," ")</f>
        <v xml:space="preserve"> </v>
      </c>
      <c r="BT6" s="43" t="str">
        <f ca="1">IFERROR(IF(ISNUMBER($BP$6),INDEX('1.Locations'!$J$2:$J$97,$BP$6 + 1) +$BT$5," ")," ")</f>
        <v xml:space="preserve"> </v>
      </c>
      <c r="BU6" s="43" t="str">
        <f ca="1">IFERROR(IF(ISNUMBER($BP$6),INDEX('1.Locations'!$K$2:$K$97,$BP$6 + 1) +$BU$5," ")," ")</f>
        <v xml:space="preserve"> </v>
      </c>
      <c r="BV6" s="45" t="str">
        <f ca="1">IFERROR(IF(AND(ISNUMBER($BP$6),$BP$6&lt;=95),INDEX('2.Distances'!$D$2:$D$9218,$BP$5*96+$BP$6+ 1) +$BV$5," ")," ")</f>
        <v xml:space="preserve"> </v>
      </c>
      <c r="BW6" s="46" t="str">
        <f ca="1">IFERROR(IF(AND(ISNUMBER($BP$6),$BP$6&lt;=95),INDEX('2.Distances'!$D$2:$D$9218,$BP$5*96+$BP$6+ 1) +$BX$5," ")," ")</f>
        <v xml:space="preserve"> </v>
      </c>
      <c r="BX6" s="46" t="str">
        <f ca="1">IFERROR(IF(ISNUMBER($BW$6),INDEX('1.Locations'!$I$2:$I$97,$BP$6 + 1) + MAX($BW$6,INDEX('1.Locations'!$F$2:$F$97,$BP$6 + 1))," ")," ")</f>
        <v xml:space="preserve"> </v>
      </c>
      <c r="BY6" s="45" t="str">
        <f ca="1">IFERROR($BY$5 + INDEX('2.Distances'!$D$2:$D$9218,$BP$5*96+$BP$6+ 1) + INDEX('1.Locations'!$I$2:$I$97,$BP$6 + 1)," ")</f>
        <v xml:space="preserve"> </v>
      </c>
      <c r="CA6" s="24">
        <v>1</v>
      </c>
      <c r="CB6" s="25"/>
      <c r="CC6" s="43" t="str">
        <f ca="1">IFERROR(MATCH(INDIRECT("$CB$6"),'1.Locations'!$B$2:$B$97, 0) - 1," ")</f>
        <v xml:space="preserve"> </v>
      </c>
      <c r="CD6" s="43" t="e">
        <f ca="1">IFERROR(IF(ISNUMBER($CC$6),INDEX('1.Locations'!$D$2:$D$97,$CC$6 + 1),NA()),NA())</f>
        <v>#N/A</v>
      </c>
      <c r="CE6" s="43" t="e">
        <f ca="1">IFERROR(IF(ISNUMBER($CC$6),INDEX('1.Locations'!$E$2:$E$97,$CC$6 + 1),NA()),NA())</f>
        <v>#N/A</v>
      </c>
      <c r="CF6" s="44" t="str">
        <f ca="1">IFERROR(IF(AND(ISNUMBER($CC$6),$CC$6&lt;=95),INDEX('2.Distances'!$C$2:$C$9218,$CC$5*96+$CC$6+ 1) +$CF$5," ")," ")</f>
        <v xml:space="preserve"> </v>
      </c>
      <c r="CG6" s="43" t="str">
        <f ca="1">IFERROR(IF(ISNUMBER($CC$6),INDEX('1.Locations'!$J$2:$J$97,$CC$6 + 1) +$CG$5," ")," ")</f>
        <v xml:space="preserve"> </v>
      </c>
      <c r="CH6" s="43" t="str">
        <f ca="1">IFERROR(IF(ISNUMBER($CC$6),INDEX('1.Locations'!$K$2:$K$97,$CC$6 + 1) +$CH$5," ")," ")</f>
        <v xml:space="preserve"> </v>
      </c>
      <c r="CI6" s="45" t="str">
        <f ca="1">IFERROR(IF(AND(ISNUMBER($CC$6),$CC$6&lt;=95),INDEX('2.Distances'!$D$2:$D$9218,$CC$5*96+$CC$6+ 1) +$CI$5," ")," ")</f>
        <v xml:space="preserve"> </v>
      </c>
      <c r="CJ6" s="46" t="str">
        <f ca="1">IFERROR(IF(AND(ISNUMBER($CC$6),$CC$6&lt;=95),INDEX('2.Distances'!$D$2:$D$9218,$CC$5*96+$CC$6+ 1) +$CK$5," ")," ")</f>
        <v xml:space="preserve"> </v>
      </c>
      <c r="CK6" s="46" t="str">
        <f ca="1">IFERROR(IF(ISNUMBER($CJ$6),INDEX('1.Locations'!$I$2:$I$97,$CC$6 + 1) + MAX($CJ$6,INDEX('1.Locations'!$F$2:$F$97,$CC$6 + 1))," ")," ")</f>
        <v xml:space="preserve"> </v>
      </c>
      <c r="CL6" s="45" t="str">
        <f ca="1">IFERROR($CL$5 + INDEX('2.Distances'!$D$2:$D$9218,$CC$5*96+$CC$6+ 1) + INDEX('1.Locations'!$I$2:$I$97,$CC$6 + 1)," ")</f>
        <v xml:space="preserve"> </v>
      </c>
    </row>
    <row r="7" spans="1:90" x14ac:dyDescent="0.25">
      <c r="A7" s="24">
        <v>2</v>
      </c>
      <c r="B7" s="25"/>
      <c r="C7" s="43" t="str">
        <f ca="1">IFERROR(MATCH(INDIRECT("$B$7"),'1.Locations'!$B$2:$B$97, 0) - 1," ")</f>
        <v xml:space="preserve"> </v>
      </c>
      <c r="D7" s="43" t="e">
        <f ca="1">IFERROR(IF(ISNUMBER($C$7),INDEX('1.Locations'!$D$2:$D$97,$C$7 + 1),NA()),NA())</f>
        <v>#N/A</v>
      </c>
      <c r="E7" s="43" t="e">
        <f ca="1">IFERROR(IF(ISNUMBER($C$7),INDEX('1.Locations'!$E$2:$E$97,$C$7 + 1),NA()),NA())</f>
        <v>#N/A</v>
      </c>
      <c r="F7" s="44" t="str">
        <f ca="1">IFERROR(IF(AND(ISNUMBER($C$7),$C$7&lt;=95),INDEX('2.Distances'!$C$2:$C$9218,$C$6*96+$C$7+ 1) +$F$6," ")," ")</f>
        <v xml:space="preserve"> </v>
      </c>
      <c r="G7" s="43" t="str">
        <f ca="1">IFERROR(IF(ISNUMBER($C$7),INDEX('1.Locations'!$J$2:$J$97,$C$7 + 1) +$G$6," ")," ")</f>
        <v xml:space="preserve"> </v>
      </c>
      <c r="H7" s="43" t="str">
        <f ca="1">IFERROR(IF(ISNUMBER($C$7),INDEX('1.Locations'!$K$2:$K$97,$C$7 + 1) +$H$6," ")," ")</f>
        <v xml:space="preserve"> </v>
      </c>
      <c r="I7" s="45" t="str">
        <f ca="1">IFERROR(IF(AND(ISNUMBER($C$7),$C$7&lt;=95),INDEX('2.Distances'!$D$2:$D$9218,$C$6*96+$C$7+ 1) +$I$6," ")," ")</f>
        <v xml:space="preserve"> </v>
      </c>
      <c r="J7" s="46" t="str">
        <f ca="1">IFERROR(IF(AND(ISNUMBER($C$7),$C$7&lt;=95),INDEX('2.Distances'!$D$2:$D$9218,$C$6*96+$C$7+ 1) +$K$6," ")," ")</f>
        <v xml:space="preserve"> </v>
      </c>
      <c r="K7" s="46" t="str">
        <f ca="1">IFERROR(IF(ISNUMBER($J$7),INDEX('1.Locations'!$I$2:$I$97,$C$7 + 1) + MAX($J$7,INDEX('1.Locations'!$F$2:$F$97,$C$7 + 1))," ")," ")</f>
        <v xml:space="preserve"> </v>
      </c>
      <c r="L7" s="45" t="str">
        <f ca="1">IFERROR($L$6 + INDEX('2.Distances'!$D$2:$D$9218,$C$6*96+$C$7+ 1) + INDEX('1.Locations'!$I$2:$I$97,$C$7 + 1)," ")</f>
        <v xml:space="preserve"> </v>
      </c>
      <c r="N7" s="24">
        <v>2</v>
      </c>
      <c r="O7" s="25"/>
      <c r="P7" s="43" t="str">
        <f ca="1">IFERROR(MATCH(INDIRECT("$O$7"),'1.Locations'!$B$2:$B$97, 0) - 1," ")</f>
        <v xml:space="preserve"> </v>
      </c>
      <c r="Q7" s="43" t="e">
        <f ca="1">IFERROR(IF(ISNUMBER($P$7),INDEX('1.Locations'!$D$2:$D$97,$P$7 + 1),NA()),NA())</f>
        <v>#N/A</v>
      </c>
      <c r="R7" s="43" t="e">
        <f ca="1">IFERROR(IF(ISNUMBER($P$7),INDEX('1.Locations'!$E$2:$E$97,$P$7 + 1),NA()),NA())</f>
        <v>#N/A</v>
      </c>
      <c r="S7" s="44" t="str">
        <f ca="1">IFERROR(IF(AND(ISNUMBER($P$7),$P$7&lt;=95),INDEX('2.Distances'!$C$2:$C$9218,$P$6*96+$P$7+ 1) +$S$6," ")," ")</f>
        <v xml:space="preserve"> </v>
      </c>
      <c r="T7" s="43" t="str">
        <f ca="1">IFERROR(IF(ISNUMBER($P$7),INDEX('1.Locations'!$J$2:$J$97,$P$7 + 1) +$T$6," ")," ")</f>
        <v xml:space="preserve"> </v>
      </c>
      <c r="U7" s="43" t="str">
        <f ca="1">IFERROR(IF(ISNUMBER($P$7),INDEX('1.Locations'!$K$2:$K$97,$P$7 + 1) +$U$6," ")," ")</f>
        <v xml:space="preserve"> </v>
      </c>
      <c r="V7" s="45" t="str">
        <f ca="1">IFERROR(IF(AND(ISNUMBER($P$7),$P$7&lt;=95),INDEX('2.Distances'!$D$2:$D$9218,$P$6*96+$P$7+ 1) +$V$6," ")," ")</f>
        <v xml:space="preserve"> </v>
      </c>
      <c r="W7" s="46" t="str">
        <f ca="1">IFERROR(IF(AND(ISNUMBER($P$7),$P$7&lt;=95),INDEX('2.Distances'!$D$2:$D$9218,$P$6*96+$P$7+ 1) +$X$6," ")," ")</f>
        <v xml:space="preserve"> </v>
      </c>
      <c r="X7" s="46" t="str">
        <f ca="1">IFERROR(IF(ISNUMBER($W$7),INDEX('1.Locations'!$I$2:$I$97,$P$7 + 1) + MAX($W$7,INDEX('1.Locations'!$F$2:$F$97,$P$7 + 1))," ")," ")</f>
        <v xml:space="preserve"> </v>
      </c>
      <c r="Y7" s="45" t="str">
        <f ca="1">IFERROR($Y$6 + INDEX('2.Distances'!$D$2:$D$9218,$P$6*96+$P$7+ 1) + INDEX('1.Locations'!$I$2:$I$97,$P$7 + 1)," ")</f>
        <v xml:space="preserve"> </v>
      </c>
      <c r="AA7" s="24">
        <v>2</v>
      </c>
      <c r="AB7" s="25"/>
      <c r="AC7" s="43" t="str">
        <f ca="1">IFERROR(MATCH(INDIRECT("$AB$7"),'1.Locations'!$B$2:$B$97, 0) - 1," ")</f>
        <v xml:space="preserve"> </v>
      </c>
      <c r="AD7" s="43" t="e">
        <f ca="1">IFERROR(IF(ISNUMBER($AC$7),INDEX('1.Locations'!$D$2:$D$97,$AC$7 + 1),NA()),NA())</f>
        <v>#N/A</v>
      </c>
      <c r="AE7" s="43" t="e">
        <f ca="1">IFERROR(IF(ISNUMBER($AC$7),INDEX('1.Locations'!$E$2:$E$97,$AC$7 + 1),NA()),NA())</f>
        <v>#N/A</v>
      </c>
      <c r="AF7" s="44" t="str">
        <f ca="1">IFERROR(IF(AND(ISNUMBER($AC$7),$AC$7&lt;=95),INDEX('2.Distances'!$C$2:$C$9218,$AC$6*96+$AC$7+ 1) +$AF$6," ")," ")</f>
        <v xml:space="preserve"> </v>
      </c>
      <c r="AG7" s="43" t="str">
        <f ca="1">IFERROR(IF(ISNUMBER($AC$7),INDEX('1.Locations'!$J$2:$J$97,$AC$7 + 1) +$AG$6," ")," ")</f>
        <v xml:space="preserve"> </v>
      </c>
      <c r="AH7" s="43" t="str">
        <f ca="1">IFERROR(IF(ISNUMBER($AC$7),INDEX('1.Locations'!$K$2:$K$97,$AC$7 + 1) +$AH$6," ")," ")</f>
        <v xml:space="preserve"> </v>
      </c>
      <c r="AI7" s="45" t="str">
        <f ca="1">IFERROR(IF(AND(ISNUMBER($AC$7),$AC$7&lt;=95),INDEX('2.Distances'!$D$2:$D$9218,$AC$6*96+$AC$7+ 1) +$AI$6," ")," ")</f>
        <v xml:space="preserve"> </v>
      </c>
      <c r="AJ7" s="46" t="str">
        <f ca="1">IFERROR(IF(AND(ISNUMBER($AC$7),$AC$7&lt;=95),INDEX('2.Distances'!$D$2:$D$9218,$AC$6*96+$AC$7+ 1) +$AK$6," ")," ")</f>
        <v xml:space="preserve"> </v>
      </c>
      <c r="AK7" s="46" t="str">
        <f ca="1">IFERROR(IF(ISNUMBER($AJ$7),INDEX('1.Locations'!$I$2:$I$97,$AC$7 + 1) + MAX($AJ$7,INDEX('1.Locations'!$F$2:$F$97,$AC$7 + 1))," ")," ")</f>
        <v xml:space="preserve"> </v>
      </c>
      <c r="AL7" s="45" t="str">
        <f ca="1">IFERROR($AL$6 + INDEX('2.Distances'!$D$2:$D$9218,$AC$6*96+$AC$7+ 1) + INDEX('1.Locations'!$I$2:$I$97,$AC$7 + 1)," ")</f>
        <v xml:space="preserve"> </v>
      </c>
      <c r="AN7" s="24">
        <v>2</v>
      </c>
      <c r="AO7" s="25"/>
      <c r="AP7" s="43" t="str">
        <f ca="1">IFERROR(MATCH(INDIRECT("$AO$7"),'1.Locations'!$B$2:$B$97, 0) - 1," ")</f>
        <v xml:space="preserve"> </v>
      </c>
      <c r="AQ7" s="43" t="e">
        <f ca="1">IFERROR(IF(ISNUMBER($AP$7),INDEX('1.Locations'!$D$2:$D$97,$AP$7 + 1),NA()),NA())</f>
        <v>#N/A</v>
      </c>
      <c r="AR7" s="43" t="e">
        <f ca="1">IFERROR(IF(ISNUMBER($AP$7),INDEX('1.Locations'!$E$2:$E$97,$AP$7 + 1),NA()),NA())</f>
        <v>#N/A</v>
      </c>
      <c r="AS7" s="44" t="str">
        <f ca="1">IFERROR(IF(AND(ISNUMBER($AP$7),$AP$7&lt;=95),INDEX('2.Distances'!$C$2:$C$9218,$AP$6*96+$AP$7+ 1) +$AS$6," ")," ")</f>
        <v xml:space="preserve"> </v>
      </c>
      <c r="AT7" s="43" t="str">
        <f ca="1">IFERROR(IF(ISNUMBER($AP$7),INDEX('1.Locations'!$J$2:$J$97,$AP$7 + 1) +$AT$6," ")," ")</f>
        <v xml:space="preserve"> </v>
      </c>
      <c r="AU7" s="43" t="str">
        <f ca="1">IFERROR(IF(ISNUMBER($AP$7),INDEX('1.Locations'!$K$2:$K$97,$AP$7 + 1) +$AU$6," ")," ")</f>
        <v xml:space="preserve"> </v>
      </c>
      <c r="AV7" s="45" t="str">
        <f ca="1">IFERROR(IF(AND(ISNUMBER($AP$7),$AP$7&lt;=95),INDEX('2.Distances'!$D$2:$D$9218,$AP$6*96+$AP$7+ 1) +$AV$6," ")," ")</f>
        <v xml:space="preserve"> </v>
      </c>
      <c r="AW7" s="46" t="str">
        <f ca="1">IFERROR(IF(AND(ISNUMBER($AP$7),$AP$7&lt;=95),INDEX('2.Distances'!$D$2:$D$9218,$AP$6*96+$AP$7+ 1) +$AX$6," ")," ")</f>
        <v xml:space="preserve"> </v>
      </c>
      <c r="AX7" s="46" t="str">
        <f ca="1">IFERROR(IF(ISNUMBER($AW$7),INDEX('1.Locations'!$I$2:$I$97,$AP$7 + 1) + MAX($AW$7,INDEX('1.Locations'!$F$2:$F$97,$AP$7 + 1))," ")," ")</f>
        <v xml:space="preserve"> </v>
      </c>
      <c r="AY7" s="45" t="str">
        <f ca="1">IFERROR($AY$6 + INDEX('2.Distances'!$D$2:$D$9218,$AP$6*96+$AP$7+ 1) + INDEX('1.Locations'!$I$2:$I$97,$AP$7 + 1)," ")</f>
        <v xml:space="preserve"> </v>
      </c>
      <c r="BA7" s="24">
        <v>2</v>
      </c>
      <c r="BB7" s="25"/>
      <c r="BC7" s="43" t="str">
        <f ca="1">IFERROR(MATCH(INDIRECT("$BB$7"),'1.Locations'!$B$2:$B$97, 0) - 1," ")</f>
        <v xml:space="preserve"> </v>
      </c>
      <c r="BD7" s="43" t="e">
        <f ca="1">IFERROR(IF(ISNUMBER($BC$7),INDEX('1.Locations'!$D$2:$D$97,$BC$7 + 1),NA()),NA())</f>
        <v>#N/A</v>
      </c>
      <c r="BE7" s="43" t="e">
        <f ca="1">IFERROR(IF(ISNUMBER($BC$7),INDEX('1.Locations'!$E$2:$E$97,$BC$7 + 1),NA()),NA())</f>
        <v>#N/A</v>
      </c>
      <c r="BF7" s="44" t="str">
        <f ca="1">IFERROR(IF(AND(ISNUMBER($BC$7),$BC$7&lt;=95),INDEX('2.Distances'!$C$2:$C$9218,$BC$6*96+$BC$7+ 1) +$BF$6," ")," ")</f>
        <v xml:space="preserve"> </v>
      </c>
      <c r="BG7" s="43" t="str">
        <f ca="1">IFERROR(IF(ISNUMBER($BC$7),INDEX('1.Locations'!$J$2:$J$97,$BC$7 + 1) +$BG$6," ")," ")</f>
        <v xml:space="preserve"> </v>
      </c>
      <c r="BH7" s="43" t="str">
        <f ca="1">IFERROR(IF(ISNUMBER($BC$7),INDEX('1.Locations'!$K$2:$K$97,$BC$7 + 1) +$BH$6," ")," ")</f>
        <v xml:space="preserve"> </v>
      </c>
      <c r="BI7" s="45" t="str">
        <f ca="1">IFERROR(IF(AND(ISNUMBER($BC$7),$BC$7&lt;=95),INDEX('2.Distances'!$D$2:$D$9218,$BC$6*96+$BC$7+ 1) +$BI$6," ")," ")</f>
        <v xml:space="preserve"> </v>
      </c>
      <c r="BJ7" s="46" t="str">
        <f ca="1">IFERROR(IF(AND(ISNUMBER($BC$7),$BC$7&lt;=95),INDEX('2.Distances'!$D$2:$D$9218,$BC$6*96+$BC$7+ 1) +$BK$6," ")," ")</f>
        <v xml:space="preserve"> </v>
      </c>
      <c r="BK7" s="46" t="str">
        <f ca="1">IFERROR(IF(ISNUMBER($BJ$7),INDEX('1.Locations'!$I$2:$I$97,$BC$7 + 1) + MAX($BJ$7,INDEX('1.Locations'!$F$2:$F$97,$BC$7 + 1))," ")," ")</f>
        <v xml:space="preserve"> </v>
      </c>
      <c r="BL7" s="45" t="str">
        <f ca="1">IFERROR($BL$6 + INDEX('2.Distances'!$D$2:$D$9218,$BC$6*96+$BC$7+ 1) + INDEX('1.Locations'!$I$2:$I$97,$BC$7 + 1)," ")</f>
        <v xml:space="preserve"> </v>
      </c>
      <c r="BN7" s="24">
        <v>2</v>
      </c>
      <c r="BO7" s="25"/>
      <c r="BP7" s="43" t="str">
        <f ca="1">IFERROR(MATCH(INDIRECT("$BO$7"),'1.Locations'!$B$2:$B$97, 0) - 1," ")</f>
        <v xml:space="preserve"> </v>
      </c>
      <c r="BQ7" s="43" t="e">
        <f ca="1">IFERROR(IF(ISNUMBER($BP$7),INDEX('1.Locations'!$D$2:$D$97,$BP$7 + 1),NA()),NA())</f>
        <v>#N/A</v>
      </c>
      <c r="BR7" s="43" t="e">
        <f ca="1">IFERROR(IF(ISNUMBER($BP$7),INDEX('1.Locations'!$E$2:$E$97,$BP$7 + 1),NA()),NA())</f>
        <v>#N/A</v>
      </c>
      <c r="BS7" s="44" t="str">
        <f ca="1">IFERROR(IF(AND(ISNUMBER($BP$7),$BP$7&lt;=95),INDEX('2.Distances'!$C$2:$C$9218,$BP$6*96+$BP$7+ 1) +$BS$6," ")," ")</f>
        <v xml:space="preserve"> </v>
      </c>
      <c r="BT7" s="43" t="str">
        <f ca="1">IFERROR(IF(ISNUMBER($BP$7),INDEX('1.Locations'!$J$2:$J$97,$BP$7 + 1) +$BT$6," ")," ")</f>
        <v xml:space="preserve"> </v>
      </c>
      <c r="BU7" s="43" t="str">
        <f ca="1">IFERROR(IF(ISNUMBER($BP$7),INDEX('1.Locations'!$K$2:$K$97,$BP$7 + 1) +$BU$6," ")," ")</f>
        <v xml:space="preserve"> </v>
      </c>
      <c r="BV7" s="45" t="str">
        <f ca="1">IFERROR(IF(AND(ISNUMBER($BP$7),$BP$7&lt;=95),INDEX('2.Distances'!$D$2:$D$9218,$BP$6*96+$BP$7+ 1) +$BV$6," ")," ")</f>
        <v xml:space="preserve"> </v>
      </c>
      <c r="BW7" s="46" t="str">
        <f ca="1">IFERROR(IF(AND(ISNUMBER($BP$7),$BP$7&lt;=95),INDEX('2.Distances'!$D$2:$D$9218,$BP$6*96+$BP$7+ 1) +$BX$6," ")," ")</f>
        <v xml:space="preserve"> </v>
      </c>
      <c r="BX7" s="46" t="str">
        <f ca="1">IFERROR(IF(ISNUMBER($BW$7),INDEX('1.Locations'!$I$2:$I$97,$BP$7 + 1) + MAX($BW$7,INDEX('1.Locations'!$F$2:$F$97,$BP$7 + 1))," ")," ")</f>
        <v xml:space="preserve"> </v>
      </c>
      <c r="BY7" s="45" t="str">
        <f ca="1">IFERROR($BY$6 + INDEX('2.Distances'!$D$2:$D$9218,$BP$6*96+$BP$7+ 1) + INDEX('1.Locations'!$I$2:$I$97,$BP$7 + 1)," ")</f>
        <v xml:space="preserve"> </v>
      </c>
      <c r="CA7" s="24">
        <v>2</v>
      </c>
      <c r="CB7" s="25"/>
      <c r="CC7" s="43" t="str">
        <f ca="1">IFERROR(MATCH(INDIRECT("$CB$7"),'1.Locations'!$B$2:$B$97, 0) - 1," ")</f>
        <v xml:space="preserve"> </v>
      </c>
      <c r="CD7" s="43" t="e">
        <f ca="1">IFERROR(IF(ISNUMBER($CC$7),INDEX('1.Locations'!$D$2:$D$97,$CC$7 + 1),NA()),NA())</f>
        <v>#N/A</v>
      </c>
      <c r="CE7" s="43" t="e">
        <f ca="1">IFERROR(IF(ISNUMBER($CC$7),INDEX('1.Locations'!$E$2:$E$97,$CC$7 + 1),NA()),NA())</f>
        <v>#N/A</v>
      </c>
      <c r="CF7" s="44" t="str">
        <f ca="1">IFERROR(IF(AND(ISNUMBER($CC$7),$CC$7&lt;=95),INDEX('2.Distances'!$C$2:$C$9218,$CC$6*96+$CC$7+ 1) +$CF$6," ")," ")</f>
        <v xml:space="preserve"> </v>
      </c>
      <c r="CG7" s="43" t="str">
        <f ca="1">IFERROR(IF(ISNUMBER($CC$7),INDEX('1.Locations'!$J$2:$J$97,$CC$7 + 1) +$CG$6," ")," ")</f>
        <v xml:space="preserve"> </v>
      </c>
      <c r="CH7" s="43" t="str">
        <f ca="1">IFERROR(IF(ISNUMBER($CC$7),INDEX('1.Locations'!$K$2:$K$97,$CC$7 + 1) +$CH$6," ")," ")</f>
        <v xml:space="preserve"> </v>
      </c>
      <c r="CI7" s="45" t="str">
        <f ca="1">IFERROR(IF(AND(ISNUMBER($CC$7),$CC$7&lt;=95),INDEX('2.Distances'!$D$2:$D$9218,$CC$6*96+$CC$7+ 1) +$CI$6," ")," ")</f>
        <v xml:space="preserve"> </v>
      </c>
      <c r="CJ7" s="46" t="str">
        <f ca="1">IFERROR(IF(AND(ISNUMBER($CC$7),$CC$7&lt;=95),INDEX('2.Distances'!$D$2:$D$9218,$CC$6*96+$CC$7+ 1) +$CK$6," ")," ")</f>
        <v xml:space="preserve"> </v>
      </c>
      <c r="CK7" s="46" t="str">
        <f ca="1">IFERROR(IF(ISNUMBER($CJ$7),INDEX('1.Locations'!$I$2:$I$97,$CC$7 + 1) + MAX($CJ$7,INDEX('1.Locations'!$F$2:$F$97,$CC$7 + 1))," ")," ")</f>
        <v xml:space="preserve"> </v>
      </c>
      <c r="CL7" s="45" t="str">
        <f ca="1">IFERROR($CL$6 + INDEX('2.Distances'!$D$2:$D$9218,$CC$6*96+$CC$7+ 1) + INDEX('1.Locations'!$I$2:$I$97,$CC$7 + 1)," ")</f>
        <v xml:space="preserve"> </v>
      </c>
    </row>
    <row r="8" spans="1:90" x14ac:dyDescent="0.25">
      <c r="A8" s="24">
        <v>3</v>
      </c>
      <c r="B8" s="25"/>
      <c r="C8" s="43" t="str">
        <f ca="1">IFERROR(MATCH(INDIRECT("$B$8"),'1.Locations'!$B$2:$B$97, 0) - 1," ")</f>
        <v xml:space="preserve"> </v>
      </c>
      <c r="D8" s="43" t="e">
        <f ca="1">IFERROR(IF(ISNUMBER($C$8),INDEX('1.Locations'!$D$2:$D$97,$C$8 + 1),NA()),NA())</f>
        <v>#N/A</v>
      </c>
      <c r="E8" s="43" t="e">
        <f ca="1">IFERROR(IF(ISNUMBER($C$8),INDEX('1.Locations'!$E$2:$E$97,$C$8 + 1),NA()),NA())</f>
        <v>#N/A</v>
      </c>
      <c r="F8" s="44" t="str">
        <f ca="1">IFERROR(IF(AND(ISNUMBER($C$8),$C$8&lt;=95),INDEX('2.Distances'!$C$2:$C$9218,$C$7*96+$C$8+ 1) +$F$7," ")," ")</f>
        <v xml:space="preserve"> </v>
      </c>
      <c r="G8" s="43" t="str">
        <f ca="1">IFERROR(IF(ISNUMBER($C$8),INDEX('1.Locations'!$J$2:$J$97,$C$8 + 1) +$G$7," ")," ")</f>
        <v xml:space="preserve"> </v>
      </c>
      <c r="H8" s="43" t="str">
        <f ca="1">IFERROR(IF(ISNUMBER($C$8),INDEX('1.Locations'!$K$2:$K$97,$C$8 + 1) +$H$7," ")," ")</f>
        <v xml:space="preserve"> </v>
      </c>
      <c r="I8" s="45" t="str">
        <f ca="1">IFERROR(IF(AND(ISNUMBER($C$8),$C$8&lt;=95),INDEX('2.Distances'!$D$2:$D$9218,$C$7*96+$C$8+ 1) +$I$7," ")," ")</f>
        <v xml:space="preserve"> </v>
      </c>
      <c r="J8" s="46" t="str">
        <f ca="1">IFERROR(IF(AND(ISNUMBER($C$8),$C$8&lt;=95),INDEX('2.Distances'!$D$2:$D$9218,$C$7*96+$C$8+ 1) +$K$7," ")," ")</f>
        <v xml:space="preserve"> </v>
      </c>
      <c r="K8" s="46" t="str">
        <f ca="1">IFERROR(IF(ISNUMBER($J$8),INDEX('1.Locations'!$I$2:$I$97,$C$8 + 1) + MAX($J$8,INDEX('1.Locations'!$F$2:$F$97,$C$8 + 1))," ")," ")</f>
        <v xml:space="preserve"> </v>
      </c>
      <c r="L8" s="45" t="str">
        <f ca="1">IFERROR($L$7 + INDEX('2.Distances'!$D$2:$D$9218,$C$7*96+$C$8+ 1) + INDEX('1.Locations'!$I$2:$I$97,$C$8 + 1)," ")</f>
        <v xml:space="preserve"> </v>
      </c>
      <c r="N8" s="24">
        <v>3</v>
      </c>
      <c r="O8" s="25"/>
      <c r="P8" s="43" t="str">
        <f ca="1">IFERROR(MATCH(INDIRECT("$O$8"),'1.Locations'!$B$2:$B$97, 0) - 1," ")</f>
        <v xml:space="preserve"> </v>
      </c>
      <c r="Q8" s="43" t="e">
        <f ca="1">IFERROR(IF(ISNUMBER($P$8),INDEX('1.Locations'!$D$2:$D$97,$P$8 + 1),NA()),NA())</f>
        <v>#N/A</v>
      </c>
      <c r="R8" s="43" t="e">
        <f ca="1">IFERROR(IF(ISNUMBER($P$8),INDEX('1.Locations'!$E$2:$E$97,$P$8 + 1),NA()),NA())</f>
        <v>#N/A</v>
      </c>
      <c r="S8" s="44" t="str">
        <f ca="1">IFERROR(IF(AND(ISNUMBER($P$8),$P$8&lt;=95),INDEX('2.Distances'!$C$2:$C$9218,$P$7*96+$P$8+ 1) +$S$7," ")," ")</f>
        <v xml:space="preserve"> </v>
      </c>
      <c r="T8" s="43" t="str">
        <f ca="1">IFERROR(IF(ISNUMBER($P$8),INDEX('1.Locations'!$J$2:$J$97,$P$8 + 1) +$T$7," ")," ")</f>
        <v xml:space="preserve"> </v>
      </c>
      <c r="U8" s="43" t="str">
        <f ca="1">IFERROR(IF(ISNUMBER($P$8),INDEX('1.Locations'!$K$2:$K$97,$P$8 + 1) +$U$7," ")," ")</f>
        <v xml:space="preserve"> </v>
      </c>
      <c r="V8" s="45" t="str">
        <f ca="1">IFERROR(IF(AND(ISNUMBER($P$8),$P$8&lt;=95),INDEX('2.Distances'!$D$2:$D$9218,$P$7*96+$P$8+ 1) +$V$7," ")," ")</f>
        <v xml:space="preserve"> </v>
      </c>
      <c r="W8" s="46" t="str">
        <f ca="1">IFERROR(IF(AND(ISNUMBER($P$8),$P$8&lt;=95),INDEX('2.Distances'!$D$2:$D$9218,$P$7*96+$P$8+ 1) +$X$7," ")," ")</f>
        <v xml:space="preserve"> </v>
      </c>
      <c r="X8" s="46" t="str">
        <f ca="1">IFERROR(IF(ISNUMBER($W$8),INDEX('1.Locations'!$I$2:$I$97,$P$8 + 1) + MAX($W$8,INDEX('1.Locations'!$F$2:$F$97,$P$8 + 1))," ")," ")</f>
        <v xml:space="preserve"> </v>
      </c>
      <c r="Y8" s="45" t="str">
        <f ca="1">IFERROR($Y$7 + INDEX('2.Distances'!$D$2:$D$9218,$P$7*96+$P$8+ 1) + INDEX('1.Locations'!$I$2:$I$97,$P$8 + 1)," ")</f>
        <v xml:space="preserve"> </v>
      </c>
      <c r="AA8" s="24">
        <v>3</v>
      </c>
      <c r="AB8" s="25"/>
      <c r="AC8" s="43" t="str">
        <f ca="1">IFERROR(MATCH(INDIRECT("$AB$8"),'1.Locations'!$B$2:$B$97, 0) - 1," ")</f>
        <v xml:space="preserve"> </v>
      </c>
      <c r="AD8" s="43" t="e">
        <f ca="1">IFERROR(IF(ISNUMBER($AC$8),INDEX('1.Locations'!$D$2:$D$97,$AC$8 + 1),NA()),NA())</f>
        <v>#N/A</v>
      </c>
      <c r="AE8" s="43" t="e">
        <f ca="1">IFERROR(IF(ISNUMBER($AC$8),INDEX('1.Locations'!$E$2:$E$97,$AC$8 + 1),NA()),NA())</f>
        <v>#N/A</v>
      </c>
      <c r="AF8" s="44" t="str">
        <f ca="1">IFERROR(IF(AND(ISNUMBER($AC$8),$AC$8&lt;=95),INDEX('2.Distances'!$C$2:$C$9218,$AC$7*96+$AC$8+ 1) +$AF$7," ")," ")</f>
        <v xml:space="preserve"> </v>
      </c>
      <c r="AG8" s="43" t="str">
        <f ca="1">IFERROR(IF(ISNUMBER($AC$8),INDEX('1.Locations'!$J$2:$J$97,$AC$8 + 1) +$AG$7," ")," ")</f>
        <v xml:space="preserve"> </v>
      </c>
      <c r="AH8" s="43" t="str">
        <f ca="1">IFERROR(IF(ISNUMBER($AC$8),INDEX('1.Locations'!$K$2:$K$97,$AC$8 + 1) +$AH$7," ")," ")</f>
        <v xml:space="preserve"> </v>
      </c>
      <c r="AI8" s="45" t="str">
        <f ca="1">IFERROR(IF(AND(ISNUMBER($AC$8),$AC$8&lt;=95),INDEX('2.Distances'!$D$2:$D$9218,$AC$7*96+$AC$8+ 1) +$AI$7," ")," ")</f>
        <v xml:space="preserve"> </v>
      </c>
      <c r="AJ8" s="46" t="str">
        <f ca="1">IFERROR(IF(AND(ISNUMBER($AC$8),$AC$8&lt;=95),INDEX('2.Distances'!$D$2:$D$9218,$AC$7*96+$AC$8+ 1) +$AK$7," ")," ")</f>
        <v xml:space="preserve"> </v>
      </c>
      <c r="AK8" s="46" t="str">
        <f ca="1">IFERROR(IF(ISNUMBER($AJ$8),INDEX('1.Locations'!$I$2:$I$97,$AC$8 + 1) + MAX($AJ$8,INDEX('1.Locations'!$F$2:$F$97,$AC$8 + 1))," ")," ")</f>
        <v xml:space="preserve"> </v>
      </c>
      <c r="AL8" s="45" t="str">
        <f ca="1">IFERROR($AL$7 + INDEX('2.Distances'!$D$2:$D$9218,$AC$7*96+$AC$8+ 1) + INDEX('1.Locations'!$I$2:$I$97,$AC$8 + 1)," ")</f>
        <v xml:space="preserve"> </v>
      </c>
      <c r="AN8" s="24">
        <v>3</v>
      </c>
      <c r="AO8" s="25"/>
      <c r="AP8" s="43" t="str">
        <f ca="1">IFERROR(MATCH(INDIRECT("$AO$8"),'1.Locations'!$B$2:$B$97, 0) - 1," ")</f>
        <v xml:space="preserve"> </v>
      </c>
      <c r="AQ8" s="43" t="e">
        <f ca="1">IFERROR(IF(ISNUMBER($AP$8),INDEX('1.Locations'!$D$2:$D$97,$AP$8 + 1),NA()),NA())</f>
        <v>#N/A</v>
      </c>
      <c r="AR8" s="43" t="e">
        <f ca="1">IFERROR(IF(ISNUMBER($AP$8),INDEX('1.Locations'!$E$2:$E$97,$AP$8 + 1),NA()),NA())</f>
        <v>#N/A</v>
      </c>
      <c r="AS8" s="44" t="str">
        <f ca="1">IFERROR(IF(AND(ISNUMBER($AP$8),$AP$8&lt;=95),INDEX('2.Distances'!$C$2:$C$9218,$AP$7*96+$AP$8+ 1) +$AS$7," ")," ")</f>
        <v xml:space="preserve"> </v>
      </c>
      <c r="AT8" s="43" t="str">
        <f ca="1">IFERROR(IF(ISNUMBER($AP$8),INDEX('1.Locations'!$J$2:$J$97,$AP$8 + 1) +$AT$7," ")," ")</f>
        <v xml:space="preserve"> </v>
      </c>
      <c r="AU8" s="43" t="str">
        <f ca="1">IFERROR(IF(ISNUMBER($AP$8),INDEX('1.Locations'!$K$2:$K$97,$AP$8 + 1) +$AU$7," ")," ")</f>
        <v xml:space="preserve"> </v>
      </c>
      <c r="AV8" s="45" t="str">
        <f ca="1">IFERROR(IF(AND(ISNUMBER($AP$8),$AP$8&lt;=95),INDEX('2.Distances'!$D$2:$D$9218,$AP$7*96+$AP$8+ 1) +$AV$7," ")," ")</f>
        <v xml:space="preserve"> </v>
      </c>
      <c r="AW8" s="46" t="str">
        <f ca="1">IFERROR(IF(AND(ISNUMBER($AP$8),$AP$8&lt;=95),INDEX('2.Distances'!$D$2:$D$9218,$AP$7*96+$AP$8+ 1) +$AX$7," ")," ")</f>
        <v xml:space="preserve"> </v>
      </c>
      <c r="AX8" s="46" t="str">
        <f ca="1">IFERROR(IF(ISNUMBER($AW$8),INDEX('1.Locations'!$I$2:$I$97,$AP$8 + 1) + MAX($AW$8,INDEX('1.Locations'!$F$2:$F$97,$AP$8 + 1))," ")," ")</f>
        <v xml:space="preserve"> </v>
      </c>
      <c r="AY8" s="45" t="str">
        <f ca="1">IFERROR($AY$7 + INDEX('2.Distances'!$D$2:$D$9218,$AP$7*96+$AP$8+ 1) + INDEX('1.Locations'!$I$2:$I$97,$AP$8 + 1)," ")</f>
        <v xml:space="preserve"> </v>
      </c>
      <c r="BA8" s="24">
        <v>3</v>
      </c>
      <c r="BB8" s="25"/>
      <c r="BC8" s="43" t="str">
        <f ca="1">IFERROR(MATCH(INDIRECT("$BB$8"),'1.Locations'!$B$2:$B$97, 0) - 1," ")</f>
        <v xml:space="preserve"> </v>
      </c>
      <c r="BD8" s="43" t="e">
        <f ca="1">IFERROR(IF(ISNUMBER($BC$8),INDEX('1.Locations'!$D$2:$D$97,$BC$8 + 1),NA()),NA())</f>
        <v>#N/A</v>
      </c>
      <c r="BE8" s="43" t="e">
        <f ca="1">IFERROR(IF(ISNUMBER($BC$8),INDEX('1.Locations'!$E$2:$E$97,$BC$8 + 1),NA()),NA())</f>
        <v>#N/A</v>
      </c>
      <c r="BF8" s="44" t="str">
        <f ca="1">IFERROR(IF(AND(ISNUMBER($BC$8),$BC$8&lt;=95),INDEX('2.Distances'!$C$2:$C$9218,$BC$7*96+$BC$8+ 1) +$BF$7," ")," ")</f>
        <v xml:space="preserve"> </v>
      </c>
      <c r="BG8" s="43" t="str">
        <f ca="1">IFERROR(IF(ISNUMBER($BC$8),INDEX('1.Locations'!$J$2:$J$97,$BC$8 + 1) +$BG$7," ")," ")</f>
        <v xml:space="preserve"> </v>
      </c>
      <c r="BH8" s="43" t="str">
        <f ca="1">IFERROR(IF(ISNUMBER($BC$8),INDEX('1.Locations'!$K$2:$K$97,$BC$8 + 1) +$BH$7," ")," ")</f>
        <v xml:space="preserve"> </v>
      </c>
      <c r="BI8" s="45" t="str">
        <f ca="1">IFERROR(IF(AND(ISNUMBER($BC$8),$BC$8&lt;=95),INDEX('2.Distances'!$D$2:$D$9218,$BC$7*96+$BC$8+ 1) +$BI$7," ")," ")</f>
        <v xml:space="preserve"> </v>
      </c>
      <c r="BJ8" s="46" t="str">
        <f ca="1">IFERROR(IF(AND(ISNUMBER($BC$8),$BC$8&lt;=95),INDEX('2.Distances'!$D$2:$D$9218,$BC$7*96+$BC$8+ 1) +$BK$7," ")," ")</f>
        <v xml:space="preserve"> </v>
      </c>
      <c r="BK8" s="46" t="str">
        <f ca="1">IFERROR(IF(ISNUMBER($BJ$8),INDEX('1.Locations'!$I$2:$I$97,$BC$8 + 1) + MAX($BJ$8,INDEX('1.Locations'!$F$2:$F$97,$BC$8 + 1))," ")," ")</f>
        <v xml:space="preserve"> </v>
      </c>
      <c r="BL8" s="45" t="str">
        <f ca="1">IFERROR($BL$7 + INDEX('2.Distances'!$D$2:$D$9218,$BC$7*96+$BC$8+ 1) + INDEX('1.Locations'!$I$2:$I$97,$BC$8 + 1)," ")</f>
        <v xml:space="preserve"> </v>
      </c>
      <c r="BN8" s="24">
        <v>3</v>
      </c>
      <c r="BO8" s="25"/>
      <c r="BP8" s="43" t="str">
        <f ca="1">IFERROR(MATCH(INDIRECT("$BO$8"),'1.Locations'!$B$2:$B$97, 0) - 1," ")</f>
        <v xml:space="preserve"> </v>
      </c>
      <c r="BQ8" s="43" t="e">
        <f ca="1">IFERROR(IF(ISNUMBER($BP$8),INDEX('1.Locations'!$D$2:$D$97,$BP$8 + 1),NA()),NA())</f>
        <v>#N/A</v>
      </c>
      <c r="BR8" s="43" t="e">
        <f ca="1">IFERROR(IF(ISNUMBER($BP$8),INDEX('1.Locations'!$E$2:$E$97,$BP$8 + 1),NA()),NA())</f>
        <v>#N/A</v>
      </c>
      <c r="BS8" s="44" t="str">
        <f ca="1">IFERROR(IF(AND(ISNUMBER($BP$8),$BP$8&lt;=95),INDEX('2.Distances'!$C$2:$C$9218,$BP$7*96+$BP$8+ 1) +$BS$7," ")," ")</f>
        <v xml:space="preserve"> </v>
      </c>
      <c r="BT8" s="43" t="str">
        <f ca="1">IFERROR(IF(ISNUMBER($BP$8),INDEX('1.Locations'!$J$2:$J$97,$BP$8 + 1) +$BT$7," ")," ")</f>
        <v xml:space="preserve"> </v>
      </c>
      <c r="BU8" s="43" t="str">
        <f ca="1">IFERROR(IF(ISNUMBER($BP$8),INDEX('1.Locations'!$K$2:$K$97,$BP$8 + 1) +$BU$7," ")," ")</f>
        <v xml:space="preserve"> </v>
      </c>
      <c r="BV8" s="45" t="str">
        <f ca="1">IFERROR(IF(AND(ISNUMBER($BP$8),$BP$8&lt;=95),INDEX('2.Distances'!$D$2:$D$9218,$BP$7*96+$BP$8+ 1) +$BV$7," ")," ")</f>
        <v xml:space="preserve"> </v>
      </c>
      <c r="BW8" s="46" t="str">
        <f ca="1">IFERROR(IF(AND(ISNUMBER($BP$8),$BP$8&lt;=95),INDEX('2.Distances'!$D$2:$D$9218,$BP$7*96+$BP$8+ 1) +$BX$7," ")," ")</f>
        <v xml:space="preserve"> </v>
      </c>
      <c r="BX8" s="46" t="str">
        <f ca="1">IFERROR(IF(ISNUMBER($BW$8),INDEX('1.Locations'!$I$2:$I$97,$BP$8 + 1) + MAX($BW$8,INDEX('1.Locations'!$F$2:$F$97,$BP$8 + 1))," ")," ")</f>
        <v xml:space="preserve"> </v>
      </c>
      <c r="BY8" s="45" t="str">
        <f ca="1">IFERROR($BY$7 + INDEX('2.Distances'!$D$2:$D$9218,$BP$7*96+$BP$8+ 1) + INDEX('1.Locations'!$I$2:$I$97,$BP$8 + 1)," ")</f>
        <v xml:space="preserve"> </v>
      </c>
      <c r="CA8" s="24">
        <v>3</v>
      </c>
      <c r="CB8" s="25"/>
      <c r="CC8" s="43" t="str">
        <f ca="1">IFERROR(MATCH(INDIRECT("$CB$8"),'1.Locations'!$B$2:$B$97, 0) - 1," ")</f>
        <v xml:space="preserve"> </v>
      </c>
      <c r="CD8" s="43" t="e">
        <f ca="1">IFERROR(IF(ISNUMBER($CC$8),INDEX('1.Locations'!$D$2:$D$97,$CC$8 + 1),NA()),NA())</f>
        <v>#N/A</v>
      </c>
      <c r="CE8" s="43" t="e">
        <f ca="1">IFERROR(IF(ISNUMBER($CC$8),INDEX('1.Locations'!$E$2:$E$97,$CC$8 + 1),NA()),NA())</f>
        <v>#N/A</v>
      </c>
      <c r="CF8" s="44" t="str">
        <f ca="1">IFERROR(IF(AND(ISNUMBER($CC$8),$CC$8&lt;=95),INDEX('2.Distances'!$C$2:$C$9218,$CC$7*96+$CC$8+ 1) +$CF$7," ")," ")</f>
        <v xml:space="preserve"> </v>
      </c>
      <c r="CG8" s="43" t="str">
        <f ca="1">IFERROR(IF(ISNUMBER($CC$8),INDEX('1.Locations'!$J$2:$J$97,$CC$8 + 1) +$CG$7," ")," ")</f>
        <v xml:space="preserve"> </v>
      </c>
      <c r="CH8" s="43" t="str">
        <f ca="1">IFERROR(IF(ISNUMBER($CC$8),INDEX('1.Locations'!$K$2:$K$97,$CC$8 + 1) +$CH$7," ")," ")</f>
        <v xml:space="preserve"> </v>
      </c>
      <c r="CI8" s="45" t="str">
        <f ca="1">IFERROR(IF(AND(ISNUMBER($CC$8),$CC$8&lt;=95),INDEX('2.Distances'!$D$2:$D$9218,$CC$7*96+$CC$8+ 1) +$CI$7," ")," ")</f>
        <v xml:space="preserve"> </v>
      </c>
      <c r="CJ8" s="46" t="str">
        <f ca="1">IFERROR(IF(AND(ISNUMBER($CC$8),$CC$8&lt;=95),INDEX('2.Distances'!$D$2:$D$9218,$CC$7*96+$CC$8+ 1) +$CK$7," ")," ")</f>
        <v xml:space="preserve"> </v>
      </c>
      <c r="CK8" s="46" t="str">
        <f ca="1">IFERROR(IF(ISNUMBER($CJ$8),INDEX('1.Locations'!$I$2:$I$97,$CC$8 + 1) + MAX($CJ$8,INDEX('1.Locations'!$F$2:$F$97,$CC$8 + 1))," ")," ")</f>
        <v xml:space="preserve"> </v>
      </c>
      <c r="CL8" s="45" t="str">
        <f ca="1">IFERROR($CL$7 + INDEX('2.Distances'!$D$2:$D$9218,$CC$7*96+$CC$8+ 1) + INDEX('1.Locations'!$I$2:$I$97,$CC$8 + 1)," ")</f>
        <v xml:space="preserve"> </v>
      </c>
    </row>
    <row r="9" spans="1:90" x14ac:dyDescent="0.25">
      <c r="A9" s="24">
        <v>4</v>
      </c>
      <c r="B9" s="25"/>
      <c r="C9" s="43" t="str">
        <f ca="1">IFERROR(MATCH(INDIRECT("$B$9"),'1.Locations'!$B$2:$B$97, 0) - 1," ")</f>
        <v xml:space="preserve"> </v>
      </c>
      <c r="D9" s="43" t="e">
        <f ca="1">IFERROR(IF(ISNUMBER($C$9),INDEX('1.Locations'!$D$2:$D$97,$C$9 + 1),NA()),NA())</f>
        <v>#N/A</v>
      </c>
      <c r="E9" s="43" t="e">
        <f ca="1">IFERROR(IF(ISNUMBER($C$9),INDEX('1.Locations'!$E$2:$E$97,$C$9 + 1),NA()),NA())</f>
        <v>#N/A</v>
      </c>
      <c r="F9" s="44" t="str">
        <f ca="1">IFERROR(IF(AND(ISNUMBER($C$9),$C$9&lt;=95),INDEX('2.Distances'!$C$2:$C$9218,$C$8*96+$C$9+ 1) +$F$8," ")," ")</f>
        <v xml:space="preserve"> </v>
      </c>
      <c r="G9" s="43" t="str">
        <f ca="1">IFERROR(IF(ISNUMBER($C$9),INDEX('1.Locations'!$J$2:$J$97,$C$9 + 1) +$G$8," ")," ")</f>
        <v xml:space="preserve"> </v>
      </c>
      <c r="H9" s="43" t="str">
        <f ca="1">IFERROR(IF(ISNUMBER($C$9),INDEX('1.Locations'!$K$2:$K$97,$C$9 + 1) +$H$8," ")," ")</f>
        <v xml:space="preserve"> </v>
      </c>
      <c r="I9" s="45" t="str">
        <f ca="1">IFERROR(IF(AND(ISNUMBER($C$9),$C$9&lt;=95),INDEX('2.Distances'!$D$2:$D$9218,$C$8*96+$C$9+ 1) +$I$8," ")," ")</f>
        <v xml:space="preserve"> </v>
      </c>
      <c r="J9" s="46" t="str">
        <f ca="1">IFERROR(IF(AND(ISNUMBER($C$9),$C$9&lt;=95),INDEX('2.Distances'!$D$2:$D$9218,$C$8*96+$C$9+ 1) +$K$8," ")," ")</f>
        <v xml:space="preserve"> </v>
      </c>
      <c r="K9" s="46" t="str">
        <f ca="1">IFERROR(IF(ISNUMBER($J$9),INDEX('1.Locations'!$I$2:$I$97,$C$9 + 1) + MAX($J$9,INDEX('1.Locations'!$F$2:$F$97,$C$9 + 1))," ")," ")</f>
        <v xml:space="preserve"> </v>
      </c>
      <c r="L9" s="45" t="str">
        <f ca="1">IFERROR($L$8 + INDEX('2.Distances'!$D$2:$D$9218,$C$8*96+$C$9+ 1) + INDEX('1.Locations'!$I$2:$I$97,$C$9 + 1)," ")</f>
        <v xml:space="preserve"> </v>
      </c>
      <c r="N9" s="24">
        <v>4</v>
      </c>
      <c r="O9" s="25"/>
      <c r="P9" s="43" t="str">
        <f ca="1">IFERROR(MATCH(INDIRECT("$O$9"),'1.Locations'!$B$2:$B$97, 0) - 1," ")</f>
        <v xml:space="preserve"> </v>
      </c>
      <c r="Q9" s="43" t="e">
        <f ca="1">IFERROR(IF(ISNUMBER($P$9),INDEX('1.Locations'!$D$2:$D$97,$P$9 + 1),NA()),NA())</f>
        <v>#N/A</v>
      </c>
      <c r="R9" s="43" t="e">
        <f ca="1">IFERROR(IF(ISNUMBER($P$9),INDEX('1.Locations'!$E$2:$E$97,$P$9 + 1),NA()),NA())</f>
        <v>#N/A</v>
      </c>
      <c r="S9" s="44" t="str">
        <f ca="1">IFERROR(IF(AND(ISNUMBER($P$9),$P$9&lt;=95),INDEX('2.Distances'!$C$2:$C$9218,$P$8*96+$P$9+ 1) +$S$8," ")," ")</f>
        <v xml:space="preserve"> </v>
      </c>
      <c r="T9" s="43" t="str">
        <f ca="1">IFERROR(IF(ISNUMBER($P$9),INDEX('1.Locations'!$J$2:$J$97,$P$9 + 1) +$T$8," ")," ")</f>
        <v xml:space="preserve"> </v>
      </c>
      <c r="U9" s="43" t="str">
        <f ca="1">IFERROR(IF(ISNUMBER($P$9),INDEX('1.Locations'!$K$2:$K$97,$P$9 + 1) +$U$8," ")," ")</f>
        <v xml:space="preserve"> </v>
      </c>
      <c r="V9" s="45" t="str">
        <f ca="1">IFERROR(IF(AND(ISNUMBER($P$9),$P$9&lt;=95),INDEX('2.Distances'!$D$2:$D$9218,$P$8*96+$P$9+ 1) +$V$8," ")," ")</f>
        <v xml:space="preserve"> </v>
      </c>
      <c r="W9" s="46" t="str">
        <f ca="1">IFERROR(IF(AND(ISNUMBER($P$9),$P$9&lt;=95),INDEX('2.Distances'!$D$2:$D$9218,$P$8*96+$P$9+ 1) +$X$8," ")," ")</f>
        <v xml:space="preserve"> </v>
      </c>
      <c r="X9" s="46" t="str">
        <f ca="1">IFERROR(IF(ISNUMBER($W$9),INDEX('1.Locations'!$I$2:$I$97,$P$9 + 1) + MAX($W$9,INDEX('1.Locations'!$F$2:$F$97,$P$9 + 1))," ")," ")</f>
        <v xml:space="preserve"> </v>
      </c>
      <c r="Y9" s="45" t="str">
        <f ca="1">IFERROR($Y$8 + INDEX('2.Distances'!$D$2:$D$9218,$P$8*96+$P$9+ 1) + INDEX('1.Locations'!$I$2:$I$97,$P$9 + 1)," ")</f>
        <v xml:space="preserve"> </v>
      </c>
      <c r="AA9" s="24">
        <v>4</v>
      </c>
      <c r="AB9" s="25"/>
      <c r="AC9" s="43" t="str">
        <f ca="1">IFERROR(MATCH(INDIRECT("$AB$9"),'1.Locations'!$B$2:$B$97, 0) - 1," ")</f>
        <v xml:space="preserve"> </v>
      </c>
      <c r="AD9" s="43" t="e">
        <f ca="1">IFERROR(IF(ISNUMBER($AC$9),INDEX('1.Locations'!$D$2:$D$97,$AC$9 + 1),NA()),NA())</f>
        <v>#N/A</v>
      </c>
      <c r="AE9" s="43" t="e">
        <f ca="1">IFERROR(IF(ISNUMBER($AC$9),INDEX('1.Locations'!$E$2:$E$97,$AC$9 + 1),NA()),NA())</f>
        <v>#N/A</v>
      </c>
      <c r="AF9" s="44" t="str">
        <f ca="1">IFERROR(IF(AND(ISNUMBER($AC$9),$AC$9&lt;=95),INDEX('2.Distances'!$C$2:$C$9218,$AC$8*96+$AC$9+ 1) +$AF$8," ")," ")</f>
        <v xml:space="preserve"> </v>
      </c>
      <c r="AG9" s="43" t="str">
        <f ca="1">IFERROR(IF(ISNUMBER($AC$9),INDEX('1.Locations'!$J$2:$J$97,$AC$9 + 1) +$AG$8," ")," ")</f>
        <v xml:space="preserve"> </v>
      </c>
      <c r="AH9" s="43" t="str">
        <f ca="1">IFERROR(IF(ISNUMBER($AC$9),INDEX('1.Locations'!$K$2:$K$97,$AC$9 + 1) +$AH$8," ")," ")</f>
        <v xml:space="preserve"> </v>
      </c>
      <c r="AI9" s="45" t="str">
        <f ca="1">IFERROR(IF(AND(ISNUMBER($AC$9),$AC$9&lt;=95),INDEX('2.Distances'!$D$2:$D$9218,$AC$8*96+$AC$9+ 1) +$AI$8," ")," ")</f>
        <v xml:space="preserve"> </v>
      </c>
      <c r="AJ9" s="46" t="str">
        <f ca="1">IFERROR(IF(AND(ISNUMBER($AC$9),$AC$9&lt;=95),INDEX('2.Distances'!$D$2:$D$9218,$AC$8*96+$AC$9+ 1) +$AK$8," ")," ")</f>
        <v xml:space="preserve"> </v>
      </c>
      <c r="AK9" s="46" t="str">
        <f ca="1">IFERROR(IF(ISNUMBER($AJ$9),INDEX('1.Locations'!$I$2:$I$97,$AC$9 + 1) + MAX($AJ$9,INDEX('1.Locations'!$F$2:$F$97,$AC$9 + 1))," ")," ")</f>
        <v xml:space="preserve"> </v>
      </c>
      <c r="AL9" s="45" t="str">
        <f ca="1">IFERROR($AL$8 + INDEX('2.Distances'!$D$2:$D$9218,$AC$8*96+$AC$9+ 1) + INDEX('1.Locations'!$I$2:$I$97,$AC$9 + 1)," ")</f>
        <v xml:space="preserve"> </v>
      </c>
      <c r="AN9" s="24">
        <v>4</v>
      </c>
      <c r="AO9" s="25"/>
      <c r="AP9" s="43" t="str">
        <f ca="1">IFERROR(MATCH(INDIRECT("$AO$9"),'1.Locations'!$B$2:$B$97, 0) - 1," ")</f>
        <v xml:space="preserve"> </v>
      </c>
      <c r="AQ9" s="43" t="e">
        <f ca="1">IFERROR(IF(ISNUMBER($AP$9),INDEX('1.Locations'!$D$2:$D$97,$AP$9 + 1),NA()),NA())</f>
        <v>#N/A</v>
      </c>
      <c r="AR9" s="43" t="e">
        <f ca="1">IFERROR(IF(ISNUMBER($AP$9),INDEX('1.Locations'!$E$2:$E$97,$AP$9 + 1),NA()),NA())</f>
        <v>#N/A</v>
      </c>
      <c r="AS9" s="44" t="str">
        <f ca="1">IFERROR(IF(AND(ISNUMBER($AP$9),$AP$9&lt;=95),INDEX('2.Distances'!$C$2:$C$9218,$AP$8*96+$AP$9+ 1) +$AS$8," ")," ")</f>
        <v xml:space="preserve"> </v>
      </c>
      <c r="AT9" s="43" t="str">
        <f ca="1">IFERROR(IF(ISNUMBER($AP$9),INDEX('1.Locations'!$J$2:$J$97,$AP$9 + 1) +$AT$8," ")," ")</f>
        <v xml:space="preserve"> </v>
      </c>
      <c r="AU9" s="43" t="str">
        <f ca="1">IFERROR(IF(ISNUMBER($AP$9),INDEX('1.Locations'!$K$2:$K$97,$AP$9 + 1) +$AU$8," ")," ")</f>
        <v xml:space="preserve"> </v>
      </c>
      <c r="AV9" s="45" t="str">
        <f ca="1">IFERROR(IF(AND(ISNUMBER($AP$9),$AP$9&lt;=95),INDEX('2.Distances'!$D$2:$D$9218,$AP$8*96+$AP$9+ 1) +$AV$8," ")," ")</f>
        <v xml:space="preserve"> </v>
      </c>
      <c r="AW9" s="46" t="str">
        <f ca="1">IFERROR(IF(AND(ISNUMBER($AP$9),$AP$9&lt;=95),INDEX('2.Distances'!$D$2:$D$9218,$AP$8*96+$AP$9+ 1) +$AX$8," ")," ")</f>
        <v xml:space="preserve"> </v>
      </c>
      <c r="AX9" s="46" t="str">
        <f ca="1">IFERROR(IF(ISNUMBER($AW$9),INDEX('1.Locations'!$I$2:$I$97,$AP$9 + 1) + MAX($AW$9,INDEX('1.Locations'!$F$2:$F$97,$AP$9 + 1))," ")," ")</f>
        <v xml:space="preserve"> </v>
      </c>
      <c r="AY9" s="45" t="str">
        <f ca="1">IFERROR($AY$8 + INDEX('2.Distances'!$D$2:$D$9218,$AP$8*96+$AP$9+ 1) + INDEX('1.Locations'!$I$2:$I$97,$AP$9 + 1)," ")</f>
        <v xml:space="preserve"> </v>
      </c>
      <c r="BA9" s="24">
        <v>4</v>
      </c>
      <c r="BB9" s="25"/>
      <c r="BC9" s="43" t="str">
        <f ca="1">IFERROR(MATCH(INDIRECT("$BB$9"),'1.Locations'!$B$2:$B$97, 0) - 1," ")</f>
        <v xml:space="preserve"> </v>
      </c>
      <c r="BD9" s="43" t="e">
        <f ca="1">IFERROR(IF(ISNUMBER($BC$9),INDEX('1.Locations'!$D$2:$D$97,$BC$9 + 1),NA()),NA())</f>
        <v>#N/A</v>
      </c>
      <c r="BE9" s="43" t="e">
        <f ca="1">IFERROR(IF(ISNUMBER($BC$9),INDEX('1.Locations'!$E$2:$E$97,$BC$9 + 1),NA()),NA())</f>
        <v>#N/A</v>
      </c>
      <c r="BF9" s="44" t="str">
        <f ca="1">IFERROR(IF(AND(ISNUMBER($BC$9),$BC$9&lt;=95),INDEX('2.Distances'!$C$2:$C$9218,$BC$8*96+$BC$9+ 1) +$BF$8," ")," ")</f>
        <v xml:space="preserve"> </v>
      </c>
      <c r="BG9" s="43" t="str">
        <f ca="1">IFERROR(IF(ISNUMBER($BC$9),INDEX('1.Locations'!$J$2:$J$97,$BC$9 + 1) +$BG$8," ")," ")</f>
        <v xml:space="preserve"> </v>
      </c>
      <c r="BH9" s="43" t="str">
        <f ca="1">IFERROR(IF(ISNUMBER($BC$9),INDEX('1.Locations'!$K$2:$K$97,$BC$9 + 1) +$BH$8," ")," ")</f>
        <v xml:space="preserve"> </v>
      </c>
      <c r="BI9" s="45" t="str">
        <f ca="1">IFERROR(IF(AND(ISNUMBER($BC$9),$BC$9&lt;=95),INDEX('2.Distances'!$D$2:$D$9218,$BC$8*96+$BC$9+ 1) +$BI$8," ")," ")</f>
        <v xml:space="preserve"> </v>
      </c>
      <c r="BJ9" s="46" t="str">
        <f ca="1">IFERROR(IF(AND(ISNUMBER($BC$9),$BC$9&lt;=95),INDEX('2.Distances'!$D$2:$D$9218,$BC$8*96+$BC$9+ 1) +$BK$8," ")," ")</f>
        <v xml:space="preserve"> </v>
      </c>
      <c r="BK9" s="46" t="str">
        <f ca="1">IFERROR(IF(ISNUMBER($BJ$9),INDEX('1.Locations'!$I$2:$I$97,$BC$9 + 1) + MAX($BJ$9,INDEX('1.Locations'!$F$2:$F$97,$BC$9 + 1))," ")," ")</f>
        <v xml:space="preserve"> </v>
      </c>
      <c r="BL9" s="45" t="str">
        <f ca="1">IFERROR($BL$8 + INDEX('2.Distances'!$D$2:$D$9218,$BC$8*96+$BC$9+ 1) + INDEX('1.Locations'!$I$2:$I$97,$BC$9 + 1)," ")</f>
        <v xml:space="preserve"> </v>
      </c>
      <c r="BN9" s="24">
        <v>4</v>
      </c>
      <c r="BO9" s="25"/>
      <c r="BP9" s="43" t="str">
        <f ca="1">IFERROR(MATCH(INDIRECT("$BO$9"),'1.Locations'!$B$2:$B$97, 0) - 1," ")</f>
        <v xml:space="preserve"> </v>
      </c>
      <c r="BQ9" s="43" t="e">
        <f ca="1">IFERROR(IF(ISNUMBER($BP$9),INDEX('1.Locations'!$D$2:$D$97,$BP$9 + 1),NA()),NA())</f>
        <v>#N/A</v>
      </c>
      <c r="BR9" s="43" t="e">
        <f ca="1">IFERROR(IF(ISNUMBER($BP$9),INDEX('1.Locations'!$E$2:$E$97,$BP$9 + 1),NA()),NA())</f>
        <v>#N/A</v>
      </c>
      <c r="BS9" s="44" t="str">
        <f ca="1">IFERROR(IF(AND(ISNUMBER($BP$9),$BP$9&lt;=95),INDEX('2.Distances'!$C$2:$C$9218,$BP$8*96+$BP$9+ 1) +$BS$8," ")," ")</f>
        <v xml:space="preserve"> </v>
      </c>
      <c r="BT9" s="43" t="str">
        <f ca="1">IFERROR(IF(ISNUMBER($BP$9),INDEX('1.Locations'!$J$2:$J$97,$BP$9 + 1) +$BT$8," ")," ")</f>
        <v xml:space="preserve"> </v>
      </c>
      <c r="BU9" s="43" t="str">
        <f ca="1">IFERROR(IF(ISNUMBER($BP$9),INDEX('1.Locations'!$K$2:$K$97,$BP$9 + 1) +$BU$8," ")," ")</f>
        <v xml:space="preserve"> </v>
      </c>
      <c r="BV9" s="45" t="str">
        <f ca="1">IFERROR(IF(AND(ISNUMBER($BP$9),$BP$9&lt;=95),INDEX('2.Distances'!$D$2:$D$9218,$BP$8*96+$BP$9+ 1) +$BV$8," ")," ")</f>
        <v xml:space="preserve"> </v>
      </c>
      <c r="BW9" s="46" t="str">
        <f ca="1">IFERROR(IF(AND(ISNUMBER($BP$9),$BP$9&lt;=95),INDEX('2.Distances'!$D$2:$D$9218,$BP$8*96+$BP$9+ 1) +$BX$8," ")," ")</f>
        <v xml:space="preserve"> </v>
      </c>
      <c r="BX9" s="46" t="str">
        <f ca="1">IFERROR(IF(ISNUMBER($BW$9),INDEX('1.Locations'!$I$2:$I$97,$BP$9 + 1) + MAX($BW$9,INDEX('1.Locations'!$F$2:$F$97,$BP$9 + 1))," ")," ")</f>
        <v xml:space="preserve"> </v>
      </c>
      <c r="BY9" s="45" t="str">
        <f ca="1">IFERROR($BY$8 + INDEX('2.Distances'!$D$2:$D$9218,$BP$8*96+$BP$9+ 1) + INDEX('1.Locations'!$I$2:$I$97,$BP$9 + 1)," ")</f>
        <v xml:space="preserve"> </v>
      </c>
      <c r="CA9" s="24">
        <v>4</v>
      </c>
      <c r="CB9" s="25"/>
      <c r="CC9" s="43" t="str">
        <f ca="1">IFERROR(MATCH(INDIRECT("$CB$9"),'1.Locations'!$B$2:$B$97, 0) - 1," ")</f>
        <v xml:space="preserve"> </v>
      </c>
      <c r="CD9" s="43" t="e">
        <f ca="1">IFERROR(IF(ISNUMBER($CC$9),INDEX('1.Locations'!$D$2:$D$97,$CC$9 + 1),NA()),NA())</f>
        <v>#N/A</v>
      </c>
      <c r="CE9" s="43" t="e">
        <f ca="1">IFERROR(IF(ISNUMBER($CC$9),INDEX('1.Locations'!$E$2:$E$97,$CC$9 + 1),NA()),NA())</f>
        <v>#N/A</v>
      </c>
      <c r="CF9" s="44" t="str">
        <f ca="1">IFERROR(IF(AND(ISNUMBER($CC$9),$CC$9&lt;=95),INDEX('2.Distances'!$C$2:$C$9218,$CC$8*96+$CC$9+ 1) +$CF$8," ")," ")</f>
        <v xml:space="preserve"> </v>
      </c>
      <c r="CG9" s="43" t="str">
        <f ca="1">IFERROR(IF(ISNUMBER($CC$9),INDEX('1.Locations'!$J$2:$J$97,$CC$9 + 1) +$CG$8," ")," ")</f>
        <v xml:space="preserve"> </v>
      </c>
      <c r="CH9" s="43" t="str">
        <f ca="1">IFERROR(IF(ISNUMBER($CC$9),INDEX('1.Locations'!$K$2:$K$97,$CC$9 + 1) +$CH$8," ")," ")</f>
        <v xml:space="preserve"> </v>
      </c>
      <c r="CI9" s="45" t="str">
        <f ca="1">IFERROR(IF(AND(ISNUMBER($CC$9),$CC$9&lt;=95),INDEX('2.Distances'!$D$2:$D$9218,$CC$8*96+$CC$9+ 1) +$CI$8," ")," ")</f>
        <v xml:space="preserve"> </v>
      </c>
      <c r="CJ9" s="46" t="str">
        <f ca="1">IFERROR(IF(AND(ISNUMBER($CC$9),$CC$9&lt;=95),INDEX('2.Distances'!$D$2:$D$9218,$CC$8*96+$CC$9+ 1) +$CK$8," ")," ")</f>
        <v xml:space="preserve"> </v>
      </c>
      <c r="CK9" s="46" t="str">
        <f ca="1">IFERROR(IF(ISNUMBER($CJ$9),INDEX('1.Locations'!$I$2:$I$97,$CC$9 + 1) + MAX($CJ$9,INDEX('1.Locations'!$F$2:$F$97,$CC$9 + 1))," ")," ")</f>
        <v xml:space="preserve"> </v>
      </c>
      <c r="CL9" s="45" t="str">
        <f ca="1">IFERROR($CL$8 + INDEX('2.Distances'!$D$2:$D$9218,$CC$8*96+$CC$9+ 1) + INDEX('1.Locations'!$I$2:$I$97,$CC$9 + 1)," ")</f>
        <v xml:space="preserve"> </v>
      </c>
    </row>
    <row r="10" spans="1:90" x14ac:dyDescent="0.25">
      <c r="A10" s="24">
        <v>5</v>
      </c>
      <c r="B10" s="25"/>
      <c r="C10" s="43" t="str">
        <f ca="1">IFERROR(MATCH(INDIRECT("$B$10"),'1.Locations'!$B$2:$B$97, 0) - 1," ")</f>
        <v xml:space="preserve"> </v>
      </c>
      <c r="D10" s="43" t="e">
        <f ca="1">IFERROR(IF(ISNUMBER($C$10),INDEX('1.Locations'!$D$2:$D$97,$C$10 + 1),NA()),NA())</f>
        <v>#N/A</v>
      </c>
      <c r="E10" s="43" t="e">
        <f ca="1">IFERROR(IF(ISNUMBER($C$10),INDEX('1.Locations'!$E$2:$E$97,$C$10 + 1),NA()),NA())</f>
        <v>#N/A</v>
      </c>
      <c r="F10" s="44" t="str">
        <f ca="1">IFERROR(IF(AND(ISNUMBER($C$10),$C$10&lt;=95),INDEX('2.Distances'!$C$2:$C$9218,$C$9*96+$C$10+ 1) +$F$9," ")," ")</f>
        <v xml:space="preserve"> </v>
      </c>
      <c r="G10" s="43" t="str">
        <f ca="1">IFERROR(IF(ISNUMBER($C$10),INDEX('1.Locations'!$J$2:$J$97,$C$10 + 1) +$G$9," ")," ")</f>
        <v xml:space="preserve"> </v>
      </c>
      <c r="H10" s="43" t="str">
        <f ca="1">IFERROR(IF(ISNUMBER($C$10),INDEX('1.Locations'!$K$2:$K$97,$C$10 + 1) +$H$9," ")," ")</f>
        <v xml:space="preserve"> </v>
      </c>
      <c r="I10" s="45" t="str">
        <f ca="1">IFERROR(IF(AND(ISNUMBER($C$10),$C$10&lt;=95),INDEX('2.Distances'!$D$2:$D$9218,$C$9*96+$C$10+ 1) +$I$9," ")," ")</f>
        <v xml:space="preserve"> </v>
      </c>
      <c r="J10" s="46" t="str">
        <f ca="1">IFERROR(IF(AND(ISNUMBER($C$10),$C$10&lt;=95),INDEX('2.Distances'!$D$2:$D$9218,$C$9*96+$C$10+ 1) +$K$9," ")," ")</f>
        <v xml:space="preserve"> </v>
      </c>
      <c r="K10" s="46" t="str">
        <f ca="1">IFERROR(IF(ISNUMBER($J$10),INDEX('1.Locations'!$I$2:$I$97,$C$10 + 1) + MAX($J$10,INDEX('1.Locations'!$F$2:$F$97,$C$10 + 1))," ")," ")</f>
        <v xml:space="preserve"> </v>
      </c>
      <c r="L10" s="45" t="str">
        <f ca="1">IFERROR($L$9 + INDEX('2.Distances'!$D$2:$D$9218,$C$9*96+$C$10+ 1) + INDEX('1.Locations'!$I$2:$I$97,$C$10 + 1)," ")</f>
        <v xml:space="preserve"> </v>
      </c>
      <c r="N10" s="24">
        <v>5</v>
      </c>
      <c r="O10" s="25"/>
      <c r="P10" s="43" t="str">
        <f ca="1">IFERROR(MATCH(INDIRECT("$O$10"),'1.Locations'!$B$2:$B$97, 0) - 1," ")</f>
        <v xml:space="preserve"> </v>
      </c>
      <c r="Q10" s="43" t="e">
        <f ca="1">IFERROR(IF(ISNUMBER($P$10),INDEX('1.Locations'!$D$2:$D$97,$P$10 + 1),NA()),NA())</f>
        <v>#N/A</v>
      </c>
      <c r="R10" s="43" t="e">
        <f ca="1">IFERROR(IF(ISNUMBER($P$10),INDEX('1.Locations'!$E$2:$E$97,$P$10 + 1),NA()),NA())</f>
        <v>#N/A</v>
      </c>
      <c r="S10" s="44" t="str">
        <f ca="1">IFERROR(IF(AND(ISNUMBER($P$10),$P$10&lt;=95),INDEX('2.Distances'!$C$2:$C$9218,$P$9*96+$P$10+ 1) +$S$9," ")," ")</f>
        <v xml:space="preserve"> </v>
      </c>
      <c r="T10" s="43" t="str">
        <f ca="1">IFERROR(IF(ISNUMBER($P$10),INDEX('1.Locations'!$J$2:$J$97,$P$10 + 1) +$T$9," ")," ")</f>
        <v xml:space="preserve"> </v>
      </c>
      <c r="U10" s="43" t="str">
        <f ca="1">IFERROR(IF(ISNUMBER($P$10),INDEX('1.Locations'!$K$2:$K$97,$P$10 + 1) +$U$9," ")," ")</f>
        <v xml:space="preserve"> </v>
      </c>
      <c r="V10" s="45" t="str">
        <f ca="1">IFERROR(IF(AND(ISNUMBER($P$10),$P$10&lt;=95),INDEX('2.Distances'!$D$2:$D$9218,$P$9*96+$P$10+ 1) +$V$9," ")," ")</f>
        <v xml:space="preserve"> </v>
      </c>
      <c r="W10" s="46" t="str">
        <f ca="1">IFERROR(IF(AND(ISNUMBER($P$10),$P$10&lt;=95),INDEX('2.Distances'!$D$2:$D$9218,$P$9*96+$P$10+ 1) +$X$9," ")," ")</f>
        <v xml:space="preserve"> </v>
      </c>
      <c r="X10" s="46" t="str">
        <f ca="1">IFERROR(IF(ISNUMBER($W$10),INDEX('1.Locations'!$I$2:$I$97,$P$10 + 1) + MAX($W$10,INDEX('1.Locations'!$F$2:$F$97,$P$10 + 1))," ")," ")</f>
        <v xml:space="preserve"> </v>
      </c>
      <c r="Y10" s="45" t="str">
        <f ca="1">IFERROR($Y$9 + INDEX('2.Distances'!$D$2:$D$9218,$P$9*96+$P$10+ 1) + INDEX('1.Locations'!$I$2:$I$97,$P$10 + 1)," ")</f>
        <v xml:space="preserve"> </v>
      </c>
      <c r="AA10" s="24">
        <v>5</v>
      </c>
      <c r="AB10" s="25"/>
      <c r="AC10" s="43" t="str">
        <f ca="1">IFERROR(MATCH(INDIRECT("$AB$10"),'1.Locations'!$B$2:$B$97, 0) - 1," ")</f>
        <v xml:space="preserve"> </v>
      </c>
      <c r="AD10" s="43" t="e">
        <f ca="1">IFERROR(IF(ISNUMBER($AC$10),INDEX('1.Locations'!$D$2:$D$97,$AC$10 + 1),NA()),NA())</f>
        <v>#N/A</v>
      </c>
      <c r="AE10" s="43" t="e">
        <f ca="1">IFERROR(IF(ISNUMBER($AC$10),INDEX('1.Locations'!$E$2:$E$97,$AC$10 + 1),NA()),NA())</f>
        <v>#N/A</v>
      </c>
      <c r="AF10" s="44" t="str">
        <f ca="1">IFERROR(IF(AND(ISNUMBER($AC$10),$AC$10&lt;=95),INDEX('2.Distances'!$C$2:$C$9218,$AC$9*96+$AC$10+ 1) +$AF$9," ")," ")</f>
        <v xml:space="preserve"> </v>
      </c>
      <c r="AG10" s="43" t="str">
        <f ca="1">IFERROR(IF(ISNUMBER($AC$10),INDEX('1.Locations'!$J$2:$J$97,$AC$10 + 1) +$AG$9," ")," ")</f>
        <v xml:space="preserve"> </v>
      </c>
      <c r="AH10" s="43" t="str">
        <f ca="1">IFERROR(IF(ISNUMBER($AC$10),INDEX('1.Locations'!$K$2:$K$97,$AC$10 + 1) +$AH$9," ")," ")</f>
        <v xml:space="preserve"> </v>
      </c>
      <c r="AI10" s="45" t="str">
        <f ca="1">IFERROR(IF(AND(ISNUMBER($AC$10),$AC$10&lt;=95),INDEX('2.Distances'!$D$2:$D$9218,$AC$9*96+$AC$10+ 1) +$AI$9," ")," ")</f>
        <v xml:space="preserve"> </v>
      </c>
      <c r="AJ10" s="46" t="str">
        <f ca="1">IFERROR(IF(AND(ISNUMBER($AC$10),$AC$10&lt;=95),INDEX('2.Distances'!$D$2:$D$9218,$AC$9*96+$AC$10+ 1) +$AK$9," ")," ")</f>
        <v xml:space="preserve"> </v>
      </c>
      <c r="AK10" s="46" t="str">
        <f ca="1">IFERROR(IF(ISNUMBER($AJ$10),INDEX('1.Locations'!$I$2:$I$97,$AC$10 + 1) + MAX($AJ$10,INDEX('1.Locations'!$F$2:$F$97,$AC$10 + 1))," ")," ")</f>
        <v xml:space="preserve"> </v>
      </c>
      <c r="AL10" s="45" t="str">
        <f ca="1">IFERROR($AL$9 + INDEX('2.Distances'!$D$2:$D$9218,$AC$9*96+$AC$10+ 1) + INDEX('1.Locations'!$I$2:$I$97,$AC$10 + 1)," ")</f>
        <v xml:space="preserve"> </v>
      </c>
      <c r="AN10" s="24">
        <v>5</v>
      </c>
      <c r="AO10" s="25"/>
      <c r="AP10" s="43" t="str">
        <f ca="1">IFERROR(MATCH(INDIRECT("$AO$10"),'1.Locations'!$B$2:$B$97, 0) - 1," ")</f>
        <v xml:space="preserve"> </v>
      </c>
      <c r="AQ10" s="43" t="e">
        <f ca="1">IFERROR(IF(ISNUMBER($AP$10),INDEX('1.Locations'!$D$2:$D$97,$AP$10 + 1),NA()),NA())</f>
        <v>#N/A</v>
      </c>
      <c r="AR10" s="43" t="e">
        <f ca="1">IFERROR(IF(ISNUMBER($AP$10),INDEX('1.Locations'!$E$2:$E$97,$AP$10 + 1),NA()),NA())</f>
        <v>#N/A</v>
      </c>
      <c r="AS10" s="44" t="str">
        <f ca="1">IFERROR(IF(AND(ISNUMBER($AP$10),$AP$10&lt;=95),INDEX('2.Distances'!$C$2:$C$9218,$AP$9*96+$AP$10+ 1) +$AS$9," ")," ")</f>
        <v xml:space="preserve"> </v>
      </c>
      <c r="AT10" s="43" t="str">
        <f ca="1">IFERROR(IF(ISNUMBER($AP$10),INDEX('1.Locations'!$J$2:$J$97,$AP$10 + 1) +$AT$9," ")," ")</f>
        <v xml:space="preserve"> </v>
      </c>
      <c r="AU10" s="43" t="str">
        <f ca="1">IFERROR(IF(ISNUMBER($AP$10),INDEX('1.Locations'!$K$2:$K$97,$AP$10 + 1) +$AU$9," ")," ")</f>
        <v xml:space="preserve"> </v>
      </c>
      <c r="AV10" s="45" t="str">
        <f ca="1">IFERROR(IF(AND(ISNUMBER($AP$10),$AP$10&lt;=95),INDEX('2.Distances'!$D$2:$D$9218,$AP$9*96+$AP$10+ 1) +$AV$9," ")," ")</f>
        <v xml:space="preserve"> </v>
      </c>
      <c r="AW10" s="46" t="str">
        <f ca="1">IFERROR(IF(AND(ISNUMBER($AP$10),$AP$10&lt;=95),INDEX('2.Distances'!$D$2:$D$9218,$AP$9*96+$AP$10+ 1) +$AX$9," ")," ")</f>
        <v xml:space="preserve"> </v>
      </c>
      <c r="AX10" s="46" t="str">
        <f ca="1">IFERROR(IF(ISNUMBER($AW$10),INDEX('1.Locations'!$I$2:$I$97,$AP$10 + 1) + MAX($AW$10,INDEX('1.Locations'!$F$2:$F$97,$AP$10 + 1))," ")," ")</f>
        <v xml:space="preserve"> </v>
      </c>
      <c r="AY10" s="45" t="str">
        <f ca="1">IFERROR($AY$9 + INDEX('2.Distances'!$D$2:$D$9218,$AP$9*96+$AP$10+ 1) + INDEX('1.Locations'!$I$2:$I$97,$AP$10 + 1)," ")</f>
        <v xml:space="preserve"> </v>
      </c>
      <c r="BA10" s="24">
        <v>5</v>
      </c>
      <c r="BB10" s="25"/>
      <c r="BC10" s="43" t="str">
        <f ca="1">IFERROR(MATCH(INDIRECT("$BB$10"),'1.Locations'!$B$2:$B$97, 0) - 1," ")</f>
        <v xml:space="preserve"> </v>
      </c>
      <c r="BD10" s="43" t="e">
        <f ca="1">IFERROR(IF(ISNUMBER($BC$10),INDEX('1.Locations'!$D$2:$D$97,$BC$10 + 1),NA()),NA())</f>
        <v>#N/A</v>
      </c>
      <c r="BE10" s="43" t="e">
        <f ca="1">IFERROR(IF(ISNUMBER($BC$10),INDEX('1.Locations'!$E$2:$E$97,$BC$10 + 1),NA()),NA())</f>
        <v>#N/A</v>
      </c>
      <c r="BF10" s="44" t="str">
        <f ca="1">IFERROR(IF(AND(ISNUMBER($BC$10),$BC$10&lt;=95),INDEX('2.Distances'!$C$2:$C$9218,$BC$9*96+$BC$10+ 1) +$BF$9," ")," ")</f>
        <v xml:space="preserve"> </v>
      </c>
      <c r="BG10" s="43" t="str">
        <f ca="1">IFERROR(IF(ISNUMBER($BC$10),INDEX('1.Locations'!$J$2:$J$97,$BC$10 + 1) +$BG$9," ")," ")</f>
        <v xml:space="preserve"> </v>
      </c>
      <c r="BH10" s="43" t="str">
        <f ca="1">IFERROR(IF(ISNUMBER($BC$10),INDEX('1.Locations'!$K$2:$K$97,$BC$10 + 1) +$BH$9," ")," ")</f>
        <v xml:space="preserve"> </v>
      </c>
      <c r="BI10" s="45" t="str">
        <f ca="1">IFERROR(IF(AND(ISNUMBER($BC$10),$BC$10&lt;=95),INDEX('2.Distances'!$D$2:$D$9218,$BC$9*96+$BC$10+ 1) +$BI$9," ")," ")</f>
        <v xml:space="preserve"> </v>
      </c>
      <c r="BJ10" s="46" t="str">
        <f ca="1">IFERROR(IF(AND(ISNUMBER($BC$10),$BC$10&lt;=95),INDEX('2.Distances'!$D$2:$D$9218,$BC$9*96+$BC$10+ 1) +$BK$9," ")," ")</f>
        <v xml:space="preserve"> </v>
      </c>
      <c r="BK10" s="46" t="str">
        <f ca="1">IFERROR(IF(ISNUMBER($BJ$10),INDEX('1.Locations'!$I$2:$I$97,$BC$10 + 1) + MAX($BJ$10,INDEX('1.Locations'!$F$2:$F$97,$BC$10 + 1))," ")," ")</f>
        <v xml:space="preserve"> </v>
      </c>
      <c r="BL10" s="45" t="str">
        <f ca="1">IFERROR($BL$9 + INDEX('2.Distances'!$D$2:$D$9218,$BC$9*96+$BC$10+ 1) + INDEX('1.Locations'!$I$2:$I$97,$BC$10 + 1)," ")</f>
        <v xml:space="preserve"> </v>
      </c>
      <c r="BN10" s="24">
        <v>5</v>
      </c>
      <c r="BO10" s="25"/>
      <c r="BP10" s="43" t="str">
        <f ca="1">IFERROR(MATCH(INDIRECT("$BO$10"),'1.Locations'!$B$2:$B$97, 0) - 1," ")</f>
        <v xml:space="preserve"> </v>
      </c>
      <c r="BQ10" s="43" t="e">
        <f ca="1">IFERROR(IF(ISNUMBER($BP$10),INDEX('1.Locations'!$D$2:$D$97,$BP$10 + 1),NA()),NA())</f>
        <v>#N/A</v>
      </c>
      <c r="BR10" s="43" t="e">
        <f ca="1">IFERROR(IF(ISNUMBER($BP$10),INDEX('1.Locations'!$E$2:$E$97,$BP$10 + 1),NA()),NA())</f>
        <v>#N/A</v>
      </c>
      <c r="BS10" s="44" t="str">
        <f ca="1">IFERROR(IF(AND(ISNUMBER($BP$10),$BP$10&lt;=95),INDEX('2.Distances'!$C$2:$C$9218,$BP$9*96+$BP$10+ 1) +$BS$9," ")," ")</f>
        <v xml:space="preserve"> </v>
      </c>
      <c r="BT10" s="43" t="str">
        <f ca="1">IFERROR(IF(ISNUMBER($BP$10),INDEX('1.Locations'!$J$2:$J$97,$BP$10 + 1) +$BT$9," ")," ")</f>
        <v xml:space="preserve"> </v>
      </c>
      <c r="BU10" s="43" t="str">
        <f ca="1">IFERROR(IF(ISNUMBER($BP$10),INDEX('1.Locations'!$K$2:$K$97,$BP$10 + 1) +$BU$9," ")," ")</f>
        <v xml:space="preserve"> </v>
      </c>
      <c r="BV10" s="45" t="str">
        <f ca="1">IFERROR(IF(AND(ISNUMBER($BP$10),$BP$10&lt;=95),INDEX('2.Distances'!$D$2:$D$9218,$BP$9*96+$BP$10+ 1) +$BV$9," ")," ")</f>
        <v xml:space="preserve"> </v>
      </c>
      <c r="BW10" s="46" t="str">
        <f ca="1">IFERROR(IF(AND(ISNUMBER($BP$10),$BP$10&lt;=95),INDEX('2.Distances'!$D$2:$D$9218,$BP$9*96+$BP$10+ 1) +$BX$9," ")," ")</f>
        <v xml:space="preserve"> </v>
      </c>
      <c r="BX10" s="46" t="str">
        <f ca="1">IFERROR(IF(ISNUMBER($BW$10),INDEX('1.Locations'!$I$2:$I$97,$BP$10 + 1) + MAX($BW$10,INDEX('1.Locations'!$F$2:$F$97,$BP$10 + 1))," ")," ")</f>
        <v xml:space="preserve"> </v>
      </c>
      <c r="BY10" s="45" t="str">
        <f ca="1">IFERROR($BY$9 + INDEX('2.Distances'!$D$2:$D$9218,$BP$9*96+$BP$10+ 1) + INDEX('1.Locations'!$I$2:$I$97,$BP$10 + 1)," ")</f>
        <v xml:space="preserve"> </v>
      </c>
      <c r="CA10" s="24">
        <v>5</v>
      </c>
      <c r="CB10" s="25"/>
      <c r="CC10" s="43" t="str">
        <f ca="1">IFERROR(MATCH(INDIRECT("$CB$10"),'1.Locations'!$B$2:$B$97, 0) - 1," ")</f>
        <v xml:space="preserve"> </v>
      </c>
      <c r="CD10" s="43" t="e">
        <f ca="1">IFERROR(IF(ISNUMBER($CC$10),INDEX('1.Locations'!$D$2:$D$97,$CC$10 + 1),NA()),NA())</f>
        <v>#N/A</v>
      </c>
      <c r="CE10" s="43" t="e">
        <f ca="1">IFERROR(IF(ISNUMBER($CC$10),INDEX('1.Locations'!$E$2:$E$97,$CC$10 + 1),NA()),NA())</f>
        <v>#N/A</v>
      </c>
      <c r="CF10" s="44" t="str">
        <f ca="1">IFERROR(IF(AND(ISNUMBER($CC$10),$CC$10&lt;=95),INDEX('2.Distances'!$C$2:$C$9218,$CC$9*96+$CC$10+ 1) +$CF$9," ")," ")</f>
        <v xml:space="preserve"> </v>
      </c>
      <c r="CG10" s="43" t="str">
        <f ca="1">IFERROR(IF(ISNUMBER($CC$10),INDEX('1.Locations'!$J$2:$J$97,$CC$10 + 1) +$CG$9," ")," ")</f>
        <v xml:space="preserve"> </v>
      </c>
      <c r="CH10" s="43" t="str">
        <f ca="1">IFERROR(IF(ISNUMBER($CC$10),INDEX('1.Locations'!$K$2:$K$97,$CC$10 + 1) +$CH$9," ")," ")</f>
        <v xml:space="preserve"> </v>
      </c>
      <c r="CI10" s="45" t="str">
        <f ca="1">IFERROR(IF(AND(ISNUMBER($CC$10),$CC$10&lt;=95),INDEX('2.Distances'!$D$2:$D$9218,$CC$9*96+$CC$10+ 1) +$CI$9," ")," ")</f>
        <v xml:space="preserve"> </v>
      </c>
      <c r="CJ10" s="46" t="str">
        <f ca="1">IFERROR(IF(AND(ISNUMBER($CC$10),$CC$10&lt;=95),INDEX('2.Distances'!$D$2:$D$9218,$CC$9*96+$CC$10+ 1) +$CK$9," ")," ")</f>
        <v xml:space="preserve"> </v>
      </c>
      <c r="CK10" s="46" t="str">
        <f ca="1">IFERROR(IF(ISNUMBER($CJ$10),INDEX('1.Locations'!$I$2:$I$97,$CC$10 + 1) + MAX($CJ$10,INDEX('1.Locations'!$F$2:$F$97,$CC$10 + 1))," ")," ")</f>
        <v xml:space="preserve"> </v>
      </c>
      <c r="CL10" s="45" t="str">
        <f ca="1">IFERROR($CL$9 + INDEX('2.Distances'!$D$2:$D$9218,$CC$9*96+$CC$10+ 1) + INDEX('1.Locations'!$I$2:$I$97,$CC$10 + 1)," ")</f>
        <v xml:space="preserve"> </v>
      </c>
    </row>
    <row r="11" spans="1:90" x14ac:dyDescent="0.25">
      <c r="A11" s="24">
        <v>6</v>
      </c>
      <c r="B11" s="25"/>
      <c r="C11" s="43" t="str">
        <f ca="1">IFERROR(MATCH(INDIRECT("$B$11"),'1.Locations'!$B$2:$B$97, 0) - 1," ")</f>
        <v xml:space="preserve"> </v>
      </c>
      <c r="D11" s="43" t="e">
        <f ca="1">IFERROR(IF(ISNUMBER($C$11),INDEX('1.Locations'!$D$2:$D$97,$C$11 + 1),NA()),NA())</f>
        <v>#N/A</v>
      </c>
      <c r="E11" s="43" t="e">
        <f ca="1">IFERROR(IF(ISNUMBER($C$11),INDEX('1.Locations'!$E$2:$E$97,$C$11 + 1),NA()),NA())</f>
        <v>#N/A</v>
      </c>
      <c r="F11" s="44" t="str">
        <f ca="1">IFERROR(IF(AND(ISNUMBER($C$11),$C$11&lt;=95),INDEX('2.Distances'!$C$2:$C$9218,$C$10*96+$C$11+ 1) +$F$10," ")," ")</f>
        <v xml:space="preserve"> </v>
      </c>
      <c r="G11" s="43" t="str">
        <f ca="1">IFERROR(IF(ISNUMBER($C$11),INDEX('1.Locations'!$J$2:$J$97,$C$11 + 1) +$G$10," ")," ")</f>
        <v xml:space="preserve"> </v>
      </c>
      <c r="H11" s="43" t="str">
        <f ca="1">IFERROR(IF(ISNUMBER($C$11),INDEX('1.Locations'!$K$2:$K$97,$C$11 + 1) +$H$10," ")," ")</f>
        <v xml:space="preserve"> </v>
      </c>
      <c r="I11" s="45" t="str">
        <f ca="1">IFERROR(IF(AND(ISNUMBER($C$11),$C$11&lt;=95),INDEX('2.Distances'!$D$2:$D$9218,$C$10*96+$C$11+ 1) +$I$10," ")," ")</f>
        <v xml:space="preserve"> </v>
      </c>
      <c r="J11" s="46" t="str">
        <f ca="1">IFERROR(IF(AND(ISNUMBER($C$11),$C$11&lt;=95),INDEX('2.Distances'!$D$2:$D$9218,$C$10*96+$C$11+ 1) +$K$10," ")," ")</f>
        <v xml:space="preserve"> </v>
      </c>
      <c r="K11" s="46" t="str">
        <f ca="1">IFERROR(IF(ISNUMBER($J$11),INDEX('1.Locations'!$I$2:$I$97,$C$11 + 1) + MAX($J$11,INDEX('1.Locations'!$F$2:$F$97,$C$11 + 1))," ")," ")</f>
        <v xml:space="preserve"> </v>
      </c>
      <c r="L11" s="45" t="str">
        <f ca="1">IFERROR($L$10 + INDEX('2.Distances'!$D$2:$D$9218,$C$10*96+$C$11+ 1) + INDEX('1.Locations'!$I$2:$I$97,$C$11 + 1)," ")</f>
        <v xml:space="preserve"> </v>
      </c>
      <c r="N11" s="24">
        <v>6</v>
      </c>
      <c r="O11" s="25"/>
      <c r="P11" s="43" t="str">
        <f ca="1">IFERROR(MATCH(INDIRECT("$O$11"),'1.Locations'!$B$2:$B$97, 0) - 1," ")</f>
        <v xml:space="preserve"> </v>
      </c>
      <c r="Q11" s="43" t="e">
        <f ca="1">IFERROR(IF(ISNUMBER($P$11),INDEX('1.Locations'!$D$2:$D$97,$P$11 + 1),NA()),NA())</f>
        <v>#N/A</v>
      </c>
      <c r="R11" s="43" t="e">
        <f ca="1">IFERROR(IF(ISNUMBER($P$11),INDEX('1.Locations'!$E$2:$E$97,$P$11 + 1),NA()),NA())</f>
        <v>#N/A</v>
      </c>
      <c r="S11" s="44" t="str">
        <f ca="1">IFERROR(IF(AND(ISNUMBER($P$11),$P$11&lt;=95),INDEX('2.Distances'!$C$2:$C$9218,$P$10*96+$P$11+ 1) +$S$10," ")," ")</f>
        <v xml:space="preserve"> </v>
      </c>
      <c r="T11" s="43" t="str">
        <f ca="1">IFERROR(IF(ISNUMBER($P$11),INDEX('1.Locations'!$J$2:$J$97,$P$11 + 1) +$T$10," ")," ")</f>
        <v xml:space="preserve"> </v>
      </c>
      <c r="U11" s="43" t="str">
        <f ca="1">IFERROR(IF(ISNUMBER($P$11),INDEX('1.Locations'!$K$2:$K$97,$P$11 + 1) +$U$10," ")," ")</f>
        <v xml:space="preserve"> </v>
      </c>
      <c r="V11" s="45" t="str">
        <f ca="1">IFERROR(IF(AND(ISNUMBER($P$11),$P$11&lt;=95),INDEX('2.Distances'!$D$2:$D$9218,$P$10*96+$P$11+ 1) +$V$10," ")," ")</f>
        <v xml:space="preserve"> </v>
      </c>
      <c r="W11" s="46" t="str">
        <f ca="1">IFERROR(IF(AND(ISNUMBER($P$11),$P$11&lt;=95),INDEX('2.Distances'!$D$2:$D$9218,$P$10*96+$P$11+ 1) +$X$10," ")," ")</f>
        <v xml:space="preserve"> </v>
      </c>
      <c r="X11" s="46" t="str">
        <f ca="1">IFERROR(IF(ISNUMBER($W$11),INDEX('1.Locations'!$I$2:$I$97,$P$11 + 1) + MAX($W$11,INDEX('1.Locations'!$F$2:$F$97,$P$11 + 1))," ")," ")</f>
        <v xml:space="preserve"> </v>
      </c>
      <c r="Y11" s="45" t="str">
        <f ca="1">IFERROR($Y$10 + INDEX('2.Distances'!$D$2:$D$9218,$P$10*96+$P$11+ 1) + INDEX('1.Locations'!$I$2:$I$97,$P$11 + 1)," ")</f>
        <v xml:space="preserve"> </v>
      </c>
      <c r="AA11" s="24">
        <v>6</v>
      </c>
      <c r="AB11" s="25"/>
      <c r="AC11" s="43" t="str">
        <f ca="1">IFERROR(MATCH(INDIRECT("$AB$11"),'1.Locations'!$B$2:$B$97, 0) - 1," ")</f>
        <v xml:space="preserve"> </v>
      </c>
      <c r="AD11" s="43" t="e">
        <f ca="1">IFERROR(IF(ISNUMBER($AC$11),INDEX('1.Locations'!$D$2:$D$97,$AC$11 + 1),NA()),NA())</f>
        <v>#N/A</v>
      </c>
      <c r="AE11" s="43" t="e">
        <f ca="1">IFERROR(IF(ISNUMBER($AC$11),INDEX('1.Locations'!$E$2:$E$97,$AC$11 + 1),NA()),NA())</f>
        <v>#N/A</v>
      </c>
      <c r="AF11" s="44" t="str">
        <f ca="1">IFERROR(IF(AND(ISNUMBER($AC$11),$AC$11&lt;=95),INDEX('2.Distances'!$C$2:$C$9218,$AC$10*96+$AC$11+ 1) +$AF$10," ")," ")</f>
        <v xml:space="preserve"> </v>
      </c>
      <c r="AG11" s="43" t="str">
        <f ca="1">IFERROR(IF(ISNUMBER($AC$11),INDEX('1.Locations'!$J$2:$J$97,$AC$11 + 1) +$AG$10," ")," ")</f>
        <v xml:space="preserve"> </v>
      </c>
      <c r="AH11" s="43" t="str">
        <f ca="1">IFERROR(IF(ISNUMBER($AC$11),INDEX('1.Locations'!$K$2:$K$97,$AC$11 + 1) +$AH$10," ")," ")</f>
        <v xml:space="preserve"> </v>
      </c>
      <c r="AI11" s="45" t="str">
        <f ca="1">IFERROR(IF(AND(ISNUMBER($AC$11),$AC$11&lt;=95),INDEX('2.Distances'!$D$2:$D$9218,$AC$10*96+$AC$11+ 1) +$AI$10," ")," ")</f>
        <v xml:space="preserve"> </v>
      </c>
      <c r="AJ11" s="46" t="str">
        <f ca="1">IFERROR(IF(AND(ISNUMBER($AC$11),$AC$11&lt;=95),INDEX('2.Distances'!$D$2:$D$9218,$AC$10*96+$AC$11+ 1) +$AK$10," ")," ")</f>
        <v xml:space="preserve"> </v>
      </c>
      <c r="AK11" s="46" t="str">
        <f ca="1">IFERROR(IF(ISNUMBER($AJ$11),INDEX('1.Locations'!$I$2:$I$97,$AC$11 + 1) + MAX($AJ$11,INDEX('1.Locations'!$F$2:$F$97,$AC$11 + 1))," ")," ")</f>
        <v xml:space="preserve"> </v>
      </c>
      <c r="AL11" s="45" t="str">
        <f ca="1">IFERROR($AL$10 + INDEX('2.Distances'!$D$2:$D$9218,$AC$10*96+$AC$11+ 1) + INDEX('1.Locations'!$I$2:$I$97,$AC$11 + 1)," ")</f>
        <v xml:space="preserve"> </v>
      </c>
      <c r="AN11" s="24">
        <v>6</v>
      </c>
      <c r="AO11" s="25"/>
      <c r="AP11" s="43" t="str">
        <f ca="1">IFERROR(MATCH(INDIRECT("$AO$11"),'1.Locations'!$B$2:$B$97, 0) - 1," ")</f>
        <v xml:space="preserve"> </v>
      </c>
      <c r="AQ11" s="43" t="e">
        <f ca="1">IFERROR(IF(ISNUMBER($AP$11),INDEX('1.Locations'!$D$2:$D$97,$AP$11 + 1),NA()),NA())</f>
        <v>#N/A</v>
      </c>
      <c r="AR11" s="43" t="e">
        <f ca="1">IFERROR(IF(ISNUMBER($AP$11),INDEX('1.Locations'!$E$2:$E$97,$AP$11 + 1),NA()),NA())</f>
        <v>#N/A</v>
      </c>
      <c r="AS11" s="44" t="str">
        <f ca="1">IFERROR(IF(AND(ISNUMBER($AP$11),$AP$11&lt;=95),INDEX('2.Distances'!$C$2:$C$9218,$AP$10*96+$AP$11+ 1) +$AS$10," ")," ")</f>
        <v xml:space="preserve"> </v>
      </c>
      <c r="AT11" s="43" t="str">
        <f ca="1">IFERROR(IF(ISNUMBER($AP$11),INDEX('1.Locations'!$J$2:$J$97,$AP$11 + 1) +$AT$10," ")," ")</f>
        <v xml:space="preserve"> </v>
      </c>
      <c r="AU11" s="43" t="str">
        <f ca="1">IFERROR(IF(ISNUMBER($AP$11),INDEX('1.Locations'!$K$2:$K$97,$AP$11 + 1) +$AU$10," ")," ")</f>
        <v xml:space="preserve"> </v>
      </c>
      <c r="AV11" s="45" t="str">
        <f ca="1">IFERROR(IF(AND(ISNUMBER($AP$11),$AP$11&lt;=95),INDEX('2.Distances'!$D$2:$D$9218,$AP$10*96+$AP$11+ 1) +$AV$10," ")," ")</f>
        <v xml:space="preserve"> </v>
      </c>
      <c r="AW11" s="46" t="str">
        <f ca="1">IFERROR(IF(AND(ISNUMBER($AP$11),$AP$11&lt;=95),INDEX('2.Distances'!$D$2:$D$9218,$AP$10*96+$AP$11+ 1) +$AX$10," ")," ")</f>
        <v xml:space="preserve"> </v>
      </c>
      <c r="AX11" s="46" t="str">
        <f ca="1">IFERROR(IF(ISNUMBER($AW$11),INDEX('1.Locations'!$I$2:$I$97,$AP$11 + 1) + MAX($AW$11,INDEX('1.Locations'!$F$2:$F$97,$AP$11 + 1))," ")," ")</f>
        <v xml:space="preserve"> </v>
      </c>
      <c r="AY11" s="45" t="str">
        <f ca="1">IFERROR($AY$10 + INDEX('2.Distances'!$D$2:$D$9218,$AP$10*96+$AP$11+ 1) + INDEX('1.Locations'!$I$2:$I$97,$AP$11 + 1)," ")</f>
        <v xml:space="preserve"> </v>
      </c>
      <c r="BA11" s="24">
        <v>6</v>
      </c>
      <c r="BB11" s="25"/>
      <c r="BC11" s="43" t="str">
        <f ca="1">IFERROR(MATCH(INDIRECT("$BB$11"),'1.Locations'!$B$2:$B$97, 0) - 1," ")</f>
        <v xml:space="preserve"> </v>
      </c>
      <c r="BD11" s="43" t="e">
        <f ca="1">IFERROR(IF(ISNUMBER($BC$11),INDEX('1.Locations'!$D$2:$D$97,$BC$11 + 1),NA()),NA())</f>
        <v>#N/A</v>
      </c>
      <c r="BE11" s="43" t="e">
        <f ca="1">IFERROR(IF(ISNUMBER($BC$11),INDEX('1.Locations'!$E$2:$E$97,$BC$11 + 1),NA()),NA())</f>
        <v>#N/A</v>
      </c>
      <c r="BF11" s="44" t="str">
        <f ca="1">IFERROR(IF(AND(ISNUMBER($BC$11),$BC$11&lt;=95),INDEX('2.Distances'!$C$2:$C$9218,$BC$10*96+$BC$11+ 1) +$BF$10," ")," ")</f>
        <v xml:space="preserve"> </v>
      </c>
      <c r="BG11" s="43" t="str">
        <f ca="1">IFERROR(IF(ISNUMBER($BC$11),INDEX('1.Locations'!$J$2:$J$97,$BC$11 + 1) +$BG$10," ")," ")</f>
        <v xml:space="preserve"> </v>
      </c>
      <c r="BH11" s="43" t="str">
        <f ca="1">IFERROR(IF(ISNUMBER($BC$11),INDEX('1.Locations'!$K$2:$K$97,$BC$11 + 1) +$BH$10," ")," ")</f>
        <v xml:space="preserve"> </v>
      </c>
      <c r="BI11" s="45" t="str">
        <f ca="1">IFERROR(IF(AND(ISNUMBER($BC$11),$BC$11&lt;=95),INDEX('2.Distances'!$D$2:$D$9218,$BC$10*96+$BC$11+ 1) +$BI$10," ")," ")</f>
        <v xml:space="preserve"> </v>
      </c>
      <c r="BJ11" s="46" t="str">
        <f ca="1">IFERROR(IF(AND(ISNUMBER($BC$11),$BC$11&lt;=95),INDEX('2.Distances'!$D$2:$D$9218,$BC$10*96+$BC$11+ 1) +$BK$10," ")," ")</f>
        <v xml:space="preserve"> </v>
      </c>
      <c r="BK11" s="46" t="str">
        <f ca="1">IFERROR(IF(ISNUMBER($BJ$11),INDEX('1.Locations'!$I$2:$I$97,$BC$11 + 1) + MAX($BJ$11,INDEX('1.Locations'!$F$2:$F$97,$BC$11 + 1))," ")," ")</f>
        <v xml:space="preserve"> </v>
      </c>
      <c r="BL11" s="45" t="str">
        <f ca="1">IFERROR($BL$10 + INDEX('2.Distances'!$D$2:$D$9218,$BC$10*96+$BC$11+ 1) + INDEX('1.Locations'!$I$2:$I$97,$BC$11 + 1)," ")</f>
        <v xml:space="preserve"> </v>
      </c>
      <c r="BN11" s="24">
        <v>6</v>
      </c>
      <c r="BO11" s="25"/>
      <c r="BP11" s="43" t="str">
        <f ca="1">IFERROR(MATCH(INDIRECT("$BO$11"),'1.Locations'!$B$2:$B$97, 0) - 1," ")</f>
        <v xml:space="preserve"> </v>
      </c>
      <c r="BQ11" s="43" t="e">
        <f ca="1">IFERROR(IF(ISNUMBER($BP$11),INDEX('1.Locations'!$D$2:$D$97,$BP$11 + 1),NA()),NA())</f>
        <v>#N/A</v>
      </c>
      <c r="BR11" s="43" t="e">
        <f ca="1">IFERROR(IF(ISNUMBER($BP$11),INDEX('1.Locations'!$E$2:$E$97,$BP$11 + 1),NA()),NA())</f>
        <v>#N/A</v>
      </c>
      <c r="BS11" s="44" t="str">
        <f ca="1">IFERROR(IF(AND(ISNUMBER($BP$11),$BP$11&lt;=95),INDEX('2.Distances'!$C$2:$C$9218,$BP$10*96+$BP$11+ 1) +$BS$10," ")," ")</f>
        <v xml:space="preserve"> </v>
      </c>
      <c r="BT11" s="43" t="str">
        <f ca="1">IFERROR(IF(ISNUMBER($BP$11),INDEX('1.Locations'!$J$2:$J$97,$BP$11 + 1) +$BT$10," ")," ")</f>
        <v xml:space="preserve"> </v>
      </c>
      <c r="BU11" s="43" t="str">
        <f ca="1">IFERROR(IF(ISNUMBER($BP$11),INDEX('1.Locations'!$K$2:$K$97,$BP$11 + 1) +$BU$10," ")," ")</f>
        <v xml:space="preserve"> </v>
      </c>
      <c r="BV11" s="45" t="str">
        <f ca="1">IFERROR(IF(AND(ISNUMBER($BP$11),$BP$11&lt;=95),INDEX('2.Distances'!$D$2:$D$9218,$BP$10*96+$BP$11+ 1) +$BV$10," ")," ")</f>
        <v xml:space="preserve"> </v>
      </c>
      <c r="BW11" s="46" t="str">
        <f ca="1">IFERROR(IF(AND(ISNUMBER($BP$11),$BP$11&lt;=95),INDEX('2.Distances'!$D$2:$D$9218,$BP$10*96+$BP$11+ 1) +$BX$10," ")," ")</f>
        <v xml:space="preserve"> </v>
      </c>
      <c r="BX11" s="46" t="str">
        <f ca="1">IFERROR(IF(ISNUMBER($BW$11),INDEX('1.Locations'!$I$2:$I$97,$BP$11 + 1) + MAX($BW$11,INDEX('1.Locations'!$F$2:$F$97,$BP$11 + 1))," ")," ")</f>
        <v xml:space="preserve"> </v>
      </c>
      <c r="BY11" s="45" t="str">
        <f ca="1">IFERROR($BY$10 + INDEX('2.Distances'!$D$2:$D$9218,$BP$10*96+$BP$11+ 1) + INDEX('1.Locations'!$I$2:$I$97,$BP$11 + 1)," ")</f>
        <v xml:space="preserve"> </v>
      </c>
      <c r="CA11" s="24">
        <v>6</v>
      </c>
      <c r="CB11" s="25"/>
      <c r="CC11" s="43" t="str">
        <f ca="1">IFERROR(MATCH(INDIRECT("$CB$11"),'1.Locations'!$B$2:$B$97, 0) - 1," ")</f>
        <v xml:space="preserve"> </v>
      </c>
      <c r="CD11" s="43" t="e">
        <f ca="1">IFERROR(IF(ISNUMBER($CC$11),INDEX('1.Locations'!$D$2:$D$97,$CC$11 + 1),NA()),NA())</f>
        <v>#N/A</v>
      </c>
      <c r="CE11" s="43" t="e">
        <f ca="1">IFERROR(IF(ISNUMBER($CC$11),INDEX('1.Locations'!$E$2:$E$97,$CC$11 + 1),NA()),NA())</f>
        <v>#N/A</v>
      </c>
      <c r="CF11" s="44" t="str">
        <f ca="1">IFERROR(IF(AND(ISNUMBER($CC$11),$CC$11&lt;=95),INDEX('2.Distances'!$C$2:$C$9218,$CC$10*96+$CC$11+ 1) +$CF$10," ")," ")</f>
        <v xml:space="preserve"> </v>
      </c>
      <c r="CG11" s="43" t="str">
        <f ca="1">IFERROR(IF(ISNUMBER($CC$11),INDEX('1.Locations'!$J$2:$J$97,$CC$11 + 1) +$CG$10," ")," ")</f>
        <v xml:space="preserve"> </v>
      </c>
      <c r="CH11" s="43" t="str">
        <f ca="1">IFERROR(IF(ISNUMBER($CC$11),INDEX('1.Locations'!$K$2:$K$97,$CC$11 + 1) +$CH$10," ")," ")</f>
        <v xml:space="preserve"> </v>
      </c>
      <c r="CI11" s="45" t="str">
        <f ca="1">IFERROR(IF(AND(ISNUMBER($CC$11),$CC$11&lt;=95),INDEX('2.Distances'!$D$2:$D$9218,$CC$10*96+$CC$11+ 1) +$CI$10," ")," ")</f>
        <v xml:space="preserve"> </v>
      </c>
      <c r="CJ11" s="46" t="str">
        <f ca="1">IFERROR(IF(AND(ISNUMBER($CC$11),$CC$11&lt;=95),INDEX('2.Distances'!$D$2:$D$9218,$CC$10*96+$CC$11+ 1) +$CK$10," ")," ")</f>
        <v xml:space="preserve"> </v>
      </c>
      <c r="CK11" s="46" t="str">
        <f ca="1">IFERROR(IF(ISNUMBER($CJ$11),INDEX('1.Locations'!$I$2:$I$97,$CC$11 + 1) + MAX($CJ$11,INDEX('1.Locations'!$F$2:$F$97,$CC$11 + 1))," ")," ")</f>
        <v xml:space="preserve"> </v>
      </c>
      <c r="CL11" s="45" t="str">
        <f ca="1">IFERROR($CL$10 + INDEX('2.Distances'!$D$2:$D$9218,$CC$10*96+$CC$11+ 1) + INDEX('1.Locations'!$I$2:$I$97,$CC$11 + 1)," ")</f>
        <v xml:space="preserve"> </v>
      </c>
    </row>
    <row r="12" spans="1:90" x14ac:dyDescent="0.25">
      <c r="A12" s="24">
        <v>7</v>
      </c>
      <c r="B12" s="25"/>
      <c r="C12" s="43" t="str">
        <f ca="1">IFERROR(MATCH(INDIRECT("$B$12"),'1.Locations'!$B$2:$B$97, 0) - 1," ")</f>
        <v xml:space="preserve"> </v>
      </c>
      <c r="D12" s="43" t="e">
        <f ca="1">IFERROR(IF(ISNUMBER($C$12),INDEX('1.Locations'!$D$2:$D$97,$C$12 + 1),NA()),NA())</f>
        <v>#N/A</v>
      </c>
      <c r="E12" s="43" t="e">
        <f ca="1">IFERROR(IF(ISNUMBER($C$12),INDEX('1.Locations'!$E$2:$E$97,$C$12 + 1),NA()),NA())</f>
        <v>#N/A</v>
      </c>
      <c r="F12" s="44" t="str">
        <f ca="1">IFERROR(IF(AND(ISNUMBER($C$12),$C$12&lt;=95),INDEX('2.Distances'!$C$2:$C$9218,$C$11*96+$C$12+ 1) +$F$11," ")," ")</f>
        <v xml:space="preserve"> </v>
      </c>
      <c r="G12" s="43" t="str">
        <f ca="1">IFERROR(IF(ISNUMBER($C$12),INDEX('1.Locations'!$J$2:$J$97,$C$12 + 1) +$G$11," ")," ")</f>
        <v xml:space="preserve"> </v>
      </c>
      <c r="H12" s="43" t="str">
        <f ca="1">IFERROR(IF(ISNUMBER($C$12),INDEX('1.Locations'!$K$2:$K$97,$C$12 + 1) +$H$11," ")," ")</f>
        <v xml:space="preserve"> </v>
      </c>
      <c r="I12" s="45" t="str">
        <f ca="1">IFERROR(IF(AND(ISNUMBER($C$12),$C$12&lt;=95),INDEX('2.Distances'!$D$2:$D$9218,$C$11*96+$C$12+ 1) +$I$11," ")," ")</f>
        <v xml:space="preserve"> </v>
      </c>
      <c r="J12" s="46" t="str">
        <f ca="1">IFERROR(IF(AND(ISNUMBER($C$12),$C$12&lt;=95),INDEX('2.Distances'!$D$2:$D$9218,$C$11*96+$C$12+ 1) +$K$11," ")," ")</f>
        <v xml:space="preserve"> </v>
      </c>
      <c r="K12" s="46" t="str">
        <f ca="1">IFERROR(IF(ISNUMBER($J$12),INDEX('1.Locations'!$I$2:$I$97,$C$12 + 1) + MAX($J$12,INDEX('1.Locations'!$F$2:$F$97,$C$12 + 1))," ")," ")</f>
        <v xml:space="preserve"> </v>
      </c>
      <c r="L12" s="45" t="str">
        <f ca="1">IFERROR($L$11 + INDEX('2.Distances'!$D$2:$D$9218,$C$11*96+$C$12+ 1) + INDEX('1.Locations'!$I$2:$I$97,$C$12 + 1)," ")</f>
        <v xml:space="preserve"> </v>
      </c>
      <c r="N12" s="24">
        <v>7</v>
      </c>
      <c r="O12" s="25"/>
      <c r="P12" s="43" t="str">
        <f ca="1">IFERROR(MATCH(INDIRECT("$O$12"),'1.Locations'!$B$2:$B$97, 0) - 1," ")</f>
        <v xml:space="preserve"> </v>
      </c>
      <c r="Q12" s="43" t="e">
        <f ca="1">IFERROR(IF(ISNUMBER($P$12),INDEX('1.Locations'!$D$2:$D$97,$P$12 + 1),NA()),NA())</f>
        <v>#N/A</v>
      </c>
      <c r="R12" s="43" t="e">
        <f ca="1">IFERROR(IF(ISNUMBER($P$12),INDEX('1.Locations'!$E$2:$E$97,$P$12 + 1),NA()),NA())</f>
        <v>#N/A</v>
      </c>
      <c r="S12" s="44" t="str">
        <f ca="1">IFERROR(IF(AND(ISNUMBER($P$12),$P$12&lt;=95),INDEX('2.Distances'!$C$2:$C$9218,$P$11*96+$P$12+ 1) +$S$11," ")," ")</f>
        <v xml:space="preserve"> </v>
      </c>
      <c r="T12" s="43" t="str">
        <f ca="1">IFERROR(IF(ISNUMBER($P$12),INDEX('1.Locations'!$J$2:$J$97,$P$12 + 1) +$T$11," ")," ")</f>
        <v xml:space="preserve"> </v>
      </c>
      <c r="U12" s="43" t="str">
        <f ca="1">IFERROR(IF(ISNUMBER($P$12),INDEX('1.Locations'!$K$2:$K$97,$P$12 + 1) +$U$11," ")," ")</f>
        <v xml:space="preserve"> </v>
      </c>
      <c r="V12" s="45" t="str">
        <f ca="1">IFERROR(IF(AND(ISNUMBER($P$12),$P$12&lt;=95),INDEX('2.Distances'!$D$2:$D$9218,$P$11*96+$P$12+ 1) +$V$11," ")," ")</f>
        <v xml:space="preserve"> </v>
      </c>
      <c r="W12" s="46" t="str">
        <f ca="1">IFERROR(IF(AND(ISNUMBER($P$12),$P$12&lt;=95),INDEX('2.Distances'!$D$2:$D$9218,$P$11*96+$P$12+ 1) +$X$11," ")," ")</f>
        <v xml:space="preserve"> </v>
      </c>
      <c r="X12" s="46" t="str">
        <f ca="1">IFERROR(IF(ISNUMBER($W$12),INDEX('1.Locations'!$I$2:$I$97,$P$12 + 1) + MAX($W$12,INDEX('1.Locations'!$F$2:$F$97,$P$12 + 1))," ")," ")</f>
        <v xml:space="preserve"> </v>
      </c>
      <c r="Y12" s="45" t="str">
        <f ca="1">IFERROR($Y$11 + INDEX('2.Distances'!$D$2:$D$9218,$P$11*96+$P$12+ 1) + INDEX('1.Locations'!$I$2:$I$97,$P$12 + 1)," ")</f>
        <v xml:space="preserve"> </v>
      </c>
      <c r="AA12" s="24">
        <v>7</v>
      </c>
      <c r="AB12" s="25"/>
      <c r="AC12" s="43" t="str">
        <f ca="1">IFERROR(MATCH(INDIRECT("$AB$12"),'1.Locations'!$B$2:$B$97, 0) - 1," ")</f>
        <v xml:space="preserve"> </v>
      </c>
      <c r="AD12" s="43" t="e">
        <f ca="1">IFERROR(IF(ISNUMBER($AC$12),INDEX('1.Locations'!$D$2:$D$97,$AC$12 + 1),NA()),NA())</f>
        <v>#N/A</v>
      </c>
      <c r="AE12" s="43" t="e">
        <f ca="1">IFERROR(IF(ISNUMBER($AC$12),INDEX('1.Locations'!$E$2:$E$97,$AC$12 + 1),NA()),NA())</f>
        <v>#N/A</v>
      </c>
      <c r="AF12" s="44" t="str">
        <f ca="1">IFERROR(IF(AND(ISNUMBER($AC$12),$AC$12&lt;=95),INDEX('2.Distances'!$C$2:$C$9218,$AC$11*96+$AC$12+ 1) +$AF$11," ")," ")</f>
        <v xml:space="preserve"> </v>
      </c>
      <c r="AG12" s="43" t="str">
        <f ca="1">IFERROR(IF(ISNUMBER($AC$12),INDEX('1.Locations'!$J$2:$J$97,$AC$12 + 1) +$AG$11," ")," ")</f>
        <v xml:space="preserve"> </v>
      </c>
      <c r="AH12" s="43" t="str">
        <f ca="1">IFERROR(IF(ISNUMBER($AC$12),INDEX('1.Locations'!$K$2:$K$97,$AC$12 + 1) +$AH$11," ")," ")</f>
        <v xml:space="preserve"> </v>
      </c>
      <c r="AI12" s="45" t="str">
        <f ca="1">IFERROR(IF(AND(ISNUMBER($AC$12),$AC$12&lt;=95),INDEX('2.Distances'!$D$2:$D$9218,$AC$11*96+$AC$12+ 1) +$AI$11," ")," ")</f>
        <v xml:space="preserve"> </v>
      </c>
      <c r="AJ12" s="46" t="str">
        <f ca="1">IFERROR(IF(AND(ISNUMBER($AC$12),$AC$12&lt;=95),INDEX('2.Distances'!$D$2:$D$9218,$AC$11*96+$AC$12+ 1) +$AK$11," ")," ")</f>
        <v xml:space="preserve"> </v>
      </c>
      <c r="AK12" s="46" t="str">
        <f ca="1">IFERROR(IF(ISNUMBER($AJ$12),INDEX('1.Locations'!$I$2:$I$97,$AC$12 + 1) + MAX($AJ$12,INDEX('1.Locations'!$F$2:$F$97,$AC$12 + 1))," ")," ")</f>
        <v xml:space="preserve"> </v>
      </c>
      <c r="AL12" s="45" t="str">
        <f ca="1">IFERROR($AL$11 + INDEX('2.Distances'!$D$2:$D$9218,$AC$11*96+$AC$12+ 1) + INDEX('1.Locations'!$I$2:$I$97,$AC$12 + 1)," ")</f>
        <v xml:space="preserve"> </v>
      </c>
      <c r="AN12" s="24">
        <v>7</v>
      </c>
      <c r="AO12" s="25"/>
      <c r="AP12" s="43" t="str">
        <f ca="1">IFERROR(MATCH(INDIRECT("$AO$12"),'1.Locations'!$B$2:$B$97, 0) - 1," ")</f>
        <v xml:space="preserve"> </v>
      </c>
      <c r="AQ12" s="43" t="e">
        <f ca="1">IFERROR(IF(ISNUMBER($AP$12),INDEX('1.Locations'!$D$2:$D$97,$AP$12 + 1),NA()),NA())</f>
        <v>#N/A</v>
      </c>
      <c r="AR12" s="43" t="e">
        <f ca="1">IFERROR(IF(ISNUMBER($AP$12),INDEX('1.Locations'!$E$2:$E$97,$AP$12 + 1),NA()),NA())</f>
        <v>#N/A</v>
      </c>
      <c r="AS12" s="44" t="str">
        <f ca="1">IFERROR(IF(AND(ISNUMBER($AP$12),$AP$12&lt;=95),INDEX('2.Distances'!$C$2:$C$9218,$AP$11*96+$AP$12+ 1) +$AS$11," ")," ")</f>
        <v xml:space="preserve"> </v>
      </c>
      <c r="AT12" s="43" t="str">
        <f ca="1">IFERROR(IF(ISNUMBER($AP$12),INDEX('1.Locations'!$J$2:$J$97,$AP$12 + 1) +$AT$11," ")," ")</f>
        <v xml:space="preserve"> </v>
      </c>
      <c r="AU12" s="43" t="str">
        <f ca="1">IFERROR(IF(ISNUMBER($AP$12),INDEX('1.Locations'!$K$2:$K$97,$AP$12 + 1) +$AU$11," ")," ")</f>
        <v xml:space="preserve"> </v>
      </c>
      <c r="AV12" s="45" t="str">
        <f ca="1">IFERROR(IF(AND(ISNUMBER($AP$12),$AP$12&lt;=95),INDEX('2.Distances'!$D$2:$D$9218,$AP$11*96+$AP$12+ 1) +$AV$11," ")," ")</f>
        <v xml:space="preserve"> </v>
      </c>
      <c r="AW12" s="46" t="str">
        <f ca="1">IFERROR(IF(AND(ISNUMBER($AP$12),$AP$12&lt;=95),INDEX('2.Distances'!$D$2:$D$9218,$AP$11*96+$AP$12+ 1) +$AX$11," ")," ")</f>
        <v xml:space="preserve"> </v>
      </c>
      <c r="AX12" s="46" t="str">
        <f ca="1">IFERROR(IF(ISNUMBER($AW$12),INDEX('1.Locations'!$I$2:$I$97,$AP$12 + 1) + MAX($AW$12,INDEX('1.Locations'!$F$2:$F$97,$AP$12 + 1))," ")," ")</f>
        <v xml:space="preserve"> </v>
      </c>
      <c r="AY12" s="45" t="str">
        <f ca="1">IFERROR($AY$11 + INDEX('2.Distances'!$D$2:$D$9218,$AP$11*96+$AP$12+ 1) + INDEX('1.Locations'!$I$2:$I$97,$AP$12 + 1)," ")</f>
        <v xml:space="preserve"> </v>
      </c>
      <c r="BA12" s="24">
        <v>7</v>
      </c>
      <c r="BB12" s="25"/>
      <c r="BC12" s="43" t="str">
        <f ca="1">IFERROR(MATCH(INDIRECT("$BB$12"),'1.Locations'!$B$2:$B$97, 0) - 1," ")</f>
        <v xml:space="preserve"> </v>
      </c>
      <c r="BD12" s="43" t="e">
        <f ca="1">IFERROR(IF(ISNUMBER($BC$12),INDEX('1.Locations'!$D$2:$D$97,$BC$12 + 1),NA()),NA())</f>
        <v>#N/A</v>
      </c>
      <c r="BE12" s="43" t="e">
        <f ca="1">IFERROR(IF(ISNUMBER($BC$12),INDEX('1.Locations'!$E$2:$E$97,$BC$12 + 1),NA()),NA())</f>
        <v>#N/A</v>
      </c>
      <c r="BF12" s="44" t="str">
        <f ca="1">IFERROR(IF(AND(ISNUMBER($BC$12),$BC$12&lt;=95),INDEX('2.Distances'!$C$2:$C$9218,$BC$11*96+$BC$12+ 1) +$BF$11," ")," ")</f>
        <v xml:space="preserve"> </v>
      </c>
      <c r="BG12" s="43" t="str">
        <f ca="1">IFERROR(IF(ISNUMBER($BC$12),INDEX('1.Locations'!$J$2:$J$97,$BC$12 + 1) +$BG$11," ")," ")</f>
        <v xml:space="preserve"> </v>
      </c>
      <c r="BH12" s="43" t="str">
        <f ca="1">IFERROR(IF(ISNUMBER($BC$12),INDEX('1.Locations'!$K$2:$K$97,$BC$12 + 1) +$BH$11," ")," ")</f>
        <v xml:space="preserve"> </v>
      </c>
      <c r="BI12" s="45" t="str">
        <f ca="1">IFERROR(IF(AND(ISNUMBER($BC$12),$BC$12&lt;=95),INDEX('2.Distances'!$D$2:$D$9218,$BC$11*96+$BC$12+ 1) +$BI$11," ")," ")</f>
        <v xml:space="preserve"> </v>
      </c>
      <c r="BJ12" s="46" t="str">
        <f ca="1">IFERROR(IF(AND(ISNUMBER($BC$12),$BC$12&lt;=95),INDEX('2.Distances'!$D$2:$D$9218,$BC$11*96+$BC$12+ 1) +$BK$11," ")," ")</f>
        <v xml:space="preserve"> </v>
      </c>
      <c r="BK12" s="46" t="str">
        <f ca="1">IFERROR(IF(ISNUMBER($BJ$12),INDEX('1.Locations'!$I$2:$I$97,$BC$12 + 1) + MAX($BJ$12,INDEX('1.Locations'!$F$2:$F$97,$BC$12 + 1))," ")," ")</f>
        <v xml:space="preserve"> </v>
      </c>
      <c r="BL12" s="45" t="str">
        <f ca="1">IFERROR($BL$11 + INDEX('2.Distances'!$D$2:$D$9218,$BC$11*96+$BC$12+ 1) + INDEX('1.Locations'!$I$2:$I$97,$BC$12 + 1)," ")</f>
        <v xml:space="preserve"> </v>
      </c>
      <c r="BN12" s="24">
        <v>7</v>
      </c>
      <c r="BO12" s="25"/>
      <c r="BP12" s="43" t="str">
        <f ca="1">IFERROR(MATCH(INDIRECT("$BO$12"),'1.Locations'!$B$2:$B$97, 0) - 1," ")</f>
        <v xml:space="preserve"> </v>
      </c>
      <c r="BQ12" s="43" t="e">
        <f ca="1">IFERROR(IF(ISNUMBER($BP$12),INDEX('1.Locations'!$D$2:$D$97,$BP$12 + 1),NA()),NA())</f>
        <v>#N/A</v>
      </c>
      <c r="BR12" s="43" t="e">
        <f ca="1">IFERROR(IF(ISNUMBER($BP$12),INDEX('1.Locations'!$E$2:$E$97,$BP$12 + 1),NA()),NA())</f>
        <v>#N/A</v>
      </c>
      <c r="BS12" s="44" t="str">
        <f ca="1">IFERROR(IF(AND(ISNUMBER($BP$12),$BP$12&lt;=95),INDEX('2.Distances'!$C$2:$C$9218,$BP$11*96+$BP$12+ 1) +$BS$11," ")," ")</f>
        <v xml:space="preserve"> </v>
      </c>
      <c r="BT12" s="43" t="str">
        <f ca="1">IFERROR(IF(ISNUMBER($BP$12),INDEX('1.Locations'!$J$2:$J$97,$BP$12 + 1) +$BT$11," ")," ")</f>
        <v xml:space="preserve"> </v>
      </c>
      <c r="BU12" s="43" t="str">
        <f ca="1">IFERROR(IF(ISNUMBER($BP$12),INDEX('1.Locations'!$K$2:$K$97,$BP$12 + 1) +$BU$11," ")," ")</f>
        <v xml:space="preserve"> </v>
      </c>
      <c r="BV12" s="45" t="str">
        <f ca="1">IFERROR(IF(AND(ISNUMBER($BP$12),$BP$12&lt;=95),INDEX('2.Distances'!$D$2:$D$9218,$BP$11*96+$BP$12+ 1) +$BV$11," ")," ")</f>
        <v xml:space="preserve"> </v>
      </c>
      <c r="BW12" s="46" t="str">
        <f ca="1">IFERROR(IF(AND(ISNUMBER($BP$12),$BP$12&lt;=95),INDEX('2.Distances'!$D$2:$D$9218,$BP$11*96+$BP$12+ 1) +$BX$11," ")," ")</f>
        <v xml:space="preserve"> </v>
      </c>
      <c r="BX12" s="46" t="str">
        <f ca="1">IFERROR(IF(ISNUMBER($BW$12),INDEX('1.Locations'!$I$2:$I$97,$BP$12 + 1) + MAX($BW$12,INDEX('1.Locations'!$F$2:$F$97,$BP$12 + 1))," ")," ")</f>
        <v xml:space="preserve"> </v>
      </c>
      <c r="BY12" s="45" t="str">
        <f ca="1">IFERROR($BY$11 + INDEX('2.Distances'!$D$2:$D$9218,$BP$11*96+$BP$12+ 1) + INDEX('1.Locations'!$I$2:$I$97,$BP$12 + 1)," ")</f>
        <v xml:space="preserve"> </v>
      </c>
      <c r="CA12" s="24">
        <v>7</v>
      </c>
      <c r="CB12" s="25"/>
      <c r="CC12" s="43" t="str">
        <f ca="1">IFERROR(MATCH(INDIRECT("$CB$12"),'1.Locations'!$B$2:$B$97, 0) - 1," ")</f>
        <v xml:space="preserve"> </v>
      </c>
      <c r="CD12" s="43" t="e">
        <f ca="1">IFERROR(IF(ISNUMBER($CC$12),INDEX('1.Locations'!$D$2:$D$97,$CC$12 + 1),NA()),NA())</f>
        <v>#N/A</v>
      </c>
      <c r="CE12" s="43" t="e">
        <f ca="1">IFERROR(IF(ISNUMBER($CC$12),INDEX('1.Locations'!$E$2:$E$97,$CC$12 + 1),NA()),NA())</f>
        <v>#N/A</v>
      </c>
      <c r="CF12" s="44" t="str">
        <f ca="1">IFERROR(IF(AND(ISNUMBER($CC$12),$CC$12&lt;=95),INDEX('2.Distances'!$C$2:$C$9218,$CC$11*96+$CC$12+ 1) +$CF$11," ")," ")</f>
        <v xml:space="preserve"> </v>
      </c>
      <c r="CG12" s="43" t="str">
        <f ca="1">IFERROR(IF(ISNUMBER($CC$12),INDEX('1.Locations'!$J$2:$J$97,$CC$12 + 1) +$CG$11," ")," ")</f>
        <v xml:space="preserve"> </v>
      </c>
      <c r="CH12" s="43" t="str">
        <f ca="1">IFERROR(IF(ISNUMBER($CC$12),INDEX('1.Locations'!$K$2:$K$97,$CC$12 + 1) +$CH$11," ")," ")</f>
        <v xml:space="preserve"> </v>
      </c>
      <c r="CI12" s="45" t="str">
        <f ca="1">IFERROR(IF(AND(ISNUMBER($CC$12),$CC$12&lt;=95),INDEX('2.Distances'!$D$2:$D$9218,$CC$11*96+$CC$12+ 1) +$CI$11," ")," ")</f>
        <v xml:space="preserve"> </v>
      </c>
      <c r="CJ12" s="46" t="str">
        <f ca="1">IFERROR(IF(AND(ISNUMBER($CC$12),$CC$12&lt;=95),INDEX('2.Distances'!$D$2:$D$9218,$CC$11*96+$CC$12+ 1) +$CK$11," ")," ")</f>
        <v xml:space="preserve"> </v>
      </c>
      <c r="CK12" s="46" t="str">
        <f ca="1">IFERROR(IF(ISNUMBER($CJ$12),INDEX('1.Locations'!$I$2:$I$97,$CC$12 + 1) + MAX($CJ$12,INDEX('1.Locations'!$F$2:$F$97,$CC$12 + 1))," ")," ")</f>
        <v xml:space="preserve"> </v>
      </c>
      <c r="CL12" s="45" t="str">
        <f ca="1">IFERROR($CL$11 + INDEX('2.Distances'!$D$2:$D$9218,$CC$11*96+$CC$12+ 1) + INDEX('1.Locations'!$I$2:$I$97,$CC$12 + 1)," ")</f>
        <v xml:space="preserve"> </v>
      </c>
    </row>
    <row r="13" spans="1:90" x14ac:dyDescent="0.25">
      <c r="A13" s="24">
        <v>8</v>
      </c>
      <c r="B13" s="25"/>
      <c r="C13" s="43" t="str">
        <f ca="1">IFERROR(MATCH(INDIRECT("$B$13"),'1.Locations'!$B$2:$B$97, 0) - 1," ")</f>
        <v xml:space="preserve"> </v>
      </c>
      <c r="D13" s="43" t="e">
        <f ca="1">IFERROR(IF(ISNUMBER($C$13),INDEX('1.Locations'!$D$2:$D$97,$C$13 + 1),NA()),NA())</f>
        <v>#N/A</v>
      </c>
      <c r="E13" s="43" t="e">
        <f ca="1">IFERROR(IF(ISNUMBER($C$13),INDEX('1.Locations'!$E$2:$E$97,$C$13 + 1),NA()),NA())</f>
        <v>#N/A</v>
      </c>
      <c r="F13" s="44" t="str">
        <f ca="1">IFERROR(IF(AND(ISNUMBER($C$13),$C$13&lt;=95),INDEX('2.Distances'!$C$2:$C$9218,$C$12*96+$C$13+ 1) +$F$12," ")," ")</f>
        <v xml:space="preserve"> </v>
      </c>
      <c r="G13" s="43" t="str">
        <f ca="1">IFERROR(IF(ISNUMBER($C$13),INDEX('1.Locations'!$J$2:$J$97,$C$13 + 1) +$G$12," ")," ")</f>
        <v xml:space="preserve"> </v>
      </c>
      <c r="H13" s="43" t="str">
        <f ca="1">IFERROR(IF(ISNUMBER($C$13),INDEX('1.Locations'!$K$2:$K$97,$C$13 + 1) +$H$12," ")," ")</f>
        <v xml:space="preserve"> </v>
      </c>
      <c r="I13" s="45" t="str">
        <f ca="1">IFERROR(IF(AND(ISNUMBER($C$13),$C$13&lt;=95),INDEX('2.Distances'!$D$2:$D$9218,$C$12*96+$C$13+ 1) +$I$12," ")," ")</f>
        <v xml:space="preserve"> </v>
      </c>
      <c r="J13" s="46" t="str">
        <f ca="1">IFERROR(IF(AND(ISNUMBER($C$13),$C$13&lt;=95),INDEX('2.Distances'!$D$2:$D$9218,$C$12*96+$C$13+ 1) +$K$12," ")," ")</f>
        <v xml:space="preserve"> </v>
      </c>
      <c r="K13" s="46" t="str">
        <f ca="1">IFERROR(IF(ISNUMBER($J$13),INDEX('1.Locations'!$I$2:$I$97,$C$13 + 1) + MAX($J$13,INDEX('1.Locations'!$F$2:$F$97,$C$13 + 1))," ")," ")</f>
        <v xml:space="preserve"> </v>
      </c>
      <c r="L13" s="45" t="str">
        <f ca="1">IFERROR($L$12 + INDEX('2.Distances'!$D$2:$D$9218,$C$12*96+$C$13+ 1) + INDEX('1.Locations'!$I$2:$I$97,$C$13 + 1)," ")</f>
        <v xml:space="preserve"> </v>
      </c>
      <c r="N13" s="24">
        <v>8</v>
      </c>
      <c r="O13" s="25"/>
      <c r="P13" s="43" t="str">
        <f ca="1">IFERROR(MATCH(INDIRECT("$O$13"),'1.Locations'!$B$2:$B$97, 0) - 1," ")</f>
        <v xml:space="preserve"> </v>
      </c>
      <c r="Q13" s="43" t="e">
        <f ca="1">IFERROR(IF(ISNUMBER($P$13),INDEX('1.Locations'!$D$2:$D$97,$P$13 + 1),NA()),NA())</f>
        <v>#N/A</v>
      </c>
      <c r="R13" s="43" t="e">
        <f ca="1">IFERROR(IF(ISNUMBER($P$13),INDEX('1.Locations'!$E$2:$E$97,$P$13 + 1),NA()),NA())</f>
        <v>#N/A</v>
      </c>
      <c r="S13" s="44" t="str">
        <f ca="1">IFERROR(IF(AND(ISNUMBER($P$13),$P$13&lt;=95),INDEX('2.Distances'!$C$2:$C$9218,$P$12*96+$P$13+ 1) +$S$12," ")," ")</f>
        <v xml:space="preserve"> </v>
      </c>
      <c r="T13" s="43" t="str">
        <f ca="1">IFERROR(IF(ISNUMBER($P$13),INDEX('1.Locations'!$J$2:$J$97,$P$13 + 1) +$T$12," ")," ")</f>
        <v xml:space="preserve"> </v>
      </c>
      <c r="U13" s="43" t="str">
        <f ca="1">IFERROR(IF(ISNUMBER($P$13),INDEX('1.Locations'!$K$2:$K$97,$P$13 + 1) +$U$12," ")," ")</f>
        <v xml:space="preserve"> </v>
      </c>
      <c r="V13" s="45" t="str">
        <f ca="1">IFERROR(IF(AND(ISNUMBER($P$13),$P$13&lt;=95),INDEX('2.Distances'!$D$2:$D$9218,$P$12*96+$P$13+ 1) +$V$12," ")," ")</f>
        <v xml:space="preserve"> </v>
      </c>
      <c r="W13" s="46" t="str">
        <f ca="1">IFERROR(IF(AND(ISNUMBER($P$13),$P$13&lt;=95),INDEX('2.Distances'!$D$2:$D$9218,$P$12*96+$P$13+ 1) +$X$12," ")," ")</f>
        <v xml:space="preserve"> </v>
      </c>
      <c r="X13" s="46" t="str">
        <f ca="1">IFERROR(IF(ISNUMBER($W$13),INDEX('1.Locations'!$I$2:$I$97,$P$13 + 1) + MAX($W$13,INDEX('1.Locations'!$F$2:$F$97,$P$13 + 1))," ")," ")</f>
        <v xml:space="preserve"> </v>
      </c>
      <c r="Y13" s="45" t="str">
        <f ca="1">IFERROR($Y$12 + INDEX('2.Distances'!$D$2:$D$9218,$P$12*96+$P$13+ 1) + INDEX('1.Locations'!$I$2:$I$97,$P$13 + 1)," ")</f>
        <v xml:space="preserve"> </v>
      </c>
      <c r="AA13" s="24">
        <v>8</v>
      </c>
      <c r="AB13" s="25"/>
      <c r="AC13" s="43" t="str">
        <f ca="1">IFERROR(MATCH(INDIRECT("$AB$13"),'1.Locations'!$B$2:$B$97, 0) - 1," ")</f>
        <v xml:space="preserve"> </v>
      </c>
      <c r="AD13" s="43" t="e">
        <f ca="1">IFERROR(IF(ISNUMBER($AC$13),INDEX('1.Locations'!$D$2:$D$97,$AC$13 + 1),NA()),NA())</f>
        <v>#N/A</v>
      </c>
      <c r="AE13" s="43" t="e">
        <f ca="1">IFERROR(IF(ISNUMBER($AC$13),INDEX('1.Locations'!$E$2:$E$97,$AC$13 + 1),NA()),NA())</f>
        <v>#N/A</v>
      </c>
      <c r="AF13" s="44" t="str">
        <f ca="1">IFERROR(IF(AND(ISNUMBER($AC$13),$AC$13&lt;=95),INDEX('2.Distances'!$C$2:$C$9218,$AC$12*96+$AC$13+ 1) +$AF$12," ")," ")</f>
        <v xml:space="preserve"> </v>
      </c>
      <c r="AG13" s="43" t="str">
        <f ca="1">IFERROR(IF(ISNUMBER($AC$13),INDEX('1.Locations'!$J$2:$J$97,$AC$13 + 1) +$AG$12," ")," ")</f>
        <v xml:space="preserve"> </v>
      </c>
      <c r="AH13" s="43" t="str">
        <f ca="1">IFERROR(IF(ISNUMBER($AC$13),INDEX('1.Locations'!$K$2:$K$97,$AC$13 + 1) +$AH$12," ")," ")</f>
        <v xml:space="preserve"> </v>
      </c>
      <c r="AI13" s="45" t="str">
        <f ca="1">IFERROR(IF(AND(ISNUMBER($AC$13),$AC$13&lt;=95),INDEX('2.Distances'!$D$2:$D$9218,$AC$12*96+$AC$13+ 1) +$AI$12," ")," ")</f>
        <v xml:space="preserve"> </v>
      </c>
      <c r="AJ13" s="46" t="str">
        <f ca="1">IFERROR(IF(AND(ISNUMBER($AC$13),$AC$13&lt;=95),INDEX('2.Distances'!$D$2:$D$9218,$AC$12*96+$AC$13+ 1) +$AK$12," ")," ")</f>
        <v xml:space="preserve"> </v>
      </c>
      <c r="AK13" s="46" t="str">
        <f ca="1">IFERROR(IF(ISNUMBER($AJ$13),INDEX('1.Locations'!$I$2:$I$97,$AC$13 + 1) + MAX($AJ$13,INDEX('1.Locations'!$F$2:$F$97,$AC$13 + 1))," ")," ")</f>
        <v xml:space="preserve"> </v>
      </c>
      <c r="AL13" s="45" t="str">
        <f ca="1">IFERROR($AL$12 + INDEX('2.Distances'!$D$2:$D$9218,$AC$12*96+$AC$13+ 1) + INDEX('1.Locations'!$I$2:$I$97,$AC$13 + 1)," ")</f>
        <v xml:space="preserve"> </v>
      </c>
      <c r="AN13" s="24">
        <v>8</v>
      </c>
      <c r="AO13" s="25"/>
      <c r="AP13" s="43" t="str">
        <f ca="1">IFERROR(MATCH(INDIRECT("$AO$13"),'1.Locations'!$B$2:$B$97, 0) - 1," ")</f>
        <v xml:space="preserve"> </v>
      </c>
      <c r="AQ13" s="43" t="e">
        <f ca="1">IFERROR(IF(ISNUMBER($AP$13),INDEX('1.Locations'!$D$2:$D$97,$AP$13 + 1),NA()),NA())</f>
        <v>#N/A</v>
      </c>
      <c r="AR13" s="43" t="e">
        <f ca="1">IFERROR(IF(ISNUMBER($AP$13),INDEX('1.Locations'!$E$2:$E$97,$AP$13 + 1),NA()),NA())</f>
        <v>#N/A</v>
      </c>
      <c r="AS13" s="44" t="str">
        <f ca="1">IFERROR(IF(AND(ISNUMBER($AP$13),$AP$13&lt;=95),INDEX('2.Distances'!$C$2:$C$9218,$AP$12*96+$AP$13+ 1) +$AS$12," ")," ")</f>
        <v xml:space="preserve"> </v>
      </c>
      <c r="AT13" s="43" t="str">
        <f ca="1">IFERROR(IF(ISNUMBER($AP$13),INDEX('1.Locations'!$J$2:$J$97,$AP$13 + 1) +$AT$12," ")," ")</f>
        <v xml:space="preserve"> </v>
      </c>
      <c r="AU13" s="43" t="str">
        <f ca="1">IFERROR(IF(ISNUMBER($AP$13),INDEX('1.Locations'!$K$2:$K$97,$AP$13 + 1) +$AU$12," ")," ")</f>
        <v xml:space="preserve"> </v>
      </c>
      <c r="AV13" s="45" t="str">
        <f ca="1">IFERROR(IF(AND(ISNUMBER($AP$13),$AP$13&lt;=95),INDEX('2.Distances'!$D$2:$D$9218,$AP$12*96+$AP$13+ 1) +$AV$12," ")," ")</f>
        <v xml:space="preserve"> </v>
      </c>
      <c r="AW13" s="46" t="str">
        <f ca="1">IFERROR(IF(AND(ISNUMBER($AP$13),$AP$13&lt;=95),INDEX('2.Distances'!$D$2:$D$9218,$AP$12*96+$AP$13+ 1) +$AX$12," ")," ")</f>
        <v xml:space="preserve"> </v>
      </c>
      <c r="AX13" s="46" t="str">
        <f ca="1">IFERROR(IF(ISNUMBER($AW$13),INDEX('1.Locations'!$I$2:$I$97,$AP$13 + 1) + MAX($AW$13,INDEX('1.Locations'!$F$2:$F$97,$AP$13 + 1))," ")," ")</f>
        <v xml:space="preserve"> </v>
      </c>
      <c r="AY13" s="45" t="str">
        <f ca="1">IFERROR($AY$12 + INDEX('2.Distances'!$D$2:$D$9218,$AP$12*96+$AP$13+ 1) + INDEX('1.Locations'!$I$2:$I$97,$AP$13 + 1)," ")</f>
        <v xml:space="preserve"> </v>
      </c>
      <c r="BA13" s="24">
        <v>8</v>
      </c>
      <c r="BB13" s="25"/>
      <c r="BC13" s="43" t="str">
        <f ca="1">IFERROR(MATCH(INDIRECT("$BB$13"),'1.Locations'!$B$2:$B$97, 0) - 1," ")</f>
        <v xml:space="preserve"> </v>
      </c>
      <c r="BD13" s="43" t="e">
        <f ca="1">IFERROR(IF(ISNUMBER($BC$13),INDEX('1.Locations'!$D$2:$D$97,$BC$13 + 1),NA()),NA())</f>
        <v>#N/A</v>
      </c>
      <c r="BE13" s="43" t="e">
        <f ca="1">IFERROR(IF(ISNUMBER($BC$13),INDEX('1.Locations'!$E$2:$E$97,$BC$13 + 1),NA()),NA())</f>
        <v>#N/A</v>
      </c>
      <c r="BF13" s="44" t="str">
        <f ca="1">IFERROR(IF(AND(ISNUMBER($BC$13),$BC$13&lt;=95),INDEX('2.Distances'!$C$2:$C$9218,$BC$12*96+$BC$13+ 1) +$BF$12," ")," ")</f>
        <v xml:space="preserve"> </v>
      </c>
      <c r="BG13" s="43" t="str">
        <f ca="1">IFERROR(IF(ISNUMBER($BC$13),INDEX('1.Locations'!$J$2:$J$97,$BC$13 + 1) +$BG$12," ")," ")</f>
        <v xml:space="preserve"> </v>
      </c>
      <c r="BH13" s="43" t="str">
        <f ca="1">IFERROR(IF(ISNUMBER($BC$13),INDEX('1.Locations'!$K$2:$K$97,$BC$13 + 1) +$BH$12," ")," ")</f>
        <v xml:space="preserve"> </v>
      </c>
      <c r="BI13" s="45" t="str">
        <f ca="1">IFERROR(IF(AND(ISNUMBER($BC$13),$BC$13&lt;=95),INDEX('2.Distances'!$D$2:$D$9218,$BC$12*96+$BC$13+ 1) +$BI$12," ")," ")</f>
        <v xml:space="preserve"> </v>
      </c>
      <c r="BJ13" s="46" t="str">
        <f ca="1">IFERROR(IF(AND(ISNUMBER($BC$13),$BC$13&lt;=95),INDEX('2.Distances'!$D$2:$D$9218,$BC$12*96+$BC$13+ 1) +$BK$12," ")," ")</f>
        <v xml:space="preserve"> </v>
      </c>
      <c r="BK13" s="46" t="str">
        <f ca="1">IFERROR(IF(ISNUMBER($BJ$13),INDEX('1.Locations'!$I$2:$I$97,$BC$13 + 1) + MAX($BJ$13,INDEX('1.Locations'!$F$2:$F$97,$BC$13 + 1))," ")," ")</f>
        <v xml:space="preserve"> </v>
      </c>
      <c r="BL13" s="45" t="str">
        <f ca="1">IFERROR($BL$12 + INDEX('2.Distances'!$D$2:$D$9218,$BC$12*96+$BC$13+ 1) + INDEX('1.Locations'!$I$2:$I$97,$BC$13 + 1)," ")</f>
        <v xml:space="preserve"> </v>
      </c>
      <c r="BN13" s="24">
        <v>8</v>
      </c>
      <c r="BO13" s="25"/>
      <c r="BP13" s="43" t="str">
        <f ca="1">IFERROR(MATCH(INDIRECT("$BO$13"),'1.Locations'!$B$2:$B$97, 0) - 1," ")</f>
        <v xml:space="preserve"> </v>
      </c>
      <c r="BQ13" s="43" t="e">
        <f ca="1">IFERROR(IF(ISNUMBER($BP$13),INDEX('1.Locations'!$D$2:$D$97,$BP$13 + 1),NA()),NA())</f>
        <v>#N/A</v>
      </c>
      <c r="BR13" s="43" t="e">
        <f ca="1">IFERROR(IF(ISNUMBER($BP$13),INDEX('1.Locations'!$E$2:$E$97,$BP$13 + 1),NA()),NA())</f>
        <v>#N/A</v>
      </c>
      <c r="BS13" s="44" t="str">
        <f ca="1">IFERROR(IF(AND(ISNUMBER($BP$13),$BP$13&lt;=95),INDEX('2.Distances'!$C$2:$C$9218,$BP$12*96+$BP$13+ 1) +$BS$12," ")," ")</f>
        <v xml:space="preserve"> </v>
      </c>
      <c r="BT13" s="43" t="str">
        <f ca="1">IFERROR(IF(ISNUMBER($BP$13),INDEX('1.Locations'!$J$2:$J$97,$BP$13 + 1) +$BT$12," ")," ")</f>
        <v xml:space="preserve"> </v>
      </c>
      <c r="BU13" s="43" t="str">
        <f ca="1">IFERROR(IF(ISNUMBER($BP$13),INDEX('1.Locations'!$K$2:$K$97,$BP$13 + 1) +$BU$12," ")," ")</f>
        <v xml:space="preserve"> </v>
      </c>
      <c r="BV13" s="45" t="str">
        <f ca="1">IFERROR(IF(AND(ISNUMBER($BP$13),$BP$13&lt;=95),INDEX('2.Distances'!$D$2:$D$9218,$BP$12*96+$BP$13+ 1) +$BV$12," ")," ")</f>
        <v xml:space="preserve"> </v>
      </c>
      <c r="BW13" s="46" t="str">
        <f ca="1">IFERROR(IF(AND(ISNUMBER($BP$13),$BP$13&lt;=95),INDEX('2.Distances'!$D$2:$D$9218,$BP$12*96+$BP$13+ 1) +$BX$12," ")," ")</f>
        <v xml:space="preserve"> </v>
      </c>
      <c r="BX13" s="46" t="str">
        <f ca="1">IFERROR(IF(ISNUMBER($BW$13),INDEX('1.Locations'!$I$2:$I$97,$BP$13 + 1) + MAX($BW$13,INDEX('1.Locations'!$F$2:$F$97,$BP$13 + 1))," ")," ")</f>
        <v xml:space="preserve"> </v>
      </c>
      <c r="BY13" s="45" t="str">
        <f ca="1">IFERROR($BY$12 + INDEX('2.Distances'!$D$2:$D$9218,$BP$12*96+$BP$13+ 1) + INDEX('1.Locations'!$I$2:$I$97,$BP$13 + 1)," ")</f>
        <v xml:space="preserve"> </v>
      </c>
      <c r="CA13" s="24">
        <v>8</v>
      </c>
      <c r="CB13" s="25"/>
      <c r="CC13" s="43" t="str">
        <f ca="1">IFERROR(MATCH(INDIRECT("$CB$13"),'1.Locations'!$B$2:$B$97, 0) - 1," ")</f>
        <v xml:space="preserve"> </v>
      </c>
      <c r="CD13" s="43" t="e">
        <f ca="1">IFERROR(IF(ISNUMBER($CC$13),INDEX('1.Locations'!$D$2:$D$97,$CC$13 + 1),NA()),NA())</f>
        <v>#N/A</v>
      </c>
      <c r="CE13" s="43" t="e">
        <f ca="1">IFERROR(IF(ISNUMBER($CC$13),INDEX('1.Locations'!$E$2:$E$97,$CC$13 + 1),NA()),NA())</f>
        <v>#N/A</v>
      </c>
      <c r="CF13" s="44" t="str">
        <f ca="1">IFERROR(IF(AND(ISNUMBER($CC$13),$CC$13&lt;=95),INDEX('2.Distances'!$C$2:$C$9218,$CC$12*96+$CC$13+ 1) +$CF$12," ")," ")</f>
        <v xml:space="preserve"> </v>
      </c>
      <c r="CG13" s="43" t="str">
        <f ca="1">IFERROR(IF(ISNUMBER($CC$13),INDEX('1.Locations'!$J$2:$J$97,$CC$13 + 1) +$CG$12," ")," ")</f>
        <v xml:space="preserve"> </v>
      </c>
      <c r="CH13" s="43" t="str">
        <f ca="1">IFERROR(IF(ISNUMBER($CC$13),INDEX('1.Locations'!$K$2:$K$97,$CC$13 + 1) +$CH$12," ")," ")</f>
        <v xml:space="preserve"> </v>
      </c>
      <c r="CI13" s="45" t="str">
        <f ca="1">IFERROR(IF(AND(ISNUMBER($CC$13),$CC$13&lt;=95),INDEX('2.Distances'!$D$2:$D$9218,$CC$12*96+$CC$13+ 1) +$CI$12," ")," ")</f>
        <v xml:space="preserve"> </v>
      </c>
      <c r="CJ13" s="46" t="str">
        <f ca="1">IFERROR(IF(AND(ISNUMBER($CC$13),$CC$13&lt;=95),INDEX('2.Distances'!$D$2:$D$9218,$CC$12*96+$CC$13+ 1) +$CK$12," ")," ")</f>
        <v xml:space="preserve"> </v>
      </c>
      <c r="CK13" s="46" t="str">
        <f ca="1">IFERROR(IF(ISNUMBER($CJ$13),INDEX('1.Locations'!$I$2:$I$97,$CC$13 + 1) + MAX($CJ$13,INDEX('1.Locations'!$F$2:$F$97,$CC$13 + 1))," ")," ")</f>
        <v xml:space="preserve"> </v>
      </c>
      <c r="CL13" s="45" t="str">
        <f ca="1">IFERROR($CL$12 + INDEX('2.Distances'!$D$2:$D$9218,$CC$12*96+$CC$13+ 1) + INDEX('1.Locations'!$I$2:$I$97,$CC$13 + 1)," ")</f>
        <v xml:space="preserve"> </v>
      </c>
    </row>
    <row r="14" spans="1:90" x14ac:dyDescent="0.25">
      <c r="A14" s="24">
        <v>9</v>
      </c>
      <c r="B14" s="25"/>
      <c r="C14" s="43" t="str">
        <f ca="1">IFERROR(MATCH(INDIRECT("$B$14"),'1.Locations'!$B$2:$B$97, 0) - 1," ")</f>
        <v xml:space="preserve"> </v>
      </c>
      <c r="D14" s="43" t="e">
        <f ca="1">IFERROR(IF(ISNUMBER($C$14),INDEX('1.Locations'!$D$2:$D$97,$C$14 + 1),NA()),NA())</f>
        <v>#N/A</v>
      </c>
      <c r="E14" s="43" t="e">
        <f ca="1">IFERROR(IF(ISNUMBER($C$14),INDEX('1.Locations'!$E$2:$E$97,$C$14 + 1),NA()),NA())</f>
        <v>#N/A</v>
      </c>
      <c r="F14" s="44" t="str">
        <f ca="1">IFERROR(IF(AND(ISNUMBER($C$14),$C$14&lt;=95),INDEX('2.Distances'!$C$2:$C$9218,$C$13*96+$C$14+ 1) +$F$13," ")," ")</f>
        <v xml:space="preserve"> </v>
      </c>
      <c r="G14" s="43" t="str">
        <f ca="1">IFERROR(IF(ISNUMBER($C$14),INDEX('1.Locations'!$J$2:$J$97,$C$14 + 1) +$G$13," ")," ")</f>
        <v xml:space="preserve"> </v>
      </c>
      <c r="H14" s="43" t="str">
        <f ca="1">IFERROR(IF(ISNUMBER($C$14),INDEX('1.Locations'!$K$2:$K$97,$C$14 + 1) +$H$13," ")," ")</f>
        <v xml:space="preserve"> </v>
      </c>
      <c r="I14" s="45" t="str">
        <f ca="1">IFERROR(IF(AND(ISNUMBER($C$14),$C$14&lt;=95),INDEX('2.Distances'!$D$2:$D$9218,$C$13*96+$C$14+ 1) +$I$13," ")," ")</f>
        <v xml:space="preserve"> </v>
      </c>
      <c r="J14" s="46" t="str">
        <f ca="1">IFERROR(IF(AND(ISNUMBER($C$14),$C$14&lt;=95),INDEX('2.Distances'!$D$2:$D$9218,$C$13*96+$C$14+ 1) +$K$13," ")," ")</f>
        <v xml:space="preserve"> </v>
      </c>
      <c r="K14" s="46" t="str">
        <f ca="1">IFERROR(IF(ISNUMBER($J$14),INDEX('1.Locations'!$I$2:$I$97,$C$14 + 1) + MAX($J$14,INDEX('1.Locations'!$F$2:$F$97,$C$14 + 1))," ")," ")</f>
        <v xml:space="preserve"> </v>
      </c>
      <c r="L14" s="45" t="str">
        <f ca="1">IFERROR($L$13 + INDEX('2.Distances'!$D$2:$D$9218,$C$13*96+$C$14+ 1) + INDEX('1.Locations'!$I$2:$I$97,$C$14 + 1)," ")</f>
        <v xml:space="preserve"> </v>
      </c>
      <c r="N14" s="24">
        <v>9</v>
      </c>
      <c r="O14" s="25"/>
      <c r="P14" s="43" t="str">
        <f ca="1">IFERROR(MATCH(INDIRECT("$O$14"),'1.Locations'!$B$2:$B$97, 0) - 1," ")</f>
        <v xml:space="preserve"> </v>
      </c>
      <c r="Q14" s="43" t="e">
        <f ca="1">IFERROR(IF(ISNUMBER($P$14),INDEX('1.Locations'!$D$2:$D$97,$P$14 + 1),NA()),NA())</f>
        <v>#N/A</v>
      </c>
      <c r="R14" s="43" t="e">
        <f ca="1">IFERROR(IF(ISNUMBER($P$14),INDEX('1.Locations'!$E$2:$E$97,$P$14 + 1),NA()),NA())</f>
        <v>#N/A</v>
      </c>
      <c r="S14" s="44" t="str">
        <f ca="1">IFERROR(IF(AND(ISNUMBER($P$14),$P$14&lt;=95),INDEX('2.Distances'!$C$2:$C$9218,$P$13*96+$P$14+ 1) +$S$13," ")," ")</f>
        <v xml:space="preserve"> </v>
      </c>
      <c r="T14" s="43" t="str">
        <f ca="1">IFERROR(IF(ISNUMBER($P$14),INDEX('1.Locations'!$J$2:$J$97,$P$14 + 1) +$T$13," ")," ")</f>
        <v xml:space="preserve"> </v>
      </c>
      <c r="U14" s="43" t="str">
        <f ca="1">IFERROR(IF(ISNUMBER($P$14),INDEX('1.Locations'!$K$2:$K$97,$P$14 + 1) +$U$13," ")," ")</f>
        <v xml:space="preserve"> </v>
      </c>
      <c r="V14" s="45" t="str">
        <f ca="1">IFERROR(IF(AND(ISNUMBER($P$14),$P$14&lt;=95),INDEX('2.Distances'!$D$2:$D$9218,$P$13*96+$P$14+ 1) +$V$13," ")," ")</f>
        <v xml:space="preserve"> </v>
      </c>
      <c r="W14" s="46" t="str">
        <f ca="1">IFERROR(IF(AND(ISNUMBER($P$14),$P$14&lt;=95),INDEX('2.Distances'!$D$2:$D$9218,$P$13*96+$P$14+ 1) +$X$13," ")," ")</f>
        <v xml:space="preserve"> </v>
      </c>
      <c r="X14" s="46" t="str">
        <f ca="1">IFERROR(IF(ISNUMBER($W$14),INDEX('1.Locations'!$I$2:$I$97,$P$14 + 1) + MAX($W$14,INDEX('1.Locations'!$F$2:$F$97,$P$14 + 1))," ")," ")</f>
        <v xml:space="preserve"> </v>
      </c>
      <c r="Y14" s="45" t="str">
        <f ca="1">IFERROR($Y$13 + INDEX('2.Distances'!$D$2:$D$9218,$P$13*96+$P$14+ 1) + INDEX('1.Locations'!$I$2:$I$97,$P$14 + 1)," ")</f>
        <v xml:space="preserve"> </v>
      </c>
      <c r="AA14" s="24">
        <v>9</v>
      </c>
      <c r="AB14" s="25"/>
      <c r="AC14" s="43" t="str">
        <f ca="1">IFERROR(MATCH(INDIRECT("$AB$14"),'1.Locations'!$B$2:$B$97, 0) - 1," ")</f>
        <v xml:space="preserve"> </v>
      </c>
      <c r="AD14" s="43" t="e">
        <f ca="1">IFERROR(IF(ISNUMBER($AC$14),INDEX('1.Locations'!$D$2:$D$97,$AC$14 + 1),NA()),NA())</f>
        <v>#N/A</v>
      </c>
      <c r="AE14" s="43" t="e">
        <f ca="1">IFERROR(IF(ISNUMBER($AC$14),INDEX('1.Locations'!$E$2:$E$97,$AC$14 + 1),NA()),NA())</f>
        <v>#N/A</v>
      </c>
      <c r="AF14" s="44" t="str">
        <f ca="1">IFERROR(IF(AND(ISNUMBER($AC$14),$AC$14&lt;=95),INDEX('2.Distances'!$C$2:$C$9218,$AC$13*96+$AC$14+ 1) +$AF$13," ")," ")</f>
        <v xml:space="preserve"> </v>
      </c>
      <c r="AG14" s="43" t="str">
        <f ca="1">IFERROR(IF(ISNUMBER($AC$14),INDEX('1.Locations'!$J$2:$J$97,$AC$14 + 1) +$AG$13," ")," ")</f>
        <v xml:space="preserve"> </v>
      </c>
      <c r="AH14" s="43" t="str">
        <f ca="1">IFERROR(IF(ISNUMBER($AC$14),INDEX('1.Locations'!$K$2:$K$97,$AC$14 + 1) +$AH$13," ")," ")</f>
        <v xml:space="preserve"> </v>
      </c>
      <c r="AI14" s="45" t="str">
        <f ca="1">IFERROR(IF(AND(ISNUMBER($AC$14),$AC$14&lt;=95),INDEX('2.Distances'!$D$2:$D$9218,$AC$13*96+$AC$14+ 1) +$AI$13," ")," ")</f>
        <v xml:space="preserve"> </v>
      </c>
      <c r="AJ14" s="46" t="str">
        <f ca="1">IFERROR(IF(AND(ISNUMBER($AC$14),$AC$14&lt;=95),INDEX('2.Distances'!$D$2:$D$9218,$AC$13*96+$AC$14+ 1) +$AK$13," ")," ")</f>
        <v xml:space="preserve"> </v>
      </c>
      <c r="AK14" s="46" t="str">
        <f ca="1">IFERROR(IF(ISNUMBER($AJ$14),INDEX('1.Locations'!$I$2:$I$97,$AC$14 + 1) + MAX($AJ$14,INDEX('1.Locations'!$F$2:$F$97,$AC$14 + 1))," ")," ")</f>
        <v xml:space="preserve"> </v>
      </c>
      <c r="AL14" s="45" t="str">
        <f ca="1">IFERROR($AL$13 + INDEX('2.Distances'!$D$2:$D$9218,$AC$13*96+$AC$14+ 1) + INDEX('1.Locations'!$I$2:$I$97,$AC$14 + 1)," ")</f>
        <v xml:space="preserve"> </v>
      </c>
      <c r="AN14" s="24">
        <v>9</v>
      </c>
      <c r="AO14" s="25"/>
      <c r="AP14" s="43" t="str">
        <f ca="1">IFERROR(MATCH(INDIRECT("$AO$14"),'1.Locations'!$B$2:$B$97, 0) - 1," ")</f>
        <v xml:space="preserve"> </v>
      </c>
      <c r="AQ14" s="43" t="e">
        <f ca="1">IFERROR(IF(ISNUMBER($AP$14),INDEX('1.Locations'!$D$2:$D$97,$AP$14 + 1),NA()),NA())</f>
        <v>#N/A</v>
      </c>
      <c r="AR14" s="43" t="e">
        <f ca="1">IFERROR(IF(ISNUMBER($AP$14),INDEX('1.Locations'!$E$2:$E$97,$AP$14 + 1),NA()),NA())</f>
        <v>#N/A</v>
      </c>
      <c r="AS14" s="44" t="str">
        <f ca="1">IFERROR(IF(AND(ISNUMBER($AP$14),$AP$14&lt;=95),INDEX('2.Distances'!$C$2:$C$9218,$AP$13*96+$AP$14+ 1) +$AS$13," ")," ")</f>
        <v xml:space="preserve"> </v>
      </c>
      <c r="AT14" s="43" t="str">
        <f ca="1">IFERROR(IF(ISNUMBER($AP$14),INDEX('1.Locations'!$J$2:$J$97,$AP$14 + 1) +$AT$13," ")," ")</f>
        <v xml:space="preserve"> </v>
      </c>
      <c r="AU14" s="43" t="str">
        <f ca="1">IFERROR(IF(ISNUMBER($AP$14),INDEX('1.Locations'!$K$2:$K$97,$AP$14 + 1) +$AU$13," ")," ")</f>
        <v xml:space="preserve"> </v>
      </c>
      <c r="AV14" s="45" t="str">
        <f ca="1">IFERROR(IF(AND(ISNUMBER($AP$14),$AP$14&lt;=95),INDEX('2.Distances'!$D$2:$D$9218,$AP$13*96+$AP$14+ 1) +$AV$13," ")," ")</f>
        <v xml:space="preserve"> </v>
      </c>
      <c r="AW14" s="46" t="str">
        <f ca="1">IFERROR(IF(AND(ISNUMBER($AP$14),$AP$14&lt;=95),INDEX('2.Distances'!$D$2:$D$9218,$AP$13*96+$AP$14+ 1) +$AX$13," ")," ")</f>
        <v xml:space="preserve"> </v>
      </c>
      <c r="AX14" s="46" t="str">
        <f ca="1">IFERROR(IF(ISNUMBER($AW$14),INDEX('1.Locations'!$I$2:$I$97,$AP$14 + 1) + MAX($AW$14,INDEX('1.Locations'!$F$2:$F$97,$AP$14 + 1))," ")," ")</f>
        <v xml:space="preserve"> </v>
      </c>
      <c r="AY14" s="45" t="str">
        <f ca="1">IFERROR($AY$13 + INDEX('2.Distances'!$D$2:$D$9218,$AP$13*96+$AP$14+ 1) + INDEX('1.Locations'!$I$2:$I$97,$AP$14 + 1)," ")</f>
        <v xml:space="preserve"> </v>
      </c>
      <c r="BA14" s="24">
        <v>9</v>
      </c>
      <c r="BB14" s="25"/>
      <c r="BC14" s="43" t="str">
        <f ca="1">IFERROR(MATCH(INDIRECT("$BB$14"),'1.Locations'!$B$2:$B$97, 0) - 1," ")</f>
        <v xml:space="preserve"> </v>
      </c>
      <c r="BD14" s="43" t="e">
        <f ca="1">IFERROR(IF(ISNUMBER($BC$14),INDEX('1.Locations'!$D$2:$D$97,$BC$14 + 1),NA()),NA())</f>
        <v>#N/A</v>
      </c>
      <c r="BE14" s="43" t="e">
        <f ca="1">IFERROR(IF(ISNUMBER($BC$14),INDEX('1.Locations'!$E$2:$E$97,$BC$14 + 1),NA()),NA())</f>
        <v>#N/A</v>
      </c>
      <c r="BF14" s="44" t="str">
        <f ca="1">IFERROR(IF(AND(ISNUMBER($BC$14),$BC$14&lt;=95),INDEX('2.Distances'!$C$2:$C$9218,$BC$13*96+$BC$14+ 1) +$BF$13," ")," ")</f>
        <v xml:space="preserve"> </v>
      </c>
      <c r="BG14" s="43" t="str">
        <f ca="1">IFERROR(IF(ISNUMBER($BC$14),INDEX('1.Locations'!$J$2:$J$97,$BC$14 + 1) +$BG$13," ")," ")</f>
        <v xml:space="preserve"> </v>
      </c>
      <c r="BH14" s="43" t="str">
        <f ca="1">IFERROR(IF(ISNUMBER($BC$14),INDEX('1.Locations'!$K$2:$K$97,$BC$14 + 1) +$BH$13," ")," ")</f>
        <v xml:space="preserve"> </v>
      </c>
      <c r="BI14" s="45" t="str">
        <f ca="1">IFERROR(IF(AND(ISNUMBER($BC$14),$BC$14&lt;=95),INDEX('2.Distances'!$D$2:$D$9218,$BC$13*96+$BC$14+ 1) +$BI$13," ")," ")</f>
        <v xml:space="preserve"> </v>
      </c>
      <c r="BJ14" s="46" t="str">
        <f ca="1">IFERROR(IF(AND(ISNUMBER($BC$14),$BC$14&lt;=95),INDEX('2.Distances'!$D$2:$D$9218,$BC$13*96+$BC$14+ 1) +$BK$13," ")," ")</f>
        <v xml:space="preserve"> </v>
      </c>
      <c r="BK14" s="46" t="str">
        <f ca="1">IFERROR(IF(ISNUMBER($BJ$14),INDEX('1.Locations'!$I$2:$I$97,$BC$14 + 1) + MAX($BJ$14,INDEX('1.Locations'!$F$2:$F$97,$BC$14 + 1))," ")," ")</f>
        <v xml:space="preserve"> </v>
      </c>
      <c r="BL14" s="45" t="str">
        <f ca="1">IFERROR($BL$13 + INDEX('2.Distances'!$D$2:$D$9218,$BC$13*96+$BC$14+ 1) + INDEX('1.Locations'!$I$2:$I$97,$BC$14 + 1)," ")</f>
        <v xml:space="preserve"> </v>
      </c>
      <c r="BN14" s="24">
        <v>9</v>
      </c>
      <c r="BO14" s="25"/>
      <c r="BP14" s="43" t="str">
        <f ca="1">IFERROR(MATCH(INDIRECT("$BO$14"),'1.Locations'!$B$2:$B$97, 0) - 1," ")</f>
        <v xml:space="preserve"> </v>
      </c>
      <c r="BQ14" s="43" t="e">
        <f ca="1">IFERROR(IF(ISNUMBER($BP$14),INDEX('1.Locations'!$D$2:$D$97,$BP$14 + 1),NA()),NA())</f>
        <v>#N/A</v>
      </c>
      <c r="BR14" s="43" t="e">
        <f ca="1">IFERROR(IF(ISNUMBER($BP$14),INDEX('1.Locations'!$E$2:$E$97,$BP$14 + 1),NA()),NA())</f>
        <v>#N/A</v>
      </c>
      <c r="BS14" s="44" t="str">
        <f ca="1">IFERROR(IF(AND(ISNUMBER($BP$14),$BP$14&lt;=95),INDEX('2.Distances'!$C$2:$C$9218,$BP$13*96+$BP$14+ 1) +$BS$13," ")," ")</f>
        <v xml:space="preserve"> </v>
      </c>
      <c r="BT14" s="43" t="str">
        <f ca="1">IFERROR(IF(ISNUMBER($BP$14),INDEX('1.Locations'!$J$2:$J$97,$BP$14 + 1) +$BT$13," ")," ")</f>
        <v xml:space="preserve"> </v>
      </c>
      <c r="BU14" s="43" t="str">
        <f ca="1">IFERROR(IF(ISNUMBER($BP$14),INDEX('1.Locations'!$K$2:$K$97,$BP$14 + 1) +$BU$13," ")," ")</f>
        <v xml:space="preserve"> </v>
      </c>
      <c r="BV14" s="45" t="str">
        <f ca="1">IFERROR(IF(AND(ISNUMBER($BP$14),$BP$14&lt;=95),INDEX('2.Distances'!$D$2:$D$9218,$BP$13*96+$BP$14+ 1) +$BV$13," ")," ")</f>
        <v xml:space="preserve"> </v>
      </c>
      <c r="BW14" s="46" t="str">
        <f ca="1">IFERROR(IF(AND(ISNUMBER($BP$14),$BP$14&lt;=95),INDEX('2.Distances'!$D$2:$D$9218,$BP$13*96+$BP$14+ 1) +$BX$13," ")," ")</f>
        <v xml:space="preserve"> </v>
      </c>
      <c r="BX14" s="46" t="str">
        <f ca="1">IFERROR(IF(ISNUMBER($BW$14),INDEX('1.Locations'!$I$2:$I$97,$BP$14 + 1) + MAX($BW$14,INDEX('1.Locations'!$F$2:$F$97,$BP$14 + 1))," ")," ")</f>
        <v xml:space="preserve"> </v>
      </c>
      <c r="BY14" s="45" t="str">
        <f ca="1">IFERROR($BY$13 + INDEX('2.Distances'!$D$2:$D$9218,$BP$13*96+$BP$14+ 1) + INDEX('1.Locations'!$I$2:$I$97,$BP$14 + 1)," ")</f>
        <v xml:space="preserve"> </v>
      </c>
      <c r="CA14" s="24">
        <v>9</v>
      </c>
      <c r="CB14" s="25"/>
      <c r="CC14" s="43" t="str">
        <f ca="1">IFERROR(MATCH(INDIRECT("$CB$14"),'1.Locations'!$B$2:$B$97, 0) - 1," ")</f>
        <v xml:space="preserve"> </v>
      </c>
      <c r="CD14" s="43" t="e">
        <f ca="1">IFERROR(IF(ISNUMBER($CC$14),INDEX('1.Locations'!$D$2:$D$97,$CC$14 + 1),NA()),NA())</f>
        <v>#N/A</v>
      </c>
      <c r="CE14" s="43" t="e">
        <f ca="1">IFERROR(IF(ISNUMBER($CC$14),INDEX('1.Locations'!$E$2:$E$97,$CC$14 + 1),NA()),NA())</f>
        <v>#N/A</v>
      </c>
      <c r="CF14" s="44" t="str">
        <f ca="1">IFERROR(IF(AND(ISNUMBER($CC$14),$CC$14&lt;=95),INDEX('2.Distances'!$C$2:$C$9218,$CC$13*96+$CC$14+ 1) +$CF$13," ")," ")</f>
        <v xml:space="preserve"> </v>
      </c>
      <c r="CG14" s="43" t="str">
        <f ca="1">IFERROR(IF(ISNUMBER($CC$14),INDEX('1.Locations'!$J$2:$J$97,$CC$14 + 1) +$CG$13," ")," ")</f>
        <v xml:space="preserve"> </v>
      </c>
      <c r="CH14" s="43" t="str">
        <f ca="1">IFERROR(IF(ISNUMBER($CC$14),INDEX('1.Locations'!$K$2:$K$97,$CC$14 + 1) +$CH$13," ")," ")</f>
        <v xml:space="preserve"> </v>
      </c>
      <c r="CI14" s="45" t="str">
        <f ca="1">IFERROR(IF(AND(ISNUMBER($CC$14),$CC$14&lt;=95),INDEX('2.Distances'!$D$2:$D$9218,$CC$13*96+$CC$14+ 1) +$CI$13," ")," ")</f>
        <v xml:space="preserve"> </v>
      </c>
      <c r="CJ14" s="46" t="str">
        <f ca="1">IFERROR(IF(AND(ISNUMBER($CC$14),$CC$14&lt;=95),INDEX('2.Distances'!$D$2:$D$9218,$CC$13*96+$CC$14+ 1) +$CK$13," ")," ")</f>
        <v xml:space="preserve"> </v>
      </c>
      <c r="CK14" s="46" t="str">
        <f ca="1">IFERROR(IF(ISNUMBER($CJ$14),INDEX('1.Locations'!$I$2:$I$97,$CC$14 + 1) + MAX($CJ$14,INDEX('1.Locations'!$F$2:$F$97,$CC$14 + 1))," ")," ")</f>
        <v xml:space="preserve"> </v>
      </c>
      <c r="CL14" s="45" t="str">
        <f ca="1">IFERROR($CL$13 + INDEX('2.Distances'!$D$2:$D$9218,$CC$13*96+$CC$14+ 1) + INDEX('1.Locations'!$I$2:$I$97,$CC$14 + 1)," ")</f>
        <v xml:space="preserve"> </v>
      </c>
    </row>
    <row r="15" spans="1:90" x14ac:dyDescent="0.25">
      <c r="A15" s="24">
        <v>10</v>
      </c>
      <c r="B15" s="25"/>
      <c r="C15" s="43" t="str">
        <f ca="1">IFERROR(MATCH(INDIRECT("$B$15"),'1.Locations'!$B$2:$B$97, 0) - 1," ")</f>
        <v xml:space="preserve"> </v>
      </c>
      <c r="D15" s="43" t="e">
        <f ca="1">IFERROR(IF(ISNUMBER($C$15),INDEX('1.Locations'!$D$2:$D$97,$C$15 + 1),NA()),NA())</f>
        <v>#N/A</v>
      </c>
      <c r="E15" s="43" t="e">
        <f ca="1">IFERROR(IF(ISNUMBER($C$15),INDEX('1.Locations'!$E$2:$E$97,$C$15 + 1),NA()),NA())</f>
        <v>#N/A</v>
      </c>
      <c r="F15" s="44" t="str">
        <f ca="1">IFERROR(IF(AND(ISNUMBER($C$15),$C$15&lt;=95),INDEX('2.Distances'!$C$2:$C$9218,$C$14*96+$C$15+ 1) +$F$14," ")," ")</f>
        <v xml:space="preserve"> </v>
      </c>
      <c r="G15" s="43" t="str">
        <f ca="1">IFERROR(IF(ISNUMBER($C$15),INDEX('1.Locations'!$J$2:$J$97,$C$15 + 1) +$G$14," ")," ")</f>
        <v xml:space="preserve"> </v>
      </c>
      <c r="H15" s="43" t="str">
        <f ca="1">IFERROR(IF(ISNUMBER($C$15),INDEX('1.Locations'!$K$2:$K$97,$C$15 + 1) +$H$14," ")," ")</f>
        <v xml:space="preserve"> </v>
      </c>
      <c r="I15" s="45" t="str">
        <f ca="1">IFERROR(IF(AND(ISNUMBER($C$15),$C$15&lt;=95),INDEX('2.Distances'!$D$2:$D$9218,$C$14*96+$C$15+ 1) +$I$14," ")," ")</f>
        <v xml:space="preserve"> </v>
      </c>
      <c r="J15" s="46" t="str">
        <f ca="1">IFERROR(IF(AND(ISNUMBER($C$15),$C$15&lt;=95),INDEX('2.Distances'!$D$2:$D$9218,$C$14*96+$C$15+ 1) +$K$14," ")," ")</f>
        <v xml:space="preserve"> </v>
      </c>
      <c r="K15" s="46" t="str">
        <f ca="1">IFERROR(IF(ISNUMBER($J$15),INDEX('1.Locations'!$I$2:$I$97,$C$15 + 1) + MAX($J$15,INDEX('1.Locations'!$F$2:$F$97,$C$15 + 1))," ")," ")</f>
        <v xml:space="preserve"> </v>
      </c>
      <c r="L15" s="45" t="str">
        <f ca="1">IFERROR($L$14 + INDEX('2.Distances'!$D$2:$D$9218,$C$14*96+$C$15+ 1) + INDEX('1.Locations'!$I$2:$I$97,$C$15 + 1)," ")</f>
        <v xml:space="preserve"> </v>
      </c>
      <c r="N15" s="24">
        <v>10</v>
      </c>
      <c r="O15" s="25"/>
      <c r="P15" s="43" t="str">
        <f ca="1">IFERROR(MATCH(INDIRECT("$O$15"),'1.Locations'!$B$2:$B$97, 0) - 1," ")</f>
        <v xml:space="preserve"> </v>
      </c>
      <c r="Q15" s="43" t="e">
        <f ca="1">IFERROR(IF(ISNUMBER($P$15),INDEX('1.Locations'!$D$2:$D$97,$P$15 + 1),NA()),NA())</f>
        <v>#N/A</v>
      </c>
      <c r="R15" s="43" t="e">
        <f ca="1">IFERROR(IF(ISNUMBER($P$15),INDEX('1.Locations'!$E$2:$E$97,$P$15 + 1),NA()),NA())</f>
        <v>#N/A</v>
      </c>
      <c r="S15" s="44" t="str">
        <f ca="1">IFERROR(IF(AND(ISNUMBER($P$15),$P$15&lt;=95),INDEX('2.Distances'!$C$2:$C$9218,$P$14*96+$P$15+ 1) +$S$14," ")," ")</f>
        <v xml:space="preserve"> </v>
      </c>
      <c r="T15" s="43" t="str">
        <f ca="1">IFERROR(IF(ISNUMBER($P$15),INDEX('1.Locations'!$J$2:$J$97,$P$15 + 1) +$T$14," ")," ")</f>
        <v xml:space="preserve"> </v>
      </c>
      <c r="U15" s="43" t="str">
        <f ca="1">IFERROR(IF(ISNUMBER($P$15),INDEX('1.Locations'!$K$2:$K$97,$P$15 + 1) +$U$14," ")," ")</f>
        <v xml:space="preserve"> </v>
      </c>
      <c r="V15" s="45" t="str">
        <f ca="1">IFERROR(IF(AND(ISNUMBER($P$15),$P$15&lt;=95),INDEX('2.Distances'!$D$2:$D$9218,$P$14*96+$P$15+ 1) +$V$14," ")," ")</f>
        <v xml:space="preserve"> </v>
      </c>
      <c r="W15" s="46" t="str">
        <f ca="1">IFERROR(IF(AND(ISNUMBER($P$15),$P$15&lt;=95),INDEX('2.Distances'!$D$2:$D$9218,$P$14*96+$P$15+ 1) +$X$14," ")," ")</f>
        <v xml:space="preserve"> </v>
      </c>
      <c r="X15" s="46" t="str">
        <f ca="1">IFERROR(IF(ISNUMBER($W$15),INDEX('1.Locations'!$I$2:$I$97,$P$15 + 1) + MAX($W$15,INDEX('1.Locations'!$F$2:$F$97,$P$15 + 1))," ")," ")</f>
        <v xml:space="preserve"> </v>
      </c>
      <c r="Y15" s="45" t="str">
        <f ca="1">IFERROR($Y$14 + INDEX('2.Distances'!$D$2:$D$9218,$P$14*96+$P$15+ 1) + INDEX('1.Locations'!$I$2:$I$97,$P$15 + 1)," ")</f>
        <v xml:space="preserve"> </v>
      </c>
      <c r="AA15" s="24">
        <v>10</v>
      </c>
      <c r="AB15" s="25"/>
      <c r="AC15" s="43" t="str">
        <f ca="1">IFERROR(MATCH(INDIRECT("$AB$15"),'1.Locations'!$B$2:$B$97, 0) - 1," ")</f>
        <v xml:space="preserve"> </v>
      </c>
      <c r="AD15" s="43" t="e">
        <f ca="1">IFERROR(IF(ISNUMBER($AC$15),INDEX('1.Locations'!$D$2:$D$97,$AC$15 + 1),NA()),NA())</f>
        <v>#N/A</v>
      </c>
      <c r="AE15" s="43" t="e">
        <f ca="1">IFERROR(IF(ISNUMBER($AC$15),INDEX('1.Locations'!$E$2:$E$97,$AC$15 + 1),NA()),NA())</f>
        <v>#N/A</v>
      </c>
      <c r="AF15" s="44" t="str">
        <f ca="1">IFERROR(IF(AND(ISNUMBER($AC$15),$AC$15&lt;=95),INDEX('2.Distances'!$C$2:$C$9218,$AC$14*96+$AC$15+ 1) +$AF$14," ")," ")</f>
        <v xml:space="preserve"> </v>
      </c>
      <c r="AG15" s="43" t="str">
        <f ca="1">IFERROR(IF(ISNUMBER($AC$15),INDEX('1.Locations'!$J$2:$J$97,$AC$15 + 1) +$AG$14," ")," ")</f>
        <v xml:space="preserve"> </v>
      </c>
      <c r="AH15" s="43" t="str">
        <f ca="1">IFERROR(IF(ISNUMBER($AC$15),INDEX('1.Locations'!$K$2:$K$97,$AC$15 + 1) +$AH$14," ")," ")</f>
        <v xml:space="preserve"> </v>
      </c>
      <c r="AI15" s="45" t="str">
        <f ca="1">IFERROR(IF(AND(ISNUMBER($AC$15),$AC$15&lt;=95),INDEX('2.Distances'!$D$2:$D$9218,$AC$14*96+$AC$15+ 1) +$AI$14," ")," ")</f>
        <v xml:space="preserve"> </v>
      </c>
      <c r="AJ15" s="46" t="str">
        <f ca="1">IFERROR(IF(AND(ISNUMBER($AC$15),$AC$15&lt;=95),INDEX('2.Distances'!$D$2:$D$9218,$AC$14*96+$AC$15+ 1) +$AK$14," ")," ")</f>
        <v xml:space="preserve"> </v>
      </c>
      <c r="AK15" s="46" t="str">
        <f ca="1">IFERROR(IF(ISNUMBER($AJ$15),INDEX('1.Locations'!$I$2:$I$97,$AC$15 + 1) + MAX($AJ$15,INDEX('1.Locations'!$F$2:$F$97,$AC$15 + 1))," ")," ")</f>
        <v xml:space="preserve"> </v>
      </c>
      <c r="AL15" s="45" t="str">
        <f ca="1">IFERROR($AL$14 + INDEX('2.Distances'!$D$2:$D$9218,$AC$14*96+$AC$15+ 1) + INDEX('1.Locations'!$I$2:$I$97,$AC$15 + 1)," ")</f>
        <v xml:space="preserve"> </v>
      </c>
      <c r="AN15" s="24">
        <v>10</v>
      </c>
      <c r="AO15" s="25"/>
      <c r="AP15" s="43" t="str">
        <f ca="1">IFERROR(MATCH(INDIRECT("$AO$15"),'1.Locations'!$B$2:$B$97, 0) - 1," ")</f>
        <v xml:space="preserve"> </v>
      </c>
      <c r="AQ15" s="43" t="e">
        <f ca="1">IFERROR(IF(ISNUMBER($AP$15),INDEX('1.Locations'!$D$2:$D$97,$AP$15 + 1),NA()),NA())</f>
        <v>#N/A</v>
      </c>
      <c r="AR15" s="43" t="e">
        <f ca="1">IFERROR(IF(ISNUMBER($AP$15),INDEX('1.Locations'!$E$2:$E$97,$AP$15 + 1),NA()),NA())</f>
        <v>#N/A</v>
      </c>
      <c r="AS15" s="44" t="str">
        <f ca="1">IFERROR(IF(AND(ISNUMBER($AP$15),$AP$15&lt;=95),INDEX('2.Distances'!$C$2:$C$9218,$AP$14*96+$AP$15+ 1) +$AS$14," ")," ")</f>
        <v xml:space="preserve"> </v>
      </c>
      <c r="AT15" s="43" t="str">
        <f ca="1">IFERROR(IF(ISNUMBER($AP$15),INDEX('1.Locations'!$J$2:$J$97,$AP$15 + 1) +$AT$14," ")," ")</f>
        <v xml:space="preserve"> </v>
      </c>
      <c r="AU15" s="43" t="str">
        <f ca="1">IFERROR(IF(ISNUMBER($AP$15),INDEX('1.Locations'!$K$2:$K$97,$AP$15 + 1) +$AU$14," ")," ")</f>
        <v xml:space="preserve"> </v>
      </c>
      <c r="AV15" s="45" t="str">
        <f ca="1">IFERROR(IF(AND(ISNUMBER($AP$15),$AP$15&lt;=95),INDEX('2.Distances'!$D$2:$D$9218,$AP$14*96+$AP$15+ 1) +$AV$14," ")," ")</f>
        <v xml:space="preserve"> </v>
      </c>
      <c r="AW15" s="46" t="str">
        <f ca="1">IFERROR(IF(AND(ISNUMBER($AP$15),$AP$15&lt;=95),INDEX('2.Distances'!$D$2:$D$9218,$AP$14*96+$AP$15+ 1) +$AX$14," ")," ")</f>
        <v xml:space="preserve"> </v>
      </c>
      <c r="AX15" s="46" t="str">
        <f ca="1">IFERROR(IF(ISNUMBER($AW$15),INDEX('1.Locations'!$I$2:$I$97,$AP$15 + 1) + MAX($AW$15,INDEX('1.Locations'!$F$2:$F$97,$AP$15 + 1))," ")," ")</f>
        <v xml:space="preserve"> </v>
      </c>
      <c r="AY15" s="45" t="str">
        <f ca="1">IFERROR($AY$14 + INDEX('2.Distances'!$D$2:$D$9218,$AP$14*96+$AP$15+ 1) + INDEX('1.Locations'!$I$2:$I$97,$AP$15 + 1)," ")</f>
        <v xml:space="preserve"> </v>
      </c>
      <c r="BA15" s="24">
        <v>10</v>
      </c>
      <c r="BB15" s="25"/>
      <c r="BC15" s="43" t="str">
        <f ca="1">IFERROR(MATCH(INDIRECT("$BB$15"),'1.Locations'!$B$2:$B$97, 0) - 1," ")</f>
        <v xml:space="preserve"> </v>
      </c>
      <c r="BD15" s="43" t="e">
        <f ca="1">IFERROR(IF(ISNUMBER($BC$15),INDEX('1.Locations'!$D$2:$D$97,$BC$15 + 1),NA()),NA())</f>
        <v>#N/A</v>
      </c>
      <c r="BE15" s="43" t="e">
        <f ca="1">IFERROR(IF(ISNUMBER($BC$15),INDEX('1.Locations'!$E$2:$E$97,$BC$15 + 1),NA()),NA())</f>
        <v>#N/A</v>
      </c>
      <c r="BF15" s="44" t="str">
        <f ca="1">IFERROR(IF(AND(ISNUMBER($BC$15),$BC$15&lt;=95),INDEX('2.Distances'!$C$2:$C$9218,$BC$14*96+$BC$15+ 1) +$BF$14," ")," ")</f>
        <v xml:space="preserve"> </v>
      </c>
      <c r="BG15" s="43" t="str">
        <f ca="1">IFERROR(IF(ISNUMBER($BC$15),INDEX('1.Locations'!$J$2:$J$97,$BC$15 + 1) +$BG$14," ")," ")</f>
        <v xml:space="preserve"> </v>
      </c>
      <c r="BH15" s="43" t="str">
        <f ca="1">IFERROR(IF(ISNUMBER($BC$15),INDEX('1.Locations'!$K$2:$K$97,$BC$15 + 1) +$BH$14," ")," ")</f>
        <v xml:space="preserve"> </v>
      </c>
      <c r="BI15" s="45" t="str">
        <f ca="1">IFERROR(IF(AND(ISNUMBER($BC$15),$BC$15&lt;=95),INDEX('2.Distances'!$D$2:$D$9218,$BC$14*96+$BC$15+ 1) +$BI$14," ")," ")</f>
        <v xml:space="preserve"> </v>
      </c>
      <c r="BJ15" s="46" t="str">
        <f ca="1">IFERROR(IF(AND(ISNUMBER($BC$15),$BC$15&lt;=95),INDEX('2.Distances'!$D$2:$D$9218,$BC$14*96+$BC$15+ 1) +$BK$14," ")," ")</f>
        <v xml:space="preserve"> </v>
      </c>
      <c r="BK15" s="46" t="str">
        <f ca="1">IFERROR(IF(ISNUMBER($BJ$15),INDEX('1.Locations'!$I$2:$I$97,$BC$15 + 1) + MAX($BJ$15,INDEX('1.Locations'!$F$2:$F$97,$BC$15 + 1))," ")," ")</f>
        <v xml:space="preserve"> </v>
      </c>
      <c r="BL15" s="45" t="str">
        <f ca="1">IFERROR($BL$14 + INDEX('2.Distances'!$D$2:$D$9218,$BC$14*96+$BC$15+ 1) + INDEX('1.Locations'!$I$2:$I$97,$BC$15 + 1)," ")</f>
        <v xml:space="preserve"> </v>
      </c>
      <c r="BN15" s="24">
        <v>10</v>
      </c>
      <c r="BO15" s="25"/>
      <c r="BP15" s="43" t="str">
        <f ca="1">IFERROR(MATCH(INDIRECT("$BO$15"),'1.Locations'!$B$2:$B$97, 0) - 1," ")</f>
        <v xml:space="preserve"> </v>
      </c>
      <c r="BQ15" s="43" t="e">
        <f ca="1">IFERROR(IF(ISNUMBER($BP$15),INDEX('1.Locations'!$D$2:$D$97,$BP$15 + 1),NA()),NA())</f>
        <v>#N/A</v>
      </c>
      <c r="BR15" s="43" t="e">
        <f ca="1">IFERROR(IF(ISNUMBER($BP$15),INDEX('1.Locations'!$E$2:$E$97,$BP$15 + 1),NA()),NA())</f>
        <v>#N/A</v>
      </c>
      <c r="BS15" s="44" t="str">
        <f ca="1">IFERROR(IF(AND(ISNUMBER($BP$15),$BP$15&lt;=95),INDEX('2.Distances'!$C$2:$C$9218,$BP$14*96+$BP$15+ 1) +$BS$14," ")," ")</f>
        <v xml:space="preserve"> </v>
      </c>
      <c r="BT15" s="43" t="str">
        <f ca="1">IFERROR(IF(ISNUMBER($BP$15),INDEX('1.Locations'!$J$2:$J$97,$BP$15 + 1) +$BT$14," ")," ")</f>
        <v xml:space="preserve"> </v>
      </c>
      <c r="BU15" s="43" t="str">
        <f ca="1">IFERROR(IF(ISNUMBER($BP$15),INDEX('1.Locations'!$K$2:$K$97,$BP$15 + 1) +$BU$14," ")," ")</f>
        <v xml:space="preserve"> </v>
      </c>
      <c r="BV15" s="45" t="str">
        <f ca="1">IFERROR(IF(AND(ISNUMBER($BP$15),$BP$15&lt;=95),INDEX('2.Distances'!$D$2:$D$9218,$BP$14*96+$BP$15+ 1) +$BV$14," ")," ")</f>
        <v xml:space="preserve"> </v>
      </c>
      <c r="BW15" s="46" t="str">
        <f ca="1">IFERROR(IF(AND(ISNUMBER($BP$15),$BP$15&lt;=95),INDEX('2.Distances'!$D$2:$D$9218,$BP$14*96+$BP$15+ 1) +$BX$14," ")," ")</f>
        <v xml:space="preserve"> </v>
      </c>
      <c r="BX15" s="46" t="str">
        <f ca="1">IFERROR(IF(ISNUMBER($BW$15),INDEX('1.Locations'!$I$2:$I$97,$BP$15 + 1) + MAX($BW$15,INDEX('1.Locations'!$F$2:$F$97,$BP$15 + 1))," ")," ")</f>
        <v xml:space="preserve"> </v>
      </c>
      <c r="BY15" s="45" t="str">
        <f ca="1">IFERROR($BY$14 + INDEX('2.Distances'!$D$2:$D$9218,$BP$14*96+$BP$15+ 1) + INDEX('1.Locations'!$I$2:$I$97,$BP$15 + 1)," ")</f>
        <v xml:space="preserve"> </v>
      </c>
      <c r="CA15" s="24">
        <v>10</v>
      </c>
      <c r="CB15" s="25"/>
      <c r="CC15" s="43" t="str">
        <f ca="1">IFERROR(MATCH(INDIRECT("$CB$15"),'1.Locations'!$B$2:$B$97, 0) - 1," ")</f>
        <v xml:space="preserve"> </v>
      </c>
      <c r="CD15" s="43" t="e">
        <f ca="1">IFERROR(IF(ISNUMBER($CC$15),INDEX('1.Locations'!$D$2:$D$97,$CC$15 + 1),NA()),NA())</f>
        <v>#N/A</v>
      </c>
      <c r="CE15" s="43" t="e">
        <f ca="1">IFERROR(IF(ISNUMBER($CC$15),INDEX('1.Locations'!$E$2:$E$97,$CC$15 + 1),NA()),NA())</f>
        <v>#N/A</v>
      </c>
      <c r="CF15" s="44" t="str">
        <f ca="1">IFERROR(IF(AND(ISNUMBER($CC$15),$CC$15&lt;=95),INDEX('2.Distances'!$C$2:$C$9218,$CC$14*96+$CC$15+ 1) +$CF$14," ")," ")</f>
        <v xml:space="preserve"> </v>
      </c>
      <c r="CG15" s="43" t="str">
        <f ca="1">IFERROR(IF(ISNUMBER($CC$15),INDEX('1.Locations'!$J$2:$J$97,$CC$15 + 1) +$CG$14," ")," ")</f>
        <v xml:space="preserve"> </v>
      </c>
      <c r="CH15" s="43" t="str">
        <f ca="1">IFERROR(IF(ISNUMBER($CC$15),INDEX('1.Locations'!$K$2:$K$97,$CC$15 + 1) +$CH$14," ")," ")</f>
        <v xml:space="preserve"> </v>
      </c>
      <c r="CI15" s="45" t="str">
        <f ca="1">IFERROR(IF(AND(ISNUMBER($CC$15),$CC$15&lt;=95),INDEX('2.Distances'!$D$2:$D$9218,$CC$14*96+$CC$15+ 1) +$CI$14," ")," ")</f>
        <v xml:space="preserve"> </v>
      </c>
      <c r="CJ15" s="46" t="str">
        <f ca="1">IFERROR(IF(AND(ISNUMBER($CC$15),$CC$15&lt;=95),INDEX('2.Distances'!$D$2:$D$9218,$CC$14*96+$CC$15+ 1) +$CK$14," ")," ")</f>
        <v xml:space="preserve"> </v>
      </c>
      <c r="CK15" s="46" t="str">
        <f ca="1">IFERROR(IF(ISNUMBER($CJ$15),INDEX('1.Locations'!$I$2:$I$97,$CC$15 + 1) + MAX($CJ$15,INDEX('1.Locations'!$F$2:$F$97,$CC$15 + 1))," ")," ")</f>
        <v xml:space="preserve"> </v>
      </c>
      <c r="CL15" s="45" t="str">
        <f ca="1">IFERROR($CL$14 + INDEX('2.Distances'!$D$2:$D$9218,$CC$14*96+$CC$15+ 1) + INDEX('1.Locations'!$I$2:$I$97,$CC$15 + 1)," ")</f>
        <v xml:space="preserve"> </v>
      </c>
    </row>
    <row r="16" spans="1:90" x14ac:dyDescent="0.25">
      <c r="A16" s="24">
        <v>11</v>
      </c>
      <c r="B16" s="25"/>
      <c r="C16" s="43" t="str">
        <f ca="1">IFERROR(MATCH(INDIRECT("$B$16"),'1.Locations'!$B$2:$B$97, 0) - 1," ")</f>
        <v xml:space="preserve"> </v>
      </c>
      <c r="D16" s="43" t="e">
        <f ca="1">IFERROR(IF(ISNUMBER($C$16),INDEX('1.Locations'!$D$2:$D$97,$C$16 + 1),NA()),NA())</f>
        <v>#N/A</v>
      </c>
      <c r="E16" s="43" t="e">
        <f ca="1">IFERROR(IF(ISNUMBER($C$16),INDEX('1.Locations'!$E$2:$E$97,$C$16 + 1),NA()),NA())</f>
        <v>#N/A</v>
      </c>
      <c r="F16" s="44" t="str">
        <f ca="1">IFERROR(IF(AND(ISNUMBER($C$16),$C$16&lt;=95),INDEX('2.Distances'!$C$2:$C$9218,$C$15*96+$C$16+ 1) +$F$15," ")," ")</f>
        <v xml:space="preserve"> </v>
      </c>
      <c r="G16" s="43" t="str">
        <f ca="1">IFERROR(IF(ISNUMBER($C$16),INDEX('1.Locations'!$J$2:$J$97,$C$16 + 1) +$G$15," ")," ")</f>
        <v xml:space="preserve"> </v>
      </c>
      <c r="H16" s="43" t="str">
        <f ca="1">IFERROR(IF(ISNUMBER($C$16),INDEX('1.Locations'!$K$2:$K$97,$C$16 + 1) +$H$15," ")," ")</f>
        <v xml:space="preserve"> </v>
      </c>
      <c r="I16" s="45" t="str">
        <f ca="1">IFERROR(IF(AND(ISNUMBER($C$16),$C$16&lt;=95),INDEX('2.Distances'!$D$2:$D$9218,$C$15*96+$C$16+ 1) +$I$15," ")," ")</f>
        <v xml:space="preserve"> </v>
      </c>
      <c r="J16" s="46" t="str">
        <f ca="1">IFERROR(IF(AND(ISNUMBER($C$16),$C$16&lt;=95),INDEX('2.Distances'!$D$2:$D$9218,$C$15*96+$C$16+ 1) +$K$15," ")," ")</f>
        <v xml:space="preserve"> </v>
      </c>
      <c r="K16" s="46" t="str">
        <f ca="1">IFERROR(IF(ISNUMBER($J$16),INDEX('1.Locations'!$I$2:$I$97,$C$16 + 1) + MAX($J$16,INDEX('1.Locations'!$F$2:$F$97,$C$16 + 1))," ")," ")</f>
        <v xml:space="preserve"> </v>
      </c>
      <c r="L16" s="45" t="str">
        <f ca="1">IFERROR($L$15 + INDEX('2.Distances'!$D$2:$D$9218,$C$15*96+$C$16+ 1) + INDEX('1.Locations'!$I$2:$I$97,$C$16 + 1)," ")</f>
        <v xml:space="preserve"> </v>
      </c>
      <c r="N16" s="24">
        <v>11</v>
      </c>
      <c r="O16" s="25"/>
      <c r="P16" s="43" t="str">
        <f ca="1">IFERROR(MATCH(INDIRECT("$O$16"),'1.Locations'!$B$2:$B$97, 0) - 1," ")</f>
        <v xml:space="preserve"> </v>
      </c>
      <c r="Q16" s="43" t="e">
        <f ca="1">IFERROR(IF(ISNUMBER($P$16),INDEX('1.Locations'!$D$2:$D$97,$P$16 + 1),NA()),NA())</f>
        <v>#N/A</v>
      </c>
      <c r="R16" s="43" t="e">
        <f ca="1">IFERROR(IF(ISNUMBER($P$16),INDEX('1.Locations'!$E$2:$E$97,$P$16 + 1),NA()),NA())</f>
        <v>#N/A</v>
      </c>
      <c r="S16" s="44" t="str">
        <f ca="1">IFERROR(IF(AND(ISNUMBER($P$16),$P$16&lt;=95),INDEX('2.Distances'!$C$2:$C$9218,$P$15*96+$P$16+ 1) +$S$15," ")," ")</f>
        <v xml:space="preserve"> </v>
      </c>
      <c r="T16" s="43" t="str">
        <f ca="1">IFERROR(IF(ISNUMBER($P$16),INDEX('1.Locations'!$J$2:$J$97,$P$16 + 1) +$T$15," ")," ")</f>
        <v xml:space="preserve"> </v>
      </c>
      <c r="U16" s="43" t="str">
        <f ca="1">IFERROR(IF(ISNUMBER($P$16),INDEX('1.Locations'!$K$2:$K$97,$P$16 + 1) +$U$15," ")," ")</f>
        <v xml:space="preserve"> </v>
      </c>
      <c r="V16" s="45" t="str">
        <f ca="1">IFERROR(IF(AND(ISNUMBER($P$16),$P$16&lt;=95),INDEX('2.Distances'!$D$2:$D$9218,$P$15*96+$P$16+ 1) +$V$15," ")," ")</f>
        <v xml:space="preserve"> </v>
      </c>
      <c r="W16" s="46" t="str">
        <f ca="1">IFERROR(IF(AND(ISNUMBER($P$16),$P$16&lt;=95),INDEX('2.Distances'!$D$2:$D$9218,$P$15*96+$P$16+ 1) +$X$15," ")," ")</f>
        <v xml:space="preserve"> </v>
      </c>
      <c r="X16" s="46" t="str">
        <f ca="1">IFERROR(IF(ISNUMBER($W$16),INDEX('1.Locations'!$I$2:$I$97,$P$16 + 1) + MAX($W$16,INDEX('1.Locations'!$F$2:$F$97,$P$16 + 1))," ")," ")</f>
        <v xml:space="preserve"> </v>
      </c>
      <c r="Y16" s="45" t="str">
        <f ca="1">IFERROR($Y$15 + INDEX('2.Distances'!$D$2:$D$9218,$P$15*96+$P$16+ 1) + INDEX('1.Locations'!$I$2:$I$97,$P$16 + 1)," ")</f>
        <v xml:space="preserve"> </v>
      </c>
      <c r="AA16" s="24">
        <v>11</v>
      </c>
      <c r="AB16" s="25"/>
      <c r="AC16" s="43" t="str">
        <f ca="1">IFERROR(MATCH(INDIRECT("$AB$16"),'1.Locations'!$B$2:$B$97, 0) - 1," ")</f>
        <v xml:space="preserve"> </v>
      </c>
      <c r="AD16" s="43" t="e">
        <f ca="1">IFERROR(IF(ISNUMBER($AC$16),INDEX('1.Locations'!$D$2:$D$97,$AC$16 + 1),NA()),NA())</f>
        <v>#N/A</v>
      </c>
      <c r="AE16" s="43" t="e">
        <f ca="1">IFERROR(IF(ISNUMBER($AC$16),INDEX('1.Locations'!$E$2:$E$97,$AC$16 + 1),NA()),NA())</f>
        <v>#N/A</v>
      </c>
      <c r="AF16" s="44" t="str">
        <f ca="1">IFERROR(IF(AND(ISNUMBER($AC$16),$AC$16&lt;=95),INDEX('2.Distances'!$C$2:$C$9218,$AC$15*96+$AC$16+ 1) +$AF$15," ")," ")</f>
        <v xml:space="preserve"> </v>
      </c>
      <c r="AG16" s="43" t="str">
        <f ca="1">IFERROR(IF(ISNUMBER($AC$16),INDEX('1.Locations'!$J$2:$J$97,$AC$16 + 1) +$AG$15," ")," ")</f>
        <v xml:space="preserve"> </v>
      </c>
      <c r="AH16" s="43" t="str">
        <f ca="1">IFERROR(IF(ISNUMBER($AC$16),INDEX('1.Locations'!$K$2:$K$97,$AC$16 + 1) +$AH$15," ")," ")</f>
        <v xml:space="preserve"> </v>
      </c>
      <c r="AI16" s="45" t="str">
        <f ca="1">IFERROR(IF(AND(ISNUMBER($AC$16),$AC$16&lt;=95),INDEX('2.Distances'!$D$2:$D$9218,$AC$15*96+$AC$16+ 1) +$AI$15," ")," ")</f>
        <v xml:space="preserve"> </v>
      </c>
      <c r="AJ16" s="46" t="str">
        <f ca="1">IFERROR(IF(AND(ISNUMBER($AC$16),$AC$16&lt;=95),INDEX('2.Distances'!$D$2:$D$9218,$AC$15*96+$AC$16+ 1) +$AK$15," ")," ")</f>
        <v xml:space="preserve"> </v>
      </c>
      <c r="AK16" s="46" t="str">
        <f ca="1">IFERROR(IF(ISNUMBER($AJ$16),INDEX('1.Locations'!$I$2:$I$97,$AC$16 + 1) + MAX($AJ$16,INDEX('1.Locations'!$F$2:$F$97,$AC$16 + 1))," ")," ")</f>
        <v xml:space="preserve"> </v>
      </c>
      <c r="AL16" s="45" t="str">
        <f ca="1">IFERROR($AL$15 + INDEX('2.Distances'!$D$2:$D$9218,$AC$15*96+$AC$16+ 1) + INDEX('1.Locations'!$I$2:$I$97,$AC$16 + 1)," ")</f>
        <v xml:space="preserve"> </v>
      </c>
      <c r="AN16" s="24">
        <v>11</v>
      </c>
      <c r="AO16" s="25"/>
      <c r="AP16" s="43" t="str">
        <f ca="1">IFERROR(MATCH(INDIRECT("$AO$16"),'1.Locations'!$B$2:$B$97, 0) - 1," ")</f>
        <v xml:space="preserve"> </v>
      </c>
      <c r="AQ16" s="43" t="e">
        <f ca="1">IFERROR(IF(ISNUMBER($AP$16),INDEX('1.Locations'!$D$2:$D$97,$AP$16 + 1),NA()),NA())</f>
        <v>#N/A</v>
      </c>
      <c r="AR16" s="43" t="e">
        <f ca="1">IFERROR(IF(ISNUMBER($AP$16),INDEX('1.Locations'!$E$2:$E$97,$AP$16 + 1),NA()),NA())</f>
        <v>#N/A</v>
      </c>
      <c r="AS16" s="44" t="str">
        <f ca="1">IFERROR(IF(AND(ISNUMBER($AP$16),$AP$16&lt;=95),INDEX('2.Distances'!$C$2:$C$9218,$AP$15*96+$AP$16+ 1) +$AS$15," ")," ")</f>
        <v xml:space="preserve"> </v>
      </c>
      <c r="AT16" s="43" t="str">
        <f ca="1">IFERROR(IF(ISNUMBER($AP$16),INDEX('1.Locations'!$J$2:$J$97,$AP$16 + 1) +$AT$15," ")," ")</f>
        <v xml:space="preserve"> </v>
      </c>
      <c r="AU16" s="43" t="str">
        <f ca="1">IFERROR(IF(ISNUMBER($AP$16),INDEX('1.Locations'!$K$2:$K$97,$AP$16 + 1) +$AU$15," ")," ")</f>
        <v xml:space="preserve"> </v>
      </c>
      <c r="AV16" s="45" t="str">
        <f ca="1">IFERROR(IF(AND(ISNUMBER($AP$16),$AP$16&lt;=95),INDEX('2.Distances'!$D$2:$D$9218,$AP$15*96+$AP$16+ 1) +$AV$15," ")," ")</f>
        <v xml:space="preserve"> </v>
      </c>
      <c r="AW16" s="46" t="str">
        <f ca="1">IFERROR(IF(AND(ISNUMBER($AP$16),$AP$16&lt;=95),INDEX('2.Distances'!$D$2:$D$9218,$AP$15*96+$AP$16+ 1) +$AX$15," ")," ")</f>
        <v xml:space="preserve"> </v>
      </c>
      <c r="AX16" s="46" t="str">
        <f ca="1">IFERROR(IF(ISNUMBER($AW$16),INDEX('1.Locations'!$I$2:$I$97,$AP$16 + 1) + MAX($AW$16,INDEX('1.Locations'!$F$2:$F$97,$AP$16 + 1))," ")," ")</f>
        <v xml:space="preserve"> </v>
      </c>
      <c r="AY16" s="45" t="str">
        <f ca="1">IFERROR($AY$15 + INDEX('2.Distances'!$D$2:$D$9218,$AP$15*96+$AP$16+ 1) + INDEX('1.Locations'!$I$2:$I$97,$AP$16 + 1)," ")</f>
        <v xml:space="preserve"> </v>
      </c>
      <c r="BA16" s="24">
        <v>11</v>
      </c>
      <c r="BB16" s="25"/>
      <c r="BC16" s="43" t="str">
        <f ca="1">IFERROR(MATCH(INDIRECT("$BB$16"),'1.Locations'!$B$2:$B$97, 0) - 1," ")</f>
        <v xml:space="preserve"> </v>
      </c>
      <c r="BD16" s="43" t="e">
        <f ca="1">IFERROR(IF(ISNUMBER($BC$16),INDEX('1.Locations'!$D$2:$D$97,$BC$16 + 1),NA()),NA())</f>
        <v>#N/A</v>
      </c>
      <c r="BE16" s="43" t="e">
        <f ca="1">IFERROR(IF(ISNUMBER($BC$16),INDEX('1.Locations'!$E$2:$E$97,$BC$16 + 1),NA()),NA())</f>
        <v>#N/A</v>
      </c>
      <c r="BF16" s="44" t="str">
        <f ca="1">IFERROR(IF(AND(ISNUMBER($BC$16),$BC$16&lt;=95),INDEX('2.Distances'!$C$2:$C$9218,$BC$15*96+$BC$16+ 1) +$BF$15," ")," ")</f>
        <v xml:space="preserve"> </v>
      </c>
      <c r="BG16" s="43" t="str">
        <f ca="1">IFERROR(IF(ISNUMBER($BC$16),INDEX('1.Locations'!$J$2:$J$97,$BC$16 + 1) +$BG$15," ")," ")</f>
        <v xml:space="preserve"> </v>
      </c>
      <c r="BH16" s="43" t="str">
        <f ca="1">IFERROR(IF(ISNUMBER($BC$16),INDEX('1.Locations'!$K$2:$K$97,$BC$16 + 1) +$BH$15," ")," ")</f>
        <v xml:space="preserve"> </v>
      </c>
      <c r="BI16" s="45" t="str">
        <f ca="1">IFERROR(IF(AND(ISNUMBER($BC$16),$BC$16&lt;=95),INDEX('2.Distances'!$D$2:$D$9218,$BC$15*96+$BC$16+ 1) +$BI$15," ")," ")</f>
        <v xml:space="preserve"> </v>
      </c>
      <c r="BJ16" s="46" t="str">
        <f ca="1">IFERROR(IF(AND(ISNUMBER($BC$16),$BC$16&lt;=95),INDEX('2.Distances'!$D$2:$D$9218,$BC$15*96+$BC$16+ 1) +$BK$15," ")," ")</f>
        <v xml:space="preserve"> </v>
      </c>
      <c r="BK16" s="46" t="str">
        <f ca="1">IFERROR(IF(ISNUMBER($BJ$16),INDEX('1.Locations'!$I$2:$I$97,$BC$16 + 1) + MAX($BJ$16,INDEX('1.Locations'!$F$2:$F$97,$BC$16 + 1))," ")," ")</f>
        <v xml:space="preserve"> </v>
      </c>
      <c r="BL16" s="45" t="str">
        <f ca="1">IFERROR($BL$15 + INDEX('2.Distances'!$D$2:$D$9218,$BC$15*96+$BC$16+ 1) + INDEX('1.Locations'!$I$2:$I$97,$BC$16 + 1)," ")</f>
        <v xml:space="preserve"> </v>
      </c>
      <c r="BN16" s="24">
        <v>11</v>
      </c>
      <c r="BO16" s="25"/>
      <c r="BP16" s="43" t="str">
        <f ca="1">IFERROR(MATCH(INDIRECT("$BO$16"),'1.Locations'!$B$2:$B$97, 0) - 1," ")</f>
        <v xml:space="preserve"> </v>
      </c>
      <c r="BQ16" s="43" t="e">
        <f ca="1">IFERROR(IF(ISNUMBER($BP$16),INDEX('1.Locations'!$D$2:$D$97,$BP$16 + 1),NA()),NA())</f>
        <v>#N/A</v>
      </c>
      <c r="BR16" s="43" t="e">
        <f ca="1">IFERROR(IF(ISNUMBER($BP$16),INDEX('1.Locations'!$E$2:$E$97,$BP$16 + 1),NA()),NA())</f>
        <v>#N/A</v>
      </c>
      <c r="BS16" s="44" t="str">
        <f ca="1">IFERROR(IF(AND(ISNUMBER($BP$16),$BP$16&lt;=95),INDEX('2.Distances'!$C$2:$C$9218,$BP$15*96+$BP$16+ 1) +$BS$15," ")," ")</f>
        <v xml:space="preserve"> </v>
      </c>
      <c r="BT16" s="43" t="str">
        <f ca="1">IFERROR(IF(ISNUMBER($BP$16),INDEX('1.Locations'!$J$2:$J$97,$BP$16 + 1) +$BT$15," ")," ")</f>
        <v xml:space="preserve"> </v>
      </c>
      <c r="BU16" s="43" t="str">
        <f ca="1">IFERROR(IF(ISNUMBER($BP$16),INDEX('1.Locations'!$K$2:$K$97,$BP$16 + 1) +$BU$15," ")," ")</f>
        <v xml:space="preserve"> </v>
      </c>
      <c r="BV16" s="45" t="str">
        <f ca="1">IFERROR(IF(AND(ISNUMBER($BP$16),$BP$16&lt;=95),INDEX('2.Distances'!$D$2:$D$9218,$BP$15*96+$BP$16+ 1) +$BV$15," ")," ")</f>
        <v xml:space="preserve"> </v>
      </c>
      <c r="BW16" s="46" t="str">
        <f ca="1">IFERROR(IF(AND(ISNUMBER($BP$16),$BP$16&lt;=95),INDEX('2.Distances'!$D$2:$D$9218,$BP$15*96+$BP$16+ 1) +$BX$15," ")," ")</f>
        <v xml:space="preserve"> </v>
      </c>
      <c r="BX16" s="46" t="str">
        <f ca="1">IFERROR(IF(ISNUMBER($BW$16),INDEX('1.Locations'!$I$2:$I$97,$BP$16 + 1) + MAX($BW$16,INDEX('1.Locations'!$F$2:$F$97,$BP$16 + 1))," ")," ")</f>
        <v xml:space="preserve"> </v>
      </c>
      <c r="BY16" s="45" t="str">
        <f ca="1">IFERROR($BY$15 + INDEX('2.Distances'!$D$2:$D$9218,$BP$15*96+$BP$16+ 1) + INDEX('1.Locations'!$I$2:$I$97,$BP$16 + 1)," ")</f>
        <v xml:space="preserve"> </v>
      </c>
      <c r="CA16" s="24">
        <v>11</v>
      </c>
      <c r="CB16" s="25"/>
      <c r="CC16" s="43" t="str">
        <f ca="1">IFERROR(MATCH(INDIRECT("$CB$16"),'1.Locations'!$B$2:$B$97, 0) - 1," ")</f>
        <v xml:space="preserve"> </v>
      </c>
      <c r="CD16" s="43" t="e">
        <f ca="1">IFERROR(IF(ISNUMBER($CC$16),INDEX('1.Locations'!$D$2:$D$97,$CC$16 + 1),NA()),NA())</f>
        <v>#N/A</v>
      </c>
      <c r="CE16" s="43" t="e">
        <f ca="1">IFERROR(IF(ISNUMBER($CC$16),INDEX('1.Locations'!$E$2:$E$97,$CC$16 + 1),NA()),NA())</f>
        <v>#N/A</v>
      </c>
      <c r="CF16" s="44" t="str">
        <f ca="1">IFERROR(IF(AND(ISNUMBER($CC$16),$CC$16&lt;=95),INDEX('2.Distances'!$C$2:$C$9218,$CC$15*96+$CC$16+ 1) +$CF$15," ")," ")</f>
        <v xml:space="preserve"> </v>
      </c>
      <c r="CG16" s="43" t="str">
        <f ca="1">IFERROR(IF(ISNUMBER($CC$16),INDEX('1.Locations'!$J$2:$J$97,$CC$16 + 1) +$CG$15," ")," ")</f>
        <v xml:space="preserve"> </v>
      </c>
      <c r="CH16" s="43" t="str">
        <f ca="1">IFERROR(IF(ISNUMBER($CC$16),INDEX('1.Locations'!$K$2:$K$97,$CC$16 + 1) +$CH$15," ")," ")</f>
        <v xml:space="preserve"> </v>
      </c>
      <c r="CI16" s="45" t="str">
        <f ca="1">IFERROR(IF(AND(ISNUMBER($CC$16),$CC$16&lt;=95),INDEX('2.Distances'!$D$2:$D$9218,$CC$15*96+$CC$16+ 1) +$CI$15," ")," ")</f>
        <v xml:space="preserve"> </v>
      </c>
      <c r="CJ16" s="46" t="str">
        <f ca="1">IFERROR(IF(AND(ISNUMBER($CC$16),$CC$16&lt;=95),INDEX('2.Distances'!$D$2:$D$9218,$CC$15*96+$CC$16+ 1) +$CK$15," ")," ")</f>
        <v xml:space="preserve"> </v>
      </c>
      <c r="CK16" s="46" t="str">
        <f ca="1">IFERROR(IF(ISNUMBER($CJ$16),INDEX('1.Locations'!$I$2:$I$97,$CC$16 + 1) + MAX($CJ$16,INDEX('1.Locations'!$F$2:$F$97,$CC$16 + 1))," ")," ")</f>
        <v xml:space="preserve"> </v>
      </c>
      <c r="CL16" s="45" t="str">
        <f ca="1">IFERROR($CL$15 + INDEX('2.Distances'!$D$2:$D$9218,$CC$15*96+$CC$16+ 1) + INDEX('1.Locations'!$I$2:$I$97,$CC$16 + 1)," ")</f>
        <v xml:space="preserve"> </v>
      </c>
    </row>
    <row r="17" spans="1:90" x14ac:dyDescent="0.25">
      <c r="A17" s="24">
        <v>12</v>
      </c>
      <c r="B17" s="25"/>
      <c r="C17" s="43" t="str">
        <f ca="1">IFERROR(MATCH(INDIRECT("$B$17"),'1.Locations'!$B$2:$B$97, 0) - 1," ")</f>
        <v xml:space="preserve"> </v>
      </c>
      <c r="D17" s="43" t="e">
        <f ca="1">IFERROR(IF(ISNUMBER($C$17),INDEX('1.Locations'!$D$2:$D$97,$C$17 + 1),NA()),NA())</f>
        <v>#N/A</v>
      </c>
      <c r="E17" s="43" t="e">
        <f ca="1">IFERROR(IF(ISNUMBER($C$17),INDEX('1.Locations'!$E$2:$E$97,$C$17 + 1),NA()),NA())</f>
        <v>#N/A</v>
      </c>
      <c r="F17" s="44" t="str">
        <f ca="1">IFERROR(IF(AND(ISNUMBER($C$17),$C$17&lt;=95),INDEX('2.Distances'!$C$2:$C$9218,$C$16*96+$C$17+ 1) +$F$16," ")," ")</f>
        <v xml:space="preserve"> </v>
      </c>
      <c r="G17" s="43" t="str">
        <f ca="1">IFERROR(IF(ISNUMBER($C$17),INDEX('1.Locations'!$J$2:$J$97,$C$17 + 1) +$G$16," ")," ")</f>
        <v xml:space="preserve"> </v>
      </c>
      <c r="H17" s="43" t="str">
        <f ca="1">IFERROR(IF(ISNUMBER($C$17),INDEX('1.Locations'!$K$2:$K$97,$C$17 + 1) +$H$16," ")," ")</f>
        <v xml:space="preserve"> </v>
      </c>
      <c r="I17" s="45" t="str">
        <f ca="1">IFERROR(IF(AND(ISNUMBER($C$17),$C$17&lt;=95),INDEX('2.Distances'!$D$2:$D$9218,$C$16*96+$C$17+ 1) +$I$16," ")," ")</f>
        <v xml:space="preserve"> </v>
      </c>
      <c r="J17" s="46" t="str">
        <f ca="1">IFERROR(IF(AND(ISNUMBER($C$17),$C$17&lt;=95),INDEX('2.Distances'!$D$2:$D$9218,$C$16*96+$C$17+ 1) +$K$16," ")," ")</f>
        <v xml:space="preserve"> </v>
      </c>
      <c r="K17" s="46" t="str">
        <f ca="1">IFERROR(IF(ISNUMBER($J$17),INDEX('1.Locations'!$I$2:$I$97,$C$17 + 1) + MAX($J$17,INDEX('1.Locations'!$F$2:$F$97,$C$17 + 1))," ")," ")</f>
        <v xml:space="preserve"> </v>
      </c>
      <c r="L17" s="45" t="str">
        <f ca="1">IFERROR($L$16 + INDEX('2.Distances'!$D$2:$D$9218,$C$16*96+$C$17+ 1) + INDEX('1.Locations'!$I$2:$I$97,$C$17 + 1)," ")</f>
        <v xml:space="preserve"> </v>
      </c>
      <c r="N17" s="24">
        <v>12</v>
      </c>
      <c r="O17" s="25"/>
      <c r="P17" s="43" t="str">
        <f ca="1">IFERROR(MATCH(INDIRECT("$O$17"),'1.Locations'!$B$2:$B$97, 0) - 1," ")</f>
        <v xml:space="preserve"> </v>
      </c>
      <c r="Q17" s="43" t="e">
        <f ca="1">IFERROR(IF(ISNUMBER($P$17),INDEX('1.Locations'!$D$2:$D$97,$P$17 + 1),NA()),NA())</f>
        <v>#N/A</v>
      </c>
      <c r="R17" s="43" t="e">
        <f ca="1">IFERROR(IF(ISNUMBER($P$17),INDEX('1.Locations'!$E$2:$E$97,$P$17 + 1),NA()),NA())</f>
        <v>#N/A</v>
      </c>
      <c r="S17" s="44" t="str">
        <f ca="1">IFERROR(IF(AND(ISNUMBER($P$17),$P$17&lt;=95),INDEX('2.Distances'!$C$2:$C$9218,$P$16*96+$P$17+ 1) +$S$16," ")," ")</f>
        <v xml:space="preserve"> </v>
      </c>
      <c r="T17" s="43" t="str">
        <f ca="1">IFERROR(IF(ISNUMBER($P$17),INDEX('1.Locations'!$J$2:$J$97,$P$17 + 1) +$T$16," ")," ")</f>
        <v xml:space="preserve"> </v>
      </c>
      <c r="U17" s="43" t="str">
        <f ca="1">IFERROR(IF(ISNUMBER($P$17),INDEX('1.Locations'!$K$2:$K$97,$P$17 + 1) +$U$16," ")," ")</f>
        <v xml:space="preserve"> </v>
      </c>
      <c r="V17" s="45" t="str">
        <f ca="1">IFERROR(IF(AND(ISNUMBER($P$17),$P$17&lt;=95),INDEX('2.Distances'!$D$2:$D$9218,$P$16*96+$P$17+ 1) +$V$16," ")," ")</f>
        <v xml:space="preserve"> </v>
      </c>
      <c r="W17" s="46" t="str">
        <f ca="1">IFERROR(IF(AND(ISNUMBER($P$17),$P$17&lt;=95),INDEX('2.Distances'!$D$2:$D$9218,$P$16*96+$P$17+ 1) +$X$16," ")," ")</f>
        <v xml:space="preserve"> </v>
      </c>
      <c r="X17" s="46" t="str">
        <f ca="1">IFERROR(IF(ISNUMBER($W$17),INDEX('1.Locations'!$I$2:$I$97,$P$17 + 1) + MAX($W$17,INDEX('1.Locations'!$F$2:$F$97,$P$17 + 1))," ")," ")</f>
        <v xml:space="preserve"> </v>
      </c>
      <c r="Y17" s="45" t="str">
        <f ca="1">IFERROR($Y$16 + INDEX('2.Distances'!$D$2:$D$9218,$P$16*96+$P$17+ 1) + INDEX('1.Locations'!$I$2:$I$97,$P$17 + 1)," ")</f>
        <v xml:space="preserve"> </v>
      </c>
      <c r="AA17" s="24">
        <v>12</v>
      </c>
      <c r="AB17" s="25"/>
      <c r="AC17" s="43" t="str">
        <f ca="1">IFERROR(MATCH(INDIRECT("$AB$17"),'1.Locations'!$B$2:$B$97, 0) - 1," ")</f>
        <v xml:space="preserve"> </v>
      </c>
      <c r="AD17" s="43" t="e">
        <f ca="1">IFERROR(IF(ISNUMBER($AC$17),INDEX('1.Locations'!$D$2:$D$97,$AC$17 + 1),NA()),NA())</f>
        <v>#N/A</v>
      </c>
      <c r="AE17" s="43" t="e">
        <f ca="1">IFERROR(IF(ISNUMBER($AC$17),INDEX('1.Locations'!$E$2:$E$97,$AC$17 + 1),NA()),NA())</f>
        <v>#N/A</v>
      </c>
      <c r="AF17" s="44" t="str">
        <f ca="1">IFERROR(IF(AND(ISNUMBER($AC$17),$AC$17&lt;=95),INDEX('2.Distances'!$C$2:$C$9218,$AC$16*96+$AC$17+ 1) +$AF$16," ")," ")</f>
        <v xml:space="preserve"> </v>
      </c>
      <c r="AG17" s="43" t="str">
        <f ca="1">IFERROR(IF(ISNUMBER($AC$17),INDEX('1.Locations'!$J$2:$J$97,$AC$17 + 1) +$AG$16," ")," ")</f>
        <v xml:space="preserve"> </v>
      </c>
      <c r="AH17" s="43" t="str">
        <f ca="1">IFERROR(IF(ISNUMBER($AC$17),INDEX('1.Locations'!$K$2:$K$97,$AC$17 + 1) +$AH$16," ")," ")</f>
        <v xml:space="preserve"> </v>
      </c>
      <c r="AI17" s="45" t="str">
        <f ca="1">IFERROR(IF(AND(ISNUMBER($AC$17),$AC$17&lt;=95),INDEX('2.Distances'!$D$2:$D$9218,$AC$16*96+$AC$17+ 1) +$AI$16," ")," ")</f>
        <v xml:space="preserve"> </v>
      </c>
      <c r="AJ17" s="46" t="str">
        <f ca="1">IFERROR(IF(AND(ISNUMBER($AC$17),$AC$17&lt;=95),INDEX('2.Distances'!$D$2:$D$9218,$AC$16*96+$AC$17+ 1) +$AK$16," ")," ")</f>
        <v xml:space="preserve"> </v>
      </c>
      <c r="AK17" s="46" t="str">
        <f ca="1">IFERROR(IF(ISNUMBER($AJ$17),INDEX('1.Locations'!$I$2:$I$97,$AC$17 + 1) + MAX($AJ$17,INDEX('1.Locations'!$F$2:$F$97,$AC$17 + 1))," ")," ")</f>
        <v xml:space="preserve"> </v>
      </c>
      <c r="AL17" s="45" t="str">
        <f ca="1">IFERROR($AL$16 + INDEX('2.Distances'!$D$2:$D$9218,$AC$16*96+$AC$17+ 1) + INDEX('1.Locations'!$I$2:$I$97,$AC$17 + 1)," ")</f>
        <v xml:space="preserve"> </v>
      </c>
      <c r="AN17" s="24">
        <v>12</v>
      </c>
      <c r="AO17" s="25"/>
      <c r="AP17" s="43" t="str">
        <f ca="1">IFERROR(MATCH(INDIRECT("$AO$17"),'1.Locations'!$B$2:$B$97, 0) - 1," ")</f>
        <v xml:space="preserve"> </v>
      </c>
      <c r="AQ17" s="43" t="e">
        <f ca="1">IFERROR(IF(ISNUMBER($AP$17),INDEX('1.Locations'!$D$2:$D$97,$AP$17 + 1),NA()),NA())</f>
        <v>#N/A</v>
      </c>
      <c r="AR17" s="43" t="e">
        <f ca="1">IFERROR(IF(ISNUMBER($AP$17),INDEX('1.Locations'!$E$2:$E$97,$AP$17 + 1),NA()),NA())</f>
        <v>#N/A</v>
      </c>
      <c r="AS17" s="44" t="str">
        <f ca="1">IFERROR(IF(AND(ISNUMBER($AP$17),$AP$17&lt;=95),INDEX('2.Distances'!$C$2:$C$9218,$AP$16*96+$AP$17+ 1) +$AS$16," ")," ")</f>
        <v xml:space="preserve"> </v>
      </c>
      <c r="AT17" s="43" t="str">
        <f ca="1">IFERROR(IF(ISNUMBER($AP$17),INDEX('1.Locations'!$J$2:$J$97,$AP$17 + 1) +$AT$16," ")," ")</f>
        <v xml:space="preserve"> </v>
      </c>
      <c r="AU17" s="43" t="str">
        <f ca="1">IFERROR(IF(ISNUMBER($AP$17),INDEX('1.Locations'!$K$2:$K$97,$AP$17 + 1) +$AU$16," ")," ")</f>
        <v xml:space="preserve"> </v>
      </c>
      <c r="AV17" s="45" t="str">
        <f ca="1">IFERROR(IF(AND(ISNUMBER($AP$17),$AP$17&lt;=95),INDEX('2.Distances'!$D$2:$D$9218,$AP$16*96+$AP$17+ 1) +$AV$16," ")," ")</f>
        <v xml:space="preserve"> </v>
      </c>
      <c r="AW17" s="46" t="str">
        <f ca="1">IFERROR(IF(AND(ISNUMBER($AP$17),$AP$17&lt;=95),INDEX('2.Distances'!$D$2:$D$9218,$AP$16*96+$AP$17+ 1) +$AX$16," ")," ")</f>
        <v xml:space="preserve"> </v>
      </c>
      <c r="AX17" s="46" t="str">
        <f ca="1">IFERROR(IF(ISNUMBER($AW$17),INDEX('1.Locations'!$I$2:$I$97,$AP$17 + 1) + MAX($AW$17,INDEX('1.Locations'!$F$2:$F$97,$AP$17 + 1))," ")," ")</f>
        <v xml:space="preserve"> </v>
      </c>
      <c r="AY17" s="45" t="str">
        <f ca="1">IFERROR($AY$16 + INDEX('2.Distances'!$D$2:$D$9218,$AP$16*96+$AP$17+ 1) + INDEX('1.Locations'!$I$2:$I$97,$AP$17 + 1)," ")</f>
        <v xml:space="preserve"> </v>
      </c>
      <c r="BA17" s="24">
        <v>12</v>
      </c>
      <c r="BB17" s="25"/>
      <c r="BC17" s="43" t="str">
        <f ca="1">IFERROR(MATCH(INDIRECT("$BB$17"),'1.Locations'!$B$2:$B$97, 0) - 1," ")</f>
        <v xml:space="preserve"> </v>
      </c>
      <c r="BD17" s="43" t="e">
        <f ca="1">IFERROR(IF(ISNUMBER($BC$17),INDEX('1.Locations'!$D$2:$D$97,$BC$17 + 1),NA()),NA())</f>
        <v>#N/A</v>
      </c>
      <c r="BE17" s="43" t="e">
        <f ca="1">IFERROR(IF(ISNUMBER($BC$17),INDEX('1.Locations'!$E$2:$E$97,$BC$17 + 1),NA()),NA())</f>
        <v>#N/A</v>
      </c>
      <c r="BF17" s="44" t="str">
        <f ca="1">IFERROR(IF(AND(ISNUMBER($BC$17),$BC$17&lt;=95),INDEX('2.Distances'!$C$2:$C$9218,$BC$16*96+$BC$17+ 1) +$BF$16," ")," ")</f>
        <v xml:space="preserve"> </v>
      </c>
      <c r="BG17" s="43" t="str">
        <f ca="1">IFERROR(IF(ISNUMBER($BC$17),INDEX('1.Locations'!$J$2:$J$97,$BC$17 + 1) +$BG$16," ")," ")</f>
        <v xml:space="preserve"> </v>
      </c>
      <c r="BH17" s="43" t="str">
        <f ca="1">IFERROR(IF(ISNUMBER($BC$17),INDEX('1.Locations'!$K$2:$K$97,$BC$17 + 1) +$BH$16," ")," ")</f>
        <v xml:space="preserve"> </v>
      </c>
      <c r="BI17" s="45" t="str">
        <f ca="1">IFERROR(IF(AND(ISNUMBER($BC$17),$BC$17&lt;=95),INDEX('2.Distances'!$D$2:$D$9218,$BC$16*96+$BC$17+ 1) +$BI$16," ")," ")</f>
        <v xml:space="preserve"> </v>
      </c>
      <c r="BJ17" s="46" t="str">
        <f ca="1">IFERROR(IF(AND(ISNUMBER($BC$17),$BC$17&lt;=95),INDEX('2.Distances'!$D$2:$D$9218,$BC$16*96+$BC$17+ 1) +$BK$16," ")," ")</f>
        <v xml:space="preserve"> </v>
      </c>
      <c r="BK17" s="46" t="str">
        <f ca="1">IFERROR(IF(ISNUMBER($BJ$17),INDEX('1.Locations'!$I$2:$I$97,$BC$17 + 1) + MAX($BJ$17,INDEX('1.Locations'!$F$2:$F$97,$BC$17 + 1))," ")," ")</f>
        <v xml:space="preserve"> </v>
      </c>
      <c r="BL17" s="45" t="str">
        <f ca="1">IFERROR($BL$16 + INDEX('2.Distances'!$D$2:$D$9218,$BC$16*96+$BC$17+ 1) + INDEX('1.Locations'!$I$2:$I$97,$BC$17 + 1)," ")</f>
        <v xml:space="preserve"> </v>
      </c>
      <c r="BN17" s="24">
        <v>12</v>
      </c>
      <c r="BO17" s="25"/>
      <c r="BP17" s="43" t="str">
        <f ca="1">IFERROR(MATCH(INDIRECT("$BO$17"),'1.Locations'!$B$2:$B$97, 0) - 1," ")</f>
        <v xml:space="preserve"> </v>
      </c>
      <c r="BQ17" s="43" t="e">
        <f ca="1">IFERROR(IF(ISNUMBER($BP$17),INDEX('1.Locations'!$D$2:$D$97,$BP$17 + 1),NA()),NA())</f>
        <v>#N/A</v>
      </c>
      <c r="BR17" s="43" t="e">
        <f ca="1">IFERROR(IF(ISNUMBER($BP$17),INDEX('1.Locations'!$E$2:$E$97,$BP$17 + 1),NA()),NA())</f>
        <v>#N/A</v>
      </c>
      <c r="BS17" s="44" t="str">
        <f ca="1">IFERROR(IF(AND(ISNUMBER($BP$17),$BP$17&lt;=95),INDEX('2.Distances'!$C$2:$C$9218,$BP$16*96+$BP$17+ 1) +$BS$16," ")," ")</f>
        <v xml:space="preserve"> </v>
      </c>
      <c r="BT17" s="43" t="str">
        <f ca="1">IFERROR(IF(ISNUMBER($BP$17),INDEX('1.Locations'!$J$2:$J$97,$BP$17 + 1) +$BT$16," ")," ")</f>
        <v xml:space="preserve"> </v>
      </c>
      <c r="BU17" s="43" t="str">
        <f ca="1">IFERROR(IF(ISNUMBER($BP$17),INDEX('1.Locations'!$K$2:$K$97,$BP$17 + 1) +$BU$16," ")," ")</f>
        <v xml:space="preserve"> </v>
      </c>
      <c r="BV17" s="45" t="str">
        <f ca="1">IFERROR(IF(AND(ISNUMBER($BP$17),$BP$17&lt;=95),INDEX('2.Distances'!$D$2:$D$9218,$BP$16*96+$BP$17+ 1) +$BV$16," ")," ")</f>
        <v xml:space="preserve"> </v>
      </c>
      <c r="BW17" s="46" t="str">
        <f ca="1">IFERROR(IF(AND(ISNUMBER($BP$17),$BP$17&lt;=95),INDEX('2.Distances'!$D$2:$D$9218,$BP$16*96+$BP$17+ 1) +$BX$16," ")," ")</f>
        <v xml:space="preserve"> </v>
      </c>
      <c r="BX17" s="46" t="str">
        <f ca="1">IFERROR(IF(ISNUMBER($BW$17),INDEX('1.Locations'!$I$2:$I$97,$BP$17 + 1) + MAX($BW$17,INDEX('1.Locations'!$F$2:$F$97,$BP$17 + 1))," ")," ")</f>
        <v xml:space="preserve"> </v>
      </c>
      <c r="BY17" s="45" t="str">
        <f ca="1">IFERROR($BY$16 + INDEX('2.Distances'!$D$2:$D$9218,$BP$16*96+$BP$17+ 1) + INDEX('1.Locations'!$I$2:$I$97,$BP$17 + 1)," ")</f>
        <v xml:space="preserve"> </v>
      </c>
      <c r="CA17" s="24">
        <v>12</v>
      </c>
      <c r="CB17" s="25"/>
      <c r="CC17" s="43" t="str">
        <f ca="1">IFERROR(MATCH(INDIRECT("$CB$17"),'1.Locations'!$B$2:$B$97, 0) - 1," ")</f>
        <v xml:space="preserve"> </v>
      </c>
      <c r="CD17" s="43" t="e">
        <f ca="1">IFERROR(IF(ISNUMBER($CC$17),INDEX('1.Locations'!$D$2:$D$97,$CC$17 + 1),NA()),NA())</f>
        <v>#N/A</v>
      </c>
      <c r="CE17" s="43" t="e">
        <f ca="1">IFERROR(IF(ISNUMBER($CC$17),INDEX('1.Locations'!$E$2:$E$97,$CC$17 + 1),NA()),NA())</f>
        <v>#N/A</v>
      </c>
      <c r="CF17" s="44" t="str">
        <f ca="1">IFERROR(IF(AND(ISNUMBER($CC$17),$CC$17&lt;=95),INDEX('2.Distances'!$C$2:$C$9218,$CC$16*96+$CC$17+ 1) +$CF$16," ")," ")</f>
        <v xml:space="preserve"> </v>
      </c>
      <c r="CG17" s="43" t="str">
        <f ca="1">IFERROR(IF(ISNUMBER($CC$17),INDEX('1.Locations'!$J$2:$J$97,$CC$17 + 1) +$CG$16," ")," ")</f>
        <v xml:space="preserve"> </v>
      </c>
      <c r="CH17" s="43" t="str">
        <f ca="1">IFERROR(IF(ISNUMBER($CC$17),INDEX('1.Locations'!$K$2:$K$97,$CC$17 + 1) +$CH$16," ")," ")</f>
        <v xml:space="preserve"> </v>
      </c>
      <c r="CI17" s="45" t="str">
        <f ca="1">IFERROR(IF(AND(ISNUMBER($CC$17),$CC$17&lt;=95),INDEX('2.Distances'!$D$2:$D$9218,$CC$16*96+$CC$17+ 1) +$CI$16," ")," ")</f>
        <v xml:space="preserve"> </v>
      </c>
      <c r="CJ17" s="46" t="str">
        <f ca="1">IFERROR(IF(AND(ISNUMBER($CC$17),$CC$17&lt;=95),INDEX('2.Distances'!$D$2:$D$9218,$CC$16*96+$CC$17+ 1) +$CK$16," ")," ")</f>
        <v xml:space="preserve"> </v>
      </c>
      <c r="CK17" s="46" t="str">
        <f ca="1">IFERROR(IF(ISNUMBER($CJ$17),INDEX('1.Locations'!$I$2:$I$97,$CC$17 + 1) + MAX($CJ$17,INDEX('1.Locations'!$F$2:$F$97,$CC$17 + 1))," ")," ")</f>
        <v xml:space="preserve"> </v>
      </c>
      <c r="CL17" s="45" t="str">
        <f ca="1">IFERROR($CL$16 + INDEX('2.Distances'!$D$2:$D$9218,$CC$16*96+$CC$17+ 1) + INDEX('1.Locations'!$I$2:$I$97,$CC$17 + 1)," ")</f>
        <v xml:space="preserve"> </v>
      </c>
    </row>
    <row r="18" spans="1:90" x14ac:dyDescent="0.25">
      <c r="A18" s="24">
        <v>13</v>
      </c>
      <c r="B18" s="25"/>
      <c r="C18" s="43" t="str">
        <f ca="1">IFERROR(MATCH(INDIRECT("$B$18"),'1.Locations'!$B$2:$B$97, 0) - 1," ")</f>
        <v xml:space="preserve"> </v>
      </c>
      <c r="D18" s="43" t="e">
        <f ca="1">IFERROR(IF(ISNUMBER($C$18),INDEX('1.Locations'!$D$2:$D$97,$C$18 + 1),NA()),NA())</f>
        <v>#N/A</v>
      </c>
      <c r="E18" s="43" t="e">
        <f ca="1">IFERROR(IF(ISNUMBER($C$18),INDEX('1.Locations'!$E$2:$E$97,$C$18 + 1),NA()),NA())</f>
        <v>#N/A</v>
      </c>
      <c r="F18" s="44" t="str">
        <f ca="1">IFERROR(IF(AND(ISNUMBER($C$18),$C$18&lt;=95),INDEX('2.Distances'!$C$2:$C$9218,$C$17*96+$C$18+ 1) +$F$17," ")," ")</f>
        <v xml:space="preserve"> </v>
      </c>
      <c r="G18" s="43" t="str">
        <f ca="1">IFERROR(IF(ISNUMBER($C$18),INDEX('1.Locations'!$J$2:$J$97,$C$18 + 1) +$G$17," ")," ")</f>
        <v xml:space="preserve"> </v>
      </c>
      <c r="H18" s="43" t="str">
        <f ca="1">IFERROR(IF(ISNUMBER($C$18),INDEX('1.Locations'!$K$2:$K$97,$C$18 + 1) +$H$17," ")," ")</f>
        <v xml:space="preserve"> </v>
      </c>
      <c r="I18" s="45" t="str">
        <f ca="1">IFERROR(IF(AND(ISNUMBER($C$18),$C$18&lt;=95),INDEX('2.Distances'!$D$2:$D$9218,$C$17*96+$C$18+ 1) +$I$17," ")," ")</f>
        <v xml:space="preserve"> </v>
      </c>
      <c r="J18" s="46" t="str">
        <f ca="1">IFERROR(IF(AND(ISNUMBER($C$18),$C$18&lt;=95),INDEX('2.Distances'!$D$2:$D$9218,$C$17*96+$C$18+ 1) +$K$17," ")," ")</f>
        <v xml:space="preserve"> </v>
      </c>
      <c r="K18" s="46" t="str">
        <f ca="1">IFERROR(IF(ISNUMBER($J$18),INDEX('1.Locations'!$I$2:$I$97,$C$18 + 1) + MAX($J$18,INDEX('1.Locations'!$F$2:$F$97,$C$18 + 1))," ")," ")</f>
        <v xml:space="preserve"> </v>
      </c>
      <c r="L18" s="45" t="str">
        <f ca="1">IFERROR($L$17 + INDEX('2.Distances'!$D$2:$D$9218,$C$17*96+$C$18+ 1) + INDEX('1.Locations'!$I$2:$I$97,$C$18 + 1)," ")</f>
        <v xml:space="preserve"> </v>
      </c>
      <c r="N18" s="24">
        <v>13</v>
      </c>
      <c r="O18" s="25"/>
      <c r="P18" s="43" t="str">
        <f ca="1">IFERROR(MATCH(INDIRECT("$O$18"),'1.Locations'!$B$2:$B$97, 0) - 1," ")</f>
        <v xml:space="preserve"> </v>
      </c>
      <c r="Q18" s="43" t="e">
        <f ca="1">IFERROR(IF(ISNUMBER($P$18),INDEX('1.Locations'!$D$2:$D$97,$P$18 + 1),NA()),NA())</f>
        <v>#N/A</v>
      </c>
      <c r="R18" s="43" t="e">
        <f ca="1">IFERROR(IF(ISNUMBER($P$18),INDEX('1.Locations'!$E$2:$E$97,$P$18 + 1),NA()),NA())</f>
        <v>#N/A</v>
      </c>
      <c r="S18" s="44" t="str">
        <f ca="1">IFERROR(IF(AND(ISNUMBER($P$18),$P$18&lt;=95),INDEX('2.Distances'!$C$2:$C$9218,$P$17*96+$P$18+ 1) +$S$17," ")," ")</f>
        <v xml:space="preserve"> </v>
      </c>
      <c r="T18" s="43" t="str">
        <f ca="1">IFERROR(IF(ISNUMBER($P$18),INDEX('1.Locations'!$J$2:$J$97,$P$18 + 1) +$T$17," ")," ")</f>
        <v xml:space="preserve"> </v>
      </c>
      <c r="U18" s="43" t="str">
        <f ca="1">IFERROR(IF(ISNUMBER($P$18),INDEX('1.Locations'!$K$2:$K$97,$P$18 + 1) +$U$17," ")," ")</f>
        <v xml:space="preserve"> </v>
      </c>
      <c r="V18" s="45" t="str">
        <f ca="1">IFERROR(IF(AND(ISNUMBER($P$18),$P$18&lt;=95),INDEX('2.Distances'!$D$2:$D$9218,$P$17*96+$P$18+ 1) +$V$17," ")," ")</f>
        <v xml:space="preserve"> </v>
      </c>
      <c r="W18" s="46" t="str">
        <f ca="1">IFERROR(IF(AND(ISNUMBER($P$18),$P$18&lt;=95),INDEX('2.Distances'!$D$2:$D$9218,$P$17*96+$P$18+ 1) +$X$17," ")," ")</f>
        <v xml:space="preserve"> </v>
      </c>
      <c r="X18" s="46" t="str">
        <f ca="1">IFERROR(IF(ISNUMBER($W$18),INDEX('1.Locations'!$I$2:$I$97,$P$18 + 1) + MAX($W$18,INDEX('1.Locations'!$F$2:$F$97,$P$18 + 1))," ")," ")</f>
        <v xml:space="preserve"> </v>
      </c>
      <c r="Y18" s="45" t="str">
        <f ca="1">IFERROR($Y$17 + INDEX('2.Distances'!$D$2:$D$9218,$P$17*96+$P$18+ 1) + INDEX('1.Locations'!$I$2:$I$97,$P$18 + 1)," ")</f>
        <v xml:space="preserve"> </v>
      </c>
      <c r="AA18" s="24">
        <v>13</v>
      </c>
      <c r="AB18" s="25"/>
      <c r="AC18" s="43" t="str">
        <f ca="1">IFERROR(MATCH(INDIRECT("$AB$18"),'1.Locations'!$B$2:$B$97, 0) - 1," ")</f>
        <v xml:space="preserve"> </v>
      </c>
      <c r="AD18" s="43" t="e">
        <f ca="1">IFERROR(IF(ISNUMBER($AC$18),INDEX('1.Locations'!$D$2:$D$97,$AC$18 + 1),NA()),NA())</f>
        <v>#N/A</v>
      </c>
      <c r="AE18" s="43" t="e">
        <f ca="1">IFERROR(IF(ISNUMBER($AC$18),INDEX('1.Locations'!$E$2:$E$97,$AC$18 + 1),NA()),NA())</f>
        <v>#N/A</v>
      </c>
      <c r="AF18" s="44" t="str">
        <f ca="1">IFERROR(IF(AND(ISNUMBER($AC$18),$AC$18&lt;=95),INDEX('2.Distances'!$C$2:$C$9218,$AC$17*96+$AC$18+ 1) +$AF$17," ")," ")</f>
        <v xml:space="preserve"> </v>
      </c>
      <c r="AG18" s="43" t="str">
        <f ca="1">IFERROR(IF(ISNUMBER($AC$18),INDEX('1.Locations'!$J$2:$J$97,$AC$18 + 1) +$AG$17," ")," ")</f>
        <v xml:space="preserve"> </v>
      </c>
      <c r="AH18" s="43" t="str">
        <f ca="1">IFERROR(IF(ISNUMBER($AC$18),INDEX('1.Locations'!$K$2:$K$97,$AC$18 + 1) +$AH$17," ")," ")</f>
        <v xml:space="preserve"> </v>
      </c>
      <c r="AI18" s="45" t="str">
        <f ca="1">IFERROR(IF(AND(ISNUMBER($AC$18),$AC$18&lt;=95),INDEX('2.Distances'!$D$2:$D$9218,$AC$17*96+$AC$18+ 1) +$AI$17," ")," ")</f>
        <v xml:space="preserve"> </v>
      </c>
      <c r="AJ18" s="46" t="str">
        <f ca="1">IFERROR(IF(AND(ISNUMBER($AC$18),$AC$18&lt;=95),INDEX('2.Distances'!$D$2:$D$9218,$AC$17*96+$AC$18+ 1) +$AK$17," ")," ")</f>
        <v xml:space="preserve"> </v>
      </c>
      <c r="AK18" s="46" t="str">
        <f ca="1">IFERROR(IF(ISNUMBER($AJ$18),INDEX('1.Locations'!$I$2:$I$97,$AC$18 + 1) + MAX($AJ$18,INDEX('1.Locations'!$F$2:$F$97,$AC$18 + 1))," ")," ")</f>
        <v xml:space="preserve"> </v>
      </c>
      <c r="AL18" s="45" t="str">
        <f ca="1">IFERROR($AL$17 + INDEX('2.Distances'!$D$2:$D$9218,$AC$17*96+$AC$18+ 1) + INDEX('1.Locations'!$I$2:$I$97,$AC$18 + 1)," ")</f>
        <v xml:space="preserve"> </v>
      </c>
      <c r="AN18" s="24">
        <v>13</v>
      </c>
      <c r="AO18" s="25"/>
      <c r="AP18" s="43" t="str">
        <f ca="1">IFERROR(MATCH(INDIRECT("$AO$18"),'1.Locations'!$B$2:$B$97, 0) - 1," ")</f>
        <v xml:space="preserve"> </v>
      </c>
      <c r="AQ18" s="43" t="e">
        <f ca="1">IFERROR(IF(ISNUMBER($AP$18),INDEX('1.Locations'!$D$2:$D$97,$AP$18 + 1),NA()),NA())</f>
        <v>#N/A</v>
      </c>
      <c r="AR18" s="43" t="e">
        <f ca="1">IFERROR(IF(ISNUMBER($AP$18),INDEX('1.Locations'!$E$2:$E$97,$AP$18 + 1),NA()),NA())</f>
        <v>#N/A</v>
      </c>
      <c r="AS18" s="44" t="str">
        <f ca="1">IFERROR(IF(AND(ISNUMBER($AP$18),$AP$18&lt;=95),INDEX('2.Distances'!$C$2:$C$9218,$AP$17*96+$AP$18+ 1) +$AS$17," ")," ")</f>
        <v xml:space="preserve"> </v>
      </c>
      <c r="AT18" s="43" t="str">
        <f ca="1">IFERROR(IF(ISNUMBER($AP$18),INDEX('1.Locations'!$J$2:$J$97,$AP$18 + 1) +$AT$17," ")," ")</f>
        <v xml:space="preserve"> </v>
      </c>
      <c r="AU18" s="43" t="str">
        <f ca="1">IFERROR(IF(ISNUMBER($AP$18),INDEX('1.Locations'!$K$2:$K$97,$AP$18 + 1) +$AU$17," ")," ")</f>
        <v xml:space="preserve"> </v>
      </c>
      <c r="AV18" s="45" t="str">
        <f ca="1">IFERROR(IF(AND(ISNUMBER($AP$18),$AP$18&lt;=95),INDEX('2.Distances'!$D$2:$D$9218,$AP$17*96+$AP$18+ 1) +$AV$17," ")," ")</f>
        <v xml:space="preserve"> </v>
      </c>
      <c r="AW18" s="46" t="str">
        <f ca="1">IFERROR(IF(AND(ISNUMBER($AP$18),$AP$18&lt;=95),INDEX('2.Distances'!$D$2:$D$9218,$AP$17*96+$AP$18+ 1) +$AX$17," ")," ")</f>
        <v xml:space="preserve"> </v>
      </c>
      <c r="AX18" s="46" t="str">
        <f ca="1">IFERROR(IF(ISNUMBER($AW$18),INDEX('1.Locations'!$I$2:$I$97,$AP$18 + 1) + MAX($AW$18,INDEX('1.Locations'!$F$2:$F$97,$AP$18 + 1))," ")," ")</f>
        <v xml:space="preserve"> </v>
      </c>
      <c r="AY18" s="45" t="str">
        <f ca="1">IFERROR($AY$17 + INDEX('2.Distances'!$D$2:$D$9218,$AP$17*96+$AP$18+ 1) + INDEX('1.Locations'!$I$2:$I$97,$AP$18 + 1)," ")</f>
        <v xml:space="preserve"> </v>
      </c>
      <c r="BA18" s="24">
        <v>13</v>
      </c>
      <c r="BB18" s="25"/>
      <c r="BC18" s="43" t="str">
        <f ca="1">IFERROR(MATCH(INDIRECT("$BB$18"),'1.Locations'!$B$2:$B$97, 0) - 1," ")</f>
        <v xml:space="preserve"> </v>
      </c>
      <c r="BD18" s="43" t="e">
        <f ca="1">IFERROR(IF(ISNUMBER($BC$18),INDEX('1.Locations'!$D$2:$D$97,$BC$18 + 1),NA()),NA())</f>
        <v>#N/A</v>
      </c>
      <c r="BE18" s="43" t="e">
        <f ca="1">IFERROR(IF(ISNUMBER($BC$18),INDEX('1.Locations'!$E$2:$E$97,$BC$18 + 1),NA()),NA())</f>
        <v>#N/A</v>
      </c>
      <c r="BF18" s="44" t="str">
        <f ca="1">IFERROR(IF(AND(ISNUMBER($BC$18),$BC$18&lt;=95),INDEX('2.Distances'!$C$2:$C$9218,$BC$17*96+$BC$18+ 1) +$BF$17," ")," ")</f>
        <v xml:space="preserve"> </v>
      </c>
      <c r="BG18" s="43" t="str">
        <f ca="1">IFERROR(IF(ISNUMBER($BC$18),INDEX('1.Locations'!$J$2:$J$97,$BC$18 + 1) +$BG$17," ")," ")</f>
        <v xml:space="preserve"> </v>
      </c>
      <c r="BH18" s="43" t="str">
        <f ca="1">IFERROR(IF(ISNUMBER($BC$18),INDEX('1.Locations'!$K$2:$K$97,$BC$18 + 1) +$BH$17," ")," ")</f>
        <v xml:space="preserve"> </v>
      </c>
      <c r="BI18" s="45" t="str">
        <f ca="1">IFERROR(IF(AND(ISNUMBER($BC$18),$BC$18&lt;=95),INDEX('2.Distances'!$D$2:$D$9218,$BC$17*96+$BC$18+ 1) +$BI$17," ")," ")</f>
        <v xml:space="preserve"> </v>
      </c>
      <c r="BJ18" s="46" t="str">
        <f ca="1">IFERROR(IF(AND(ISNUMBER($BC$18),$BC$18&lt;=95),INDEX('2.Distances'!$D$2:$D$9218,$BC$17*96+$BC$18+ 1) +$BK$17," ")," ")</f>
        <v xml:space="preserve"> </v>
      </c>
      <c r="BK18" s="46" t="str">
        <f ca="1">IFERROR(IF(ISNUMBER($BJ$18),INDEX('1.Locations'!$I$2:$I$97,$BC$18 + 1) + MAX($BJ$18,INDEX('1.Locations'!$F$2:$F$97,$BC$18 + 1))," ")," ")</f>
        <v xml:space="preserve"> </v>
      </c>
      <c r="BL18" s="45" t="str">
        <f ca="1">IFERROR($BL$17 + INDEX('2.Distances'!$D$2:$D$9218,$BC$17*96+$BC$18+ 1) + INDEX('1.Locations'!$I$2:$I$97,$BC$18 + 1)," ")</f>
        <v xml:space="preserve"> </v>
      </c>
      <c r="BN18" s="24">
        <v>13</v>
      </c>
      <c r="BO18" s="25"/>
      <c r="BP18" s="43" t="str">
        <f ca="1">IFERROR(MATCH(INDIRECT("$BO$18"),'1.Locations'!$B$2:$B$97, 0) - 1," ")</f>
        <v xml:space="preserve"> </v>
      </c>
      <c r="BQ18" s="43" t="e">
        <f ca="1">IFERROR(IF(ISNUMBER($BP$18),INDEX('1.Locations'!$D$2:$D$97,$BP$18 + 1),NA()),NA())</f>
        <v>#N/A</v>
      </c>
      <c r="BR18" s="43" t="e">
        <f ca="1">IFERROR(IF(ISNUMBER($BP$18),INDEX('1.Locations'!$E$2:$E$97,$BP$18 + 1),NA()),NA())</f>
        <v>#N/A</v>
      </c>
      <c r="BS18" s="44" t="str">
        <f ca="1">IFERROR(IF(AND(ISNUMBER($BP$18),$BP$18&lt;=95),INDEX('2.Distances'!$C$2:$C$9218,$BP$17*96+$BP$18+ 1) +$BS$17," ")," ")</f>
        <v xml:space="preserve"> </v>
      </c>
      <c r="BT18" s="43" t="str">
        <f ca="1">IFERROR(IF(ISNUMBER($BP$18),INDEX('1.Locations'!$J$2:$J$97,$BP$18 + 1) +$BT$17," ")," ")</f>
        <v xml:space="preserve"> </v>
      </c>
      <c r="BU18" s="43" t="str">
        <f ca="1">IFERROR(IF(ISNUMBER($BP$18),INDEX('1.Locations'!$K$2:$K$97,$BP$18 + 1) +$BU$17," ")," ")</f>
        <v xml:space="preserve"> </v>
      </c>
      <c r="BV18" s="45" t="str">
        <f ca="1">IFERROR(IF(AND(ISNUMBER($BP$18),$BP$18&lt;=95),INDEX('2.Distances'!$D$2:$D$9218,$BP$17*96+$BP$18+ 1) +$BV$17," ")," ")</f>
        <v xml:space="preserve"> </v>
      </c>
      <c r="BW18" s="46" t="str">
        <f ca="1">IFERROR(IF(AND(ISNUMBER($BP$18),$BP$18&lt;=95),INDEX('2.Distances'!$D$2:$D$9218,$BP$17*96+$BP$18+ 1) +$BX$17," ")," ")</f>
        <v xml:space="preserve"> </v>
      </c>
      <c r="BX18" s="46" t="str">
        <f ca="1">IFERROR(IF(ISNUMBER($BW$18),INDEX('1.Locations'!$I$2:$I$97,$BP$18 + 1) + MAX($BW$18,INDEX('1.Locations'!$F$2:$F$97,$BP$18 + 1))," ")," ")</f>
        <v xml:space="preserve"> </v>
      </c>
      <c r="BY18" s="45" t="str">
        <f ca="1">IFERROR($BY$17 + INDEX('2.Distances'!$D$2:$D$9218,$BP$17*96+$BP$18+ 1) + INDEX('1.Locations'!$I$2:$I$97,$BP$18 + 1)," ")</f>
        <v xml:space="preserve"> </v>
      </c>
      <c r="CA18" s="24">
        <v>13</v>
      </c>
      <c r="CB18" s="25"/>
      <c r="CC18" s="43" t="str">
        <f ca="1">IFERROR(MATCH(INDIRECT("$CB$18"),'1.Locations'!$B$2:$B$97, 0) - 1," ")</f>
        <v xml:space="preserve"> </v>
      </c>
      <c r="CD18" s="43" t="e">
        <f ca="1">IFERROR(IF(ISNUMBER($CC$18),INDEX('1.Locations'!$D$2:$D$97,$CC$18 + 1),NA()),NA())</f>
        <v>#N/A</v>
      </c>
      <c r="CE18" s="43" t="e">
        <f ca="1">IFERROR(IF(ISNUMBER($CC$18),INDEX('1.Locations'!$E$2:$E$97,$CC$18 + 1),NA()),NA())</f>
        <v>#N/A</v>
      </c>
      <c r="CF18" s="44" t="str">
        <f ca="1">IFERROR(IF(AND(ISNUMBER($CC$18),$CC$18&lt;=95),INDEX('2.Distances'!$C$2:$C$9218,$CC$17*96+$CC$18+ 1) +$CF$17," ")," ")</f>
        <v xml:space="preserve"> </v>
      </c>
      <c r="CG18" s="43" t="str">
        <f ca="1">IFERROR(IF(ISNUMBER($CC$18),INDEX('1.Locations'!$J$2:$J$97,$CC$18 + 1) +$CG$17," ")," ")</f>
        <v xml:space="preserve"> </v>
      </c>
      <c r="CH18" s="43" t="str">
        <f ca="1">IFERROR(IF(ISNUMBER($CC$18),INDEX('1.Locations'!$K$2:$K$97,$CC$18 + 1) +$CH$17," ")," ")</f>
        <v xml:space="preserve"> </v>
      </c>
      <c r="CI18" s="45" t="str">
        <f ca="1">IFERROR(IF(AND(ISNUMBER($CC$18),$CC$18&lt;=95),INDEX('2.Distances'!$D$2:$D$9218,$CC$17*96+$CC$18+ 1) +$CI$17," ")," ")</f>
        <v xml:space="preserve"> </v>
      </c>
      <c r="CJ18" s="46" t="str">
        <f ca="1">IFERROR(IF(AND(ISNUMBER($CC$18),$CC$18&lt;=95),INDEX('2.Distances'!$D$2:$D$9218,$CC$17*96+$CC$18+ 1) +$CK$17," ")," ")</f>
        <v xml:space="preserve"> </v>
      </c>
      <c r="CK18" s="46" t="str">
        <f ca="1">IFERROR(IF(ISNUMBER($CJ$18),INDEX('1.Locations'!$I$2:$I$97,$CC$18 + 1) + MAX($CJ$18,INDEX('1.Locations'!$F$2:$F$97,$CC$18 + 1))," ")," ")</f>
        <v xml:space="preserve"> </v>
      </c>
      <c r="CL18" s="45" t="str">
        <f ca="1">IFERROR($CL$17 + INDEX('2.Distances'!$D$2:$D$9218,$CC$17*96+$CC$18+ 1) + INDEX('1.Locations'!$I$2:$I$97,$CC$18 + 1)," ")</f>
        <v xml:space="preserve"> </v>
      </c>
    </row>
    <row r="19" spans="1:90" x14ac:dyDescent="0.25">
      <c r="A19" s="24">
        <v>14</v>
      </c>
      <c r="B19" s="25"/>
      <c r="C19" s="43" t="str">
        <f ca="1">IFERROR(MATCH(INDIRECT("$B$19"),'1.Locations'!$B$2:$B$97, 0) - 1," ")</f>
        <v xml:space="preserve"> </v>
      </c>
      <c r="D19" s="43" t="e">
        <f ca="1">IFERROR(IF(ISNUMBER($C$19),INDEX('1.Locations'!$D$2:$D$97,$C$19 + 1),NA()),NA())</f>
        <v>#N/A</v>
      </c>
      <c r="E19" s="43" t="e">
        <f ca="1">IFERROR(IF(ISNUMBER($C$19),INDEX('1.Locations'!$E$2:$E$97,$C$19 + 1),NA()),NA())</f>
        <v>#N/A</v>
      </c>
      <c r="F19" s="44" t="str">
        <f ca="1">IFERROR(IF(AND(ISNUMBER($C$19),$C$19&lt;=95),INDEX('2.Distances'!$C$2:$C$9218,$C$18*96+$C$19+ 1) +$F$18," ")," ")</f>
        <v xml:space="preserve"> </v>
      </c>
      <c r="G19" s="43" t="str">
        <f ca="1">IFERROR(IF(ISNUMBER($C$19),INDEX('1.Locations'!$J$2:$J$97,$C$19 + 1) +$G$18," ")," ")</f>
        <v xml:space="preserve"> </v>
      </c>
      <c r="H19" s="43" t="str">
        <f ca="1">IFERROR(IF(ISNUMBER($C$19),INDEX('1.Locations'!$K$2:$K$97,$C$19 + 1) +$H$18," ")," ")</f>
        <v xml:space="preserve"> </v>
      </c>
      <c r="I19" s="45" t="str">
        <f ca="1">IFERROR(IF(AND(ISNUMBER($C$19),$C$19&lt;=95),INDEX('2.Distances'!$D$2:$D$9218,$C$18*96+$C$19+ 1) +$I$18," ")," ")</f>
        <v xml:space="preserve"> </v>
      </c>
      <c r="J19" s="46" t="str">
        <f ca="1">IFERROR(IF(AND(ISNUMBER($C$19),$C$19&lt;=95),INDEX('2.Distances'!$D$2:$D$9218,$C$18*96+$C$19+ 1) +$K$18," ")," ")</f>
        <v xml:space="preserve"> </v>
      </c>
      <c r="K19" s="46" t="str">
        <f ca="1">IFERROR(IF(ISNUMBER($J$19),INDEX('1.Locations'!$I$2:$I$97,$C$19 + 1) + MAX($J$19,INDEX('1.Locations'!$F$2:$F$97,$C$19 + 1))," ")," ")</f>
        <v xml:space="preserve"> </v>
      </c>
      <c r="L19" s="45" t="str">
        <f ca="1">IFERROR($L$18 + INDEX('2.Distances'!$D$2:$D$9218,$C$18*96+$C$19+ 1) + INDEX('1.Locations'!$I$2:$I$97,$C$19 + 1)," ")</f>
        <v xml:space="preserve"> </v>
      </c>
      <c r="N19" s="24">
        <v>14</v>
      </c>
      <c r="O19" s="25"/>
      <c r="P19" s="43" t="str">
        <f ca="1">IFERROR(MATCH(INDIRECT("$O$19"),'1.Locations'!$B$2:$B$97, 0) - 1," ")</f>
        <v xml:space="preserve"> </v>
      </c>
      <c r="Q19" s="43" t="e">
        <f ca="1">IFERROR(IF(ISNUMBER($P$19),INDEX('1.Locations'!$D$2:$D$97,$P$19 + 1),NA()),NA())</f>
        <v>#N/A</v>
      </c>
      <c r="R19" s="43" t="e">
        <f ca="1">IFERROR(IF(ISNUMBER($P$19),INDEX('1.Locations'!$E$2:$E$97,$P$19 + 1),NA()),NA())</f>
        <v>#N/A</v>
      </c>
      <c r="S19" s="44" t="str">
        <f ca="1">IFERROR(IF(AND(ISNUMBER($P$19),$P$19&lt;=95),INDEX('2.Distances'!$C$2:$C$9218,$P$18*96+$P$19+ 1) +$S$18," ")," ")</f>
        <v xml:space="preserve"> </v>
      </c>
      <c r="T19" s="43" t="str">
        <f ca="1">IFERROR(IF(ISNUMBER($P$19),INDEX('1.Locations'!$J$2:$J$97,$P$19 + 1) +$T$18," ")," ")</f>
        <v xml:space="preserve"> </v>
      </c>
      <c r="U19" s="43" t="str">
        <f ca="1">IFERROR(IF(ISNUMBER($P$19),INDEX('1.Locations'!$K$2:$K$97,$P$19 + 1) +$U$18," ")," ")</f>
        <v xml:space="preserve"> </v>
      </c>
      <c r="V19" s="45" t="str">
        <f ca="1">IFERROR(IF(AND(ISNUMBER($P$19),$P$19&lt;=95),INDEX('2.Distances'!$D$2:$D$9218,$P$18*96+$P$19+ 1) +$V$18," ")," ")</f>
        <v xml:space="preserve"> </v>
      </c>
      <c r="W19" s="46" t="str">
        <f ca="1">IFERROR(IF(AND(ISNUMBER($P$19),$P$19&lt;=95),INDEX('2.Distances'!$D$2:$D$9218,$P$18*96+$P$19+ 1) +$X$18," ")," ")</f>
        <v xml:space="preserve"> </v>
      </c>
      <c r="X19" s="46" t="str">
        <f ca="1">IFERROR(IF(ISNUMBER($W$19),INDEX('1.Locations'!$I$2:$I$97,$P$19 + 1) + MAX($W$19,INDEX('1.Locations'!$F$2:$F$97,$P$19 + 1))," ")," ")</f>
        <v xml:space="preserve"> </v>
      </c>
      <c r="Y19" s="45" t="str">
        <f ca="1">IFERROR($Y$18 + INDEX('2.Distances'!$D$2:$D$9218,$P$18*96+$P$19+ 1) + INDEX('1.Locations'!$I$2:$I$97,$P$19 + 1)," ")</f>
        <v xml:space="preserve"> </v>
      </c>
      <c r="AA19" s="24">
        <v>14</v>
      </c>
      <c r="AB19" s="25"/>
      <c r="AC19" s="43" t="str">
        <f ca="1">IFERROR(MATCH(INDIRECT("$AB$19"),'1.Locations'!$B$2:$B$97, 0) - 1," ")</f>
        <v xml:space="preserve"> </v>
      </c>
      <c r="AD19" s="43" t="e">
        <f ca="1">IFERROR(IF(ISNUMBER($AC$19),INDEX('1.Locations'!$D$2:$D$97,$AC$19 + 1),NA()),NA())</f>
        <v>#N/A</v>
      </c>
      <c r="AE19" s="43" t="e">
        <f ca="1">IFERROR(IF(ISNUMBER($AC$19),INDEX('1.Locations'!$E$2:$E$97,$AC$19 + 1),NA()),NA())</f>
        <v>#N/A</v>
      </c>
      <c r="AF19" s="44" t="str">
        <f ca="1">IFERROR(IF(AND(ISNUMBER($AC$19),$AC$19&lt;=95),INDEX('2.Distances'!$C$2:$C$9218,$AC$18*96+$AC$19+ 1) +$AF$18," ")," ")</f>
        <v xml:space="preserve"> </v>
      </c>
      <c r="AG19" s="43" t="str">
        <f ca="1">IFERROR(IF(ISNUMBER($AC$19),INDEX('1.Locations'!$J$2:$J$97,$AC$19 + 1) +$AG$18," ")," ")</f>
        <v xml:space="preserve"> </v>
      </c>
      <c r="AH19" s="43" t="str">
        <f ca="1">IFERROR(IF(ISNUMBER($AC$19),INDEX('1.Locations'!$K$2:$K$97,$AC$19 + 1) +$AH$18," ")," ")</f>
        <v xml:space="preserve"> </v>
      </c>
      <c r="AI19" s="45" t="str">
        <f ca="1">IFERROR(IF(AND(ISNUMBER($AC$19),$AC$19&lt;=95),INDEX('2.Distances'!$D$2:$D$9218,$AC$18*96+$AC$19+ 1) +$AI$18," ")," ")</f>
        <v xml:space="preserve"> </v>
      </c>
      <c r="AJ19" s="46" t="str">
        <f ca="1">IFERROR(IF(AND(ISNUMBER($AC$19),$AC$19&lt;=95),INDEX('2.Distances'!$D$2:$D$9218,$AC$18*96+$AC$19+ 1) +$AK$18," ")," ")</f>
        <v xml:space="preserve"> </v>
      </c>
      <c r="AK19" s="46" t="str">
        <f ca="1">IFERROR(IF(ISNUMBER($AJ$19),INDEX('1.Locations'!$I$2:$I$97,$AC$19 + 1) + MAX($AJ$19,INDEX('1.Locations'!$F$2:$F$97,$AC$19 + 1))," ")," ")</f>
        <v xml:space="preserve"> </v>
      </c>
      <c r="AL19" s="45" t="str">
        <f ca="1">IFERROR($AL$18 + INDEX('2.Distances'!$D$2:$D$9218,$AC$18*96+$AC$19+ 1) + INDEX('1.Locations'!$I$2:$I$97,$AC$19 + 1)," ")</f>
        <v xml:space="preserve"> </v>
      </c>
      <c r="AN19" s="24">
        <v>14</v>
      </c>
      <c r="AO19" s="25"/>
      <c r="AP19" s="43" t="str">
        <f ca="1">IFERROR(MATCH(INDIRECT("$AO$19"),'1.Locations'!$B$2:$B$97, 0) - 1," ")</f>
        <v xml:space="preserve"> </v>
      </c>
      <c r="AQ19" s="43" t="e">
        <f ca="1">IFERROR(IF(ISNUMBER($AP$19),INDEX('1.Locations'!$D$2:$D$97,$AP$19 + 1),NA()),NA())</f>
        <v>#N/A</v>
      </c>
      <c r="AR19" s="43" t="e">
        <f ca="1">IFERROR(IF(ISNUMBER($AP$19),INDEX('1.Locations'!$E$2:$E$97,$AP$19 + 1),NA()),NA())</f>
        <v>#N/A</v>
      </c>
      <c r="AS19" s="44" t="str">
        <f ca="1">IFERROR(IF(AND(ISNUMBER($AP$19),$AP$19&lt;=95),INDEX('2.Distances'!$C$2:$C$9218,$AP$18*96+$AP$19+ 1) +$AS$18," ")," ")</f>
        <v xml:space="preserve"> </v>
      </c>
      <c r="AT19" s="43" t="str">
        <f ca="1">IFERROR(IF(ISNUMBER($AP$19),INDEX('1.Locations'!$J$2:$J$97,$AP$19 + 1) +$AT$18," ")," ")</f>
        <v xml:space="preserve"> </v>
      </c>
      <c r="AU19" s="43" t="str">
        <f ca="1">IFERROR(IF(ISNUMBER($AP$19),INDEX('1.Locations'!$K$2:$K$97,$AP$19 + 1) +$AU$18," ")," ")</f>
        <v xml:space="preserve"> </v>
      </c>
      <c r="AV19" s="45" t="str">
        <f ca="1">IFERROR(IF(AND(ISNUMBER($AP$19),$AP$19&lt;=95),INDEX('2.Distances'!$D$2:$D$9218,$AP$18*96+$AP$19+ 1) +$AV$18," ")," ")</f>
        <v xml:space="preserve"> </v>
      </c>
      <c r="AW19" s="46" t="str">
        <f ca="1">IFERROR(IF(AND(ISNUMBER($AP$19),$AP$19&lt;=95),INDEX('2.Distances'!$D$2:$D$9218,$AP$18*96+$AP$19+ 1) +$AX$18," ")," ")</f>
        <v xml:space="preserve"> </v>
      </c>
      <c r="AX19" s="46" t="str">
        <f ca="1">IFERROR(IF(ISNUMBER($AW$19),INDEX('1.Locations'!$I$2:$I$97,$AP$19 + 1) + MAX($AW$19,INDEX('1.Locations'!$F$2:$F$97,$AP$19 + 1))," ")," ")</f>
        <v xml:space="preserve"> </v>
      </c>
      <c r="AY19" s="45" t="str">
        <f ca="1">IFERROR($AY$18 + INDEX('2.Distances'!$D$2:$D$9218,$AP$18*96+$AP$19+ 1) + INDEX('1.Locations'!$I$2:$I$97,$AP$19 + 1)," ")</f>
        <v xml:space="preserve"> </v>
      </c>
      <c r="BA19" s="24">
        <v>14</v>
      </c>
      <c r="BB19" s="25"/>
      <c r="BC19" s="43" t="str">
        <f ca="1">IFERROR(MATCH(INDIRECT("$BB$19"),'1.Locations'!$B$2:$B$97, 0) - 1," ")</f>
        <v xml:space="preserve"> </v>
      </c>
      <c r="BD19" s="43" t="e">
        <f ca="1">IFERROR(IF(ISNUMBER($BC$19),INDEX('1.Locations'!$D$2:$D$97,$BC$19 + 1),NA()),NA())</f>
        <v>#N/A</v>
      </c>
      <c r="BE19" s="43" t="e">
        <f ca="1">IFERROR(IF(ISNUMBER($BC$19),INDEX('1.Locations'!$E$2:$E$97,$BC$19 + 1),NA()),NA())</f>
        <v>#N/A</v>
      </c>
      <c r="BF19" s="44" t="str">
        <f ca="1">IFERROR(IF(AND(ISNUMBER($BC$19),$BC$19&lt;=95),INDEX('2.Distances'!$C$2:$C$9218,$BC$18*96+$BC$19+ 1) +$BF$18," ")," ")</f>
        <v xml:space="preserve"> </v>
      </c>
      <c r="BG19" s="43" t="str">
        <f ca="1">IFERROR(IF(ISNUMBER($BC$19),INDEX('1.Locations'!$J$2:$J$97,$BC$19 + 1) +$BG$18," ")," ")</f>
        <v xml:space="preserve"> </v>
      </c>
      <c r="BH19" s="43" t="str">
        <f ca="1">IFERROR(IF(ISNUMBER($BC$19),INDEX('1.Locations'!$K$2:$K$97,$BC$19 + 1) +$BH$18," ")," ")</f>
        <v xml:space="preserve"> </v>
      </c>
      <c r="BI19" s="45" t="str">
        <f ca="1">IFERROR(IF(AND(ISNUMBER($BC$19),$BC$19&lt;=95),INDEX('2.Distances'!$D$2:$D$9218,$BC$18*96+$BC$19+ 1) +$BI$18," ")," ")</f>
        <v xml:space="preserve"> </v>
      </c>
      <c r="BJ19" s="46" t="str">
        <f ca="1">IFERROR(IF(AND(ISNUMBER($BC$19),$BC$19&lt;=95),INDEX('2.Distances'!$D$2:$D$9218,$BC$18*96+$BC$19+ 1) +$BK$18," ")," ")</f>
        <v xml:space="preserve"> </v>
      </c>
      <c r="BK19" s="46" t="str">
        <f ca="1">IFERROR(IF(ISNUMBER($BJ$19),INDEX('1.Locations'!$I$2:$I$97,$BC$19 + 1) + MAX($BJ$19,INDEX('1.Locations'!$F$2:$F$97,$BC$19 + 1))," ")," ")</f>
        <v xml:space="preserve"> </v>
      </c>
      <c r="BL19" s="45" t="str">
        <f ca="1">IFERROR($BL$18 + INDEX('2.Distances'!$D$2:$D$9218,$BC$18*96+$BC$19+ 1) + INDEX('1.Locations'!$I$2:$I$97,$BC$19 + 1)," ")</f>
        <v xml:space="preserve"> </v>
      </c>
      <c r="BN19" s="24">
        <v>14</v>
      </c>
      <c r="BO19" s="25"/>
      <c r="BP19" s="43" t="str">
        <f ca="1">IFERROR(MATCH(INDIRECT("$BO$19"),'1.Locations'!$B$2:$B$97, 0) - 1," ")</f>
        <v xml:space="preserve"> </v>
      </c>
      <c r="BQ19" s="43" t="e">
        <f ca="1">IFERROR(IF(ISNUMBER($BP$19),INDEX('1.Locations'!$D$2:$D$97,$BP$19 + 1),NA()),NA())</f>
        <v>#N/A</v>
      </c>
      <c r="BR19" s="43" t="e">
        <f ca="1">IFERROR(IF(ISNUMBER($BP$19),INDEX('1.Locations'!$E$2:$E$97,$BP$19 + 1),NA()),NA())</f>
        <v>#N/A</v>
      </c>
      <c r="BS19" s="44" t="str">
        <f ca="1">IFERROR(IF(AND(ISNUMBER($BP$19),$BP$19&lt;=95),INDEX('2.Distances'!$C$2:$C$9218,$BP$18*96+$BP$19+ 1) +$BS$18," ")," ")</f>
        <v xml:space="preserve"> </v>
      </c>
      <c r="BT19" s="43" t="str">
        <f ca="1">IFERROR(IF(ISNUMBER($BP$19),INDEX('1.Locations'!$J$2:$J$97,$BP$19 + 1) +$BT$18," ")," ")</f>
        <v xml:space="preserve"> </v>
      </c>
      <c r="BU19" s="43" t="str">
        <f ca="1">IFERROR(IF(ISNUMBER($BP$19),INDEX('1.Locations'!$K$2:$K$97,$BP$19 + 1) +$BU$18," ")," ")</f>
        <v xml:space="preserve"> </v>
      </c>
      <c r="BV19" s="45" t="str">
        <f ca="1">IFERROR(IF(AND(ISNUMBER($BP$19),$BP$19&lt;=95),INDEX('2.Distances'!$D$2:$D$9218,$BP$18*96+$BP$19+ 1) +$BV$18," ")," ")</f>
        <v xml:space="preserve"> </v>
      </c>
      <c r="BW19" s="46" t="str">
        <f ca="1">IFERROR(IF(AND(ISNUMBER($BP$19),$BP$19&lt;=95),INDEX('2.Distances'!$D$2:$D$9218,$BP$18*96+$BP$19+ 1) +$BX$18," ")," ")</f>
        <v xml:space="preserve"> </v>
      </c>
      <c r="BX19" s="46" t="str">
        <f ca="1">IFERROR(IF(ISNUMBER($BW$19),INDEX('1.Locations'!$I$2:$I$97,$BP$19 + 1) + MAX($BW$19,INDEX('1.Locations'!$F$2:$F$97,$BP$19 + 1))," ")," ")</f>
        <v xml:space="preserve"> </v>
      </c>
      <c r="BY19" s="45" t="str">
        <f ca="1">IFERROR($BY$18 + INDEX('2.Distances'!$D$2:$D$9218,$BP$18*96+$BP$19+ 1) + INDEX('1.Locations'!$I$2:$I$97,$BP$19 + 1)," ")</f>
        <v xml:space="preserve"> </v>
      </c>
      <c r="CA19" s="24">
        <v>14</v>
      </c>
      <c r="CB19" s="25"/>
      <c r="CC19" s="43" t="str">
        <f ca="1">IFERROR(MATCH(INDIRECT("$CB$19"),'1.Locations'!$B$2:$B$97, 0) - 1," ")</f>
        <v xml:space="preserve"> </v>
      </c>
      <c r="CD19" s="43" t="e">
        <f ca="1">IFERROR(IF(ISNUMBER($CC$19),INDEX('1.Locations'!$D$2:$D$97,$CC$19 + 1),NA()),NA())</f>
        <v>#N/A</v>
      </c>
      <c r="CE19" s="43" t="e">
        <f ca="1">IFERROR(IF(ISNUMBER($CC$19),INDEX('1.Locations'!$E$2:$E$97,$CC$19 + 1),NA()),NA())</f>
        <v>#N/A</v>
      </c>
      <c r="CF19" s="44" t="str">
        <f ca="1">IFERROR(IF(AND(ISNUMBER($CC$19),$CC$19&lt;=95),INDEX('2.Distances'!$C$2:$C$9218,$CC$18*96+$CC$19+ 1) +$CF$18," ")," ")</f>
        <v xml:space="preserve"> </v>
      </c>
      <c r="CG19" s="43" t="str">
        <f ca="1">IFERROR(IF(ISNUMBER($CC$19),INDEX('1.Locations'!$J$2:$J$97,$CC$19 + 1) +$CG$18," ")," ")</f>
        <v xml:space="preserve"> </v>
      </c>
      <c r="CH19" s="43" t="str">
        <f ca="1">IFERROR(IF(ISNUMBER($CC$19),INDEX('1.Locations'!$K$2:$K$97,$CC$19 + 1) +$CH$18," ")," ")</f>
        <v xml:space="preserve"> </v>
      </c>
      <c r="CI19" s="45" t="str">
        <f ca="1">IFERROR(IF(AND(ISNUMBER($CC$19),$CC$19&lt;=95),INDEX('2.Distances'!$D$2:$D$9218,$CC$18*96+$CC$19+ 1) +$CI$18," ")," ")</f>
        <v xml:space="preserve"> </v>
      </c>
      <c r="CJ19" s="46" t="str">
        <f ca="1">IFERROR(IF(AND(ISNUMBER($CC$19),$CC$19&lt;=95),INDEX('2.Distances'!$D$2:$D$9218,$CC$18*96+$CC$19+ 1) +$CK$18," ")," ")</f>
        <v xml:space="preserve"> </v>
      </c>
      <c r="CK19" s="46" t="str">
        <f ca="1">IFERROR(IF(ISNUMBER($CJ$19),INDEX('1.Locations'!$I$2:$I$97,$CC$19 + 1) + MAX($CJ$19,INDEX('1.Locations'!$F$2:$F$97,$CC$19 + 1))," ")," ")</f>
        <v xml:space="preserve"> </v>
      </c>
      <c r="CL19" s="45" t="str">
        <f ca="1">IFERROR($CL$18 + INDEX('2.Distances'!$D$2:$D$9218,$CC$18*96+$CC$19+ 1) + INDEX('1.Locations'!$I$2:$I$97,$CC$19 + 1)," ")</f>
        <v xml:space="preserve"> </v>
      </c>
    </row>
    <row r="20" spans="1:90" x14ac:dyDescent="0.25">
      <c r="A20" s="24">
        <v>15</v>
      </c>
      <c r="B20" s="25"/>
      <c r="C20" s="43" t="str">
        <f ca="1">IFERROR(MATCH(INDIRECT("$B$20"),'1.Locations'!$B$2:$B$97, 0) - 1," ")</f>
        <v xml:space="preserve"> </v>
      </c>
      <c r="D20" s="43" t="e">
        <f ca="1">IFERROR(IF(ISNUMBER($C$20),INDEX('1.Locations'!$D$2:$D$97,$C$20 + 1),NA()),NA())</f>
        <v>#N/A</v>
      </c>
      <c r="E20" s="43" t="e">
        <f ca="1">IFERROR(IF(ISNUMBER($C$20),INDEX('1.Locations'!$E$2:$E$97,$C$20 + 1),NA()),NA())</f>
        <v>#N/A</v>
      </c>
      <c r="F20" s="44" t="str">
        <f ca="1">IFERROR(IF(AND(ISNUMBER($C$20),$C$20&lt;=95),INDEX('2.Distances'!$C$2:$C$9218,$C$19*96+$C$20+ 1) +$F$19," ")," ")</f>
        <v xml:space="preserve"> </v>
      </c>
      <c r="G20" s="43" t="str">
        <f ca="1">IFERROR(IF(ISNUMBER($C$20),INDEX('1.Locations'!$J$2:$J$97,$C$20 + 1) +$G$19," ")," ")</f>
        <v xml:space="preserve"> </v>
      </c>
      <c r="H20" s="43" t="str">
        <f ca="1">IFERROR(IF(ISNUMBER($C$20),INDEX('1.Locations'!$K$2:$K$97,$C$20 + 1) +$H$19," ")," ")</f>
        <v xml:space="preserve"> </v>
      </c>
      <c r="I20" s="45" t="str">
        <f ca="1">IFERROR(IF(AND(ISNUMBER($C$20),$C$20&lt;=95),INDEX('2.Distances'!$D$2:$D$9218,$C$19*96+$C$20+ 1) +$I$19," ")," ")</f>
        <v xml:space="preserve"> </v>
      </c>
      <c r="J20" s="46" t="str">
        <f ca="1">IFERROR(IF(AND(ISNUMBER($C$20),$C$20&lt;=95),INDEX('2.Distances'!$D$2:$D$9218,$C$19*96+$C$20+ 1) +$K$19," ")," ")</f>
        <v xml:space="preserve"> </v>
      </c>
      <c r="K20" s="46" t="str">
        <f ca="1">IFERROR(IF(ISNUMBER($J$20),INDEX('1.Locations'!$I$2:$I$97,$C$20 + 1) + MAX($J$20,INDEX('1.Locations'!$F$2:$F$97,$C$20 + 1))," ")," ")</f>
        <v xml:space="preserve"> </v>
      </c>
      <c r="L20" s="45" t="str">
        <f ca="1">IFERROR($L$19 + INDEX('2.Distances'!$D$2:$D$9218,$C$19*96+$C$20+ 1) + INDEX('1.Locations'!$I$2:$I$97,$C$20 + 1)," ")</f>
        <v xml:space="preserve"> </v>
      </c>
      <c r="N20" s="24">
        <v>15</v>
      </c>
      <c r="O20" s="25"/>
      <c r="P20" s="43" t="str">
        <f ca="1">IFERROR(MATCH(INDIRECT("$O$20"),'1.Locations'!$B$2:$B$97, 0) - 1," ")</f>
        <v xml:space="preserve"> </v>
      </c>
      <c r="Q20" s="43" t="e">
        <f ca="1">IFERROR(IF(ISNUMBER($P$20),INDEX('1.Locations'!$D$2:$D$97,$P$20 + 1),NA()),NA())</f>
        <v>#N/A</v>
      </c>
      <c r="R20" s="43" t="e">
        <f ca="1">IFERROR(IF(ISNUMBER($P$20),INDEX('1.Locations'!$E$2:$E$97,$P$20 + 1),NA()),NA())</f>
        <v>#N/A</v>
      </c>
      <c r="S20" s="44" t="str">
        <f ca="1">IFERROR(IF(AND(ISNUMBER($P$20),$P$20&lt;=95),INDEX('2.Distances'!$C$2:$C$9218,$P$19*96+$P$20+ 1) +$S$19," ")," ")</f>
        <v xml:space="preserve"> </v>
      </c>
      <c r="T20" s="43" t="str">
        <f ca="1">IFERROR(IF(ISNUMBER($P$20),INDEX('1.Locations'!$J$2:$J$97,$P$20 + 1) +$T$19," ")," ")</f>
        <v xml:space="preserve"> </v>
      </c>
      <c r="U20" s="43" t="str">
        <f ca="1">IFERROR(IF(ISNUMBER($P$20),INDEX('1.Locations'!$K$2:$K$97,$P$20 + 1) +$U$19," ")," ")</f>
        <v xml:space="preserve"> </v>
      </c>
      <c r="V20" s="45" t="str">
        <f ca="1">IFERROR(IF(AND(ISNUMBER($P$20),$P$20&lt;=95),INDEX('2.Distances'!$D$2:$D$9218,$P$19*96+$P$20+ 1) +$V$19," ")," ")</f>
        <v xml:space="preserve"> </v>
      </c>
      <c r="W20" s="46" t="str">
        <f ca="1">IFERROR(IF(AND(ISNUMBER($P$20),$P$20&lt;=95),INDEX('2.Distances'!$D$2:$D$9218,$P$19*96+$P$20+ 1) +$X$19," ")," ")</f>
        <v xml:space="preserve"> </v>
      </c>
      <c r="X20" s="46" t="str">
        <f ca="1">IFERROR(IF(ISNUMBER($W$20),INDEX('1.Locations'!$I$2:$I$97,$P$20 + 1) + MAX($W$20,INDEX('1.Locations'!$F$2:$F$97,$P$20 + 1))," ")," ")</f>
        <v xml:space="preserve"> </v>
      </c>
      <c r="Y20" s="45" t="str">
        <f ca="1">IFERROR($Y$19 + INDEX('2.Distances'!$D$2:$D$9218,$P$19*96+$P$20+ 1) + INDEX('1.Locations'!$I$2:$I$97,$P$20 + 1)," ")</f>
        <v xml:space="preserve"> </v>
      </c>
      <c r="AA20" s="24">
        <v>15</v>
      </c>
      <c r="AB20" s="25"/>
      <c r="AC20" s="43" t="str">
        <f ca="1">IFERROR(MATCH(INDIRECT("$AB$20"),'1.Locations'!$B$2:$B$97, 0) - 1," ")</f>
        <v xml:space="preserve"> </v>
      </c>
      <c r="AD20" s="43" t="e">
        <f ca="1">IFERROR(IF(ISNUMBER($AC$20),INDEX('1.Locations'!$D$2:$D$97,$AC$20 + 1),NA()),NA())</f>
        <v>#N/A</v>
      </c>
      <c r="AE20" s="43" t="e">
        <f ca="1">IFERROR(IF(ISNUMBER($AC$20),INDEX('1.Locations'!$E$2:$E$97,$AC$20 + 1),NA()),NA())</f>
        <v>#N/A</v>
      </c>
      <c r="AF20" s="44" t="str">
        <f ca="1">IFERROR(IF(AND(ISNUMBER($AC$20),$AC$20&lt;=95),INDEX('2.Distances'!$C$2:$C$9218,$AC$19*96+$AC$20+ 1) +$AF$19," ")," ")</f>
        <v xml:space="preserve"> </v>
      </c>
      <c r="AG20" s="43" t="str">
        <f ca="1">IFERROR(IF(ISNUMBER($AC$20),INDEX('1.Locations'!$J$2:$J$97,$AC$20 + 1) +$AG$19," ")," ")</f>
        <v xml:space="preserve"> </v>
      </c>
      <c r="AH20" s="43" t="str">
        <f ca="1">IFERROR(IF(ISNUMBER($AC$20),INDEX('1.Locations'!$K$2:$K$97,$AC$20 + 1) +$AH$19," ")," ")</f>
        <v xml:space="preserve"> </v>
      </c>
      <c r="AI20" s="45" t="str">
        <f ca="1">IFERROR(IF(AND(ISNUMBER($AC$20),$AC$20&lt;=95),INDEX('2.Distances'!$D$2:$D$9218,$AC$19*96+$AC$20+ 1) +$AI$19," ")," ")</f>
        <v xml:space="preserve"> </v>
      </c>
      <c r="AJ20" s="46" t="str">
        <f ca="1">IFERROR(IF(AND(ISNUMBER($AC$20),$AC$20&lt;=95),INDEX('2.Distances'!$D$2:$D$9218,$AC$19*96+$AC$20+ 1) +$AK$19," ")," ")</f>
        <v xml:space="preserve"> </v>
      </c>
      <c r="AK20" s="46" t="str">
        <f ca="1">IFERROR(IF(ISNUMBER($AJ$20),INDEX('1.Locations'!$I$2:$I$97,$AC$20 + 1) + MAX($AJ$20,INDEX('1.Locations'!$F$2:$F$97,$AC$20 + 1))," ")," ")</f>
        <v xml:space="preserve"> </v>
      </c>
      <c r="AL20" s="45" t="str">
        <f ca="1">IFERROR($AL$19 + INDEX('2.Distances'!$D$2:$D$9218,$AC$19*96+$AC$20+ 1) + INDEX('1.Locations'!$I$2:$I$97,$AC$20 + 1)," ")</f>
        <v xml:space="preserve"> </v>
      </c>
      <c r="AN20" s="24">
        <v>15</v>
      </c>
      <c r="AO20" s="25"/>
      <c r="AP20" s="43" t="str">
        <f ca="1">IFERROR(MATCH(INDIRECT("$AO$20"),'1.Locations'!$B$2:$B$97, 0) - 1," ")</f>
        <v xml:space="preserve"> </v>
      </c>
      <c r="AQ20" s="43" t="e">
        <f ca="1">IFERROR(IF(ISNUMBER($AP$20),INDEX('1.Locations'!$D$2:$D$97,$AP$20 + 1),NA()),NA())</f>
        <v>#N/A</v>
      </c>
      <c r="AR20" s="43" t="e">
        <f ca="1">IFERROR(IF(ISNUMBER($AP$20),INDEX('1.Locations'!$E$2:$E$97,$AP$20 + 1),NA()),NA())</f>
        <v>#N/A</v>
      </c>
      <c r="AS20" s="44" t="str">
        <f ca="1">IFERROR(IF(AND(ISNUMBER($AP$20),$AP$20&lt;=95),INDEX('2.Distances'!$C$2:$C$9218,$AP$19*96+$AP$20+ 1) +$AS$19," ")," ")</f>
        <v xml:space="preserve"> </v>
      </c>
      <c r="AT20" s="43" t="str">
        <f ca="1">IFERROR(IF(ISNUMBER($AP$20),INDEX('1.Locations'!$J$2:$J$97,$AP$20 + 1) +$AT$19," ")," ")</f>
        <v xml:space="preserve"> </v>
      </c>
      <c r="AU20" s="43" t="str">
        <f ca="1">IFERROR(IF(ISNUMBER($AP$20),INDEX('1.Locations'!$K$2:$K$97,$AP$20 + 1) +$AU$19," ")," ")</f>
        <v xml:space="preserve"> </v>
      </c>
      <c r="AV20" s="45" t="str">
        <f ca="1">IFERROR(IF(AND(ISNUMBER($AP$20),$AP$20&lt;=95),INDEX('2.Distances'!$D$2:$D$9218,$AP$19*96+$AP$20+ 1) +$AV$19," ")," ")</f>
        <v xml:space="preserve"> </v>
      </c>
      <c r="AW20" s="46" t="str">
        <f ca="1">IFERROR(IF(AND(ISNUMBER($AP$20),$AP$20&lt;=95),INDEX('2.Distances'!$D$2:$D$9218,$AP$19*96+$AP$20+ 1) +$AX$19," ")," ")</f>
        <v xml:space="preserve"> </v>
      </c>
      <c r="AX20" s="46" t="str">
        <f ca="1">IFERROR(IF(ISNUMBER($AW$20),INDEX('1.Locations'!$I$2:$I$97,$AP$20 + 1) + MAX($AW$20,INDEX('1.Locations'!$F$2:$F$97,$AP$20 + 1))," ")," ")</f>
        <v xml:space="preserve"> </v>
      </c>
      <c r="AY20" s="45" t="str">
        <f ca="1">IFERROR($AY$19 + INDEX('2.Distances'!$D$2:$D$9218,$AP$19*96+$AP$20+ 1) + INDEX('1.Locations'!$I$2:$I$97,$AP$20 + 1)," ")</f>
        <v xml:space="preserve"> </v>
      </c>
      <c r="BA20" s="24">
        <v>15</v>
      </c>
      <c r="BB20" s="25"/>
      <c r="BC20" s="43" t="str">
        <f ca="1">IFERROR(MATCH(INDIRECT("$BB$20"),'1.Locations'!$B$2:$B$97, 0) - 1," ")</f>
        <v xml:space="preserve"> </v>
      </c>
      <c r="BD20" s="43" t="e">
        <f ca="1">IFERROR(IF(ISNUMBER($BC$20),INDEX('1.Locations'!$D$2:$D$97,$BC$20 + 1),NA()),NA())</f>
        <v>#N/A</v>
      </c>
      <c r="BE20" s="43" t="e">
        <f ca="1">IFERROR(IF(ISNUMBER($BC$20),INDEX('1.Locations'!$E$2:$E$97,$BC$20 + 1),NA()),NA())</f>
        <v>#N/A</v>
      </c>
      <c r="BF20" s="44" t="str">
        <f ca="1">IFERROR(IF(AND(ISNUMBER($BC$20),$BC$20&lt;=95),INDEX('2.Distances'!$C$2:$C$9218,$BC$19*96+$BC$20+ 1) +$BF$19," ")," ")</f>
        <v xml:space="preserve"> </v>
      </c>
      <c r="BG20" s="43" t="str">
        <f ca="1">IFERROR(IF(ISNUMBER($BC$20),INDEX('1.Locations'!$J$2:$J$97,$BC$20 + 1) +$BG$19," ")," ")</f>
        <v xml:space="preserve"> </v>
      </c>
      <c r="BH20" s="43" t="str">
        <f ca="1">IFERROR(IF(ISNUMBER($BC$20),INDEX('1.Locations'!$K$2:$K$97,$BC$20 + 1) +$BH$19," ")," ")</f>
        <v xml:space="preserve"> </v>
      </c>
      <c r="BI20" s="45" t="str">
        <f ca="1">IFERROR(IF(AND(ISNUMBER($BC$20),$BC$20&lt;=95),INDEX('2.Distances'!$D$2:$D$9218,$BC$19*96+$BC$20+ 1) +$BI$19," ")," ")</f>
        <v xml:space="preserve"> </v>
      </c>
      <c r="BJ20" s="46" t="str">
        <f ca="1">IFERROR(IF(AND(ISNUMBER($BC$20),$BC$20&lt;=95),INDEX('2.Distances'!$D$2:$D$9218,$BC$19*96+$BC$20+ 1) +$BK$19," ")," ")</f>
        <v xml:space="preserve"> </v>
      </c>
      <c r="BK20" s="46" t="str">
        <f ca="1">IFERROR(IF(ISNUMBER($BJ$20),INDEX('1.Locations'!$I$2:$I$97,$BC$20 + 1) + MAX($BJ$20,INDEX('1.Locations'!$F$2:$F$97,$BC$20 + 1))," ")," ")</f>
        <v xml:space="preserve"> </v>
      </c>
      <c r="BL20" s="45" t="str">
        <f ca="1">IFERROR($BL$19 + INDEX('2.Distances'!$D$2:$D$9218,$BC$19*96+$BC$20+ 1) + INDEX('1.Locations'!$I$2:$I$97,$BC$20 + 1)," ")</f>
        <v xml:space="preserve"> </v>
      </c>
      <c r="BN20" s="24">
        <v>15</v>
      </c>
      <c r="BO20" s="25"/>
      <c r="BP20" s="43" t="str">
        <f ca="1">IFERROR(MATCH(INDIRECT("$BO$20"),'1.Locations'!$B$2:$B$97, 0) - 1," ")</f>
        <v xml:space="preserve"> </v>
      </c>
      <c r="BQ20" s="43" t="e">
        <f ca="1">IFERROR(IF(ISNUMBER($BP$20),INDEX('1.Locations'!$D$2:$D$97,$BP$20 + 1),NA()),NA())</f>
        <v>#N/A</v>
      </c>
      <c r="BR20" s="43" t="e">
        <f ca="1">IFERROR(IF(ISNUMBER($BP$20),INDEX('1.Locations'!$E$2:$E$97,$BP$20 + 1),NA()),NA())</f>
        <v>#N/A</v>
      </c>
      <c r="BS20" s="44" t="str">
        <f ca="1">IFERROR(IF(AND(ISNUMBER($BP$20),$BP$20&lt;=95),INDEX('2.Distances'!$C$2:$C$9218,$BP$19*96+$BP$20+ 1) +$BS$19," ")," ")</f>
        <v xml:space="preserve"> </v>
      </c>
      <c r="BT20" s="43" t="str">
        <f ca="1">IFERROR(IF(ISNUMBER($BP$20),INDEX('1.Locations'!$J$2:$J$97,$BP$20 + 1) +$BT$19," ")," ")</f>
        <v xml:space="preserve"> </v>
      </c>
      <c r="BU20" s="43" t="str">
        <f ca="1">IFERROR(IF(ISNUMBER($BP$20),INDEX('1.Locations'!$K$2:$K$97,$BP$20 + 1) +$BU$19," ")," ")</f>
        <v xml:space="preserve"> </v>
      </c>
      <c r="BV20" s="45" t="str">
        <f ca="1">IFERROR(IF(AND(ISNUMBER($BP$20),$BP$20&lt;=95),INDEX('2.Distances'!$D$2:$D$9218,$BP$19*96+$BP$20+ 1) +$BV$19," ")," ")</f>
        <v xml:space="preserve"> </v>
      </c>
      <c r="BW20" s="46" t="str">
        <f ca="1">IFERROR(IF(AND(ISNUMBER($BP$20),$BP$20&lt;=95),INDEX('2.Distances'!$D$2:$D$9218,$BP$19*96+$BP$20+ 1) +$BX$19," ")," ")</f>
        <v xml:space="preserve"> </v>
      </c>
      <c r="BX20" s="46" t="str">
        <f ca="1">IFERROR(IF(ISNUMBER($BW$20),INDEX('1.Locations'!$I$2:$I$97,$BP$20 + 1) + MAX($BW$20,INDEX('1.Locations'!$F$2:$F$97,$BP$20 + 1))," ")," ")</f>
        <v xml:space="preserve"> </v>
      </c>
      <c r="BY20" s="45" t="str">
        <f ca="1">IFERROR($BY$19 + INDEX('2.Distances'!$D$2:$D$9218,$BP$19*96+$BP$20+ 1) + INDEX('1.Locations'!$I$2:$I$97,$BP$20 + 1)," ")</f>
        <v xml:space="preserve"> </v>
      </c>
      <c r="CA20" s="24">
        <v>15</v>
      </c>
      <c r="CB20" s="25"/>
      <c r="CC20" s="43" t="str">
        <f ca="1">IFERROR(MATCH(INDIRECT("$CB$20"),'1.Locations'!$B$2:$B$97, 0) - 1," ")</f>
        <v xml:space="preserve"> </v>
      </c>
      <c r="CD20" s="43" t="e">
        <f ca="1">IFERROR(IF(ISNUMBER($CC$20),INDEX('1.Locations'!$D$2:$D$97,$CC$20 + 1),NA()),NA())</f>
        <v>#N/A</v>
      </c>
      <c r="CE20" s="43" t="e">
        <f ca="1">IFERROR(IF(ISNUMBER($CC$20),INDEX('1.Locations'!$E$2:$E$97,$CC$20 + 1),NA()),NA())</f>
        <v>#N/A</v>
      </c>
      <c r="CF20" s="44" t="str">
        <f ca="1">IFERROR(IF(AND(ISNUMBER($CC$20),$CC$20&lt;=95),INDEX('2.Distances'!$C$2:$C$9218,$CC$19*96+$CC$20+ 1) +$CF$19," ")," ")</f>
        <v xml:space="preserve"> </v>
      </c>
      <c r="CG20" s="43" t="str">
        <f ca="1">IFERROR(IF(ISNUMBER($CC$20),INDEX('1.Locations'!$J$2:$J$97,$CC$20 + 1) +$CG$19," ")," ")</f>
        <v xml:space="preserve"> </v>
      </c>
      <c r="CH20" s="43" t="str">
        <f ca="1">IFERROR(IF(ISNUMBER($CC$20),INDEX('1.Locations'!$K$2:$K$97,$CC$20 + 1) +$CH$19," ")," ")</f>
        <v xml:space="preserve"> </v>
      </c>
      <c r="CI20" s="45" t="str">
        <f ca="1">IFERROR(IF(AND(ISNUMBER($CC$20),$CC$20&lt;=95),INDEX('2.Distances'!$D$2:$D$9218,$CC$19*96+$CC$20+ 1) +$CI$19," ")," ")</f>
        <v xml:space="preserve"> </v>
      </c>
      <c r="CJ20" s="46" t="str">
        <f ca="1">IFERROR(IF(AND(ISNUMBER($CC$20),$CC$20&lt;=95),INDEX('2.Distances'!$D$2:$D$9218,$CC$19*96+$CC$20+ 1) +$CK$19," ")," ")</f>
        <v xml:space="preserve"> </v>
      </c>
      <c r="CK20" s="46" t="str">
        <f ca="1">IFERROR(IF(ISNUMBER($CJ$20),INDEX('1.Locations'!$I$2:$I$97,$CC$20 + 1) + MAX($CJ$20,INDEX('1.Locations'!$F$2:$F$97,$CC$20 + 1))," ")," ")</f>
        <v xml:space="preserve"> </v>
      </c>
      <c r="CL20" s="45" t="str">
        <f ca="1">IFERROR($CL$19 + INDEX('2.Distances'!$D$2:$D$9218,$CC$19*96+$CC$20+ 1) + INDEX('1.Locations'!$I$2:$I$97,$CC$20 + 1)," ")</f>
        <v xml:space="preserve"> </v>
      </c>
    </row>
    <row r="21" spans="1:90" x14ac:dyDescent="0.25">
      <c r="A21" s="24">
        <v>16</v>
      </c>
      <c r="B21" s="25"/>
      <c r="C21" s="43" t="str">
        <f ca="1">IFERROR(MATCH(INDIRECT("$B$21"),'1.Locations'!$B$2:$B$97, 0) - 1," ")</f>
        <v xml:space="preserve"> </v>
      </c>
      <c r="D21" s="43" t="e">
        <f ca="1">IFERROR(IF(ISNUMBER($C$21),INDEX('1.Locations'!$D$2:$D$97,$C$21 + 1),NA()),NA())</f>
        <v>#N/A</v>
      </c>
      <c r="E21" s="43" t="e">
        <f ca="1">IFERROR(IF(ISNUMBER($C$21),INDEX('1.Locations'!$E$2:$E$97,$C$21 + 1),NA()),NA())</f>
        <v>#N/A</v>
      </c>
      <c r="F21" s="44" t="str">
        <f ca="1">IFERROR(IF(AND(ISNUMBER($C$21),$C$21&lt;=95),INDEX('2.Distances'!$C$2:$C$9218,$C$20*96+$C$21+ 1) +$F$20," ")," ")</f>
        <v xml:space="preserve"> </v>
      </c>
      <c r="G21" s="43" t="str">
        <f ca="1">IFERROR(IF(ISNUMBER($C$21),INDEX('1.Locations'!$J$2:$J$97,$C$21 + 1) +$G$20," ")," ")</f>
        <v xml:space="preserve"> </v>
      </c>
      <c r="H21" s="43" t="str">
        <f ca="1">IFERROR(IF(ISNUMBER($C$21),INDEX('1.Locations'!$K$2:$K$97,$C$21 + 1) +$H$20," ")," ")</f>
        <v xml:space="preserve"> </v>
      </c>
      <c r="I21" s="45" t="str">
        <f ca="1">IFERROR(IF(AND(ISNUMBER($C$21),$C$21&lt;=95),INDEX('2.Distances'!$D$2:$D$9218,$C$20*96+$C$21+ 1) +$I$20," ")," ")</f>
        <v xml:space="preserve"> </v>
      </c>
      <c r="J21" s="46" t="str">
        <f ca="1">IFERROR(IF(AND(ISNUMBER($C$21),$C$21&lt;=95),INDEX('2.Distances'!$D$2:$D$9218,$C$20*96+$C$21+ 1) +$K$20," ")," ")</f>
        <v xml:space="preserve"> </v>
      </c>
      <c r="K21" s="46" t="str">
        <f ca="1">IFERROR(IF(ISNUMBER($J$21),INDEX('1.Locations'!$I$2:$I$97,$C$21 + 1) + MAX($J$21,INDEX('1.Locations'!$F$2:$F$97,$C$21 + 1))," ")," ")</f>
        <v xml:space="preserve"> </v>
      </c>
      <c r="L21" s="45" t="str">
        <f ca="1">IFERROR($L$20 + INDEX('2.Distances'!$D$2:$D$9218,$C$20*96+$C$21+ 1) + INDEX('1.Locations'!$I$2:$I$97,$C$21 + 1)," ")</f>
        <v xml:space="preserve"> </v>
      </c>
      <c r="N21" s="24">
        <v>16</v>
      </c>
      <c r="O21" s="25"/>
      <c r="P21" s="43" t="str">
        <f ca="1">IFERROR(MATCH(INDIRECT("$O$21"),'1.Locations'!$B$2:$B$97, 0) - 1," ")</f>
        <v xml:space="preserve"> </v>
      </c>
      <c r="Q21" s="43" t="e">
        <f ca="1">IFERROR(IF(ISNUMBER($P$21),INDEX('1.Locations'!$D$2:$D$97,$P$21 + 1),NA()),NA())</f>
        <v>#N/A</v>
      </c>
      <c r="R21" s="43" t="e">
        <f ca="1">IFERROR(IF(ISNUMBER($P$21),INDEX('1.Locations'!$E$2:$E$97,$P$21 + 1),NA()),NA())</f>
        <v>#N/A</v>
      </c>
      <c r="S21" s="44" t="str">
        <f ca="1">IFERROR(IF(AND(ISNUMBER($P$21),$P$21&lt;=95),INDEX('2.Distances'!$C$2:$C$9218,$P$20*96+$P$21+ 1) +$S$20," ")," ")</f>
        <v xml:space="preserve"> </v>
      </c>
      <c r="T21" s="43" t="str">
        <f ca="1">IFERROR(IF(ISNUMBER($P$21),INDEX('1.Locations'!$J$2:$J$97,$P$21 + 1) +$T$20," ")," ")</f>
        <v xml:space="preserve"> </v>
      </c>
      <c r="U21" s="43" t="str">
        <f ca="1">IFERROR(IF(ISNUMBER($P$21),INDEX('1.Locations'!$K$2:$K$97,$P$21 + 1) +$U$20," ")," ")</f>
        <v xml:space="preserve"> </v>
      </c>
      <c r="V21" s="45" t="str">
        <f ca="1">IFERROR(IF(AND(ISNUMBER($P$21),$P$21&lt;=95),INDEX('2.Distances'!$D$2:$D$9218,$P$20*96+$P$21+ 1) +$V$20," ")," ")</f>
        <v xml:space="preserve"> </v>
      </c>
      <c r="W21" s="46" t="str">
        <f ca="1">IFERROR(IF(AND(ISNUMBER($P$21),$P$21&lt;=95),INDEX('2.Distances'!$D$2:$D$9218,$P$20*96+$P$21+ 1) +$X$20," ")," ")</f>
        <v xml:space="preserve"> </v>
      </c>
      <c r="X21" s="46" t="str">
        <f ca="1">IFERROR(IF(ISNUMBER($W$21),INDEX('1.Locations'!$I$2:$I$97,$P$21 + 1) + MAX($W$21,INDEX('1.Locations'!$F$2:$F$97,$P$21 + 1))," ")," ")</f>
        <v xml:space="preserve"> </v>
      </c>
      <c r="Y21" s="45" t="str">
        <f ca="1">IFERROR($Y$20 + INDEX('2.Distances'!$D$2:$D$9218,$P$20*96+$P$21+ 1) + INDEX('1.Locations'!$I$2:$I$97,$P$21 + 1)," ")</f>
        <v xml:space="preserve"> </v>
      </c>
      <c r="AA21" s="24">
        <v>16</v>
      </c>
      <c r="AB21" s="25"/>
      <c r="AC21" s="43" t="str">
        <f ca="1">IFERROR(MATCH(INDIRECT("$AB$21"),'1.Locations'!$B$2:$B$97, 0) - 1," ")</f>
        <v xml:space="preserve"> </v>
      </c>
      <c r="AD21" s="43" t="e">
        <f ca="1">IFERROR(IF(ISNUMBER($AC$21),INDEX('1.Locations'!$D$2:$D$97,$AC$21 + 1),NA()),NA())</f>
        <v>#N/A</v>
      </c>
      <c r="AE21" s="43" t="e">
        <f ca="1">IFERROR(IF(ISNUMBER($AC$21),INDEX('1.Locations'!$E$2:$E$97,$AC$21 + 1),NA()),NA())</f>
        <v>#N/A</v>
      </c>
      <c r="AF21" s="44" t="str">
        <f ca="1">IFERROR(IF(AND(ISNUMBER($AC$21),$AC$21&lt;=95),INDEX('2.Distances'!$C$2:$C$9218,$AC$20*96+$AC$21+ 1) +$AF$20," ")," ")</f>
        <v xml:space="preserve"> </v>
      </c>
      <c r="AG21" s="43" t="str">
        <f ca="1">IFERROR(IF(ISNUMBER($AC$21),INDEX('1.Locations'!$J$2:$J$97,$AC$21 + 1) +$AG$20," ")," ")</f>
        <v xml:space="preserve"> </v>
      </c>
      <c r="AH21" s="43" t="str">
        <f ca="1">IFERROR(IF(ISNUMBER($AC$21),INDEX('1.Locations'!$K$2:$K$97,$AC$21 + 1) +$AH$20," ")," ")</f>
        <v xml:space="preserve"> </v>
      </c>
      <c r="AI21" s="45" t="str">
        <f ca="1">IFERROR(IF(AND(ISNUMBER($AC$21),$AC$21&lt;=95),INDEX('2.Distances'!$D$2:$D$9218,$AC$20*96+$AC$21+ 1) +$AI$20," ")," ")</f>
        <v xml:space="preserve"> </v>
      </c>
      <c r="AJ21" s="46" t="str">
        <f ca="1">IFERROR(IF(AND(ISNUMBER($AC$21),$AC$21&lt;=95),INDEX('2.Distances'!$D$2:$D$9218,$AC$20*96+$AC$21+ 1) +$AK$20," ")," ")</f>
        <v xml:space="preserve"> </v>
      </c>
      <c r="AK21" s="46" t="str">
        <f ca="1">IFERROR(IF(ISNUMBER($AJ$21),INDEX('1.Locations'!$I$2:$I$97,$AC$21 + 1) + MAX($AJ$21,INDEX('1.Locations'!$F$2:$F$97,$AC$21 + 1))," ")," ")</f>
        <v xml:space="preserve"> </v>
      </c>
      <c r="AL21" s="45" t="str">
        <f ca="1">IFERROR($AL$20 + INDEX('2.Distances'!$D$2:$D$9218,$AC$20*96+$AC$21+ 1) + INDEX('1.Locations'!$I$2:$I$97,$AC$21 + 1)," ")</f>
        <v xml:space="preserve"> </v>
      </c>
      <c r="AN21" s="24">
        <v>16</v>
      </c>
      <c r="AO21" s="25"/>
      <c r="AP21" s="43" t="str">
        <f ca="1">IFERROR(MATCH(INDIRECT("$AO$21"),'1.Locations'!$B$2:$B$97, 0) - 1," ")</f>
        <v xml:space="preserve"> </v>
      </c>
      <c r="AQ21" s="43" t="e">
        <f ca="1">IFERROR(IF(ISNUMBER($AP$21),INDEX('1.Locations'!$D$2:$D$97,$AP$21 + 1),NA()),NA())</f>
        <v>#N/A</v>
      </c>
      <c r="AR21" s="43" t="e">
        <f ca="1">IFERROR(IF(ISNUMBER($AP$21),INDEX('1.Locations'!$E$2:$E$97,$AP$21 + 1),NA()),NA())</f>
        <v>#N/A</v>
      </c>
      <c r="AS21" s="44" t="str">
        <f ca="1">IFERROR(IF(AND(ISNUMBER($AP$21),$AP$21&lt;=95),INDEX('2.Distances'!$C$2:$C$9218,$AP$20*96+$AP$21+ 1) +$AS$20," ")," ")</f>
        <v xml:space="preserve"> </v>
      </c>
      <c r="AT21" s="43" t="str">
        <f ca="1">IFERROR(IF(ISNUMBER($AP$21),INDEX('1.Locations'!$J$2:$J$97,$AP$21 + 1) +$AT$20," ")," ")</f>
        <v xml:space="preserve"> </v>
      </c>
      <c r="AU21" s="43" t="str">
        <f ca="1">IFERROR(IF(ISNUMBER($AP$21),INDEX('1.Locations'!$K$2:$K$97,$AP$21 + 1) +$AU$20," ")," ")</f>
        <v xml:space="preserve"> </v>
      </c>
      <c r="AV21" s="45" t="str">
        <f ca="1">IFERROR(IF(AND(ISNUMBER($AP$21),$AP$21&lt;=95),INDEX('2.Distances'!$D$2:$D$9218,$AP$20*96+$AP$21+ 1) +$AV$20," ")," ")</f>
        <v xml:space="preserve"> </v>
      </c>
      <c r="AW21" s="46" t="str">
        <f ca="1">IFERROR(IF(AND(ISNUMBER($AP$21),$AP$21&lt;=95),INDEX('2.Distances'!$D$2:$D$9218,$AP$20*96+$AP$21+ 1) +$AX$20," ")," ")</f>
        <v xml:space="preserve"> </v>
      </c>
      <c r="AX21" s="46" t="str">
        <f ca="1">IFERROR(IF(ISNUMBER($AW$21),INDEX('1.Locations'!$I$2:$I$97,$AP$21 + 1) + MAX($AW$21,INDEX('1.Locations'!$F$2:$F$97,$AP$21 + 1))," ")," ")</f>
        <v xml:space="preserve"> </v>
      </c>
      <c r="AY21" s="45" t="str">
        <f ca="1">IFERROR($AY$20 + INDEX('2.Distances'!$D$2:$D$9218,$AP$20*96+$AP$21+ 1) + INDEX('1.Locations'!$I$2:$I$97,$AP$21 + 1)," ")</f>
        <v xml:space="preserve"> </v>
      </c>
      <c r="BA21" s="24">
        <v>16</v>
      </c>
      <c r="BB21" s="25"/>
      <c r="BC21" s="43" t="str">
        <f ca="1">IFERROR(MATCH(INDIRECT("$BB$21"),'1.Locations'!$B$2:$B$97, 0) - 1," ")</f>
        <v xml:space="preserve"> </v>
      </c>
      <c r="BD21" s="43" t="e">
        <f ca="1">IFERROR(IF(ISNUMBER($BC$21),INDEX('1.Locations'!$D$2:$D$97,$BC$21 + 1),NA()),NA())</f>
        <v>#N/A</v>
      </c>
      <c r="BE21" s="43" t="e">
        <f ca="1">IFERROR(IF(ISNUMBER($BC$21),INDEX('1.Locations'!$E$2:$E$97,$BC$21 + 1),NA()),NA())</f>
        <v>#N/A</v>
      </c>
      <c r="BF21" s="44" t="str">
        <f ca="1">IFERROR(IF(AND(ISNUMBER($BC$21),$BC$21&lt;=95),INDEX('2.Distances'!$C$2:$C$9218,$BC$20*96+$BC$21+ 1) +$BF$20," ")," ")</f>
        <v xml:space="preserve"> </v>
      </c>
      <c r="BG21" s="43" t="str">
        <f ca="1">IFERROR(IF(ISNUMBER($BC$21),INDEX('1.Locations'!$J$2:$J$97,$BC$21 + 1) +$BG$20," ")," ")</f>
        <v xml:space="preserve"> </v>
      </c>
      <c r="BH21" s="43" t="str">
        <f ca="1">IFERROR(IF(ISNUMBER($BC$21),INDEX('1.Locations'!$K$2:$K$97,$BC$21 + 1) +$BH$20," ")," ")</f>
        <v xml:space="preserve"> </v>
      </c>
      <c r="BI21" s="45" t="str">
        <f ca="1">IFERROR(IF(AND(ISNUMBER($BC$21),$BC$21&lt;=95),INDEX('2.Distances'!$D$2:$D$9218,$BC$20*96+$BC$21+ 1) +$BI$20," ")," ")</f>
        <v xml:space="preserve"> </v>
      </c>
      <c r="BJ21" s="46" t="str">
        <f ca="1">IFERROR(IF(AND(ISNUMBER($BC$21),$BC$21&lt;=95),INDEX('2.Distances'!$D$2:$D$9218,$BC$20*96+$BC$21+ 1) +$BK$20," ")," ")</f>
        <v xml:space="preserve"> </v>
      </c>
      <c r="BK21" s="46" t="str">
        <f ca="1">IFERROR(IF(ISNUMBER($BJ$21),INDEX('1.Locations'!$I$2:$I$97,$BC$21 + 1) + MAX($BJ$21,INDEX('1.Locations'!$F$2:$F$97,$BC$21 + 1))," ")," ")</f>
        <v xml:space="preserve"> </v>
      </c>
      <c r="BL21" s="45" t="str">
        <f ca="1">IFERROR($BL$20 + INDEX('2.Distances'!$D$2:$D$9218,$BC$20*96+$BC$21+ 1) + INDEX('1.Locations'!$I$2:$I$97,$BC$21 + 1)," ")</f>
        <v xml:space="preserve"> </v>
      </c>
      <c r="BN21" s="24">
        <v>16</v>
      </c>
      <c r="BO21" s="25"/>
      <c r="BP21" s="43" t="str">
        <f ca="1">IFERROR(MATCH(INDIRECT("$BO$21"),'1.Locations'!$B$2:$B$97, 0) - 1," ")</f>
        <v xml:space="preserve"> </v>
      </c>
      <c r="BQ21" s="43" t="e">
        <f ca="1">IFERROR(IF(ISNUMBER($BP$21),INDEX('1.Locations'!$D$2:$D$97,$BP$21 + 1),NA()),NA())</f>
        <v>#N/A</v>
      </c>
      <c r="BR21" s="43" t="e">
        <f ca="1">IFERROR(IF(ISNUMBER($BP$21),INDEX('1.Locations'!$E$2:$E$97,$BP$21 + 1),NA()),NA())</f>
        <v>#N/A</v>
      </c>
      <c r="BS21" s="44" t="str">
        <f ca="1">IFERROR(IF(AND(ISNUMBER($BP$21),$BP$21&lt;=95),INDEX('2.Distances'!$C$2:$C$9218,$BP$20*96+$BP$21+ 1) +$BS$20," ")," ")</f>
        <v xml:space="preserve"> </v>
      </c>
      <c r="BT21" s="43" t="str">
        <f ca="1">IFERROR(IF(ISNUMBER($BP$21),INDEX('1.Locations'!$J$2:$J$97,$BP$21 + 1) +$BT$20," ")," ")</f>
        <v xml:space="preserve"> </v>
      </c>
      <c r="BU21" s="43" t="str">
        <f ca="1">IFERROR(IF(ISNUMBER($BP$21),INDEX('1.Locations'!$K$2:$K$97,$BP$21 + 1) +$BU$20," ")," ")</f>
        <v xml:space="preserve"> </v>
      </c>
      <c r="BV21" s="45" t="str">
        <f ca="1">IFERROR(IF(AND(ISNUMBER($BP$21),$BP$21&lt;=95),INDEX('2.Distances'!$D$2:$D$9218,$BP$20*96+$BP$21+ 1) +$BV$20," ")," ")</f>
        <v xml:space="preserve"> </v>
      </c>
      <c r="BW21" s="46" t="str">
        <f ca="1">IFERROR(IF(AND(ISNUMBER($BP$21),$BP$21&lt;=95),INDEX('2.Distances'!$D$2:$D$9218,$BP$20*96+$BP$21+ 1) +$BX$20," ")," ")</f>
        <v xml:space="preserve"> </v>
      </c>
      <c r="BX21" s="46" t="str">
        <f ca="1">IFERROR(IF(ISNUMBER($BW$21),INDEX('1.Locations'!$I$2:$I$97,$BP$21 + 1) + MAX($BW$21,INDEX('1.Locations'!$F$2:$F$97,$BP$21 + 1))," ")," ")</f>
        <v xml:space="preserve"> </v>
      </c>
      <c r="BY21" s="45" t="str">
        <f ca="1">IFERROR($BY$20 + INDEX('2.Distances'!$D$2:$D$9218,$BP$20*96+$BP$21+ 1) + INDEX('1.Locations'!$I$2:$I$97,$BP$21 + 1)," ")</f>
        <v xml:space="preserve"> </v>
      </c>
      <c r="CA21" s="24">
        <v>16</v>
      </c>
      <c r="CB21" s="25"/>
      <c r="CC21" s="43" t="str">
        <f ca="1">IFERROR(MATCH(INDIRECT("$CB$21"),'1.Locations'!$B$2:$B$97, 0) - 1," ")</f>
        <v xml:space="preserve"> </v>
      </c>
      <c r="CD21" s="43" t="e">
        <f ca="1">IFERROR(IF(ISNUMBER($CC$21),INDEX('1.Locations'!$D$2:$D$97,$CC$21 + 1),NA()),NA())</f>
        <v>#N/A</v>
      </c>
      <c r="CE21" s="43" t="e">
        <f ca="1">IFERROR(IF(ISNUMBER($CC$21),INDEX('1.Locations'!$E$2:$E$97,$CC$21 + 1),NA()),NA())</f>
        <v>#N/A</v>
      </c>
      <c r="CF21" s="44" t="str">
        <f ca="1">IFERROR(IF(AND(ISNUMBER($CC$21),$CC$21&lt;=95),INDEX('2.Distances'!$C$2:$C$9218,$CC$20*96+$CC$21+ 1) +$CF$20," ")," ")</f>
        <v xml:space="preserve"> </v>
      </c>
      <c r="CG21" s="43" t="str">
        <f ca="1">IFERROR(IF(ISNUMBER($CC$21),INDEX('1.Locations'!$J$2:$J$97,$CC$21 + 1) +$CG$20," ")," ")</f>
        <v xml:space="preserve"> </v>
      </c>
      <c r="CH21" s="43" t="str">
        <f ca="1">IFERROR(IF(ISNUMBER($CC$21),INDEX('1.Locations'!$K$2:$K$97,$CC$21 + 1) +$CH$20," ")," ")</f>
        <v xml:space="preserve"> </v>
      </c>
      <c r="CI21" s="45" t="str">
        <f ca="1">IFERROR(IF(AND(ISNUMBER($CC$21),$CC$21&lt;=95),INDEX('2.Distances'!$D$2:$D$9218,$CC$20*96+$CC$21+ 1) +$CI$20," ")," ")</f>
        <v xml:space="preserve"> </v>
      </c>
      <c r="CJ21" s="46" t="str">
        <f ca="1">IFERROR(IF(AND(ISNUMBER($CC$21),$CC$21&lt;=95),INDEX('2.Distances'!$D$2:$D$9218,$CC$20*96+$CC$21+ 1) +$CK$20," ")," ")</f>
        <v xml:space="preserve"> </v>
      </c>
      <c r="CK21" s="46" t="str">
        <f ca="1">IFERROR(IF(ISNUMBER($CJ$21),INDEX('1.Locations'!$I$2:$I$97,$CC$21 + 1) + MAX($CJ$21,INDEX('1.Locations'!$F$2:$F$97,$CC$21 + 1))," ")," ")</f>
        <v xml:space="preserve"> </v>
      </c>
      <c r="CL21" s="45" t="str">
        <f ca="1">IFERROR($CL$20 + INDEX('2.Distances'!$D$2:$D$9218,$CC$20*96+$CC$21+ 1) + INDEX('1.Locations'!$I$2:$I$97,$CC$21 + 1)," ")</f>
        <v xml:space="preserve"> </v>
      </c>
    </row>
    <row r="22" spans="1:90" x14ac:dyDescent="0.25">
      <c r="A22" s="24">
        <v>17</v>
      </c>
      <c r="B22" s="25"/>
      <c r="C22" s="43" t="str">
        <f ca="1">IFERROR(MATCH(INDIRECT("$B$22"),'1.Locations'!$B$2:$B$97, 0) - 1," ")</f>
        <v xml:space="preserve"> </v>
      </c>
      <c r="D22" s="43" t="e">
        <f ca="1">IFERROR(IF(ISNUMBER($C$22),INDEX('1.Locations'!$D$2:$D$97,$C$22 + 1),NA()),NA())</f>
        <v>#N/A</v>
      </c>
      <c r="E22" s="43" t="e">
        <f ca="1">IFERROR(IF(ISNUMBER($C$22),INDEX('1.Locations'!$E$2:$E$97,$C$22 + 1),NA()),NA())</f>
        <v>#N/A</v>
      </c>
      <c r="F22" s="44" t="str">
        <f ca="1">IFERROR(IF(AND(ISNUMBER($C$22),$C$22&lt;=95),INDEX('2.Distances'!$C$2:$C$9218,$C$21*96+$C$22+ 1) +$F$21," ")," ")</f>
        <v xml:space="preserve"> </v>
      </c>
      <c r="G22" s="43" t="str">
        <f ca="1">IFERROR(IF(ISNUMBER($C$22),INDEX('1.Locations'!$J$2:$J$97,$C$22 + 1) +$G$21," ")," ")</f>
        <v xml:space="preserve"> </v>
      </c>
      <c r="H22" s="43" t="str">
        <f ca="1">IFERROR(IF(ISNUMBER($C$22),INDEX('1.Locations'!$K$2:$K$97,$C$22 + 1) +$H$21," ")," ")</f>
        <v xml:space="preserve"> </v>
      </c>
      <c r="I22" s="45" t="str">
        <f ca="1">IFERROR(IF(AND(ISNUMBER($C$22),$C$22&lt;=95),INDEX('2.Distances'!$D$2:$D$9218,$C$21*96+$C$22+ 1) +$I$21," ")," ")</f>
        <v xml:space="preserve"> </v>
      </c>
      <c r="J22" s="46" t="str">
        <f ca="1">IFERROR(IF(AND(ISNUMBER($C$22),$C$22&lt;=95),INDEX('2.Distances'!$D$2:$D$9218,$C$21*96+$C$22+ 1) +$K$21," ")," ")</f>
        <v xml:space="preserve"> </v>
      </c>
      <c r="K22" s="46" t="str">
        <f ca="1">IFERROR(IF(ISNUMBER($J$22),INDEX('1.Locations'!$I$2:$I$97,$C$22 + 1) + MAX($J$22,INDEX('1.Locations'!$F$2:$F$97,$C$22 + 1))," ")," ")</f>
        <v xml:space="preserve"> </v>
      </c>
      <c r="L22" s="45" t="str">
        <f ca="1">IFERROR($L$21 + INDEX('2.Distances'!$D$2:$D$9218,$C$21*96+$C$22+ 1) + INDEX('1.Locations'!$I$2:$I$97,$C$22 + 1)," ")</f>
        <v xml:space="preserve"> </v>
      </c>
      <c r="N22" s="24">
        <v>17</v>
      </c>
      <c r="O22" s="25"/>
      <c r="P22" s="43" t="str">
        <f ca="1">IFERROR(MATCH(INDIRECT("$O$22"),'1.Locations'!$B$2:$B$97, 0) - 1," ")</f>
        <v xml:space="preserve"> </v>
      </c>
      <c r="Q22" s="43" t="e">
        <f ca="1">IFERROR(IF(ISNUMBER($P$22),INDEX('1.Locations'!$D$2:$D$97,$P$22 + 1),NA()),NA())</f>
        <v>#N/A</v>
      </c>
      <c r="R22" s="43" t="e">
        <f ca="1">IFERROR(IF(ISNUMBER($P$22),INDEX('1.Locations'!$E$2:$E$97,$P$22 + 1),NA()),NA())</f>
        <v>#N/A</v>
      </c>
      <c r="S22" s="44" t="str">
        <f ca="1">IFERROR(IF(AND(ISNUMBER($P$22),$P$22&lt;=95),INDEX('2.Distances'!$C$2:$C$9218,$P$21*96+$P$22+ 1) +$S$21," ")," ")</f>
        <v xml:space="preserve"> </v>
      </c>
      <c r="T22" s="43" t="str">
        <f ca="1">IFERROR(IF(ISNUMBER($P$22),INDEX('1.Locations'!$J$2:$J$97,$P$22 + 1) +$T$21," ")," ")</f>
        <v xml:space="preserve"> </v>
      </c>
      <c r="U22" s="43" t="str">
        <f ca="1">IFERROR(IF(ISNUMBER($P$22),INDEX('1.Locations'!$K$2:$K$97,$P$22 + 1) +$U$21," ")," ")</f>
        <v xml:space="preserve"> </v>
      </c>
      <c r="V22" s="45" t="str">
        <f ca="1">IFERROR(IF(AND(ISNUMBER($P$22),$P$22&lt;=95),INDEX('2.Distances'!$D$2:$D$9218,$P$21*96+$P$22+ 1) +$V$21," ")," ")</f>
        <v xml:space="preserve"> </v>
      </c>
      <c r="W22" s="46" t="str">
        <f ca="1">IFERROR(IF(AND(ISNUMBER($P$22),$P$22&lt;=95),INDEX('2.Distances'!$D$2:$D$9218,$P$21*96+$P$22+ 1) +$X$21," ")," ")</f>
        <v xml:space="preserve"> </v>
      </c>
      <c r="X22" s="46" t="str">
        <f ca="1">IFERROR(IF(ISNUMBER($W$22),INDEX('1.Locations'!$I$2:$I$97,$P$22 + 1) + MAX($W$22,INDEX('1.Locations'!$F$2:$F$97,$P$22 + 1))," ")," ")</f>
        <v xml:space="preserve"> </v>
      </c>
      <c r="Y22" s="45" t="str">
        <f ca="1">IFERROR($Y$21 + INDEX('2.Distances'!$D$2:$D$9218,$P$21*96+$P$22+ 1) + INDEX('1.Locations'!$I$2:$I$97,$P$22 + 1)," ")</f>
        <v xml:space="preserve"> </v>
      </c>
      <c r="AA22" s="24">
        <v>17</v>
      </c>
      <c r="AB22" s="25"/>
      <c r="AC22" s="43" t="str">
        <f ca="1">IFERROR(MATCH(INDIRECT("$AB$22"),'1.Locations'!$B$2:$B$97, 0) - 1," ")</f>
        <v xml:space="preserve"> </v>
      </c>
      <c r="AD22" s="43" t="e">
        <f ca="1">IFERROR(IF(ISNUMBER($AC$22),INDEX('1.Locations'!$D$2:$D$97,$AC$22 + 1),NA()),NA())</f>
        <v>#N/A</v>
      </c>
      <c r="AE22" s="43" t="e">
        <f ca="1">IFERROR(IF(ISNUMBER($AC$22),INDEX('1.Locations'!$E$2:$E$97,$AC$22 + 1),NA()),NA())</f>
        <v>#N/A</v>
      </c>
      <c r="AF22" s="44" t="str">
        <f ca="1">IFERROR(IF(AND(ISNUMBER($AC$22),$AC$22&lt;=95),INDEX('2.Distances'!$C$2:$C$9218,$AC$21*96+$AC$22+ 1) +$AF$21," ")," ")</f>
        <v xml:space="preserve"> </v>
      </c>
      <c r="AG22" s="43" t="str">
        <f ca="1">IFERROR(IF(ISNUMBER($AC$22),INDEX('1.Locations'!$J$2:$J$97,$AC$22 + 1) +$AG$21," ")," ")</f>
        <v xml:space="preserve"> </v>
      </c>
      <c r="AH22" s="43" t="str">
        <f ca="1">IFERROR(IF(ISNUMBER($AC$22),INDEX('1.Locations'!$K$2:$K$97,$AC$22 + 1) +$AH$21," ")," ")</f>
        <v xml:space="preserve"> </v>
      </c>
      <c r="AI22" s="45" t="str">
        <f ca="1">IFERROR(IF(AND(ISNUMBER($AC$22),$AC$22&lt;=95),INDEX('2.Distances'!$D$2:$D$9218,$AC$21*96+$AC$22+ 1) +$AI$21," ")," ")</f>
        <v xml:space="preserve"> </v>
      </c>
      <c r="AJ22" s="46" t="str">
        <f ca="1">IFERROR(IF(AND(ISNUMBER($AC$22),$AC$22&lt;=95),INDEX('2.Distances'!$D$2:$D$9218,$AC$21*96+$AC$22+ 1) +$AK$21," ")," ")</f>
        <v xml:space="preserve"> </v>
      </c>
      <c r="AK22" s="46" t="str">
        <f ca="1">IFERROR(IF(ISNUMBER($AJ$22),INDEX('1.Locations'!$I$2:$I$97,$AC$22 + 1) + MAX($AJ$22,INDEX('1.Locations'!$F$2:$F$97,$AC$22 + 1))," ")," ")</f>
        <v xml:space="preserve"> </v>
      </c>
      <c r="AL22" s="45" t="str">
        <f ca="1">IFERROR($AL$21 + INDEX('2.Distances'!$D$2:$D$9218,$AC$21*96+$AC$22+ 1) + INDEX('1.Locations'!$I$2:$I$97,$AC$22 + 1)," ")</f>
        <v xml:space="preserve"> </v>
      </c>
      <c r="AN22" s="24">
        <v>17</v>
      </c>
      <c r="AO22" s="25"/>
      <c r="AP22" s="43" t="str">
        <f ca="1">IFERROR(MATCH(INDIRECT("$AO$22"),'1.Locations'!$B$2:$B$97, 0) - 1," ")</f>
        <v xml:space="preserve"> </v>
      </c>
      <c r="AQ22" s="43" t="e">
        <f ca="1">IFERROR(IF(ISNUMBER($AP$22),INDEX('1.Locations'!$D$2:$D$97,$AP$22 + 1),NA()),NA())</f>
        <v>#N/A</v>
      </c>
      <c r="AR22" s="43" t="e">
        <f ca="1">IFERROR(IF(ISNUMBER($AP$22),INDEX('1.Locations'!$E$2:$E$97,$AP$22 + 1),NA()),NA())</f>
        <v>#N/A</v>
      </c>
      <c r="AS22" s="44" t="str">
        <f ca="1">IFERROR(IF(AND(ISNUMBER($AP$22),$AP$22&lt;=95),INDEX('2.Distances'!$C$2:$C$9218,$AP$21*96+$AP$22+ 1) +$AS$21," ")," ")</f>
        <v xml:space="preserve"> </v>
      </c>
      <c r="AT22" s="43" t="str">
        <f ca="1">IFERROR(IF(ISNUMBER($AP$22),INDEX('1.Locations'!$J$2:$J$97,$AP$22 + 1) +$AT$21," ")," ")</f>
        <v xml:space="preserve"> </v>
      </c>
      <c r="AU22" s="43" t="str">
        <f ca="1">IFERROR(IF(ISNUMBER($AP$22),INDEX('1.Locations'!$K$2:$K$97,$AP$22 + 1) +$AU$21," ")," ")</f>
        <v xml:space="preserve"> </v>
      </c>
      <c r="AV22" s="45" t="str">
        <f ca="1">IFERROR(IF(AND(ISNUMBER($AP$22),$AP$22&lt;=95),INDEX('2.Distances'!$D$2:$D$9218,$AP$21*96+$AP$22+ 1) +$AV$21," ")," ")</f>
        <v xml:space="preserve"> </v>
      </c>
      <c r="AW22" s="46" t="str">
        <f ca="1">IFERROR(IF(AND(ISNUMBER($AP$22),$AP$22&lt;=95),INDEX('2.Distances'!$D$2:$D$9218,$AP$21*96+$AP$22+ 1) +$AX$21," ")," ")</f>
        <v xml:space="preserve"> </v>
      </c>
      <c r="AX22" s="46" t="str">
        <f ca="1">IFERROR(IF(ISNUMBER($AW$22),INDEX('1.Locations'!$I$2:$I$97,$AP$22 + 1) + MAX($AW$22,INDEX('1.Locations'!$F$2:$F$97,$AP$22 + 1))," ")," ")</f>
        <v xml:space="preserve"> </v>
      </c>
      <c r="AY22" s="45" t="str">
        <f ca="1">IFERROR($AY$21 + INDEX('2.Distances'!$D$2:$D$9218,$AP$21*96+$AP$22+ 1) + INDEX('1.Locations'!$I$2:$I$97,$AP$22 + 1)," ")</f>
        <v xml:space="preserve"> </v>
      </c>
      <c r="BA22" s="24">
        <v>17</v>
      </c>
      <c r="BB22" s="25"/>
      <c r="BC22" s="43" t="str">
        <f ca="1">IFERROR(MATCH(INDIRECT("$BB$22"),'1.Locations'!$B$2:$B$97, 0) - 1," ")</f>
        <v xml:space="preserve"> </v>
      </c>
      <c r="BD22" s="43" t="e">
        <f ca="1">IFERROR(IF(ISNUMBER($BC$22),INDEX('1.Locations'!$D$2:$D$97,$BC$22 + 1),NA()),NA())</f>
        <v>#N/A</v>
      </c>
      <c r="BE22" s="43" t="e">
        <f ca="1">IFERROR(IF(ISNUMBER($BC$22),INDEX('1.Locations'!$E$2:$E$97,$BC$22 + 1),NA()),NA())</f>
        <v>#N/A</v>
      </c>
      <c r="BF22" s="44" t="str">
        <f ca="1">IFERROR(IF(AND(ISNUMBER($BC$22),$BC$22&lt;=95),INDEX('2.Distances'!$C$2:$C$9218,$BC$21*96+$BC$22+ 1) +$BF$21," ")," ")</f>
        <v xml:space="preserve"> </v>
      </c>
      <c r="BG22" s="43" t="str">
        <f ca="1">IFERROR(IF(ISNUMBER($BC$22),INDEX('1.Locations'!$J$2:$J$97,$BC$22 + 1) +$BG$21," ")," ")</f>
        <v xml:space="preserve"> </v>
      </c>
      <c r="BH22" s="43" t="str">
        <f ca="1">IFERROR(IF(ISNUMBER($BC$22),INDEX('1.Locations'!$K$2:$K$97,$BC$22 + 1) +$BH$21," ")," ")</f>
        <v xml:space="preserve"> </v>
      </c>
      <c r="BI22" s="45" t="str">
        <f ca="1">IFERROR(IF(AND(ISNUMBER($BC$22),$BC$22&lt;=95),INDEX('2.Distances'!$D$2:$D$9218,$BC$21*96+$BC$22+ 1) +$BI$21," ")," ")</f>
        <v xml:space="preserve"> </v>
      </c>
      <c r="BJ22" s="46" t="str">
        <f ca="1">IFERROR(IF(AND(ISNUMBER($BC$22),$BC$22&lt;=95),INDEX('2.Distances'!$D$2:$D$9218,$BC$21*96+$BC$22+ 1) +$BK$21," ")," ")</f>
        <v xml:space="preserve"> </v>
      </c>
      <c r="BK22" s="46" t="str">
        <f ca="1">IFERROR(IF(ISNUMBER($BJ$22),INDEX('1.Locations'!$I$2:$I$97,$BC$22 + 1) + MAX($BJ$22,INDEX('1.Locations'!$F$2:$F$97,$BC$22 + 1))," ")," ")</f>
        <v xml:space="preserve"> </v>
      </c>
      <c r="BL22" s="45" t="str">
        <f ca="1">IFERROR($BL$21 + INDEX('2.Distances'!$D$2:$D$9218,$BC$21*96+$BC$22+ 1) + INDEX('1.Locations'!$I$2:$I$97,$BC$22 + 1)," ")</f>
        <v xml:space="preserve"> </v>
      </c>
      <c r="BN22" s="24">
        <v>17</v>
      </c>
      <c r="BO22" s="25"/>
      <c r="BP22" s="43" t="str">
        <f ca="1">IFERROR(MATCH(INDIRECT("$BO$22"),'1.Locations'!$B$2:$B$97, 0) - 1," ")</f>
        <v xml:space="preserve"> </v>
      </c>
      <c r="BQ22" s="43" t="e">
        <f ca="1">IFERROR(IF(ISNUMBER($BP$22),INDEX('1.Locations'!$D$2:$D$97,$BP$22 + 1),NA()),NA())</f>
        <v>#N/A</v>
      </c>
      <c r="BR22" s="43" t="e">
        <f ca="1">IFERROR(IF(ISNUMBER($BP$22),INDEX('1.Locations'!$E$2:$E$97,$BP$22 + 1),NA()),NA())</f>
        <v>#N/A</v>
      </c>
      <c r="BS22" s="44" t="str">
        <f ca="1">IFERROR(IF(AND(ISNUMBER($BP$22),$BP$22&lt;=95),INDEX('2.Distances'!$C$2:$C$9218,$BP$21*96+$BP$22+ 1) +$BS$21," ")," ")</f>
        <v xml:space="preserve"> </v>
      </c>
      <c r="BT22" s="43" t="str">
        <f ca="1">IFERROR(IF(ISNUMBER($BP$22),INDEX('1.Locations'!$J$2:$J$97,$BP$22 + 1) +$BT$21," ")," ")</f>
        <v xml:space="preserve"> </v>
      </c>
      <c r="BU22" s="43" t="str">
        <f ca="1">IFERROR(IF(ISNUMBER($BP$22),INDEX('1.Locations'!$K$2:$K$97,$BP$22 + 1) +$BU$21," ")," ")</f>
        <v xml:space="preserve"> </v>
      </c>
      <c r="BV22" s="45" t="str">
        <f ca="1">IFERROR(IF(AND(ISNUMBER($BP$22),$BP$22&lt;=95),INDEX('2.Distances'!$D$2:$D$9218,$BP$21*96+$BP$22+ 1) +$BV$21," ")," ")</f>
        <v xml:space="preserve"> </v>
      </c>
      <c r="BW22" s="46" t="str">
        <f ca="1">IFERROR(IF(AND(ISNUMBER($BP$22),$BP$22&lt;=95),INDEX('2.Distances'!$D$2:$D$9218,$BP$21*96+$BP$22+ 1) +$BX$21," ")," ")</f>
        <v xml:space="preserve"> </v>
      </c>
      <c r="BX22" s="46" t="str">
        <f ca="1">IFERROR(IF(ISNUMBER($BW$22),INDEX('1.Locations'!$I$2:$I$97,$BP$22 + 1) + MAX($BW$22,INDEX('1.Locations'!$F$2:$F$97,$BP$22 + 1))," ")," ")</f>
        <v xml:space="preserve"> </v>
      </c>
      <c r="BY22" s="45" t="str">
        <f ca="1">IFERROR($BY$21 + INDEX('2.Distances'!$D$2:$D$9218,$BP$21*96+$BP$22+ 1) + INDEX('1.Locations'!$I$2:$I$97,$BP$22 + 1)," ")</f>
        <v xml:space="preserve"> </v>
      </c>
      <c r="CA22" s="24">
        <v>17</v>
      </c>
      <c r="CB22" s="25"/>
      <c r="CC22" s="43" t="str">
        <f ca="1">IFERROR(MATCH(INDIRECT("$CB$22"),'1.Locations'!$B$2:$B$97, 0) - 1," ")</f>
        <v xml:space="preserve"> </v>
      </c>
      <c r="CD22" s="43" t="e">
        <f ca="1">IFERROR(IF(ISNUMBER($CC$22),INDEX('1.Locations'!$D$2:$D$97,$CC$22 + 1),NA()),NA())</f>
        <v>#N/A</v>
      </c>
      <c r="CE22" s="43" t="e">
        <f ca="1">IFERROR(IF(ISNUMBER($CC$22),INDEX('1.Locations'!$E$2:$E$97,$CC$22 + 1),NA()),NA())</f>
        <v>#N/A</v>
      </c>
      <c r="CF22" s="44" t="str">
        <f ca="1">IFERROR(IF(AND(ISNUMBER($CC$22),$CC$22&lt;=95),INDEX('2.Distances'!$C$2:$C$9218,$CC$21*96+$CC$22+ 1) +$CF$21," ")," ")</f>
        <v xml:space="preserve"> </v>
      </c>
      <c r="CG22" s="43" t="str">
        <f ca="1">IFERROR(IF(ISNUMBER($CC$22),INDEX('1.Locations'!$J$2:$J$97,$CC$22 + 1) +$CG$21," ")," ")</f>
        <v xml:space="preserve"> </v>
      </c>
      <c r="CH22" s="43" t="str">
        <f ca="1">IFERROR(IF(ISNUMBER($CC$22),INDEX('1.Locations'!$K$2:$K$97,$CC$22 + 1) +$CH$21," ")," ")</f>
        <v xml:space="preserve"> </v>
      </c>
      <c r="CI22" s="45" t="str">
        <f ca="1">IFERROR(IF(AND(ISNUMBER($CC$22),$CC$22&lt;=95),INDEX('2.Distances'!$D$2:$D$9218,$CC$21*96+$CC$22+ 1) +$CI$21," ")," ")</f>
        <v xml:space="preserve"> </v>
      </c>
      <c r="CJ22" s="46" t="str">
        <f ca="1">IFERROR(IF(AND(ISNUMBER($CC$22),$CC$22&lt;=95),INDEX('2.Distances'!$D$2:$D$9218,$CC$21*96+$CC$22+ 1) +$CK$21," ")," ")</f>
        <v xml:space="preserve"> </v>
      </c>
      <c r="CK22" s="46" t="str">
        <f ca="1">IFERROR(IF(ISNUMBER($CJ$22),INDEX('1.Locations'!$I$2:$I$97,$CC$22 + 1) + MAX($CJ$22,INDEX('1.Locations'!$F$2:$F$97,$CC$22 + 1))," ")," ")</f>
        <v xml:space="preserve"> </v>
      </c>
      <c r="CL22" s="45" t="str">
        <f ca="1">IFERROR($CL$21 + INDEX('2.Distances'!$D$2:$D$9218,$CC$21*96+$CC$22+ 1) + INDEX('1.Locations'!$I$2:$I$97,$CC$22 + 1)," ")</f>
        <v xml:space="preserve"> </v>
      </c>
    </row>
    <row r="23" spans="1:90" x14ac:dyDescent="0.25">
      <c r="A23" s="24">
        <v>18</v>
      </c>
      <c r="B23" s="25"/>
      <c r="C23" s="43" t="str">
        <f ca="1">IFERROR(MATCH(INDIRECT("$B$23"),'1.Locations'!$B$2:$B$97, 0) - 1," ")</f>
        <v xml:space="preserve"> </v>
      </c>
      <c r="D23" s="43" t="e">
        <f ca="1">IFERROR(IF(ISNUMBER($C$23),INDEX('1.Locations'!$D$2:$D$97,$C$23 + 1),NA()),NA())</f>
        <v>#N/A</v>
      </c>
      <c r="E23" s="43" t="e">
        <f ca="1">IFERROR(IF(ISNUMBER($C$23),INDEX('1.Locations'!$E$2:$E$97,$C$23 + 1),NA()),NA())</f>
        <v>#N/A</v>
      </c>
      <c r="F23" s="44" t="str">
        <f ca="1">IFERROR(IF(AND(ISNUMBER($C$23),$C$23&lt;=95),INDEX('2.Distances'!$C$2:$C$9218,$C$22*96+$C$23+ 1) +$F$22," ")," ")</f>
        <v xml:space="preserve"> </v>
      </c>
      <c r="G23" s="43" t="str">
        <f ca="1">IFERROR(IF(ISNUMBER($C$23),INDEX('1.Locations'!$J$2:$J$97,$C$23 + 1) +$G$22," ")," ")</f>
        <v xml:space="preserve"> </v>
      </c>
      <c r="H23" s="43" t="str">
        <f ca="1">IFERROR(IF(ISNUMBER($C$23),INDEX('1.Locations'!$K$2:$K$97,$C$23 + 1) +$H$22," ")," ")</f>
        <v xml:space="preserve"> </v>
      </c>
      <c r="I23" s="45" t="str">
        <f ca="1">IFERROR(IF(AND(ISNUMBER($C$23),$C$23&lt;=95),INDEX('2.Distances'!$D$2:$D$9218,$C$22*96+$C$23+ 1) +$I$22," ")," ")</f>
        <v xml:space="preserve"> </v>
      </c>
      <c r="J23" s="46" t="str">
        <f ca="1">IFERROR(IF(AND(ISNUMBER($C$23),$C$23&lt;=95),INDEX('2.Distances'!$D$2:$D$9218,$C$22*96+$C$23+ 1) +$K$22," ")," ")</f>
        <v xml:space="preserve"> </v>
      </c>
      <c r="K23" s="46" t="str">
        <f ca="1">IFERROR(IF(ISNUMBER($J$23),INDEX('1.Locations'!$I$2:$I$97,$C$23 + 1) + MAX($J$23,INDEX('1.Locations'!$F$2:$F$97,$C$23 + 1))," ")," ")</f>
        <v xml:space="preserve"> </v>
      </c>
      <c r="L23" s="45" t="str">
        <f ca="1">IFERROR($L$22 + INDEX('2.Distances'!$D$2:$D$9218,$C$22*96+$C$23+ 1) + INDEX('1.Locations'!$I$2:$I$97,$C$23 + 1)," ")</f>
        <v xml:space="preserve"> </v>
      </c>
      <c r="N23" s="24">
        <v>18</v>
      </c>
      <c r="O23" s="25"/>
      <c r="P23" s="43" t="str">
        <f ca="1">IFERROR(MATCH(INDIRECT("$O$23"),'1.Locations'!$B$2:$B$97, 0) - 1," ")</f>
        <v xml:space="preserve"> </v>
      </c>
      <c r="Q23" s="43" t="e">
        <f ca="1">IFERROR(IF(ISNUMBER($P$23),INDEX('1.Locations'!$D$2:$D$97,$P$23 + 1),NA()),NA())</f>
        <v>#N/A</v>
      </c>
      <c r="R23" s="43" t="e">
        <f ca="1">IFERROR(IF(ISNUMBER($P$23),INDEX('1.Locations'!$E$2:$E$97,$P$23 + 1),NA()),NA())</f>
        <v>#N/A</v>
      </c>
      <c r="S23" s="44" t="str">
        <f ca="1">IFERROR(IF(AND(ISNUMBER($P$23),$P$23&lt;=95),INDEX('2.Distances'!$C$2:$C$9218,$P$22*96+$P$23+ 1) +$S$22," ")," ")</f>
        <v xml:space="preserve"> </v>
      </c>
      <c r="T23" s="43" t="str">
        <f ca="1">IFERROR(IF(ISNUMBER($P$23),INDEX('1.Locations'!$J$2:$J$97,$P$23 + 1) +$T$22," ")," ")</f>
        <v xml:space="preserve"> </v>
      </c>
      <c r="U23" s="43" t="str">
        <f ca="1">IFERROR(IF(ISNUMBER($P$23),INDEX('1.Locations'!$K$2:$K$97,$P$23 + 1) +$U$22," ")," ")</f>
        <v xml:space="preserve"> </v>
      </c>
      <c r="V23" s="45" t="str">
        <f ca="1">IFERROR(IF(AND(ISNUMBER($P$23),$P$23&lt;=95),INDEX('2.Distances'!$D$2:$D$9218,$P$22*96+$P$23+ 1) +$V$22," ")," ")</f>
        <v xml:space="preserve"> </v>
      </c>
      <c r="W23" s="46" t="str">
        <f ca="1">IFERROR(IF(AND(ISNUMBER($P$23),$P$23&lt;=95),INDEX('2.Distances'!$D$2:$D$9218,$P$22*96+$P$23+ 1) +$X$22," ")," ")</f>
        <v xml:space="preserve"> </v>
      </c>
      <c r="X23" s="46" t="str">
        <f ca="1">IFERROR(IF(ISNUMBER($W$23),INDEX('1.Locations'!$I$2:$I$97,$P$23 + 1) + MAX($W$23,INDEX('1.Locations'!$F$2:$F$97,$P$23 + 1))," ")," ")</f>
        <v xml:space="preserve"> </v>
      </c>
      <c r="Y23" s="45" t="str">
        <f ca="1">IFERROR($Y$22 + INDEX('2.Distances'!$D$2:$D$9218,$P$22*96+$P$23+ 1) + INDEX('1.Locations'!$I$2:$I$97,$P$23 + 1)," ")</f>
        <v xml:space="preserve"> </v>
      </c>
      <c r="AA23" s="24">
        <v>18</v>
      </c>
      <c r="AB23" s="25"/>
      <c r="AC23" s="43" t="str">
        <f ca="1">IFERROR(MATCH(INDIRECT("$AB$23"),'1.Locations'!$B$2:$B$97, 0) - 1," ")</f>
        <v xml:space="preserve"> </v>
      </c>
      <c r="AD23" s="43" t="e">
        <f ca="1">IFERROR(IF(ISNUMBER($AC$23),INDEX('1.Locations'!$D$2:$D$97,$AC$23 + 1),NA()),NA())</f>
        <v>#N/A</v>
      </c>
      <c r="AE23" s="43" t="e">
        <f ca="1">IFERROR(IF(ISNUMBER($AC$23),INDEX('1.Locations'!$E$2:$E$97,$AC$23 + 1),NA()),NA())</f>
        <v>#N/A</v>
      </c>
      <c r="AF23" s="44" t="str">
        <f ca="1">IFERROR(IF(AND(ISNUMBER($AC$23),$AC$23&lt;=95),INDEX('2.Distances'!$C$2:$C$9218,$AC$22*96+$AC$23+ 1) +$AF$22," ")," ")</f>
        <v xml:space="preserve"> </v>
      </c>
      <c r="AG23" s="43" t="str">
        <f ca="1">IFERROR(IF(ISNUMBER($AC$23),INDEX('1.Locations'!$J$2:$J$97,$AC$23 + 1) +$AG$22," ")," ")</f>
        <v xml:space="preserve"> </v>
      </c>
      <c r="AH23" s="43" t="str">
        <f ca="1">IFERROR(IF(ISNUMBER($AC$23),INDEX('1.Locations'!$K$2:$K$97,$AC$23 + 1) +$AH$22," ")," ")</f>
        <v xml:space="preserve"> </v>
      </c>
      <c r="AI23" s="45" t="str">
        <f ca="1">IFERROR(IF(AND(ISNUMBER($AC$23),$AC$23&lt;=95),INDEX('2.Distances'!$D$2:$D$9218,$AC$22*96+$AC$23+ 1) +$AI$22," ")," ")</f>
        <v xml:space="preserve"> </v>
      </c>
      <c r="AJ23" s="46" t="str">
        <f ca="1">IFERROR(IF(AND(ISNUMBER($AC$23),$AC$23&lt;=95),INDEX('2.Distances'!$D$2:$D$9218,$AC$22*96+$AC$23+ 1) +$AK$22," ")," ")</f>
        <v xml:space="preserve"> </v>
      </c>
      <c r="AK23" s="46" t="str">
        <f ca="1">IFERROR(IF(ISNUMBER($AJ$23),INDEX('1.Locations'!$I$2:$I$97,$AC$23 + 1) + MAX($AJ$23,INDEX('1.Locations'!$F$2:$F$97,$AC$23 + 1))," ")," ")</f>
        <v xml:space="preserve"> </v>
      </c>
      <c r="AL23" s="45" t="str">
        <f ca="1">IFERROR($AL$22 + INDEX('2.Distances'!$D$2:$D$9218,$AC$22*96+$AC$23+ 1) + INDEX('1.Locations'!$I$2:$I$97,$AC$23 + 1)," ")</f>
        <v xml:space="preserve"> </v>
      </c>
      <c r="AN23" s="24">
        <v>18</v>
      </c>
      <c r="AO23" s="25"/>
      <c r="AP23" s="43" t="str">
        <f ca="1">IFERROR(MATCH(INDIRECT("$AO$23"),'1.Locations'!$B$2:$B$97, 0) - 1," ")</f>
        <v xml:space="preserve"> </v>
      </c>
      <c r="AQ23" s="43" t="e">
        <f ca="1">IFERROR(IF(ISNUMBER($AP$23),INDEX('1.Locations'!$D$2:$D$97,$AP$23 + 1),NA()),NA())</f>
        <v>#N/A</v>
      </c>
      <c r="AR23" s="43" t="e">
        <f ca="1">IFERROR(IF(ISNUMBER($AP$23),INDEX('1.Locations'!$E$2:$E$97,$AP$23 + 1),NA()),NA())</f>
        <v>#N/A</v>
      </c>
      <c r="AS23" s="44" t="str">
        <f ca="1">IFERROR(IF(AND(ISNUMBER($AP$23),$AP$23&lt;=95),INDEX('2.Distances'!$C$2:$C$9218,$AP$22*96+$AP$23+ 1) +$AS$22," ")," ")</f>
        <v xml:space="preserve"> </v>
      </c>
      <c r="AT23" s="43" t="str">
        <f ca="1">IFERROR(IF(ISNUMBER($AP$23),INDEX('1.Locations'!$J$2:$J$97,$AP$23 + 1) +$AT$22," ")," ")</f>
        <v xml:space="preserve"> </v>
      </c>
      <c r="AU23" s="43" t="str">
        <f ca="1">IFERROR(IF(ISNUMBER($AP$23),INDEX('1.Locations'!$K$2:$K$97,$AP$23 + 1) +$AU$22," ")," ")</f>
        <v xml:space="preserve"> </v>
      </c>
      <c r="AV23" s="45" t="str">
        <f ca="1">IFERROR(IF(AND(ISNUMBER($AP$23),$AP$23&lt;=95),INDEX('2.Distances'!$D$2:$D$9218,$AP$22*96+$AP$23+ 1) +$AV$22," ")," ")</f>
        <v xml:space="preserve"> </v>
      </c>
      <c r="AW23" s="46" t="str">
        <f ca="1">IFERROR(IF(AND(ISNUMBER($AP$23),$AP$23&lt;=95),INDEX('2.Distances'!$D$2:$D$9218,$AP$22*96+$AP$23+ 1) +$AX$22," ")," ")</f>
        <v xml:space="preserve"> </v>
      </c>
      <c r="AX23" s="46" t="str">
        <f ca="1">IFERROR(IF(ISNUMBER($AW$23),INDEX('1.Locations'!$I$2:$I$97,$AP$23 + 1) + MAX($AW$23,INDEX('1.Locations'!$F$2:$F$97,$AP$23 + 1))," ")," ")</f>
        <v xml:space="preserve"> </v>
      </c>
      <c r="AY23" s="45" t="str">
        <f ca="1">IFERROR($AY$22 + INDEX('2.Distances'!$D$2:$D$9218,$AP$22*96+$AP$23+ 1) + INDEX('1.Locations'!$I$2:$I$97,$AP$23 + 1)," ")</f>
        <v xml:space="preserve"> </v>
      </c>
      <c r="BA23" s="24">
        <v>18</v>
      </c>
      <c r="BB23" s="25"/>
      <c r="BC23" s="43" t="str">
        <f ca="1">IFERROR(MATCH(INDIRECT("$BB$23"),'1.Locations'!$B$2:$B$97, 0) - 1," ")</f>
        <v xml:space="preserve"> </v>
      </c>
      <c r="BD23" s="43" t="e">
        <f ca="1">IFERROR(IF(ISNUMBER($BC$23),INDEX('1.Locations'!$D$2:$D$97,$BC$23 + 1),NA()),NA())</f>
        <v>#N/A</v>
      </c>
      <c r="BE23" s="43" t="e">
        <f ca="1">IFERROR(IF(ISNUMBER($BC$23),INDEX('1.Locations'!$E$2:$E$97,$BC$23 + 1),NA()),NA())</f>
        <v>#N/A</v>
      </c>
      <c r="BF23" s="44" t="str">
        <f ca="1">IFERROR(IF(AND(ISNUMBER($BC$23),$BC$23&lt;=95),INDEX('2.Distances'!$C$2:$C$9218,$BC$22*96+$BC$23+ 1) +$BF$22," ")," ")</f>
        <v xml:space="preserve"> </v>
      </c>
      <c r="BG23" s="43" t="str">
        <f ca="1">IFERROR(IF(ISNUMBER($BC$23),INDEX('1.Locations'!$J$2:$J$97,$BC$23 + 1) +$BG$22," ")," ")</f>
        <v xml:space="preserve"> </v>
      </c>
      <c r="BH23" s="43" t="str">
        <f ca="1">IFERROR(IF(ISNUMBER($BC$23),INDEX('1.Locations'!$K$2:$K$97,$BC$23 + 1) +$BH$22," ")," ")</f>
        <v xml:space="preserve"> </v>
      </c>
      <c r="BI23" s="45" t="str">
        <f ca="1">IFERROR(IF(AND(ISNUMBER($BC$23),$BC$23&lt;=95),INDEX('2.Distances'!$D$2:$D$9218,$BC$22*96+$BC$23+ 1) +$BI$22," ")," ")</f>
        <v xml:space="preserve"> </v>
      </c>
      <c r="BJ23" s="46" t="str">
        <f ca="1">IFERROR(IF(AND(ISNUMBER($BC$23),$BC$23&lt;=95),INDEX('2.Distances'!$D$2:$D$9218,$BC$22*96+$BC$23+ 1) +$BK$22," ")," ")</f>
        <v xml:space="preserve"> </v>
      </c>
      <c r="BK23" s="46" t="str">
        <f ca="1">IFERROR(IF(ISNUMBER($BJ$23),INDEX('1.Locations'!$I$2:$I$97,$BC$23 + 1) + MAX($BJ$23,INDEX('1.Locations'!$F$2:$F$97,$BC$23 + 1))," ")," ")</f>
        <v xml:space="preserve"> </v>
      </c>
      <c r="BL23" s="45" t="str">
        <f ca="1">IFERROR($BL$22 + INDEX('2.Distances'!$D$2:$D$9218,$BC$22*96+$BC$23+ 1) + INDEX('1.Locations'!$I$2:$I$97,$BC$23 + 1)," ")</f>
        <v xml:space="preserve"> </v>
      </c>
      <c r="BN23" s="24">
        <v>18</v>
      </c>
      <c r="BO23" s="25"/>
      <c r="BP23" s="43" t="str">
        <f ca="1">IFERROR(MATCH(INDIRECT("$BO$23"),'1.Locations'!$B$2:$B$97, 0) - 1," ")</f>
        <v xml:space="preserve"> </v>
      </c>
      <c r="BQ23" s="43" t="e">
        <f ca="1">IFERROR(IF(ISNUMBER($BP$23),INDEX('1.Locations'!$D$2:$D$97,$BP$23 + 1),NA()),NA())</f>
        <v>#N/A</v>
      </c>
      <c r="BR23" s="43" t="e">
        <f ca="1">IFERROR(IF(ISNUMBER($BP$23),INDEX('1.Locations'!$E$2:$E$97,$BP$23 + 1),NA()),NA())</f>
        <v>#N/A</v>
      </c>
      <c r="BS23" s="44" t="str">
        <f ca="1">IFERROR(IF(AND(ISNUMBER($BP$23),$BP$23&lt;=95),INDEX('2.Distances'!$C$2:$C$9218,$BP$22*96+$BP$23+ 1) +$BS$22," ")," ")</f>
        <v xml:space="preserve"> </v>
      </c>
      <c r="BT23" s="43" t="str">
        <f ca="1">IFERROR(IF(ISNUMBER($BP$23),INDEX('1.Locations'!$J$2:$J$97,$BP$23 + 1) +$BT$22," ")," ")</f>
        <v xml:space="preserve"> </v>
      </c>
      <c r="BU23" s="43" t="str">
        <f ca="1">IFERROR(IF(ISNUMBER($BP$23),INDEX('1.Locations'!$K$2:$K$97,$BP$23 + 1) +$BU$22," ")," ")</f>
        <v xml:space="preserve"> </v>
      </c>
      <c r="BV23" s="45" t="str">
        <f ca="1">IFERROR(IF(AND(ISNUMBER($BP$23),$BP$23&lt;=95),INDEX('2.Distances'!$D$2:$D$9218,$BP$22*96+$BP$23+ 1) +$BV$22," ")," ")</f>
        <v xml:space="preserve"> </v>
      </c>
      <c r="BW23" s="46" t="str">
        <f ca="1">IFERROR(IF(AND(ISNUMBER($BP$23),$BP$23&lt;=95),INDEX('2.Distances'!$D$2:$D$9218,$BP$22*96+$BP$23+ 1) +$BX$22," ")," ")</f>
        <v xml:space="preserve"> </v>
      </c>
      <c r="BX23" s="46" t="str">
        <f ca="1">IFERROR(IF(ISNUMBER($BW$23),INDEX('1.Locations'!$I$2:$I$97,$BP$23 + 1) + MAX($BW$23,INDEX('1.Locations'!$F$2:$F$97,$BP$23 + 1))," ")," ")</f>
        <v xml:space="preserve"> </v>
      </c>
      <c r="BY23" s="45" t="str">
        <f ca="1">IFERROR($BY$22 + INDEX('2.Distances'!$D$2:$D$9218,$BP$22*96+$BP$23+ 1) + INDEX('1.Locations'!$I$2:$I$97,$BP$23 + 1)," ")</f>
        <v xml:space="preserve"> </v>
      </c>
      <c r="CA23" s="24">
        <v>18</v>
      </c>
      <c r="CB23" s="25"/>
      <c r="CC23" s="43" t="str">
        <f ca="1">IFERROR(MATCH(INDIRECT("$CB$23"),'1.Locations'!$B$2:$B$97, 0) - 1," ")</f>
        <v xml:space="preserve"> </v>
      </c>
      <c r="CD23" s="43" t="e">
        <f ca="1">IFERROR(IF(ISNUMBER($CC$23),INDEX('1.Locations'!$D$2:$D$97,$CC$23 + 1),NA()),NA())</f>
        <v>#N/A</v>
      </c>
      <c r="CE23" s="43" t="e">
        <f ca="1">IFERROR(IF(ISNUMBER($CC$23),INDEX('1.Locations'!$E$2:$E$97,$CC$23 + 1),NA()),NA())</f>
        <v>#N/A</v>
      </c>
      <c r="CF23" s="44" t="str">
        <f ca="1">IFERROR(IF(AND(ISNUMBER($CC$23),$CC$23&lt;=95),INDEX('2.Distances'!$C$2:$C$9218,$CC$22*96+$CC$23+ 1) +$CF$22," ")," ")</f>
        <v xml:space="preserve"> </v>
      </c>
      <c r="CG23" s="43" t="str">
        <f ca="1">IFERROR(IF(ISNUMBER($CC$23),INDEX('1.Locations'!$J$2:$J$97,$CC$23 + 1) +$CG$22," ")," ")</f>
        <v xml:space="preserve"> </v>
      </c>
      <c r="CH23" s="43" t="str">
        <f ca="1">IFERROR(IF(ISNUMBER($CC$23),INDEX('1.Locations'!$K$2:$K$97,$CC$23 + 1) +$CH$22," ")," ")</f>
        <v xml:space="preserve"> </v>
      </c>
      <c r="CI23" s="45" t="str">
        <f ca="1">IFERROR(IF(AND(ISNUMBER($CC$23),$CC$23&lt;=95),INDEX('2.Distances'!$D$2:$D$9218,$CC$22*96+$CC$23+ 1) +$CI$22," ")," ")</f>
        <v xml:space="preserve"> </v>
      </c>
      <c r="CJ23" s="46" t="str">
        <f ca="1">IFERROR(IF(AND(ISNUMBER($CC$23),$CC$23&lt;=95),INDEX('2.Distances'!$D$2:$D$9218,$CC$22*96+$CC$23+ 1) +$CK$22," ")," ")</f>
        <v xml:space="preserve"> </v>
      </c>
      <c r="CK23" s="46" t="str">
        <f ca="1">IFERROR(IF(ISNUMBER($CJ$23),INDEX('1.Locations'!$I$2:$I$97,$CC$23 + 1) + MAX($CJ$23,INDEX('1.Locations'!$F$2:$F$97,$CC$23 + 1))," ")," ")</f>
        <v xml:space="preserve"> </v>
      </c>
      <c r="CL23" s="45" t="str">
        <f ca="1">IFERROR($CL$22 + INDEX('2.Distances'!$D$2:$D$9218,$CC$22*96+$CC$23+ 1) + INDEX('1.Locations'!$I$2:$I$97,$CC$23 + 1)," ")</f>
        <v xml:space="preserve"> </v>
      </c>
    </row>
    <row r="24" spans="1:90" x14ac:dyDescent="0.25">
      <c r="A24" s="24">
        <v>19</v>
      </c>
      <c r="B24" s="25"/>
      <c r="C24" s="43" t="str">
        <f ca="1">IFERROR(MATCH(INDIRECT("$B$24"),'1.Locations'!$B$2:$B$97, 0) - 1," ")</f>
        <v xml:space="preserve"> </v>
      </c>
      <c r="D24" s="43" t="e">
        <f ca="1">IFERROR(IF(ISNUMBER($C$24),INDEX('1.Locations'!$D$2:$D$97,$C$24 + 1),NA()),NA())</f>
        <v>#N/A</v>
      </c>
      <c r="E24" s="43" t="e">
        <f ca="1">IFERROR(IF(ISNUMBER($C$24),INDEX('1.Locations'!$E$2:$E$97,$C$24 + 1),NA()),NA())</f>
        <v>#N/A</v>
      </c>
      <c r="F24" s="44" t="str">
        <f ca="1">IFERROR(IF(AND(ISNUMBER($C$24),$C$24&lt;=95),INDEX('2.Distances'!$C$2:$C$9218,$C$23*96+$C$24+ 1) +$F$23," ")," ")</f>
        <v xml:space="preserve"> </v>
      </c>
      <c r="G24" s="43" t="str">
        <f ca="1">IFERROR(IF(ISNUMBER($C$24),INDEX('1.Locations'!$J$2:$J$97,$C$24 + 1) +$G$23," ")," ")</f>
        <v xml:space="preserve"> </v>
      </c>
      <c r="H24" s="43" t="str">
        <f ca="1">IFERROR(IF(ISNUMBER($C$24),INDEX('1.Locations'!$K$2:$K$97,$C$24 + 1) +$H$23," ")," ")</f>
        <v xml:space="preserve"> </v>
      </c>
      <c r="I24" s="45" t="str">
        <f ca="1">IFERROR(IF(AND(ISNUMBER($C$24),$C$24&lt;=95),INDEX('2.Distances'!$D$2:$D$9218,$C$23*96+$C$24+ 1) +$I$23," ")," ")</f>
        <v xml:space="preserve"> </v>
      </c>
      <c r="J24" s="46" t="str">
        <f ca="1">IFERROR(IF(AND(ISNUMBER($C$24),$C$24&lt;=95),INDEX('2.Distances'!$D$2:$D$9218,$C$23*96+$C$24+ 1) +$K$23," ")," ")</f>
        <v xml:space="preserve"> </v>
      </c>
      <c r="K24" s="46" t="str">
        <f ca="1">IFERROR(IF(ISNUMBER($J$24),INDEX('1.Locations'!$I$2:$I$97,$C$24 + 1) + MAX($J$24,INDEX('1.Locations'!$F$2:$F$97,$C$24 + 1))," ")," ")</f>
        <v xml:space="preserve"> </v>
      </c>
      <c r="L24" s="45" t="str">
        <f ca="1">IFERROR($L$23 + INDEX('2.Distances'!$D$2:$D$9218,$C$23*96+$C$24+ 1) + INDEX('1.Locations'!$I$2:$I$97,$C$24 + 1)," ")</f>
        <v xml:space="preserve"> </v>
      </c>
      <c r="N24" s="24">
        <v>19</v>
      </c>
      <c r="O24" s="25"/>
      <c r="P24" s="43" t="str">
        <f ca="1">IFERROR(MATCH(INDIRECT("$O$24"),'1.Locations'!$B$2:$B$97, 0) - 1," ")</f>
        <v xml:space="preserve"> </v>
      </c>
      <c r="Q24" s="43" t="e">
        <f ca="1">IFERROR(IF(ISNUMBER($P$24),INDEX('1.Locations'!$D$2:$D$97,$P$24 + 1),NA()),NA())</f>
        <v>#N/A</v>
      </c>
      <c r="R24" s="43" t="e">
        <f ca="1">IFERROR(IF(ISNUMBER($P$24),INDEX('1.Locations'!$E$2:$E$97,$P$24 + 1),NA()),NA())</f>
        <v>#N/A</v>
      </c>
      <c r="S24" s="44" t="str">
        <f ca="1">IFERROR(IF(AND(ISNUMBER($P$24),$P$24&lt;=95),INDEX('2.Distances'!$C$2:$C$9218,$P$23*96+$P$24+ 1) +$S$23," ")," ")</f>
        <v xml:space="preserve"> </v>
      </c>
      <c r="T24" s="43" t="str">
        <f ca="1">IFERROR(IF(ISNUMBER($P$24),INDEX('1.Locations'!$J$2:$J$97,$P$24 + 1) +$T$23," ")," ")</f>
        <v xml:space="preserve"> </v>
      </c>
      <c r="U24" s="43" t="str">
        <f ca="1">IFERROR(IF(ISNUMBER($P$24),INDEX('1.Locations'!$K$2:$K$97,$P$24 + 1) +$U$23," ")," ")</f>
        <v xml:space="preserve"> </v>
      </c>
      <c r="V24" s="45" t="str">
        <f ca="1">IFERROR(IF(AND(ISNUMBER($P$24),$P$24&lt;=95),INDEX('2.Distances'!$D$2:$D$9218,$P$23*96+$P$24+ 1) +$V$23," ")," ")</f>
        <v xml:space="preserve"> </v>
      </c>
      <c r="W24" s="46" t="str">
        <f ca="1">IFERROR(IF(AND(ISNUMBER($P$24),$P$24&lt;=95),INDEX('2.Distances'!$D$2:$D$9218,$P$23*96+$P$24+ 1) +$X$23," ")," ")</f>
        <v xml:space="preserve"> </v>
      </c>
      <c r="X24" s="46" t="str">
        <f ca="1">IFERROR(IF(ISNUMBER($W$24),INDEX('1.Locations'!$I$2:$I$97,$P$24 + 1) + MAX($W$24,INDEX('1.Locations'!$F$2:$F$97,$P$24 + 1))," ")," ")</f>
        <v xml:space="preserve"> </v>
      </c>
      <c r="Y24" s="45" t="str">
        <f ca="1">IFERROR($Y$23 + INDEX('2.Distances'!$D$2:$D$9218,$P$23*96+$P$24+ 1) + INDEX('1.Locations'!$I$2:$I$97,$P$24 + 1)," ")</f>
        <v xml:space="preserve"> </v>
      </c>
      <c r="AA24" s="24">
        <v>19</v>
      </c>
      <c r="AB24" s="25"/>
      <c r="AC24" s="43" t="str">
        <f ca="1">IFERROR(MATCH(INDIRECT("$AB$24"),'1.Locations'!$B$2:$B$97, 0) - 1," ")</f>
        <v xml:space="preserve"> </v>
      </c>
      <c r="AD24" s="43" t="e">
        <f ca="1">IFERROR(IF(ISNUMBER($AC$24),INDEX('1.Locations'!$D$2:$D$97,$AC$24 + 1),NA()),NA())</f>
        <v>#N/A</v>
      </c>
      <c r="AE24" s="43" t="e">
        <f ca="1">IFERROR(IF(ISNUMBER($AC$24),INDEX('1.Locations'!$E$2:$E$97,$AC$24 + 1),NA()),NA())</f>
        <v>#N/A</v>
      </c>
      <c r="AF24" s="44" t="str">
        <f ca="1">IFERROR(IF(AND(ISNUMBER($AC$24),$AC$24&lt;=95),INDEX('2.Distances'!$C$2:$C$9218,$AC$23*96+$AC$24+ 1) +$AF$23," ")," ")</f>
        <v xml:space="preserve"> </v>
      </c>
      <c r="AG24" s="43" t="str">
        <f ca="1">IFERROR(IF(ISNUMBER($AC$24),INDEX('1.Locations'!$J$2:$J$97,$AC$24 + 1) +$AG$23," ")," ")</f>
        <v xml:space="preserve"> </v>
      </c>
      <c r="AH24" s="43" t="str">
        <f ca="1">IFERROR(IF(ISNUMBER($AC$24),INDEX('1.Locations'!$K$2:$K$97,$AC$24 + 1) +$AH$23," ")," ")</f>
        <v xml:space="preserve"> </v>
      </c>
      <c r="AI24" s="45" t="str">
        <f ca="1">IFERROR(IF(AND(ISNUMBER($AC$24),$AC$24&lt;=95),INDEX('2.Distances'!$D$2:$D$9218,$AC$23*96+$AC$24+ 1) +$AI$23," ")," ")</f>
        <v xml:space="preserve"> </v>
      </c>
      <c r="AJ24" s="46" t="str">
        <f ca="1">IFERROR(IF(AND(ISNUMBER($AC$24),$AC$24&lt;=95),INDEX('2.Distances'!$D$2:$D$9218,$AC$23*96+$AC$24+ 1) +$AK$23," ")," ")</f>
        <v xml:space="preserve"> </v>
      </c>
      <c r="AK24" s="46" t="str">
        <f ca="1">IFERROR(IF(ISNUMBER($AJ$24),INDEX('1.Locations'!$I$2:$I$97,$AC$24 + 1) + MAX($AJ$24,INDEX('1.Locations'!$F$2:$F$97,$AC$24 + 1))," ")," ")</f>
        <v xml:space="preserve"> </v>
      </c>
      <c r="AL24" s="45" t="str">
        <f ca="1">IFERROR($AL$23 + INDEX('2.Distances'!$D$2:$D$9218,$AC$23*96+$AC$24+ 1) + INDEX('1.Locations'!$I$2:$I$97,$AC$24 + 1)," ")</f>
        <v xml:space="preserve"> </v>
      </c>
      <c r="AN24" s="24">
        <v>19</v>
      </c>
      <c r="AO24" s="25"/>
      <c r="AP24" s="43" t="str">
        <f ca="1">IFERROR(MATCH(INDIRECT("$AO$24"),'1.Locations'!$B$2:$B$97, 0) - 1," ")</f>
        <v xml:space="preserve"> </v>
      </c>
      <c r="AQ24" s="43" t="e">
        <f ca="1">IFERROR(IF(ISNUMBER($AP$24),INDEX('1.Locations'!$D$2:$D$97,$AP$24 + 1),NA()),NA())</f>
        <v>#N/A</v>
      </c>
      <c r="AR24" s="43" t="e">
        <f ca="1">IFERROR(IF(ISNUMBER($AP$24),INDEX('1.Locations'!$E$2:$E$97,$AP$24 + 1),NA()),NA())</f>
        <v>#N/A</v>
      </c>
      <c r="AS24" s="44" t="str">
        <f ca="1">IFERROR(IF(AND(ISNUMBER($AP$24),$AP$24&lt;=95),INDEX('2.Distances'!$C$2:$C$9218,$AP$23*96+$AP$24+ 1) +$AS$23," ")," ")</f>
        <v xml:space="preserve"> </v>
      </c>
      <c r="AT24" s="43" t="str">
        <f ca="1">IFERROR(IF(ISNUMBER($AP$24),INDEX('1.Locations'!$J$2:$J$97,$AP$24 + 1) +$AT$23," ")," ")</f>
        <v xml:space="preserve"> </v>
      </c>
      <c r="AU24" s="43" t="str">
        <f ca="1">IFERROR(IF(ISNUMBER($AP$24),INDEX('1.Locations'!$K$2:$K$97,$AP$24 + 1) +$AU$23," ")," ")</f>
        <v xml:space="preserve"> </v>
      </c>
      <c r="AV24" s="45" t="str">
        <f ca="1">IFERROR(IF(AND(ISNUMBER($AP$24),$AP$24&lt;=95),INDEX('2.Distances'!$D$2:$D$9218,$AP$23*96+$AP$24+ 1) +$AV$23," ")," ")</f>
        <v xml:space="preserve"> </v>
      </c>
      <c r="AW24" s="46" t="str">
        <f ca="1">IFERROR(IF(AND(ISNUMBER($AP$24),$AP$24&lt;=95),INDEX('2.Distances'!$D$2:$D$9218,$AP$23*96+$AP$24+ 1) +$AX$23," ")," ")</f>
        <v xml:space="preserve"> </v>
      </c>
      <c r="AX24" s="46" t="str">
        <f ca="1">IFERROR(IF(ISNUMBER($AW$24),INDEX('1.Locations'!$I$2:$I$97,$AP$24 + 1) + MAX($AW$24,INDEX('1.Locations'!$F$2:$F$97,$AP$24 + 1))," ")," ")</f>
        <v xml:space="preserve"> </v>
      </c>
      <c r="AY24" s="45" t="str">
        <f ca="1">IFERROR($AY$23 + INDEX('2.Distances'!$D$2:$D$9218,$AP$23*96+$AP$24+ 1) + INDEX('1.Locations'!$I$2:$I$97,$AP$24 + 1)," ")</f>
        <v xml:space="preserve"> </v>
      </c>
      <c r="BA24" s="24">
        <v>19</v>
      </c>
      <c r="BB24" s="25"/>
      <c r="BC24" s="43" t="str">
        <f ca="1">IFERROR(MATCH(INDIRECT("$BB$24"),'1.Locations'!$B$2:$B$97, 0) - 1," ")</f>
        <v xml:space="preserve"> </v>
      </c>
      <c r="BD24" s="43" t="e">
        <f ca="1">IFERROR(IF(ISNUMBER($BC$24),INDEX('1.Locations'!$D$2:$D$97,$BC$24 + 1),NA()),NA())</f>
        <v>#N/A</v>
      </c>
      <c r="BE24" s="43" t="e">
        <f ca="1">IFERROR(IF(ISNUMBER($BC$24),INDEX('1.Locations'!$E$2:$E$97,$BC$24 + 1),NA()),NA())</f>
        <v>#N/A</v>
      </c>
      <c r="BF24" s="44" t="str">
        <f ca="1">IFERROR(IF(AND(ISNUMBER($BC$24),$BC$24&lt;=95),INDEX('2.Distances'!$C$2:$C$9218,$BC$23*96+$BC$24+ 1) +$BF$23," ")," ")</f>
        <v xml:space="preserve"> </v>
      </c>
      <c r="BG24" s="43" t="str">
        <f ca="1">IFERROR(IF(ISNUMBER($BC$24),INDEX('1.Locations'!$J$2:$J$97,$BC$24 + 1) +$BG$23," ")," ")</f>
        <v xml:space="preserve"> </v>
      </c>
      <c r="BH24" s="43" t="str">
        <f ca="1">IFERROR(IF(ISNUMBER($BC$24),INDEX('1.Locations'!$K$2:$K$97,$BC$24 + 1) +$BH$23," ")," ")</f>
        <v xml:space="preserve"> </v>
      </c>
      <c r="BI24" s="45" t="str">
        <f ca="1">IFERROR(IF(AND(ISNUMBER($BC$24),$BC$24&lt;=95),INDEX('2.Distances'!$D$2:$D$9218,$BC$23*96+$BC$24+ 1) +$BI$23," ")," ")</f>
        <v xml:space="preserve"> </v>
      </c>
      <c r="BJ24" s="46" t="str">
        <f ca="1">IFERROR(IF(AND(ISNUMBER($BC$24),$BC$24&lt;=95),INDEX('2.Distances'!$D$2:$D$9218,$BC$23*96+$BC$24+ 1) +$BK$23," ")," ")</f>
        <v xml:space="preserve"> </v>
      </c>
      <c r="BK24" s="46" t="str">
        <f ca="1">IFERROR(IF(ISNUMBER($BJ$24),INDEX('1.Locations'!$I$2:$I$97,$BC$24 + 1) + MAX($BJ$24,INDEX('1.Locations'!$F$2:$F$97,$BC$24 + 1))," ")," ")</f>
        <v xml:space="preserve"> </v>
      </c>
      <c r="BL24" s="45" t="str">
        <f ca="1">IFERROR($BL$23 + INDEX('2.Distances'!$D$2:$D$9218,$BC$23*96+$BC$24+ 1) + INDEX('1.Locations'!$I$2:$I$97,$BC$24 + 1)," ")</f>
        <v xml:space="preserve"> </v>
      </c>
      <c r="BN24" s="24">
        <v>19</v>
      </c>
      <c r="BO24" s="25"/>
      <c r="BP24" s="43" t="str">
        <f ca="1">IFERROR(MATCH(INDIRECT("$BO$24"),'1.Locations'!$B$2:$B$97, 0) - 1," ")</f>
        <v xml:space="preserve"> </v>
      </c>
      <c r="BQ24" s="43" t="e">
        <f ca="1">IFERROR(IF(ISNUMBER($BP$24),INDEX('1.Locations'!$D$2:$D$97,$BP$24 + 1),NA()),NA())</f>
        <v>#N/A</v>
      </c>
      <c r="BR24" s="43" t="e">
        <f ca="1">IFERROR(IF(ISNUMBER($BP$24),INDEX('1.Locations'!$E$2:$E$97,$BP$24 + 1),NA()),NA())</f>
        <v>#N/A</v>
      </c>
      <c r="BS24" s="44" t="str">
        <f ca="1">IFERROR(IF(AND(ISNUMBER($BP$24),$BP$24&lt;=95),INDEX('2.Distances'!$C$2:$C$9218,$BP$23*96+$BP$24+ 1) +$BS$23," ")," ")</f>
        <v xml:space="preserve"> </v>
      </c>
      <c r="BT24" s="43" t="str">
        <f ca="1">IFERROR(IF(ISNUMBER($BP$24),INDEX('1.Locations'!$J$2:$J$97,$BP$24 + 1) +$BT$23," ")," ")</f>
        <v xml:space="preserve"> </v>
      </c>
      <c r="BU24" s="43" t="str">
        <f ca="1">IFERROR(IF(ISNUMBER($BP$24),INDEX('1.Locations'!$K$2:$K$97,$BP$24 + 1) +$BU$23," ")," ")</f>
        <v xml:space="preserve"> </v>
      </c>
      <c r="BV24" s="45" t="str">
        <f ca="1">IFERROR(IF(AND(ISNUMBER($BP$24),$BP$24&lt;=95),INDEX('2.Distances'!$D$2:$D$9218,$BP$23*96+$BP$24+ 1) +$BV$23," ")," ")</f>
        <v xml:space="preserve"> </v>
      </c>
      <c r="BW24" s="46" t="str">
        <f ca="1">IFERROR(IF(AND(ISNUMBER($BP$24),$BP$24&lt;=95),INDEX('2.Distances'!$D$2:$D$9218,$BP$23*96+$BP$24+ 1) +$BX$23," ")," ")</f>
        <v xml:space="preserve"> </v>
      </c>
      <c r="BX24" s="46" t="str">
        <f ca="1">IFERROR(IF(ISNUMBER($BW$24),INDEX('1.Locations'!$I$2:$I$97,$BP$24 + 1) + MAX($BW$24,INDEX('1.Locations'!$F$2:$F$97,$BP$24 + 1))," ")," ")</f>
        <v xml:space="preserve"> </v>
      </c>
      <c r="BY24" s="45" t="str">
        <f ca="1">IFERROR($BY$23 + INDEX('2.Distances'!$D$2:$D$9218,$BP$23*96+$BP$24+ 1) + INDEX('1.Locations'!$I$2:$I$97,$BP$24 + 1)," ")</f>
        <v xml:space="preserve"> </v>
      </c>
      <c r="CA24" s="24">
        <v>19</v>
      </c>
      <c r="CB24" s="25"/>
      <c r="CC24" s="43" t="str">
        <f ca="1">IFERROR(MATCH(INDIRECT("$CB$24"),'1.Locations'!$B$2:$B$97, 0) - 1," ")</f>
        <v xml:space="preserve"> </v>
      </c>
      <c r="CD24" s="43" t="e">
        <f ca="1">IFERROR(IF(ISNUMBER($CC$24),INDEX('1.Locations'!$D$2:$D$97,$CC$24 + 1),NA()),NA())</f>
        <v>#N/A</v>
      </c>
      <c r="CE24" s="43" t="e">
        <f ca="1">IFERROR(IF(ISNUMBER($CC$24),INDEX('1.Locations'!$E$2:$E$97,$CC$24 + 1),NA()),NA())</f>
        <v>#N/A</v>
      </c>
      <c r="CF24" s="44" t="str">
        <f ca="1">IFERROR(IF(AND(ISNUMBER($CC$24),$CC$24&lt;=95),INDEX('2.Distances'!$C$2:$C$9218,$CC$23*96+$CC$24+ 1) +$CF$23," ")," ")</f>
        <v xml:space="preserve"> </v>
      </c>
      <c r="CG24" s="43" t="str">
        <f ca="1">IFERROR(IF(ISNUMBER($CC$24),INDEX('1.Locations'!$J$2:$J$97,$CC$24 + 1) +$CG$23," ")," ")</f>
        <v xml:space="preserve"> </v>
      </c>
      <c r="CH24" s="43" t="str">
        <f ca="1">IFERROR(IF(ISNUMBER($CC$24),INDEX('1.Locations'!$K$2:$K$97,$CC$24 + 1) +$CH$23," ")," ")</f>
        <v xml:space="preserve"> </v>
      </c>
      <c r="CI24" s="45" t="str">
        <f ca="1">IFERROR(IF(AND(ISNUMBER($CC$24),$CC$24&lt;=95),INDEX('2.Distances'!$D$2:$D$9218,$CC$23*96+$CC$24+ 1) +$CI$23," ")," ")</f>
        <v xml:space="preserve"> </v>
      </c>
      <c r="CJ24" s="46" t="str">
        <f ca="1">IFERROR(IF(AND(ISNUMBER($CC$24),$CC$24&lt;=95),INDEX('2.Distances'!$D$2:$D$9218,$CC$23*96+$CC$24+ 1) +$CK$23," ")," ")</f>
        <v xml:space="preserve"> </v>
      </c>
      <c r="CK24" s="46" t="str">
        <f ca="1">IFERROR(IF(ISNUMBER($CJ$24),INDEX('1.Locations'!$I$2:$I$97,$CC$24 + 1) + MAX($CJ$24,INDEX('1.Locations'!$F$2:$F$97,$CC$24 + 1))," ")," ")</f>
        <v xml:space="preserve"> </v>
      </c>
      <c r="CL24" s="45" t="str">
        <f ca="1">IFERROR($CL$23 + INDEX('2.Distances'!$D$2:$D$9218,$CC$23*96+$CC$24+ 1) + INDEX('1.Locations'!$I$2:$I$97,$CC$24 + 1)," ")</f>
        <v xml:space="preserve"> </v>
      </c>
    </row>
    <row r="25" spans="1:90" x14ac:dyDescent="0.25">
      <c r="A25" s="24">
        <v>20</v>
      </c>
      <c r="B25" s="25"/>
      <c r="C25" s="43" t="str">
        <f ca="1">IFERROR(MATCH(INDIRECT("$B$25"),'1.Locations'!$B$2:$B$97, 0) - 1," ")</f>
        <v xml:space="preserve"> </v>
      </c>
      <c r="D25" s="43" t="e">
        <f ca="1">IFERROR(IF(ISNUMBER($C$25),INDEX('1.Locations'!$D$2:$D$97,$C$25 + 1),NA()),NA())</f>
        <v>#N/A</v>
      </c>
      <c r="E25" s="43" t="e">
        <f ca="1">IFERROR(IF(ISNUMBER($C$25),INDEX('1.Locations'!$E$2:$E$97,$C$25 + 1),NA()),NA())</f>
        <v>#N/A</v>
      </c>
      <c r="F25" s="44" t="str">
        <f ca="1">IFERROR(IF(AND(ISNUMBER($C$25),$C$25&lt;=95),INDEX('2.Distances'!$C$2:$C$9218,$C$24*96+$C$25+ 1) +$F$24," ")," ")</f>
        <v xml:space="preserve"> </v>
      </c>
      <c r="G25" s="43" t="str">
        <f ca="1">IFERROR(IF(ISNUMBER($C$25),INDEX('1.Locations'!$J$2:$J$97,$C$25 + 1) +$G$24," ")," ")</f>
        <v xml:space="preserve"> </v>
      </c>
      <c r="H25" s="43" t="str">
        <f ca="1">IFERROR(IF(ISNUMBER($C$25),INDEX('1.Locations'!$K$2:$K$97,$C$25 + 1) +$H$24," ")," ")</f>
        <v xml:space="preserve"> </v>
      </c>
      <c r="I25" s="45" t="str">
        <f ca="1">IFERROR(IF(AND(ISNUMBER($C$25),$C$25&lt;=95),INDEX('2.Distances'!$D$2:$D$9218,$C$24*96+$C$25+ 1) +$I$24," ")," ")</f>
        <v xml:space="preserve"> </v>
      </c>
      <c r="J25" s="46" t="str">
        <f ca="1">IFERROR(IF(AND(ISNUMBER($C$25),$C$25&lt;=95),INDEX('2.Distances'!$D$2:$D$9218,$C$24*96+$C$25+ 1) +$K$24," ")," ")</f>
        <v xml:space="preserve"> </v>
      </c>
      <c r="K25" s="46" t="str">
        <f ca="1">IFERROR(IF(ISNUMBER($J$25),INDEX('1.Locations'!$I$2:$I$97,$C$25 + 1) + MAX($J$25,INDEX('1.Locations'!$F$2:$F$97,$C$25 + 1))," ")," ")</f>
        <v xml:space="preserve"> </v>
      </c>
      <c r="L25" s="45" t="str">
        <f ca="1">IFERROR($L$24 + INDEX('2.Distances'!$D$2:$D$9218,$C$24*96+$C$25+ 1) + INDEX('1.Locations'!$I$2:$I$97,$C$25 + 1)," ")</f>
        <v xml:space="preserve"> </v>
      </c>
      <c r="N25" s="24">
        <v>20</v>
      </c>
      <c r="O25" s="25"/>
      <c r="P25" s="43" t="str">
        <f ca="1">IFERROR(MATCH(INDIRECT("$O$25"),'1.Locations'!$B$2:$B$97, 0) - 1," ")</f>
        <v xml:space="preserve"> </v>
      </c>
      <c r="Q25" s="43" t="e">
        <f ca="1">IFERROR(IF(ISNUMBER($P$25),INDEX('1.Locations'!$D$2:$D$97,$P$25 + 1),NA()),NA())</f>
        <v>#N/A</v>
      </c>
      <c r="R25" s="43" t="e">
        <f ca="1">IFERROR(IF(ISNUMBER($P$25),INDEX('1.Locations'!$E$2:$E$97,$P$25 + 1),NA()),NA())</f>
        <v>#N/A</v>
      </c>
      <c r="S25" s="44" t="str">
        <f ca="1">IFERROR(IF(AND(ISNUMBER($P$25),$P$25&lt;=95),INDEX('2.Distances'!$C$2:$C$9218,$P$24*96+$P$25+ 1) +$S$24," ")," ")</f>
        <v xml:space="preserve"> </v>
      </c>
      <c r="T25" s="43" t="str">
        <f ca="1">IFERROR(IF(ISNUMBER($P$25),INDEX('1.Locations'!$J$2:$J$97,$P$25 + 1) +$T$24," ")," ")</f>
        <v xml:space="preserve"> </v>
      </c>
      <c r="U25" s="43" t="str">
        <f ca="1">IFERROR(IF(ISNUMBER($P$25),INDEX('1.Locations'!$K$2:$K$97,$P$25 + 1) +$U$24," ")," ")</f>
        <v xml:space="preserve"> </v>
      </c>
      <c r="V25" s="45" t="str">
        <f ca="1">IFERROR(IF(AND(ISNUMBER($P$25),$P$25&lt;=95),INDEX('2.Distances'!$D$2:$D$9218,$P$24*96+$P$25+ 1) +$V$24," ")," ")</f>
        <v xml:space="preserve"> </v>
      </c>
      <c r="W25" s="46" t="str">
        <f ca="1">IFERROR(IF(AND(ISNUMBER($P$25),$P$25&lt;=95),INDEX('2.Distances'!$D$2:$D$9218,$P$24*96+$P$25+ 1) +$X$24," ")," ")</f>
        <v xml:space="preserve"> </v>
      </c>
      <c r="X25" s="46" t="str">
        <f ca="1">IFERROR(IF(ISNUMBER($W$25),INDEX('1.Locations'!$I$2:$I$97,$P$25 + 1) + MAX($W$25,INDEX('1.Locations'!$F$2:$F$97,$P$25 + 1))," ")," ")</f>
        <v xml:space="preserve"> </v>
      </c>
      <c r="Y25" s="45" t="str">
        <f ca="1">IFERROR($Y$24 + INDEX('2.Distances'!$D$2:$D$9218,$P$24*96+$P$25+ 1) + INDEX('1.Locations'!$I$2:$I$97,$P$25 + 1)," ")</f>
        <v xml:space="preserve"> </v>
      </c>
      <c r="AA25" s="24">
        <v>20</v>
      </c>
      <c r="AB25" s="25"/>
      <c r="AC25" s="43" t="str">
        <f ca="1">IFERROR(MATCH(INDIRECT("$AB$25"),'1.Locations'!$B$2:$B$97, 0) - 1," ")</f>
        <v xml:space="preserve"> </v>
      </c>
      <c r="AD25" s="43" t="e">
        <f ca="1">IFERROR(IF(ISNUMBER($AC$25),INDEX('1.Locations'!$D$2:$D$97,$AC$25 + 1),NA()),NA())</f>
        <v>#N/A</v>
      </c>
      <c r="AE25" s="43" t="e">
        <f ca="1">IFERROR(IF(ISNUMBER($AC$25),INDEX('1.Locations'!$E$2:$E$97,$AC$25 + 1),NA()),NA())</f>
        <v>#N/A</v>
      </c>
      <c r="AF25" s="44" t="str">
        <f ca="1">IFERROR(IF(AND(ISNUMBER($AC$25),$AC$25&lt;=95),INDEX('2.Distances'!$C$2:$C$9218,$AC$24*96+$AC$25+ 1) +$AF$24," ")," ")</f>
        <v xml:space="preserve"> </v>
      </c>
      <c r="AG25" s="43" t="str">
        <f ca="1">IFERROR(IF(ISNUMBER($AC$25),INDEX('1.Locations'!$J$2:$J$97,$AC$25 + 1) +$AG$24," ")," ")</f>
        <v xml:space="preserve"> </v>
      </c>
      <c r="AH25" s="43" t="str">
        <f ca="1">IFERROR(IF(ISNUMBER($AC$25),INDEX('1.Locations'!$K$2:$K$97,$AC$25 + 1) +$AH$24," ")," ")</f>
        <v xml:space="preserve"> </v>
      </c>
      <c r="AI25" s="45" t="str">
        <f ca="1">IFERROR(IF(AND(ISNUMBER($AC$25),$AC$25&lt;=95),INDEX('2.Distances'!$D$2:$D$9218,$AC$24*96+$AC$25+ 1) +$AI$24," ")," ")</f>
        <v xml:space="preserve"> </v>
      </c>
      <c r="AJ25" s="46" t="str">
        <f ca="1">IFERROR(IF(AND(ISNUMBER($AC$25),$AC$25&lt;=95),INDEX('2.Distances'!$D$2:$D$9218,$AC$24*96+$AC$25+ 1) +$AK$24," ")," ")</f>
        <v xml:space="preserve"> </v>
      </c>
      <c r="AK25" s="46" t="str">
        <f ca="1">IFERROR(IF(ISNUMBER($AJ$25),INDEX('1.Locations'!$I$2:$I$97,$AC$25 + 1) + MAX($AJ$25,INDEX('1.Locations'!$F$2:$F$97,$AC$25 + 1))," ")," ")</f>
        <v xml:space="preserve"> </v>
      </c>
      <c r="AL25" s="45" t="str">
        <f ca="1">IFERROR($AL$24 + INDEX('2.Distances'!$D$2:$D$9218,$AC$24*96+$AC$25+ 1) + INDEX('1.Locations'!$I$2:$I$97,$AC$25 + 1)," ")</f>
        <v xml:space="preserve"> </v>
      </c>
      <c r="AN25" s="24">
        <v>20</v>
      </c>
      <c r="AO25" s="25"/>
      <c r="AP25" s="43" t="str">
        <f ca="1">IFERROR(MATCH(INDIRECT("$AO$25"),'1.Locations'!$B$2:$B$97, 0) - 1," ")</f>
        <v xml:space="preserve"> </v>
      </c>
      <c r="AQ25" s="43" t="e">
        <f ca="1">IFERROR(IF(ISNUMBER($AP$25),INDEX('1.Locations'!$D$2:$D$97,$AP$25 + 1),NA()),NA())</f>
        <v>#N/A</v>
      </c>
      <c r="AR25" s="43" t="e">
        <f ca="1">IFERROR(IF(ISNUMBER($AP$25),INDEX('1.Locations'!$E$2:$E$97,$AP$25 + 1),NA()),NA())</f>
        <v>#N/A</v>
      </c>
      <c r="AS25" s="44" t="str">
        <f ca="1">IFERROR(IF(AND(ISNUMBER($AP$25),$AP$25&lt;=95),INDEX('2.Distances'!$C$2:$C$9218,$AP$24*96+$AP$25+ 1) +$AS$24," ")," ")</f>
        <v xml:space="preserve"> </v>
      </c>
      <c r="AT25" s="43" t="str">
        <f ca="1">IFERROR(IF(ISNUMBER($AP$25),INDEX('1.Locations'!$J$2:$J$97,$AP$25 + 1) +$AT$24," ")," ")</f>
        <v xml:space="preserve"> </v>
      </c>
      <c r="AU25" s="43" t="str">
        <f ca="1">IFERROR(IF(ISNUMBER($AP$25),INDEX('1.Locations'!$K$2:$K$97,$AP$25 + 1) +$AU$24," ")," ")</f>
        <v xml:space="preserve"> </v>
      </c>
      <c r="AV25" s="45" t="str">
        <f ca="1">IFERROR(IF(AND(ISNUMBER($AP$25),$AP$25&lt;=95),INDEX('2.Distances'!$D$2:$D$9218,$AP$24*96+$AP$25+ 1) +$AV$24," ")," ")</f>
        <v xml:space="preserve"> </v>
      </c>
      <c r="AW25" s="46" t="str">
        <f ca="1">IFERROR(IF(AND(ISNUMBER($AP$25),$AP$25&lt;=95),INDEX('2.Distances'!$D$2:$D$9218,$AP$24*96+$AP$25+ 1) +$AX$24," ")," ")</f>
        <v xml:space="preserve"> </v>
      </c>
      <c r="AX25" s="46" t="str">
        <f ca="1">IFERROR(IF(ISNUMBER($AW$25),INDEX('1.Locations'!$I$2:$I$97,$AP$25 + 1) + MAX($AW$25,INDEX('1.Locations'!$F$2:$F$97,$AP$25 + 1))," ")," ")</f>
        <v xml:space="preserve"> </v>
      </c>
      <c r="AY25" s="45" t="str">
        <f ca="1">IFERROR($AY$24 + INDEX('2.Distances'!$D$2:$D$9218,$AP$24*96+$AP$25+ 1) + INDEX('1.Locations'!$I$2:$I$97,$AP$25 + 1)," ")</f>
        <v xml:space="preserve"> </v>
      </c>
      <c r="BA25" s="24">
        <v>20</v>
      </c>
      <c r="BB25" s="25"/>
      <c r="BC25" s="43" t="str">
        <f ca="1">IFERROR(MATCH(INDIRECT("$BB$25"),'1.Locations'!$B$2:$B$97, 0) - 1," ")</f>
        <v xml:space="preserve"> </v>
      </c>
      <c r="BD25" s="43" t="e">
        <f ca="1">IFERROR(IF(ISNUMBER($BC$25),INDEX('1.Locations'!$D$2:$D$97,$BC$25 + 1),NA()),NA())</f>
        <v>#N/A</v>
      </c>
      <c r="BE25" s="43" t="e">
        <f ca="1">IFERROR(IF(ISNUMBER($BC$25),INDEX('1.Locations'!$E$2:$E$97,$BC$25 + 1),NA()),NA())</f>
        <v>#N/A</v>
      </c>
      <c r="BF25" s="44" t="str">
        <f ca="1">IFERROR(IF(AND(ISNUMBER($BC$25),$BC$25&lt;=95),INDEX('2.Distances'!$C$2:$C$9218,$BC$24*96+$BC$25+ 1) +$BF$24," ")," ")</f>
        <v xml:space="preserve"> </v>
      </c>
      <c r="BG25" s="43" t="str">
        <f ca="1">IFERROR(IF(ISNUMBER($BC$25),INDEX('1.Locations'!$J$2:$J$97,$BC$25 + 1) +$BG$24," ")," ")</f>
        <v xml:space="preserve"> </v>
      </c>
      <c r="BH25" s="43" t="str">
        <f ca="1">IFERROR(IF(ISNUMBER($BC$25),INDEX('1.Locations'!$K$2:$K$97,$BC$25 + 1) +$BH$24," ")," ")</f>
        <v xml:space="preserve"> </v>
      </c>
      <c r="BI25" s="45" t="str">
        <f ca="1">IFERROR(IF(AND(ISNUMBER($BC$25),$BC$25&lt;=95),INDEX('2.Distances'!$D$2:$D$9218,$BC$24*96+$BC$25+ 1) +$BI$24," ")," ")</f>
        <v xml:space="preserve"> </v>
      </c>
      <c r="BJ25" s="46" t="str">
        <f ca="1">IFERROR(IF(AND(ISNUMBER($BC$25),$BC$25&lt;=95),INDEX('2.Distances'!$D$2:$D$9218,$BC$24*96+$BC$25+ 1) +$BK$24," ")," ")</f>
        <v xml:space="preserve"> </v>
      </c>
      <c r="BK25" s="46" t="str">
        <f ca="1">IFERROR(IF(ISNUMBER($BJ$25),INDEX('1.Locations'!$I$2:$I$97,$BC$25 + 1) + MAX($BJ$25,INDEX('1.Locations'!$F$2:$F$97,$BC$25 + 1))," ")," ")</f>
        <v xml:space="preserve"> </v>
      </c>
      <c r="BL25" s="45" t="str">
        <f ca="1">IFERROR($BL$24 + INDEX('2.Distances'!$D$2:$D$9218,$BC$24*96+$BC$25+ 1) + INDEX('1.Locations'!$I$2:$I$97,$BC$25 + 1)," ")</f>
        <v xml:space="preserve"> </v>
      </c>
      <c r="BN25" s="24">
        <v>20</v>
      </c>
      <c r="BO25" s="25"/>
      <c r="BP25" s="43" t="str">
        <f ca="1">IFERROR(MATCH(INDIRECT("$BO$25"),'1.Locations'!$B$2:$B$97, 0) - 1," ")</f>
        <v xml:space="preserve"> </v>
      </c>
      <c r="BQ25" s="43" t="e">
        <f ca="1">IFERROR(IF(ISNUMBER($BP$25),INDEX('1.Locations'!$D$2:$D$97,$BP$25 + 1),NA()),NA())</f>
        <v>#N/A</v>
      </c>
      <c r="BR25" s="43" t="e">
        <f ca="1">IFERROR(IF(ISNUMBER($BP$25),INDEX('1.Locations'!$E$2:$E$97,$BP$25 + 1),NA()),NA())</f>
        <v>#N/A</v>
      </c>
      <c r="BS25" s="44" t="str">
        <f ca="1">IFERROR(IF(AND(ISNUMBER($BP$25),$BP$25&lt;=95),INDEX('2.Distances'!$C$2:$C$9218,$BP$24*96+$BP$25+ 1) +$BS$24," ")," ")</f>
        <v xml:space="preserve"> </v>
      </c>
      <c r="BT25" s="43" t="str">
        <f ca="1">IFERROR(IF(ISNUMBER($BP$25),INDEX('1.Locations'!$J$2:$J$97,$BP$25 + 1) +$BT$24," ")," ")</f>
        <v xml:space="preserve"> </v>
      </c>
      <c r="BU25" s="43" t="str">
        <f ca="1">IFERROR(IF(ISNUMBER($BP$25),INDEX('1.Locations'!$K$2:$K$97,$BP$25 + 1) +$BU$24," ")," ")</f>
        <v xml:space="preserve"> </v>
      </c>
      <c r="BV25" s="45" t="str">
        <f ca="1">IFERROR(IF(AND(ISNUMBER($BP$25),$BP$25&lt;=95),INDEX('2.Distances'!$D$2:$D$9218,$BP$24*96+$BP$25+ 1) +$BV$24," ")," ")</f>
        <v xml:space="preserve"> </v>
      </c>
      <c r="BW25" s="46" t="str">
        <f ca="1">IFERROR(IF(AND(ISNUMBER($BP$25),$BP$25&lt;=95),INDEX('2.Distances'!$D$2:$D$9218,$BP$24*96+$BP$25+ 1) +$BX$24," ")," ")</f>
        <v xml:space="preserve"> </v>
      </c>
      <c r="BX25" s="46" t="str">
        <f ca="1">IFERROR(IF(ISNUMBER($BW$25),INDEX('1.Locations'!$I$2:$I$97,$BP$25 + 1) + MAX($BW$25,INDEX('1.Locations'!$F$2:$F$97,$BP$25 + 1))," ")," ")</f>
        <v xml:space="preserve"> </v>
      </c>
      <c r="BY25" s="45" t="str">
        <f ca="1">IFERROR($BY$24 + INDEX('2.Distances'!$D$2:$D$9218,$BP$24*96+$BP$25+ 1) + INDEX('1.Locations'!$I$2:$I$97,$BP$25 + 1)," ")</f>
        <v xml:space="preserve"> </v>
      </c>
      <c r="CA25" s="24">
        <v>20</v>
      </c>
      <c r="CB25" s="25"/>
      <c r="CC25" s="43" t="str">
        <f ca="1">IFERROR(MATCH(INDIRECT("$CB$25"),'1.Locations'!$B$2:$B$97, 0) - 1," ")</f>
        <v xml:space="preserve"> </v>
      </c>
      <c r="CD25" s="43" t="e">
        <f ca="1">IFERROR(IF(ISNUMBER($CC$25),INDEX('1.Locations'!$D$2:$D$97,$CC$25 + 1),NA()),NA())</f>
        <v>#N/A</v>
      </c>
      <c r="CE25" s="43" t="e">
        <f ca="1">IFERROR(IF(ISNUMBER($CC$25),INDEX('1.Locations'!$E$2:$E$97,$CC$25 + 1),NA()),NA())</f>
        <v>#N/A</v>
      </c>
      <c r="CF25" s="44" t="str">
        <f ca="1">IFERROR(IF(AND(ISNUMBER($CC$25),$CC$25&lt;=95),INDEX('2.Distances'!$C$2:$C$9218,$CC$24*96+$CC$25+ 1) +$CF$24," ")," ")</f>
        <v xml:space="preserve"> </v>
      </c>
      <c r="CG25" s="43" t="str">
        <f ca="1">IFERROR(IF(ISNUMBER($CC$25),INDEX('1.Locations'!$J$2:$J$97,$CC$25 + 1) +$CG$24," ")," ")</f>
        <v xml:space="preserve"> </v>
      </c>
      <c r="CH25" s="43" t="str">
        <f ca="1">IFERROR(IF(ISNUMBER($CC$25),INDEX('1.Locations'!$K$2:$K$97,$CC$25 + 1) +$CH$24," ")," ")</f>
        <v xml:space="preserve"> </v>
      </c>
      <c r="CI25" s="45" t="str">
        <f ca="1">IFERROR(IF(AND(ISNUMBER($CC$25),$CC$25&lt;=95),INDEX('2.Distances'!$D$2:$D$9218,$CC$24*96+$CC$25+ 1) +$CI$24," ")," ")</f>
        <v xml:space="preserve"> </v>
      </c>
      <c r="CJ25" s="46" t="str">
        <f ca="1">IFERROR(IF(AND(ISNUMBER($CC$25),$CC$25&lt;=95),INDEX('2.Distances'!$D$2:$D$9218,$CC$24*96+$CC$25+ 1) +$CK$24," ")," ")</f>
        <v xml:space="preserve"> </v>
      </c>
      <c r="CK25" s="46" t="str">
        <f ca="1">IFERROR(IF(ISNUMBER($CJ$25),INDEX('1.Locations'!$I$2:$I$97,$CC$25 + 1) + MAX($CJ$25,INDEX('1.Locations'!$F$2:$F$97,$CC$25 + 1))," ")," ")</f>
        <v xml:space="preserve"> </v>
      </c>
      <c r="CL25" s="45" t="str">
        <f ca="1">IFERROR($CL$24 + INDEX('2.Distances'!$D$2:$D$9218,$CC$24*96+$CC$25+ 1) + INDEX('1.Locations'!$I$2:$I$97,$CC$25 + 1)," ")</f>
        <v xml:space="preserve"> </v>
      </c>
    </row>
    <row r="26" spans="1:90" x14ac:dyDescent="0.25">
      <c r="A26" s="24">
        <v>21</v>
      </c>
      <c r="B26" s="25"/>
      <c r="C26" s="43" t="str">
        <f ca="1">IFERROR(MATCH(INDIRECT("$B$26"),'1.Locations'!$B$2:$B$97, 0) - 1," ")</f>
        <v xml:space="preserve"> </v>
      </c>
      <c r="D26" s="43" t="e">
        <f ca="1">IFERROR(IF(ISNUMBER($C$26),INDEX('1.Locations'!$D$2:$D$97,$C$26 + 1),NA()),NA())</f>
        <v>#N/A</v>
      </c>
      <c r="E26" s="43" t="e">
        <f ca="1">IFERROR(IF(ISNUMBER($C$26),INDEX('1.Locations'!$E$2:$E$97,$C$26 + 1),NA()),NA())</f>
        <v>#N/A</v>
      </c>
      <c r="F26" s="44" t="str">
        <f ca="1">IFERROR(IF(AND(ISNUMBER($C$26),$C$26&lt;=95),INDEX('2.Distances'!$C$2:$C$9218,$C$25*96+$C$26+ 1) +$F$25," ")," ")</f>
        <v xml:space="preserve"> </v>
      </c>
      <c r="G26" s="43" t="str">
        <f ca="1">IFERROR(IF(ISNUMBER($C$26),INDEX('1.Locations'!$J$2:$J$97,$C$26 + 1) +$G$25," ")," ")</f>
        <v xml:space="preserve"> </v>
      </c>
      <c r="H26" s="43" t="str">
        <f ca="1">IFERROR(IF(ISNUMBER($C$26),INDEX('1.Locations'!$K$2:$K$97,$C$26 + 1) +$H$25," ")," ")</f>
        <v xml:space="preserve"> </v>
      </c>
      <c r="I26" s="45" t="str">
        <f ca="1">IFERROR(IF(AND(ISNUMBER($C$26),$C$26&lt;=95),INDEX('2.Distances'!$D$2:$D$9218,$C$25*96+$C$26+ 1) +$I$25," ")," ")</f>
        <v xml:space="preserve"> </v>
      </c>
      <c r="J26" s="46" t="str">
        <f ca="1">IFERROR(IF(AND(ISNUMBER($C$26),$C$26&lt;=95),INDEX('2.Distances'!$D$2:$D$9218,$C$25*96+$C$26+ 1) +$K$25," ")," ")</f>
        <v xml:space="preserve"> </v>
      </c>
      <c r="K26" s="46" t="str">
        <f ca="1">IFERROR(IF(ISNUMBER($J$26),INDEX('1.Locations'!$I$2:$I$97,$C$26 + 1) + MAX($J$26,INDEX('1.Locations'!$F$2:$F$97,$C$26 + 1))," ")," ")</f>
        <v xml:space="preserve"> </v>
      </c>
      <c r="L26" s="45" t="str">
        <f ca="1">IFERROR($L$25 + INDEX('2.Distances'!$D$2:$D$9218,$C$25*96+$C$26+ 1) + INDEX('1.Locations'!$I$2:$I$97,$C$26 + 1)," ")</f>
        <v xml:space="preserve"> </v>
      </c>
      <c r="N26" s="24">
        <v>21</v>
      </c>
      <c r="O26" s="25"/>
      <c r="P26" s="43" t="str">
        <f ca="1">IFERROR(MATCH(INDIRECT("$O$26"),'1.Locations'!$B$2:$B$97, 0) - 1," ")</f>
        <v xml:space="preserve"> </v>
      </c>
      <c r="Q26" s="43" t="e">
        <f ca="1">IFERROR(IF(ISNUMBER($P$26),INDEX('1.Locations'!$D$2:$D$97,$P$26 + 1),NA()),NA())</f>
        <v>#N/A</v>
      </c>
      <c r="R26" s="43" t="e">
        <f ca="1">IFERROR(IF(ISNUMBER($P$26),INDEX('1.Locations'!$E$2:$E$97,$P$26 + 1),NA()),NA())</f>
        <v>#N/A</v>
      </c>
      <c r="S26" s="44" t="str">
        <f ca="1">IFERROR(IF(AND(ISNUMBER($P$26),$P$26&lt;=95),INDEX('2.Distances'!$C$2:$C$9218,$P$25*96+$P$26+ 1) +$S$25," ")," ")</f>
        <v xml:space="preserve"> </v>
      </c>
      <c r="T26" s="43" t="str">
        <f ca="1">IFERROR(IF(ISNUMBER($P$26),INDEX('1.Locations'!$J$2:$J$97,$P$26 + 1) +$T$25," ")," ")</f>
        <v xml:space="preserve"> </v>
      </c>
      <c r="U26" s="43" t="str">
        <f ca="1">IFERROR(IF(ISNUMBER($P$26),INDEX('1.Locations'!$K$2:$K$97,$P$26 + 1) +$U$25," ")," ")</f>
        <v xml:space="preserve"> </v>
      </c>
      <c r="V26" s="45" t="str">
        <f ca="1">IFERROR(IF(AND(ISNUMBER($P$26),$P$26&lt;=95),INDEX('2.Distances'!$D$2:$D$9218,$P$25*96+$P$26+ 1) +$V$25," ")," ")</f>
        <v xml:space="preserve"> </v>
      </c>
      <c r="W26" s="46" t="str">
        <f ca="1">IFERROR(IF(AND(ISNUMBER($P$26),$P$26&lt;=95),INDEX('2.Distances'!$D$2:$D$9218,$P$25*96+$P$26+ 1) +$X$25," ")," ")</f>
        <v xml:space="preserve"> </v>
      </c>
      <c r="X26" s="46" t="str">
        <f ca="1">IFERROR(IF(ISNUMBER($W$26),INDEX('1.Locations'!$I$2:$I$97,$P$26 + 1) + MAX($W$26,INDEX('1.Locations'!$F$2:$F$97,$P$26 + 1))," ")," ")</f>
        <v xml:space="preserve"> </v>
      </c>
      <c r="Y26" s="45" t="str">
        <f ca="1">IFERROR($Y$25 + INDEX('2.Distances'!$D$2:$D$9218,$P$25*96+$P$26+ 1) + INDEX('1.Locations'!$I$2:$I$97,$P$26 + 1)," ")</f>
        <v xml:space="preserve"> </v>
      </c>
      <c r="AA26" s="24">
        <v>21</v>
      </c>
      <c r="AB26" s="25"/>
      <c r="AC26" s="43" t="str">
        <f ca="1">IFERROR(MATCH(INDIRECT("$AB$26"),'1.Locations'!$B$2:$B$97, 0) - 1," ")</f>
        <v xml:space="preserve"> </v>
      </c>
      <c r="AD26" s="43" t="e">
        <f ca="1">IFERROR(IF(ISNUMBER($AC$26),INDEX('1.Locations'!$D$2:$D$97,$AC$26 + 1),NA()),NA())</f>
        <v>#N/A</v>
      </c>
      <c r="AE26" s="43" t="e">
        <f ca="1">IFERROR(IF(ISNUMBER($AC$26),INDEX('1.Locations'!$E$2:$E$97,$AC$26 + 1),NA()),NA())</f>
        <v>#N/A</v>
      </c>
      <c r="AF26" s="44" t="str">
        <f ca="1">IFERROR(IF(AND(ISNUMBER($AC$26),$AC$26&lt;=95),INDEX('2.Distances'!$C$2:$C$9218,$AC$25*96+$AC$26+ 1) +$AF$25," ")," ")</f>
        <v xml:space="preserve"> </v>
      </c>
      <c r="AG26" s="43" t="str">
        <f ca="1">IFERROR(IF(ISNUMBER($AC$26),INDEX('1.Locations'!$J$2:$J$97,$AC$26 + 1) +$AG$25," ")," ")</f>
        <v xml:space="preserve"> </v>
      </c>
      <c r="AH26" s="43" t="str">
        <f ca="1">IFERROR(IF(ISNUMBER($AC$26),INDEX('1.Locations'!$K$2:$K$97,$AC$26 + 1) +$AH$25," ")," ")</f>
        <v xml:space="preserve"> </v>
      </c>
      <c r="AI26" s="45" t="str">
        <f ca="1">IFERROR(IF(AND(ISNUMBER($AC$26),$AC$26&lt;=95),INDEX('2.Distances'!$D$2:$D$9218,$AC$25*96+$AC$26+ 1) +$AI$25," ")," ")</f>
        <v xml:space="preserve"> </v>
      </c>
      <c r="AJ26" s="46" t="str">
        <f ca="1">IFERROR(IF(AND(ISNUMBER($AC$26),$AC$26&lt;=95),INDEX('2.Distances'!$D$2:$D$9218,$AC$25*96+$AC$26+ 1) +$AK$25," ")," ")</f>
        <v xml:space="preserve"> </v>
      </c>
      <c r="AK26" s="46" t="str">
        <f ca="1">IFERROR(IF(ISNUMBER($AJ$26),INDEX('1.Locations'!$I$2:$I$97,$AC$26 + 1) + MAX($AJ$26,INDEX('1.Locations'!$F$2:$F$97,$AC$26 + 1))," ")," ")</f>
        <v xml:space="preserve"> </v>
      </c>
      <c r="AL26" s="45" t="str">
        <f ca="1">IFERROR($AL$25 + INDEX('2.Distances'!$D$2:$D$9218,$AC$25*96+$AC$26+ 1) + INDEX('1.Locations'!$I$2:$I$97,$AC$26 + 1)," ")</f>
        <v xml:space="preserve"> </v>
      </c>
      <c r="AN26" s="24">
        <v>21</v>
      </c>
      <c r="AO26" s="25"/>
      <c r="AP26" s="43" t="str">
        <f ca="1">IFERROR(MATCH(INDIRECT("$AO$26"),'1.Locations'!$B$2:$B$97, 0) - 1," ")</f>
        <v xml:space="preserve"> </v>
      </c>
      <c r="AQ26" s="43" t="e">
        <f ca="1">IFERROR(IF(ISNUMBER($AP$26),INDEX('1.Locations'!$D$2:$D$97,$AP$26 + 1),NA()),NA())</f>
        <v>#N/A</v>
      </c>
      <c r="AR26" s="43" t="e">
        <f ca="1">IFERROR(IF(ISNUMBER($AP$26),INDEX('1.Locations'!$E$2:$E$97,$AP$26 + 1),NA()),NA())</f>
        <v>#N/A</v>
      </c>
      <c r="AS26" s="44" t="str">
        <f ca="1">IFERROR(IF(AND(ISNUMBER($AP$26),$AP$26&lt;=95),INDEX('2.Distances'!$C$2:$C$9218,$AP$25*96+$AP$26+ 1) +$AS$25," ")," ")</f>
        <v xml:space="preserve"> </v>
      </c>
      <c r="AT26" s="43" t="str">
        <f ca="1">IFERROR(IF(ISNUMBER($AP$26),INDEX('1.Locations'!$J$2:$J$97,$AP$26 + 1) +$AT$25," ")," ")</f>
        <v xml:space="preserve"> </v>
      </c>
      <c r="AU26" s="43" t="str">
        <f ca="1">IFERROR(IF(ISNUMBER($AP$26),INDEX('1.Locations'!$K$2:$K$97,$AP$26 + 1) +$AU$25," ")," ")</f>
        <v xml:space="preserve"> </v>
      </c>
      <c r="AV26" s="45" t="str">
        <f ca="1">IFERROR(IF(AND(ISNUMBER($AP$26),$AP$26&lt;=95),INDEX('2.Distances'!$D$2:$D$9218,$AP$25*96+$AP$26+ 1) +$AV$25," ")," ")</f>
        <v xml:space="preserve"> </v>
      </c>
      <c r="AW26" s="46" t="str">
        <f ca="1">IFERROR(IF(AND(ISNUMBER($AP$26),$AP$26&lt;=95),INDEX('2.Distances'!$D$2:$D$9218,$AP$25*96+$AP$26+ 1) +$AX$25," ")," ")</f>
        <v xml:space="preserve"> </v>
      </c>
      <c r="AX26" s="46" t="str">
        <f ca="1">IFERROR(IF(ISNUMBER($AW$26),INDEX('1.Locations'!$I$2:$I$97,$AP$26 + 1) + MAX($AW$26,INDEX('1.Locations'!$F$2:$F$97,$AP$26 + 1))," ")," ")</f>
        <v xml:space="preserve"> </v>
      </c>
      <c r="AY26" s="45" t="str">
        <f ca="1">IFERROR($AY$25 + INDEX('2.Distances'!$D$2:$D$9218,$AP$25*96+$AP$26+ 1) + INDEX('1.Locations'!$I$2:$I$97,$AP$26 + 1)," ")</f>
        <v xml:space="preserve"> </v>
      </c>
      <c r="BA26" s="24">
        <v>21</v>
      </c>
      <c r="BB26" s="25"/>
      <c r="BC26" s="43" t="str">
        <f ca="1">IFERROR(MATCH(INDIRECT("$BB$26"),'1.Locations'!$B$2:$B$97, 0) - 1," ")</f>
        <v xml:space="preserve"> </v>
      </c>
      <c r="BD26" s="43" t="e">
        <f ca="1">IFERROR(IF(ISNUMBER($BC$26),INDEX('1.Locations'!$D$2:$D$97,$BC$26 + 1),NA()),NA())</f>
        <v>#N/A</v>
      </c>
      <c r="BE26" s="43" t="e">
        <f ca="1">IFERROR(IF(ISNUMBER($BC$26),INDEX('1.Locations'!$E$2:$E$97,$BC$26 + 1),NA()),NA())</f>
        <v>#N/A</v>
      </c>
      <c r="BF26" s="44" t="str">
        <f ca="1">IFERROR(IF(AND(ISNUMBER($BC$26),$BC$26&lt;=95),INDEX('2.Distances'!$C$2:$C$9218,$BC$25*96+$BC$26+ 1) +$BF$25," ")," ")</f>
        <v xml:space="preserve"> </v>
      </c>
      <c r="BG26" s="43" t="str">
        <f ca="1">IFERROR(IF(ISNUMBER($BC$26),INDEX('1.Locations'!$J$2:$J$97,$BC$26 + 1) +$BG$25," ")," ")</f>
        <v xml:space="preserve"> </v>
      </c>
      <c r="BH26" s="43" t="str">
        <f ca="1">IFERROR(IF(ISNUMBER($BC$26),INDEX('1.Locations'!$K$2:$K$97,$BC$26 + 1) +$BH$25," ")," ")</f>
        <v xml:space="preserve"> </v>
      </c>
      <c r="BI26" s="45" t="str">
        <f ca="1">IFERROR(IF(AND(ISNUMBER($BC$26),$BC$26&lt;=95),INDEX('2.Distances'!$D$2:$D$9218,$BC$25*96+$BC$26+ 1) +$BI$25," ")," ")</f>
        <v xml:space="preserve"> </v>
      </c>
      <c r="BJ26" s="46" t="str">
        <f ca="1">IFERROR(IF(AND(ISNUMBER($BC$26),$BC$26&lt;=95),INDEX('2.Distances'!$D$2:$D$9218,$BC$25*96+$BC$26+ 1) +$BK$25," ")," ")</f>
        <v xml:space="preserve"> </v>
      </c>
      <c r="BK26" s="46" t="str">
        <f ca="1">IFERROR(IF(ISNUMBER($BJ$26),INDEX('1.Locations'!$I$2:$I$97,$BC$26 + 1) + MAX($BJ$26,INDEX('1.Locations'!$F$2:$F$97,$BC$26 + 1))," ")," ")</f>
        <v xml:space="preserve"> </v>
      </c>
      <c r="BL26" s="45" t="str">
        <f ca="1">IFERROR($BL$25 + INDEX('2.Distances'!$D$2:$D$9218,$BC$25*96+$BC$26+ 1) + INDEX('1.Locations'!$I$2:$I$97,$BC$26 + 1)," ")</f>
        <v xml:space="preserve"> </v>
      </c>
      <c r="BN26" s="24">
        <v>21</v>
      </c>
      <c r="BO26" s="25"/>
      <c r="BP26" s="43" t="str">
        <f ca="1">IFERROR(MATCH(INDIRECT("$BO$26"),'1.Locations'!$B$2:$B$97, 0) - 1," ")</f>
        <v xml:space="preserve"> </v>
      </c>
      <c r="BQ26" s="43" t="e">
        <f ca="1">IFERROR(IF(ISNUMBER($BP$26),INDEX('1.Locations'!$D$2:$D$97,$BP$26 + 1),NA()),NA())</f>
        <v>#N/A</v>
      </c>
      <c r="BR26" s="43" t="e">
        <f ca="1">IFERROR(IF(ISNUMBER($BP$26),INDEX('1.Locations'!$E$2:$E$97,$BP$26 + 1),NA()),NA())</f>
        <v>#N/A</v>
      </c>
      <c r="BS26" s="44" t="str">
        <f ca="1">IFERROR(IF(AND(ISNUMBER($BP$26),$BP$26&lt;=95),INDEX('2.Distances'!$C$2:$C$9218,$BP$25*96+$BP$26+ 1) +$BS$25," ")," ")</f>
        <v xml:space="preserve"> </v>
      </c>
      <c r="BT26" s="43" t="str">
        <f ca="1">IFERROR(IF(ISNUMBER($BP$26),INDEX('1.Locations'!$J$2:$J$97,$BP$26 + 1) +$BT$25," ")," ")</f>
        <v xml:space="preserve"> </v>
      </c>
      <c r="BU26" s="43" t="str">
        <f ca="1">IFERROR(IF(ISNUMBER($BP$26),INDEX('1.Locations'!$K$2:$K$97,$BP$26 + 1) +$BU$25," ")," ")</f>
        <v xml:space="preserve"> </v>
      </c>
      <c r="BV26" s="45" t="str">
        <f ca="1">IFERROR(IF(AND(ISNUMBER($BP$26),$BP$26&lt;=95),INDEX('2.Distances'!$D$2:$D$9218,$BP$25*96+$BP$26+ 1) +$BV$25," ")," ")</f>
        <v xml:space="preserve"> </v>
      </c>
      <c r="BW26" s="46" t="str">
        <f ca="1">IFERROR(IF(AND(ISNUMBER($BP$26),$BP$26&lt;=95),INDEX('2.Distances'!$D$2:$D$9218,$BP$25*96+$BP$26+ 1) +$BX$25," ")," ")</f>
        <v xml:space="preserve"> </v>
      </c>
      <c r="BX26" s="46" t="str">
        <f ca="1">IFERROR(IF(ISNUMBER($BW$26),INDEX('1.Locations'!$I$2:$I$97,$BP$26 + 1) + MAX($BW$26,INDEX('1.Locations'!$F$2:$F$97,$BP$26 + 1))," ")," ")</f>
        <v xml:space="preserve"> </v>
      </c>
      <c r="BY26" s="45" t="str">
        <f ca="1">IFERROR($BY$25 + INDEX('2.Distances'!$D$2:$D$9218,$BP$25*96+$BP$26+ 1) + INDEX('1.Locations'!$I$2:$I$97,$BP$26 + 1)," ")</f>
        <v xml:space="preserve"> </v>
      </c>
      <c r="CA26" s="24">
        <v>21</v>
      </c>
      <c r="CB26" s="25"/>
      <c r="CC26" s="43" t="str">
        <f ca="1">IFERROR(MATCH(INDIRECT("$CB$26"),'1.Locations'!$B$2:$B$97, 0) - 1," ")</f>
        <v xml:space="preserve"> </v>
      </c>
      <c r="CD26" s="43" t="e">
        <f ca="1">IFERROR(IF(ISNUMBER($CC$26),INDEX('1.Locations'!$D$2:$D$97,$CC$26 + 1),NA()),NA())</f>
        <v>#N/A</v>
      </c>
      <c r="CE26" s="43" t="e">
        <f ca="1">IFERROR(IF(ISNUMBER($CC$26),INDEX('1.Locations'!$E$2:$E$97,$CC$26 + 1),NA()),NA())</f>
        <v>#N/A</v>
      </c>
      <c r="CF26" s="44" t="str">
        <f ca="1">IFERROR(IF(AND(ISNUMBER($CC$26),$CC$26&lt;=95),INDEX('2.Distances'!$C$2:$C$9218,$CC$25*96+$CC$26+ 1) +$CF$25," ")," ")</f>
        <v xml:space="preserve"> </v>
      </c>
      <c r="CG26" s="43" t="str">
        <f ca="1">IFERROR(IF(ISNUMBER($CC$26),INDEX('1.Locations'!$J$2:$J$97,$CC$26 + 1) +$CG$25," ")," ")</f>
        <v xml:space="preserve"> </v>
      </c>
      <c r="CH26" s="43" t="str">
        <f ca="1">IFERROR(IF(ISNUMBER($CC$26),INDEX('1.Locations'!$K$2:$K$97,$CC$26 + 1) +$CH$25," ")," ")</f>
        <v xml:space="preserve"> </v>
      </c>
      <c r="CI26" s="45" t="str">
        <f ca="1">IFERROR(IF(AND(ISNUMBER($CC$26),$CC$26&lt;=95),INDEX('2.Distances'!$D$2:$D$9218,$CC$25*96+$CC$26+ 1) +$CI$25," ")," ")</f>
        <v xml:space="preserve"> </v>
      </c>
      <c r="CJ26" s="46" t="str">
        <f ca="1">IFERROR(IF(AND(ISNUMBER($CC$26),$CC$26&lt;=95),INDEX('2.Distances'!$D$2:$D$9218,$CC$25*96+$CC$26+ 1) +$CK$25," ")," ")</f>
        <v xml:space="preserve"> </v>
      </c>
      <c r="CK26" s="46" t="str">
        <f ca="1">IFERROR(IF(ISNUMBER($CJ$26),INDEX('1.Locations'!$I$2:$I$97,$CC$26 + 1) + MAX($CJ$26,INDEX('1.Locations'!$F$2:$F$97,$CC$26 + 1))," ")," ")</f>
        <v xml:space="preserve"> </v>
      </c>
      <c r="CL26" s="45" t="str">
        <f ca="1">IFERROR($CL$25 + INDEX('2.Distances'!$D$2:$D$9218,$CC$25*96+$CC$26+ 1) + INDEX('1.Locations'!$I$2:$I$97,$CC$26 + 1)," ")</f>
        <v xml:space="preserve"> </v>
      </c>
    </row>
    <row r="27" spans="1:90" x14ac:dyDescent="0.25">
      <c r="A27" s="24">
        <v>22</v>
      </c>
      <c r="B27" s="25"/>
      <c r="C27" s="43" t="str">
        <f ca="1">IFERROR(MATCH(INDIRECT("$B$27"),'1.Locations'!$B$2:$B$97, 0) - 1," ")</f>
        <v xml:space="preserve"> </v>
      </c>
      <c r="D27" s="43" t="e">
        <f ca="1">IFERROR(IF(ISNUMBER($C$27),INDEX('1.Locations'!$D$2:$D$97,$C$27 + 1),NA()),NA())</f>
        <v>#N/A</v>
      </c>
      <c r="E27" s="43" t="e">
        <f ca="1">IFERROR(IF(ISNUMBER($C$27),INDEX('1.Locations'!$E$2:$E$97,$C$27 + 1),NA()),NA())</f>
        <v>#N/A</v>
      </c>
      <c r="F27" s="44" t="str">
        <f ca="1">IFERROR(IF(AND(ISNUMBER($C$27),$C$27&lt;=95),INDEX('2.Distances'!$C$2:$C$9218,$C$26*96+$C$27+ 1) +$F$26," ")," ")</f>
        <v xml:space="preserve"> </v>
      </c>
      <c r="G27" s="43" t="str">
        <f ca="1">IFERROR(IF(ISNUMBER($C$27),INDEX('1.Locations'!$J$2:$J$97,$C$27 + 1) +$G$26," ")," ")</f>
        <v xml:space="preserve"> </v>
      </c>
      <c r="H27" s="43" t="str">
        <f ca="1">IFERROR(IF(ISNUMBER($C$27),INDEX('1.Locations'!$K$2:$K$97,$C$27 + 1) +$H$26," ")," ")</f>
        <v xml:space="preserve"> </v>
      </c>
      <c r="I27" s="45" t="str">
        <f ca="1">IFERROR(IF(AND(ISNUMBER($C$27),$C$27&lt;=95),INDEX('2.Distances'!$D$2:$D$9218,$C$26*96+$C$27+ 1) +$I$26," ")," ")</f>
        <v xml:space="preserve"> </v>
      </c>
      <c r="J27" s="46" t="str">
        <f ca="1">IFERROR(IF(AND(ISNUMBER($C$27),$C$27&lt;=95),INDEX('2.Distances'!$D$2:$D$9218,$C$26*96+$C$27+ 1) +$K$26," ")," ")</f>
        <v xml:space="preserve"> </v>
      </c>
      <c r="K27" s="46" t="str">
        <f ca="1">IFERROR(IF(ISNUMBER($J$27),INDEX('1.Locations'!$I$2:$I$97,$C$27 + 1) + MAX($J$27,INDEX('1.Locations'!$F$2:$F$97,$C$27 + 1))," ")," ")</f>
        <v xml:space="preserve"> </v>
      </c>
      <c r="L27" s="45" t="str">
        <f ca="1">IFERROR($L$26 + INDEX('2.Distances'!$D$2:$D$9218,$C$26*96+$C$27+ 1) + INDEX('1.Locations'!$I$2:$I$97,$C$27 + 1)," ")</f>
        <v xml:space="preserve"> </v>
      </c>
      <c r="N27" s="24">
        <v>22</v>
      </c>
      <c r="O27" s="25"/>
      <c r="P27" s="43" t="str">
        <f ca="1">IFERROR(MATCH(INDIRECT("$O$27"),'1.Locations'!$B$2:$B$97, 0) - 1," ")</f>
        <v xml:space="preserve"> </v>
      </c>
      <c r="Q27" s="43" t="e">
        <f ca="1">IFERROR(IF(ISNUMBER($P$27),INDEX('1.Locations'!$D$2:$D$97,$P$27 + 1),NA()),NA())</f>
        <v>#N/A</v>
      </c>
      <c r="R27" s="43" t="e">
        <f ca="1">IFERROR(IF(ISNUMBER($P$27),INDEX('1.Locations'!$E$2:$E$97,$P$27 + 1),NA()),NA())</f>
        <v>#N/A</v>
      </c>
      <c r="S27" s="44" t="str">
        <f ca="1">IFERROR(IF(AND(ISNUMBER($P$27),$P$27&lt;=95),INDEX('2.Distances'!$C$2:$C$9218,$P$26*96+$P$27+ 1) +$S$26," ")," ")</f>
        <v xml:space="preserve"> </v>
      </c>
      <c r="T27" s="43" t="str">
        <f ca="1">IFERROR(IF(ISNUMBER($P$27),INDEX('1.Locations'!$J$2:$J$97,$P$27 + 1) +$T$26," ")," ")</f>
        <v xml:space="preserve"> </v>
      </c>
      <c r="U27" s="43" t="str">
        <f ca="1">IFERROR(IF(ISNUMBER($P$27),INDEX('1.Locations'!$K$2:$K$97,$P$27 + 1) +$U$26," ")," ")</f>
        <v xml:space="preserve"> </v>
      </c>
      <c r="V27" s="45" t="str">
        <f ca="1">IFERROR(IF(AND(ISNUMBER($P$27),$P$27&lt;=95),INDEX('2.Distances'!$D$2:$D$9218,$P$26*96+$P$27+ 1) +$V$26," ")," ")</f>
        <v xml:space="preserve"> </v>
      </c>
      <c r="W27" s="46" t="str">
        <f ca="1">IFERROR(IF(AND(ISNUMBER($P$27),$P$27&lt;=95),INDEX('2.Distances'!$D$2:$D$9218,$P$26*96+$P$27+ 1) +$X$26," ")," ")</f>
        <v xml:space="preserve"> </v>
      </c>
      <c r="X27" s="46" t="str">
        <f ca="1">IFERROR(IF(ISNUMBER($W$27),INDEX('1.Locations'!$I$2:$I$97,$P$27 + 1) + MAX($W$27,INDEX('1.Locations'!$F$2:$F$97,$P$27 + 1))," ")," ")</f>
        <v xml:space="preserve"> </v>
      </c>
      <c r="Y27" s="45" t="str">
        <f ca="1">IFERROR($Y$26 + INDEX('2.Distances'!$D$2:$D$9218,$P$26*96+$P$27+ 1) + INDEX('1.Locations'!$I$2:$I$97,$P$27 + 1)," ")</f>
        <v xml:space="preserve"> </v>
      </c>
      <c r="AA27" s="24">
        <v>22</v>
      </c>
      <c r="AB27" s="25"/>
      <c r="AC27" s="43" t="str">
        <f ca="1">IFERROR(MATCH(INDIRECT("$AB$27"),'1.Locations'!$B$2:$B$97, 0) - 1," ")</f>
        <v xml:space="preserve"> </v>
      </c>
      <c r="AD27" s="43" t="e">
        <f ca="1">IFERROR(IF(ISNUMBER($AC$27),INDEX('1.Locations'!$D$2:$D$97,$AC$27 + 1),NA()),NA())</f>
        <v>#N/A</v>
      </c>
      <c r="AE27" s="43" t="e">
        <f ca="1">IFERROR(IF(ISNUMBER($AC$27),INDEX('1.Locations'!$E$2:$E$97,$AC$27 + 1),NA()),NA())</f>
        <v>#N/A</v>
      </c>
      <c r="AF27" s="44" t="str">
        <f ca="1">IFERROR(IF(AND(ISNUMBER($AC$27),$AC$27&lt;=95),INDEX('2.Distances'!$C$2:$C$9218,$AC$26*96+$AC$27+ 1) +$AF$26," ")," ")</f>
        <v xml:space="preserve"> </v>
      </c>
      <c r="AG27" s="43" t="str">
        <f ca="1">IFERROR(IF(ISNUMBER($AC$27),INDEX('1.Locations'!$J$2:$J$97,$AC$27 + 1) +$AG$26," ")," ")</f>
        <v xml:space="preserve"> </v>
      </c>
      <c r="AH27" s="43" t="str">
        <f ca="1">IFERROR(IF(ISNUMBER($AC$27),INDEX('1.Locations'!$K$2:$K$97,$AC$27 + 1) +$AH$26," ")," ")</f>
        <v xml:space="preserve"> </v>
      </c>
      <c r="AI27" s="45" t="str">
        <f ca="1">IFERROR(IF(AND(ISNUMBER($AC$27),$AC$27&lt;=95),INDEX('2.Distances'!$D$2:$D$9218,$AC$26*96+$AC$27+ 1) +$AI$26," ")," ")</f>
        <v xml:space="preserve"> </v>
      </c>
      <c r="AJ27" s="46" t="str">
        <f ca="1">IFERROR(IF(AND(ISNUMBER($AC$27),$AC$27&lt;=95),INDEX('2.Distances'!$D$2:$D$9218,$AC$26*96+$AC$27+ 1) +$AK$26," ")," ")</f>
        <v xml:space="preserve"> </v>
      </c>
      <c r="AK27" s="46" t="str">
        <f ca="1">IFERROR(IF(ISNUMBER($AJ$27),INDEX('1.Locations'!$I$2:$I$97,$AC$27 + 1) + MAX($AJ$27,INDEX('1.Locations'!$F$2:$F$97,$AC$27 + 1))," ")," ")</f>
        <v xml:space="preserve"> </v>
      </c>
      <c r="AL27" s="45" t="str">
        <f ca="1">IFERROR($AL$26 + INDEX('2.Distances'!$D$2:$D$9218,$AC$26*96+$AC$27+ 1) + INDEX('1.Locations'!$I$2:$I$97,$AC$27 + 1)," ")</f>
        <v xml:space="preserve"> </v>
      </c>
      <c r="AN27" s="24">
        <v>22</v>
      </c>
      <c r="AO27" s="25"/>
      <c r="AP27" s="43" t="str">
        <f ca="1">IFERROR(MATCH(INDIRECT("$AO$27"),'1.Locations'!$B$2:$B$97, 0) - 1," ")</f>
        <v xml:space="preserve"> </v>
      </c>
      <c r="AQ27" s="43" t="e">
        <f ca="1">IFERROR(IF(ISNUMBER($AP$27),INDEX('1.Locations'!$D$2:$D$97,$AP$27 + 1),NA()),NA())</f>
        <v>#N/A</v>
      </c>
      <c r="AR27" s="43" t="e">
        <f ca="1">IFERROR(IF(ISNUMBER($AP$27),INDEX('1.Locations'!$E$2:$E$97,$AP$27 + 1),NA()),NA())</f>
        <v>#N/A</v>
      </c>
      <c r="AS27" s="44" t="str">
        <f ca="1">IFERROR(IF(AND(ISNUMBER($AP$27),$AP$27&lt;=95),INDEX('2.Distances'!$C$2:$C$9218,$AP$26*96+$AP$27+ 1) +$AS$26," ")," ")</f>
        <v xml:space="preserve"> </v>
      </c>
      <c r="AT27" s="43" t="str">
        <f ca="1">IFERROR(IF(ISNUMBER($AP$27),INDEX('1.Locations'!$J$2:$J$97,$AP$27 + 1) +$AT$26," ")," ")</f>
        <v xml:space="preserve"> </v>
      </c>
      <c r="AU27" s="43" t="str">
        <f ca="1">IFERROR(IF(ISNUMBER($AP$27),INDEX('1.Locations'!$K$2:$K$97,$AP$27 + 1) +$AU$26," ")," ")</f>
        <v xml:space="preserve"> </v>
      </c>
      <c r="AV27" s="45" t="str">
        <f ca="1">IFERROR(IF(AND(ISNUMBER($AP$27),$AP$27&lt;=95),INDEX('2.Distances'!$D$2:$D$9218,$AP$26*96+$AP$27+ 1) +$AV$26," ")," ")</f>
        <v xml:space="preserve"> </v>
      </c>
      <c r="AW27" s="46" t="str">
        <f ca="1">IFERROR(IF(AND(ISNUMBER($AP$27),$AP$27&lt;=95),INDEX('2.Distances'!$D$2:$D$9218,$AP$26*96+$AP$27+ 1) +$AX$26," ")," ")</f>
        <v xml:space="preserve"> </v>
      </c>
      <c r="AX27" s="46" t="str">
        <f ca="1">IFERROR(IF(ISNUMBER($AW$27),INDEX('1.Locations'!$I$2:$I$97,$AP$27 + 1) + MAX($AW$27,INDEX('1.Locations'!$F$2:$F$97,$AP$27 + 1))," ")," ")</f>
        <v xml:space="preserve"> </v>
      </c>
      <c r="AY27" s="45" t="str">
        <f ca="1">IFERROR($AY$26 + INDEX('2.Distances'!$D$2:$D$9218,$AP$26*96+$AP$27+ 1) + INDEX('1.Locations'!$I$2:$I$97,$AP$27 + 1)," ")</f>
        <v xml:space="preserve"> </v>
      </c>
      <c r="BA27" s="24">
        <v>22</v>
      </c>
      <c r="BB27" s="25"/>
      <c r="BC27" s="43" t="str">
        <f ca="1">IFERROR(MATCH(INDIRECT("$BB$27"),'1.Locations'!$B$2:$B$97, 0) - 1," ")</f>
        <v xml:space="preserve"> </v>
      </c>
      <c r="BD27" s="43" t="e">
        <f ca="1">IFERROR(IF(ISNUMBER($BC$27),INDEX('1.Locations'!$D$2:$D$97,$BC$27 + 1),NA()),NA())</f>
        <v>#N/A</v>
      </c>
      <c r="BE27" s="43" t="e">
        <f ca="1">IFERROR(IF(ISNUMBER($BC$27),INDEX('1.Locations'!$E$2:$E$97,$BC$27 + 1),NA()),NA())</f>
        <v>#N/A</v>
      </c>
      <c r="BF27" s="44" t="str">
        <f ca="1">IFERROR(IF(AND(ISNUMBER($BC$27),$BC$27&lt;=95),INDEX('2.Distances'!$C$2:$C$9218,$BC$26*96+$BC$27+ 1) +$BF$26," ")," ")</f>
        <v xml:space="preserve"> </v>
      </c>
      <c r="BG27" s="43" t="str">
        <f ca="1">IFERROR(IF(ISNUMBER($BC$27),INDEX('1.Locations'!$J$2:$J$97,$BC$27 + 1) +$BG$26," ")," ")</f>
        <v xml:space="preserve"> </v>
      </c>
      <c r="BH27" s="43" t="str">
        <f ca="1">IFERROR(IF(ISNUMBER($BC$27),INDEX('1.Locations'!$K$2:$K$97,$BC$27 + 1) +$BH$26," ")," ")</f>
        <v xml:space="preserve"> </v>
      </c>
      <c r="BI27" s="45" t="str">
        <f ca="1">IFERROR(IF(AND(ISNUMBER($BC$27),$BC$27&lt;=95),INDEX('2.Distances'!$D$2:$D$9218,$BC$26*96+$BC$27+ 1) +$BI$26," ")," ")</f>
        <v xml:space="preserve"> </v>
      </c>
      <c r="BJ27" s="46" t="str">
        <f ca="1">IFERROR(IF(AND(ISNUMBER($BC$27),$BC$27&lt;=95),INDEX('2.Distances'!$D$2:$D$9218,$BC$26*96+$BC$27+ 1) +$BK$26," ")," ")</f>
        <v xml:space="preserve"> </v>
      </c>
      <c r="BK27" s="46" t="str">
        <f ca="1">IFERROR(IF(ISNUMBER($BJ$27),INDEX('1.Locations'!$I$2:$I$97,$BC$27 + 1) + MAX($BJ$27,INDEX('1.Locations'!$F$2:$F$97,$BC$27 + 1))," ")," ")</f>
        <v xml:space="preserve"> </v>
      </c>
      <c r="BL27" s="45" t="str">
        <f ca="1">IFERROR($BL$26 + INDEX('2.Distances'!$D$2:$D$9218,$BC$26*96+$BC$27+ 1) + INDEX('1.Locations'!$I$2:$I$97,$BC$27 + 1)," ")</f>
        <v xml:space="preserve"> </v>
      </c>
      <c r="BN27" s="24">
        <v>22</v>
      </c>
      <c r="BO27" s="25"/>
      <c r="BP27" s="43" t="str">
        <f ca="1">IFERROR(MATCH(INDIRECT("$BO$27"),'1.Locations'!$B$2:$B$97, 0) - 1," ")</f>
        <v xml:space="preserve"> </v>
      </c>
      <c r="BQ27" s="43" t="e">
        <f ca="1">IFERROR(IF(ISNUMBER($BP$27),INDEX('1.Locations'!$D$2:$D$97,$BP$27 + 1),NA()),NA())</f>
        <v>#N/A</v>
      </c>
      <c r="BR27" s="43" t="e">
        <f ca="1">IFERROR(IF(ISNUMBER($BP$27),INDEX('1.Locations'!$E$2:$E$97,$BP$27 + 1),NA()),NA())</f>
        <v>#N/A</v>
      </c>
      <c r="BS27" s="44" t="str">
        <f ca="1">IFERROR(IF(AND(ISNUMBER($BP$27),$BP$27&lt;=95),INDEX('2.Distances'!$C$2:$C$9218,$BP$26*96+$BP$27+ 1) +$BS$26," ")," ")</f>
        <v xml:space="preserve"> </v>
      </c>
      <c r="BT27" s="43" t="str">
        <f ca="1">IFERROR(IF(ISNUMBER($BP$27),INDEX('1.Locations'!$J$2:$J$97,$BP$27 + 1) +$BT$26," ")," ")</f>
        <v xml:space="preserve"> </v>
      </c>
      <c r="BU27" s="43" t="str">
        <f ca="1">IFERROR(IF(ISNUMBER($BP$27),INDEX('1.Locations'!$K$2:$K$97,$BP$27 + 1) +$BU$26," ")," ")</f>
        <v xml:space="preserve"> </v>
      </c>
      <c r="BV27" s="45" t="str">
        <f ca="1">IFERROR(IF(AND(ISNUMBER($BP$27),$BP$27&lt;=95),INDEX('2.Distances'!$D$2:$D$9218,$BP$26*96+$BP$27+ 1) +$BV$26," ")," ")</f>
        <v xml:space="preserve"> </v>
      </c>
      <c r="BW27" s="46" t="str">
        <f ca="1">IFERROR(IF(AND(ISNUMBER($BP$27),$BP$27&lt;=95),INDEX('2.Distances'!$D$2:$D$9218,$BP$26*96+$BP$27+ 1) +$BX$26," ")," ")</f>
        <v xml:space="preserve"> </v>
      </c>
      <c r="BX27" s="46" t="str">
        <f ca="1">IFERROR(IF(ISNUMBER($BW$27),INDEX('1.Locations'!$I$2:$I$97,$BP$27 + 1) + MAX($BW$27,INDEX('1.Locations'!$F$2:$F$97,$BP$27 + 1))," ")," ")</f>
        <v xml:space="preserve"> </v>
      </c>
      <c r="BY27" s="45" t="str">
        <f ca="1">IFERROR($BY$26 + INDEX('2.Distances'!$D$2:$D$9218,$BP$26*96+$BP$27+ 1) + INDEX('1.Locations'!$I$2:$I$97,$BP$27 + 1)," ")</f>
        <v xml:space="preserve"> </v>
      </c>
      <c r="CA27" s="24">
        <v>22</v>
      </c>
      <c r="CB27" s="25"/>
      <c r="CC27" s="43" t="str">
        <f ca="1">IFERROR(MATCH(INDIRECT("$CB$27"),'1.Locations'!$B$2:$B$97, 0) - 1," ")</f>
        <v xml:space="preserve"> </v>
      </c>
      <c r="CD27" s="43" t="e">
        <f ca="1">IFERROR(IF(ISNUMBER($CC$27),INDEX('1.Locations'!$D$2:$D$97,$CC$27 + 1),NA()),NA())</f>
        <v>#N/A</v>
      </c>
      <c r="CE27" s="43" t="e">
        <f ca="1">IFERROR(IF(ISNUMBER($CC$27),INDEX('1.Locations'!$E$2:$E$97,$CC$27 + 1),NA()),NA())</f>
        <v>#N/A</v>
      </c>
      <c r="CF27" s="44" t="str">
        <f ca="1">IFERROR(IF(AND(ISNUMBER($CC$27),$CC$27&lt;=95),INDEX('2.Distances'!$C$2:$C$9218,$CC$26*96+$CC$27+ 1) +$CF$26," ")," ")</f>
        <v xml:space="preserve"> </v>
      </c>
      <c r="CG27" s="43" t="str">
        <f ca="1">IFERROR(IF(ISNUMBER($CC$27),INDEX('1.Locations'!$J$2:$J$97,$CC$27 + 1) +$CG$26," ")," ")</f>
        <v xml:space="preserve"> </v>
      </c>
      <c r="CH27" s="43" t="str">
        <f ca="1">IFERROR(IF(ISNUMBER($CC$27),INDEX('1.Locations'!$K$2:$K$97,$CC$27 + 1) +$CH$26," ")," ")</f>
        <v xml:space="preserve"> </v>
      </c>
      <c r="CI27" s="45" t="str">
        <f ca="1">IFERROR(IF(AND(ISNUMBER($CC$27),$CC$27&lt;=95),INDEX('2.Distances'!$D$2:$D$9218,$CC$26*96+$CC$27+ 1) +$CI$26," ")," ")</f>
        <v xml:space="preserve"> </v>
      </c>
      <c r="CJ27" s="46" t="str">
        <f ca="1">IFERROR(IF(AND(ISNUMBER($CC$27),$CC$27&lt;=95),INDEX('2.Distances'!$D$2:$D$9218,$CC$26*96+$CC$27+ 1) +$CK$26," ")," ")</f>
        <v xml:space="preserve"> </v>
      </c>
      <c r="CK27" s="46" t="str">
        <f ca="1">IFERROR(IF(ISNUMBER($CJ$27),INDEX('1.Locations'!$I$2:$I$97,$CC$27 + 1) + MAX($CJ$27,INDEX('1.Locations'!$F$2:$F$97,$CC$27 + 1))," ")," ")</f>
        <v xml:space="preserve"> </v>
      </c>
      <c r="CL27" s="45" t="str">
        <f ca="1">IFERROR($CL$26 + INDEX('2.Distances'!$D$2:$D$9218,$CC$26*96+$CC$27+ 1) + INDEX('1.Locations'!$I$2:$I$97,$CC$27 + 1)," ")</f>
        <v xml:space="preserve"> </v>
      </c>
    </row>
    <row r="28" spans="1:90" x14ac:dyDescent="0.25">
      <c r="A28" s="24">
        <v>23</v>
      </c>
      <c r="B28" s="25"/>
      <c r="C28" s="43" t="str">
        <f ca="1">IFERROR(MATCH(INDIRECT("$B$28"),'1.Locations'!$B$2:$B$97, 0) - 1," ")</f>
        <v xml:space="preserve"> </v>
      </c>
      <c r="D28" s="43" t="e">
        <f ca="1">IFERROR(IF(ISNUMBER($C$28),INDEX('1.Locations'!$D$2:$D$97,$C$28 + 1),NA()),NA())</f>
        <v>#N/A</v>
      </c>
      <c r="E28" s="43" t="e">
        <f ca="1">IFERROR(IF(ISNUMBER($C$28),INDEX('1.Locations'!$E$2:$E$97,$C$28 + 1),NA()),NA())</f>
        <v>#N/A</v>
      </c>
      <c r="F28" s="44" t="str">
        <f ca="1">IFERROR(IF(AND(ISNUMBER($C$28),$C$28&lt;=95),INDEX('2.Distances'!$C$2:$C$9218,$C$27*96+$C$28+ 1) +$F$27," ")," ")</f>
        <v xml:space="preserve"> </v>
      </c>
      <c r="G28" s="43" t="str">
        <f ca="1">IFERROR(IF(ISNUMBER($C$28),INDEX('1.Locations'!$J$2:$J$97,$C$28 + 1) +$G$27," ")," ")</f>
        <v xml:space="preserve"> </v>
      </c>
      <c r="H28" s="43" t="str">
        <f ca="1">IFERROR(IF(ISNUMBER($C$28),INDEX('1.Locations'!$K$2:$K$97,$C$28 + 1) +$H$27," ")," ")</f>
        <v xml:space="preserve"> </v>
      </c>
      <c r="I28" s="45" t="str">
        <f ca="1">IFERROR(IF(AND(ISNUMBER($C$28),$C$28&lt;=95),INDEX('2.Distances'!$D$2:$D$9218,$C$27*96+$C$28+ 1) +$I$27," ")," ")</f>
        <v xml:space="preserve"> </v>
      </c>
      <c r="J28" s="46" t="str">
        <f ca="1">IFERROR(IF(AND(ISNUMBER($C$28),$C$28&lt;=95),INDEX('2.Distances'!$D$2:$D$9218,$C$27*96+$C$28+ 1) +$K$27," ")," ")</f>
        <v xml:space="preserve"> </v>
      </c>
      <c r="K28" s="46" t="str">
        <f ca="1">IFERROR(IF(ISNUMBER($J$28),INDEX('1.Locations'!$I$2:$I$97,$C$28 + 1) + MAX($J$28,INDEX('1.Locations'!$F$2:$F$97,$C$28 + 1))," ")," ")</f>
        <v xml:space="preserve"> </v>
      </c>
      <c r="L28" s="45" t="str">
        <f ca="1">IFERROR($L$27 + INDEX('2.Distances'!$D$2:$D$9218,$C$27*96+$C$28+ 1) + INDEX('1.Locations'!$I$2:$I$97,$C$28 + 1)," ")</f>
        <v xml:space="preserve"> </v>
      </c>
      <c r="N28" s="24">
        <v>23</v>
      </c>
      <c r="O28" s="25"/>
      <c r="P28" s="43" t="str">
        <f ca="1">IFERROR(MATCH(INDIRECT("$O$28"),'1.Locations'!$B$2:$B$97, 0) - 1," ")</f>
        <v xml:space="preserve"> </v>
      </c>
      <c r="Q28" s="43" t="e">
        <f ca="1">IFERROR(IF(ISNUMBER($P$28),INDEX('1.Locations'!$D$2:$D$97,$P$28 + 1),NA()),NA())</f>
        <v>#N/A</v>
      </c>
      <c r="R28" s="43" t="e">
        <f ca="1">IFERROR(IF(ISNUMBER($P$28),INDEX('1.Locations'!$E$2:$E$97,$P$28 + 1),NA()),NA())</f>
        <v>#N/A</v>
      </c>
      <c r="S28" s="44" t="str">
        <f ca="1">IFERROR(IF(AND(ISNUMBER($P$28),$P$28&lt;=95),INDEX('2.Distances'!$C$2:$C$9218,$P$27*96+$P$28+ 1) +$S$27," ")," ")</f>
        <v xml:space="preserve"> </v>
      </c>
      <c r="T28" s="43" t="str">
        <f ca="1">IFERROR(IF(ISNUMBER($P$28),INDEX('1.Locations'!$J$2:$J$97,$P$28 + 1) +$T$27," ")," ")</f>
        <v xml:space="preserve"> </v>
      </c>
      <c r="U28" s="43" t="str">
        <f ca="1">IFERROR(IF(ISNUMBER($P$28),INDEX('1.Locations'!$K$2:$K$97,$P$28 + 1) +$U$27," ")," ")</f>
        <v xml:space="preserve"> </v>
      </c>
      <c r="V28" s="45" t="str">
        <f ca="1">IFERROR(IF(AND(ISNUMBER($P$28),$P$28&lt;=95),INDEX('2.Distances'!$D$2:$D$9218,$P$27*96+$P$28+ 1) +$V$27," ")," ")</f>
        <v xml:space="preserve"> </v>
      </c>
      <c r="W28" s="46" t="str">
        <f ca="1">IFERROR(IF(AND(ISNUMBER($P$28),$P$28&lt;=95),INDEX('2.Distances'!$D$2:$D$9218,$P$27*96+$P$28+ 1) +$X$27," ")," ")</f>
        <v xml:space="preserve"> </v>
      </c>
      <c r="X28" s="46" t="str">
        <f ca="1">IFERROR(IF(ISNUMBER($W$28),INDEX('1.Locations'!$I$2:$I$97,$P$28 + 1) + MAX($W$28,INDEX('1.Locations'!$F$2:$F$97,$P$28 + 1))," ")," ")</f>
        <v xml:space="preserve"> </v>
      </c>
      <c r="Y28" s="45" t="str">
        <f ca="1">IFERROR($Y$27 + INDEX('2.Distances'!$D$2:$D$9218,$P$27*96+$P$28+ 1) + INDEX('1.Locations'!$I$2:$I$97,$P$28 + 1)," ")</f>
        <v xml:space="preserve"> </v>
      </c>
      <c r="AA28" s="24">
        <v>23</v>
      </c>
      <c r="AB28" s="25"/>
      <c r="AC28" s="43" t="str">
        <f ca="1">IFERROR(MATCH(INDIRECT("$AB$28"),'1.Locations'!$B$2:$B$97, 0) - 1," ")</f>
        <v xml:space="preserve"> </v>
      </c>
      <c r="AD28" s="43" t="e">
        <f ca="1">IFERROR(IF(ISNUMBER($AC$28),INDEX('1.Locations'!$D$2:$D$97,$AC$28 + 1),NA()),NA())</f>
        <v>#N/A</v>
      </c>
      <c r="AE28" s="43" t="e">
        <f ca="1">IFERROR(IF(ISNUMBER($AC$28),INDEX('1.Locations'!$E$2:$E$97,$AC$28 + 1),NA()),NA())</f>
        <v>#N/A</v>
      </c>
      <c r="AF28" s="44" t="str">
        <f ca="1">IFERROR(IF(AND(ISNUMBER($AC$28),$AC$28&lt;=95),INDEX('2.Distances'!$C$2:$C$9218,$AC$27*96+$AC$28+ 1) +$AF$27," ")," ")</f>
        <v xml:space="preserve"> </v>
      </c>
      <c r="AG28" s="43" t="str">
        <f ca="1">IFERROR(IF(ISNUMBER($AC$28),INDEX('1.Locations'!$J$2:$J$97,$AC$28 + 1) +$AG$27," ")," ")</f>
        <v xml:space="preserve"> </v>
      </c>
      <c r="AH28" s="43" t="str">
        <f ca="1">IFERROR(IF(ISNUMBER($AC$28),INDEX('1.Locations'!$K$2:$K$97,$AC$28 + 1) +$AH$27," ")," ")</f>
        <v xml:space="preserve"> </v>
      </c>
      <c r="AI28" s="45" t="str">
        <f ca="1">IFERROR(IF(AND(ISNUMBER($AC$28),$AC$28&lt;=95),INDEX('2.Distances'!$D$2:$D$9218,$AC$27*96+$AC$28+ 1) +$AI$27," ")," ")</f>
        <v xml:space="preserve"> </v>
      </c>
      <c r="AJ28" s="46" t="str">
        <f ca="1">IFERROR(IF(AND(ISNUMBER($AC$28),$AC$28&lt;=95),INDEX('2.Distances'!$D$2:$D$9218,$AC$27*96+$AC$28+ 1) +$AK$27," ")," ")</f>
        <v xml:space="preserve"> </v>
      </c>
      <c r="AK28" s="46" t="str">
        <f ca="1">IFERROR(IF(ISNUMBER($AJ$28),INDEX('1.Locations'!$I$2:$I$97,$AC$28 + 1) + MAX($AJ$28,INDEX('1.Locations'!$F$2:$F$97,$AC$28 + 1))," ")," ")</f>
        <v xml:space="preserve"> </v>
      </c>
      <c r="AL28" s="45" t="str">
        <f ca="1">IFERROR($AL$27 + INDEX('2.Distances'!$D$2:$D$9218,$AC$27*96+$AC$28+ 1) + INDEX('1.Locations'!$I$2:$I$97,$AC$28 + 1)," ")</f>
        <v xml:space="preserve"> </v>
      </c>
      <c r="AN28" s="24">
        <v>23</v>
      </c>
      <c r="AO28" s="25"/>
      <c r="AP28" s="43" t="str">
        <f ca="1">IFERROR(MATCH(INDIRECT("$AO$28"),'1.Locations'!$B$2:$B$97, 0) - 1," ")</f>
        <v xml:space="preserve"> </v>
      </c>
      <c r="AQ28" s="43" t="e">
        <f ca="1">IFERROR(IF(ISNUMBER($AP$28),INDEX('1.Locations'!$D$2:$D$97,$AP$28 + 1),NA()),NA())</f>
        <v>#N/A</v>
      </c>
      <c r="AR28" s="43" t="e">
        <f ca="1">IFERROR(IF(ISNUMBER($AP$28),INDEX('1.Locations'!$E$2:$E$97,$AP$28 + 1),NA()),NA())</f>
        <v>#N/A</v>
      </c>
      <c r="AS28" s="44" t="str">
        <f ca="1">IFERROR(IF(AND(ISNUMBER($AP$28),$AP$28&lt;=95),INDEX('2.Distances'!$C$2:$C$9218,$AP$27*96+$AP$28+ 1) +$AS$27," ")," ")</f>
        <v xml:space="preserve"> </v>
      </c>
      <c r="AT28" s="43" t="str">
        <f ca="1">IFERROR(IF(ISNUMBER($AP$28),INDEX('1.Locations'!$J$2:$J$97,$AP$28 + 1) +$AT$27," ")," ")</f>
        <v xml:space="preserve"> </v>
      </c>
      <c r="AU28" s="43" t="str">
        <f ca="1">IFERROR(IF(ISNUMBER($AP$28),INDEX('1.Locations'!$K$2:$K$97,$AP$28 + 1) +$AU$27," ")," ")</f>
        <v xml:space="preserve"> </v>
      </c>
      <c r="AV28" s="45" t="str">
        <f ca="1">IFERROR(IF(AND(ISNUMBER($AP$28),$AP$28&lt;=95),INDEX('2.Distances'!$D$2:$D$9218,$AP$27*96+$AP$28+ 1) +$AV$27," ")," ")</f>
        <v xml:space="preserve"> </v>
      </c>
      <c r="AW28" s="46" t="str">
        <f ca="1">IFERROR(IF(AND(ISNUMBER($AP$28),$AP$28&lt;=95),INDEX('2.Distances'!$D$2:$D$9218,$AP$27*96+$AP$28+ 1) +$AX$27," ")," ")</f>
        <v xml:space="preserve"> </v>
      </c>
      <c r="AX28" s="46" t="str">
        <f ca="1">IFERROR(IF(ISNUMBER($AW$28),INDEX('1.Locations'!$I$2:$I$97,$AP$28 + 1) + MAX($AW$28,INDEX('1.Locations'!$F$2:$F$97,$AP$28 + 1))," ")," ")</f>
        <v xml:space="preserve"> </v>
      </c>
      <c r="AY28" s="45" t="str">
        <f ca="1">IFERROR($AY$27 + INDEX('2.Distances'!$D$2:$D$9218,$AP$27*96+$AP$28+ 1) + INDEX('1.Locations'!$I$2:$I$97,$AP$28 + 1)," ")</f>
        <v xml:space="preserve"> </v>
      </c>
      <c r="BA28" s="24">
        <v>23</v>
      </c>
      <c r="BB28" s="25"/>
      <c r="BC28" s="43" t="str">
        <f ca="1">IFERROR(MATCH(INDIRECT("$BB$28"),'1.Locations'!$B$2:$B$97, 0) - 1," ")</f>
        <v xml:space="preserve"> </v>
      </c>
      <c r="BD28" s="43" t="e">
        <f ca="1">IFERROR(IF(ISNUMBER($BC$28),INDEX('1.Locations'!$D$2:$D$97,$BC$28 + 1),NA()),NA())</f>
        <v>#N/A</v>
      </c>
      <c r="BE28" s="43" t="e">
        <f ca="1">IFERROR(IF(ISNUMBER($BC$28),INDEX('1.Locations'!$E$2:$E$97,$BC$28 + 1),NA()),NA())</f>
        <v>#N/A</v>
      </c>
      <c r="BF28" s="44" t="str">
        <f ca="1">IFERROR(IF(AND(ISNUMBER($BC$28),$BC$28&lt;=95),INDEX('2.Distances'!$C$2:$C$9218,$BC$27*96+$BC$28+ 1) +$BF$27," ")," ")</f>
        <v xml:space="preserve"> </v>
      </c>
      <c r="BG28" s="43" t="str">
        <f ca="1">IFERROR(IF(ISNUMBER($BC$28),INDEX('1.Locations'!$J$2:$J$97,$BC$28 + 1) +$BG$27," ")," ")</f>
        <v xml:space="preserve"> </v>
      </c>
      <c r="BH28" s="43" t="str">
        <f ca="1">IFERROR(IF(ISNUMBER($BC$28),INDEX('1.Locations'!$K$2:$K$97,$BC$28 + 1) +$BH$27," ")," ")</f>
        <v xml:space="preserve"> </v>
      </c>
      <c r="BI28" s="45" t="str">
        <f ca="1">IFERROR(IF(AND(ISNUMBER($BC$28),$BC$28&lt;=95),INDEX('2.Distances'!$D$2:$D$9218,$BC$27*96+$BC$28+ 1) +$BI$27," ")," ")</f>
        <v xml:space="preserve"> </v>
      </c>
      <c r="BJ28" s="46" t="str">
        <f ca="1">IFERROR(IF(AND(ISNUMBER($BC$28),$BC$28&lt;=95),INDEX('2.Distances'!$D$2:$D$9218,$BC$27*96+$BC$28+ 1) +$BK$27," ")," ")</f>
        <v xml:space="preserve"> </v>
      </c>
      <c r="BK28" s="46" t="str">
        <f ca="1">IFERROR(IF(ISNUMBER($BJ$28),INDEX('1.Locations'!$I$2:$I$97,$BC$28 + 1) + MAX($BJ$28,INDEX('1.Locations'!$F$2:$F$97,$BC$28 + 1))," ")," ")</f>
        <v xml:space="preserve"> </v>
      </c>
      <c r="BL28" s="45" t="str">
        <f ca="1">IFERROR($BL$27 + INDEX('2.Distances'!$D$2:$D$9218,$BC$27*96+$BC$28+ 1) + INDEX('1.Locations'!$I$2:$I$97,$BC$28 + 1)," ")</f>
        <v xml:space="preserve"> </v>
      </c>
      <c r="BN28" s="24">
        <v>23</v>
      </c>
      <c r="BO28" s="25"/>
      <c r="BP28" s="43" t="str">
        <f ca="1">IFERROR(MATCH(INDIRECT("$BO$28"),'1.Locations'!$B$2:$B$97, 0) - 1," ")</f>
        <v xml:space="preserve"> </v>
      </c>
      <c r="BQ28" s="43" t="e">
        <f ca="1">IFERROR(IF(ISNUMBER($BP$28),INDEX('1.Locations'!$D$2:$D$97,$BP$28 + 1),NA()),NA())</f>
        <v>#N/A</v>
      </c>
      <c r="BR28" s="43" t="e">
        <f ca="1">IFERROR(IF(ISNUMBER($BP$28),INDEX('1.Locations'!$E$2:$E$97,$BP$28 + 1),NA()),NA())</f>
        <v>#N/A</v>
      </c>
      <c r="BS28" s="44" t="str">
        <f ca="1">IFERROR(IF(AND(ISNUMBER($BP$28),$BP$28&lt;=95),INDEX('2.Distances'!$C$2:$C$9218,$BP$27*96+$BP$28+ 1) +$BS$27," ")," ")</f>
        <v xml:space="preserve"> </v>
      </c>
      <c r="BT28" s="43" t="str">
        <f ca="1">IFERROR(IF(ISNUMBER($BP$28),INDEX('1.Locations'!$J$2:$J$97,$BP$28 + 1) +$BT$27," ")," ")</f>
        <v xml:space="preserve"> </v>
      </c>
      <c r="BU28" s="43" t="str">
        <f ca="1">IFERROR(IF(ISNUMBER($BP$28),INDEX('1.Locations'!$K$2:$K$97,$BP$28 + 1) +$BU$27," ")," ")</f>
        <v xml:space="preserve"> </v>
      </c>
      <c r="BV28" s="45" t="str">
        <f ca="1">IFERROR(IF(AND(ISNUMBER($BP$28),$BP$28&lt;=95),INDEX('2.Distances'!$D$2:$D$9218,$BP$27*96+$BP$28+ 1) +$BV$27," ")," ")</f>
        <v xml:space="preserve"> </v>
      </c>
      <c r="BW28" s="46" t="str">
        <f ca="1">IFERROR(IF(AND(ISNUMBER($BP$28),$BP$28&lt;=95),INDEX('2.Distances'!$D$2:$D$9218,$BP$27*96+$BP$28+ 1) +$BX$27," ")," ")</f>
        <v xml:space="preserve"> </v>
      </c>
      <c r="BX28" s="46" t="str">
        <f ca="1">IFERROR(IF(ISNUMBER($BW$28),INDEX('1.Locations'!$I$2:$I$97,$BP$28 + 1) + MAX($BW$28,INDEX('1.Locations'!$F$2:$F$97,$BP$28 + 1))," ")," ")</f>
        <v xml:space="preserve"> </v>
      </c>
      <c r="BY28" s="45" t="str">
        <f ca="1">IFERROR($BY$27 + INDEX('2.Distances'!$D$2:$D$9218,$BP$27*96+$BP$28+ 1) + INDEX('1.Locations'!$I$2:$I$97,$BP$28 + 1)," ")</f>
        <v xml:space="preserve"> </v>
      </c>
      <c r="CA28" s="24">
        <v>23</v>
      </c>
      <c r="CB28" s="25"/>
      <c r="CC28" s="43" t="str">
        <f ca="1">IFERROR(MATCH(INDIRECT("$CB$28"),'1.Locations'!$B$2:$B$97, 0) - 1," ")</f>
        <v xml:space="preserve"> </v>
      </c>
      <c r="CD28" s="43" t="e">
        <f ca="1">IFERROR(IF(ISNUMBER($CC$28),INDEX('1.Locations'!$D$2:$D$97,$CC$28 + 1),NA()),NA())</f>
        <v>#N/A</v>
      </c>
      <c r="CE28" s="43" t="e">
        <f ca="1">IFERROR(IF(ISNUMBER($CC$28),INDEX('1.Locations'!$E$2:$E$97,$CC$28 + 1),NA()),NA())</f>
        <v>#N/A</v>
      </c>
      <c r="CF28" s="44" t="str">
        <f ca="1">IFERROR(IF(AND(ISNUMBER($CC$28),$CC$28&lt;=95),INDEX('2.Distances'!$C$2:$C$9218,$CC$27*96+$CC$28+ 1) +$CF$27," ")," ")</f>
        <v xml:space="preserve"> </v>
      </c>
      <c r="CG28" s="43" t="str">
        <f ca="1">IFERROR(IF(ISNUMBER($CC$28),INDEX('1.Locations'!$J$2:$J$97,$CC$28 + 1) +$CG$27," ")," ")</f>
        <v xml:space="preserve"> </v>
      </c>
      <c r="CH28" s="43" t="str">
        <f ca="1">IFERROR(IF(ISNUMBER($CC$28),INDEX('1.Locations'!$K$2:$K$97,$CC$28 + 1) +$CH$27," ")," ")</f>
        <v xml:space="preserve"> </v>
      </c>
      <c r="CI28" s="45" t="str">
        <f ca="1">IFERROR(IF(AND(ISNUMBER($CC$28),$CC$28&lt;=95),INDEX('2.Distances'!$D$2:$D$9218,$CC$27*96+$CC$28+ 1) +$CI$27," ")," ")</f>
        <v xml:space="preserve"> </v>
      </c>
      <c r="CJ28" s="46" t="str">
        <f ca="1">IFERROR(IF(AND(ISNUMBER($CC$28),$CC$28&lt;=95),INDEX('2.Distances'!$D$2:$D$9218,$CC$27*96+$CC$28+ 1) +$CK$27," ")," ")</f>
        <v xml:space="preserve"> </v>
      </c>
      <c r="CK28" s="46" t="str">
        <f ca="1">IFERROR(IF(ISNUMBER($CJ$28),INDEX('1.Locations'!$I$2:$I$97,$CC$28 + 1) + MAX($CJ$28,INDEX('1.Locations'!$F$2:$F$97,$CC$28 + 1))," ")," ")</f>
        <v xml:space="preserve"> </v>
      </c>
      <c r="CL28" s="45" t="str">
        <f ca="1">IFERROR($CL$27 + INDEX('2.Distances'!$D$2:$D$9218,$CC$27*96+$CC$28+ 1) + INDEX('1.Locations'!$I$2:$I$97,$CC$28 + 1)," ")</f>
        <v xml:space="preserve"> </v>
      </c>
    </row>
    <row r="29" spans="1:90" x14ac:dyDescent="0.25">
      <c r="A29" s="24">
        <v>24</v>
      </c>
      <c r="B29" s="25"/>
      <c r="C29" s="43" t="str">
        <f ca="1">IFERROR(MATCH(INDIRECT("$B$29"),'1.Locations'!$B$2:$B$97, 0) - 1," ")</f>
        <v xml:space="preserve"> </v>
      </c>
      <c r="D29" s="43" t="e">
        <f ca="1">IFERROR(IF(ISNUMBER($C$29),INDEX('1.Locations'!$D$2:$D$97,$C$29 + 1),NA()),NA())</f>
        <v>#N/A</v>
      </c>
      <c r="E29" s="43" t="e">
        <f ca="1">IFERROR(IF(ISNUMBER($C$29),INDEX('1.Locations'!$E$2:$E$97,$C$29 + 1),NA()),NA())</f>
        <v>#N/A</v>
      </c>
      <c r="F29" s="44" t="str">
        <f ca="1">IFERROR(IF(AND(ISNUMBER($C$29),$C$29&lt;=95),INDEX('2.Distances'!$C$2:$C$9218,$C$28*96+$C$29+ 1) +$F$28," ")," ")</f>
        <v xml:space="preserve"> </v>
      </c>
      <c r="G29" s="43" t="str">
        <f ca="1">IFERROR(IF(ISNUMBER($C$29),INDEX('1.Locations'!$J$2:$J$97,$C$29 + 1) +$G$28," ")," ")</f>
        <v xml:space="preserve"> </v>
      </c>
      <c r="H29" s="43" t="str">
        <f ca="1">IFERROR(IF(ISNUMBER($C$29),INDEX('1.Locations'!$K$2:$K$97,$C$29 + 1) +$H$28," ")," ")</f>
        <v xml:space="preserve"> </v>
      </c>
      <c r="I29" s="45" t="str">
        <f ca="1">IFERROR(IF(AND(ISNUMBER($C$29),$C$29&lt;=95),INDEX('2.Distances'!$D$2:$D$9218,$C$28*96+$C$29+ 1) +$I$28," ")," ")</f>
        <v xml:space="preserve"> </v>
      </c>
      <c r="J29" s="46" t="str">
        <f ca="1">IFERROR(IF(AND(ISNUMBER($C$29),$C$29&lt;=95),INDEX('2.Distances'!$D$2:$D$9218,$C$28*96+$C$29+ 1) +$K$28," ")," ")</f>
        <v xml:space="preserve"> </v>
      </c>
      <c r="K29" s="46" t="str">
        <f ca="1">IFERROR(IF(ISNUMBER($J$29),INDEX('1.Locations'!$I$2:$I$97,$C$29 + 1) + MAX($J$29,INDEX('1.Locations'!$F$2:$F$97,$C$29 + 1))," ")," ")</f>
        <v xml:space="preserve"> </v>
      </c>
      <c r="L29" s="45" t="str">
        <f ca="1">IFERROR($L$28 + INDEX('2.Distances'!$D$2:$D$9218,$C$28*96+$C$29+ 1) + INDEX('1.Locations'!$I$2:$I$97,$C$29 + 1)," ")</f>
        <v xml:space="preserve"> </v>
      </c>
      <c r="N29" s="24">
        <v>24</v>
      </c>
      <c r="O29" s="25"/>
      <c r="P29" s="43" t="str">
        <f ca="1">IFERROR(MATCH(INDIRECT("$O$29"),'1.Locations'!$B$2:$B$97, 0) - 1," ")</f>
        <v xml:space="preserve"> </v>
      </c>
      <c r="Q29" s="43" t="e">
        <f ca="1">IFERROR(IF(ISNUMBER($P$29),INDEX('1.Locations'!$D$2:$D$97,$P$29 + 1),NA()),NA())</f>
        <v>#N/A</v>
      </c>
      <c r="R29" s="43" t="e">
        <f ca="1">IFERROR(IF(ISNUMBER($P$29),INDEX('1.Locations'!$E$2:$E$97,$P$29 + 1),NA()),NA())</f>
        <v>#N/A</v>
      </c>
      <c r="S29" s="44" t="str">
        <f ca="1">IFERROR(IF(AND(ISNUMBER($P$29),$P$29&lt;=95),INDEX('2.Distances'!$C$2:$C$9218,$P$28*96+$P$29+ 1) +$S$28," ")," ")</f>
        <v xml:space="preserve"> </v>
      </c>
      <c r="T29" s="43" t="str">
        <f ca="1">IFERROR(IF(ISNUMBER($P$29),INDEX('1.Locations'!$J$2:$J$97,$P$29 + 1) +$T$28," ")," ")</f>
        <v xml:space="preserve"> </v>
      </c>
      <c r="U29" s="43" t="str">
        <f ca="1">IFERROR(IF(ISNUMBER($P$29),INDEX('1.Locations'!$K$2:$K$97,$P$29 + 1) +$U$28," ")," ")</f>
        <v xml:space="preserve"> </v>
      </c>
      <c r="V29" s="45" t="str">
        <f ca="1">IFERROR(IF(AND(ISNUMBER($P$29),$P$29&lt;=95),INDEX('2.Distances'!$D$2:$D$9218,$P$28*96+$P$29+ 1) +$V$28," ")," ")</f>
        <v xml:space="preserve"> </v>
      </c>
      <c r="W29" s="46" t="str">
        <f ca="1">IFERROR(IF(AND(ISNUMBER($P$29),$P$29&lt;=95),INDEX('2.Distances'!$D$2:$D$9218,$P$28*96+$P$29+ 1) +$X$28," ")," ")</f>
        <v xml:space="preserve"> </v>
      </c>
      <c r="X29" s="46" t="str">
        <f ca="1">IFERROR(IF(ISNUMBER($W$29),INDEX('1.Locations'!$I$2:$I$97,$P$29 + 1) + MAX($W$29,INDEX('1.Locations'!$F$2:$F$97,$P$29 + 1))," ")," ")</f>
        <v xml:space="preserve"> </v>
      </c>
      <c r="Y29" s="45" t="str">
        <f ca="1">IFERROR($Y$28 + INDEX('2.Distances'!$D$2:$D$9218,$P$28*96+$P$29+ 1) + INDEX('1.Locations'!$I$2:$I$97,$P$29 + 1)," ")</f>
        <v xml:space="preserve"> </v>
      </c>
      <c r="AA29" s="24">
        <v>24</v>
      </c>
      <c r="AB29" s="25"/>
      <c r="AC29" s="43" t="str">
        <f ca="1">IFERROR(MATCH(INDIRECT("$AB$29"),'1.Locations'!$B$2:$B$97, 0) - 1," ")</f>
        <v xml:space="preserve"> </v>
      </c>
      <c r="AD29" s="43" t="e">
        <f ca="1">IFERROR(IF(ISNUMBER($AC$29),INDEX('1.Locations'!$D$2:$D$97,$AC$29 + 1),NA()),NA())</f>
        <v>#N/A</v>
      </c>
      <c r="AE29" s="43" t="e">
        <f ca="1">IFERROR(IF(ISNUMBER($AC$29),INDEX('1.Locations'!$E$2:$E$97,$AC$29 + 1),NA()),NA())</f>
        <v>#N/A</v>
      </c>
      <c r="AF29" s="44" t="str">
        <f ca="1">IFERROR(IF(AND(ISNUMBER($AC$29),$AC$29&lt;=95),INDEX('2.Distances'!$C$2:$C$9218,$AC$28*96+$AC$29+ 1) +$AF$28," ")," ")</f>
        <v xml:space="preserve"> </v>
      </c>
      <c r="AG29" s="43" t="str">
        <f ca="1">IFERROR(IF(ISNUMBER($AC$29),INDEX('1.Locations'!$J$2:$J$97,$AC$29 + 1) +$AG$28," ")," ")</f>
        <v xml:space="preserve"> </v>
      </c>
      <c r="AH29" s="43" t="str">
        <f ca="1">IFERROR(IF(ISNUMBER($AC$29),INDEX('1.Locations'!$K$2:$K$97,$AC$29 + 1) +$AH$28," ")," ")</f>
        <v xml:space="preserve"> </v>
      </c>
      <c r="AI29" s="45" t="str">
        <f ca="1">IFERROR(IF(AND(ISNUMBER($AC$29),$AC$29&lt;=95),INDEX('2.Distances'!$D$2:$D$9218,$AC$28*96+$AC$29+ 1) +$AI$28," ")," ")</f>
        <v xml:space="preserve"> </v>
      </c>
      <c r="AJ29" s="46" t="str">
        <f ca="1">IFERROR(IF(AND(ISNUMBER($AC$29),$AC$29&lt;=95),INDEX('2.Distances'!$D$2:$D$9218,$AC$28*96+$AC$29+ 1) +$AK$28," ")," ")</f>
        <v xml:space="preserve"> </v>
      </c>
      <c r="AK29" s="46" t="str">
        <f ca="1">IFERROR(IF(ISNUMBER($AJ$29),INDEX('1.Locations'!$I$2:$I$97,$AC$29 + 1) + MAX($AJ$29,INDEX('1.Locations'!$F$2:$F$97,$AC$29 + 1))," ")," ")</f>
        <v xml:space="preserve"> </v>
      </c>
      <c r="AL29" s="45" t="str">
        <f ca="1">IFERROR($AL$28 + INDEX('2.Distances'!$D$2:$D$9218,$AC$28*96+$AC$29+ 1) + INDEX('1.Locations'!$I$2:$I$97,$AC$29 + 1)," ")</f>
        <v xml:space="preserve"> </v>
      </c>
      <c r="AN29" s="24">
        <v>24</v>
      </c>
      <c r="AO29" s="25"/>
      <c r="AP29" s="43" t="str">
        <f ca="1">IFERROR(MATCH(INDIRECT("$AO$29"),'1.Locations'!$B$2:$B$97, 0) - 1," ")</f>
        <v xml:space="preserve"> </v>
      </c>
      <c r="AQ29" s="43" t="e">
        <f ca="1">IFERROR(IF(ISNUMBER($AP$29),INDEX('1.Locations'!$D$2:$D$97,$AP$29 + 1),NA()),NA())</f>
        <v>#N/A</v>
      </c>
      <c r="AR29" s="43" t="e">
        <f ca="1">IFERROR(IF(ISNUMBER($AP$29),INDEX('1.Locations'!$E$2:$E$97,$AP$29 + 1),NA()),NA())</f>
        <v>#N/A</v>
      </c>
      <c r="AS29" s="44" t="str">
        <f ca="1">IFERROR(IF(AND(ISNUMBER($AP$29),$AP$29&lt;=95),INDEX('2.Distances'!$C$2:$C$9218,$AP$28*96+$AP$29+ 1) +$AS$28," ")," ")</f>
        <v xml:space="preserve"> </v>
      </c>
      <c r="AT29" s="43" t="str">
        <f ca="1">IFERROR(IF(ISNUMBER($AP$29),INDEX('1.Locations'!$J$2:$J$97,$AP$29 + 1) +$AT$28," ")," ")</f>
        <v xml:space="preserve"> </v>
      </c>
      <c r="AU29" s="43" t="str">
        <f ca="1">IFERROR(IF(ISNUMBER($AP$29),INDEX('1.Locations'!$K$2:$K$97,$AP$29 + 1) +$AU$28," ")," ")</f>
        <v xml:space="preserve"> </v>
      </c>
      <c r="AV29" s="45" t="str">
        <f ca="1">IFERROR(IF(AND(ISNUMBER($AP$29),$AP$29&lt;=95),INDEX('2.Distances'!$D$2:$D$9218,$AP$28*96+$AP$29+ 1) +$AV$28," ")," ")</f>
        <v xml:space="preserve"> </v>
      </c>
      <c r="AW29" s="46" t="str">
        <f ca="1">IFERROR(IF(AND(ISNUMBER($AP$29),$AP$29&lt;=95),INDEX('2.Distances'!$D$2:$D$9218,$AP$28*96+$AP$29+ 1) +$AX$28," ")," ")</f>
        <v xml:space="preserve"> </v>
      </c>
      <c r="AX29" s="46" t="str">
        <f ca="1">IFERROR(IF(ISNUMBER($AW$29),INDEX('1.Locations'!$I$2:$I$97,$AP$29 + 1) + MAX($AW$29,INDEX('1.Locations'!$F$2:$F$97,$AP$29 + 1))," ")," ")</f>
        <v xml:space="preserve"> </v>
      </c>
      <c r="AY29" s="45" t="str">
        <f ca="1">IFERROR($AY$28 + INDEX('2.Distances'!$D$2:$D$9218,$AP$28*96+$AP$29+ 1) + INDEX('1.Locations'!$I$2:$I$97,$AP$29 + 1)," ")</f>
        <v xml:space="preserve"> </v>
      </c>
      <c r="BA29" s="24">
        <v>24</v>
      </c>
      <c r="BB29" s="25"/>
      <c r="BC29" s="43" t="str">
        <f ca="1">IFERROR(MATCH(INDIRECT("$BB$29"),'1.Locations'!$B$2:$B$97, 0) - 1," ")</f>
        <v xml:space="preserve"> </v>
      </c>
      <c r="BD29" s="43" t="e">
        <f ca="1">IFERROR(IF(ISNUMBER($BC$29),INDEX('1.Locations'!$D$2:$D$97,$BC$29 + 1),NA()),NA())</f>
        <v>#N/A</v>
      </c>
      <c r="BE29" s="43" t="e">
        <f ca="1">IFERROR(IF(ISNUMBER($BC$29),INDEX('1.Locations'!$E$2:$E$97,$BC$29 + 1),NA()),NA())</f>
        <v>#N/A</v>
      </c>
      <c r="BF29" s="44" t="str">
        <f ca="1">IFERROR(IF(AND(ISNUMBER($BC$29),$BC$29&lt;=95),INDEX('2.Distances'!$C$2:$C$9218,$BC$28*96+$BC$29+ 1) +$BF$28," ")," ")</f>
        <v xml:space="preserve"> </v>
      </c>
      <c r="BG29" s="43" t="str">
        <f ca="1">IFERROR(IF(ISNUMBER($BC$29),INDEX('1.Locations'!$J$2:$J$97,$BC$29 + 1) +$BG$28," ")," ")</f>
        <v xml:space="preserve"> </v>
      </c>
      <c r="BH29" s="43" t="str">
        <f ca="1">IFERROR(IF(ISNUMBER($BC$29),INDEX('1.Locations'!$K$2:$K$97,$BC$29 + 1) +$BH$28," ")," ")</f>
        <v xml:space="preserve"> </v>
      </c>
      <c r="BI29" s="45" t="str">
        <f ca="1">IFERROR(IF(AND(ISNUMBER($BC$29),$BC$29&lt;=95),INDEX('2.Distances'!$D$2:$D$9218,$BC$28*96+$BC$29+ 1) +$BI$28," ")," ")</f>
        <v xml:space="preserve"> </v>
      </c>
      <c r="BJ29" s="46" t="str">
        <f ca="1">IFERROR(IF(AND(ISNUMBER($BC$29),$BC$29&lt;=95),INDEX('2.Distances'!$D$2:$D$9218,$BC$28*96+$BC$29+ 1) +$BK$28," ")," ")</f>
        <v xml:space="preserve"> </v>
      </c>
      <c r="BK29" s="46" t="str">
        <f ca="1">IFERROR(IF(ISNUMBER($BJ$29),INDEX('1.Locations'!$I$2:$I$97,$BC$29 + 1) + MAX($BJ$29,INDEX('1.Locations'!$F$2:$F$97,$BC$29 + 1))," ")," ")</f>
        <v xml:space="preserve"> </v>
      </c>
      <c r="BL29" s="45" t="str">
        <f ca="1">IFERROR($BL$28 + INDEX('2.Distances'!$D$2:$D$9218,$BC$28*96+$BC$29+ 1) + INDEX('1.Locations'!$I$2:$I$97,$BC$29 + 1)," ")</f>
        <v xml:space="preserve"> </v>
      </c>
      <c r="BN29" s="24">
        <v>24</v>
      </c>
      <c r="BO29" s="25"/>
      <c r="BP29" s="43" t="str">
        <f ca="1">IFERROR(MATCH(INDIRECT("$BO$29"),'1.Locations'!$B$2:$B$97, 0) - 1," ")</f>
        <v xml:space="preserve"> </v>
      </c>
      <c r="BQ29" s="43" t="e">
        <f ca="1">IFERROR(IF(ISNUMBER($BP$29),INDEX('1.Locations'!$D$2:$D$97,$BP$29 + 1),NA()),NA())</f>
        <v>#N/A</v>
      </c>
      <c r="BR29" s="43" t="e">
        <f ca="1">IFERROR(IF(ISNUMBER($BP$29),INDEX('1.Locations'!$E$2:$E$97,$BP$29 + 1),NA()),NA())</f>
        <v>#N/A</v>
      </c>
      <c r="BS29" s="44" t="str">
        <f ca="1">IFERROR(IF(AND(ISNUMBER($BP$29),$BP$29&lt;=95),INDEX('2.Distances'!$C$2:$C$9218,$BP$28*96+$BP$29+ 1) +$BS$28," ")," ")</f>
        <v xml:space="preserve"> </v>
      </c>
      <c r="BT29" s="43" t="str">
        <f ca="1">IFERROR(IF(ISNUMBER($BP$29),INDEX('1.Locations'!$J$2:$J$97,$BP$29 + 1) +$BT$28," ")," ")</f>
        <v xml:space="preserve"> </v>
      </c>
      <c r="BU29" s="43" t="str">
        <f ca="1">IFERROR(IF(ISNUMBER($BP$29),INDEX('1.Locations'!$K$2:$K$97,$BP$29 + 1) +$BU$28," ")," ")</f>
        <v xml:space="preserve"> </v>
      </c>
      <c r="BV29" s="45" t="str">
        <f ca="1">IFERROR(IF(AND(ISNUMBER($BP$29),$BP$29&lt;=95),INDEX('2.Distances'!$D$2:$D$9218,$BP$28*96+$BP$29+ 1) +$BV$28," ")," ")</f>
        <v xml:space="preserve"> </v>
      </c>
      <c r="BW29" s="46" t="str">
        <f ca="1">IFERROR(IF(AND(ISNUMBER($BP$29),$BP$29&lt;=95),INDEX('2.Distances'!$D$2:$D$9218,$BP$28*96+$BP$29+ 1) +$BX$28," ")," ")</f>
        <v xml:space="preserve"> </v>
      </c>
      <c r="BX29" s="46" t="str">
        <f ca="1">IFERROR(IF(ISNUMBER($BW$29),INDEX('1.Locations'!$I$2:$I$97,$BP$29 + 1) + MAX($BW$29,INDEX('1.Locations'!$F$2:$F$97,$BP$29 + 1))," ")," ")</f>
        <v xml:space="preserve"> </v>
      </c>
      <c r="BY29" s="45" t="str">
        <f ca="1">IFERROR($BY$28 + INDEX('2.Distances'!$D$2:$D$9218,$BP$28*96+$BP$29+ 1) + INDEX('1.Locations'!$I$2:$I$97,$BP$29 + 1)," ")</f>
        <v xml:space="preserve"> </v>
      </c>
      <c r="CA29" s="24">
        <v>24</v>
      </c>
      <c r="CB29" s="25"/>
      <c r="CC29" s="43" t="str">
        <f ca="1">IFERROR(MATCH(INDIRECT("$CB$29"),'1.Locations'!$B$2:$B$97, 0) - 1," ")</f>
        <v xml:space="preserve"> </v>
      </c>
      <c r="CD29" s="43" t="e">
        <f ca="1">IFERROR(IF(ISNUMBER($CC$29),INDEX('1.Locations'!$D$2:$D$97,$CC$29 + 1),NA()),NA())</f>
        <v>#N/A</v>
      </c>
      <c r="CE29" s="43" t="e">
        <f ca="1">IFERROR(IF(ISNUMBER($CC$29),INDEX('1.Locations'!$E$2:$E$97,$CC$29 + 1),NA()),NA())</f>
        <v>#N/A</v>
      </c>
      <c r="CF29" s="44" t="str">
        <f ca="1">IFERROR(IF(AND(ISNUMBER($CC$29),$CC$29&lt;=95),INDEX('2.Distances'!$C$2:$C$9218,$CC$28*96+$CC$29+ 1) +$CF$28," ")," ")</f>
        <v xml:space="preserve"> </v>
      </c>
      <c r="CG29" s="43" t="str">
        <f ca="1">IFERROR(IF(ISNUMBER($CC$29),INDEX('1.Locations'!$J$2:$J$97,$CC$29 + 1) +$CG$28," ")," ")</f>
        <v xml:space="preserve"> </v>
      </c>
      <c r="CH29" s="43" t="str">
        <f ca="1">IFERROR(IF(ISNUMBER($CC$29),INDEX('1.Locations'!$K$2:$K$97,$CC$29 + 1) +$CH$28," ")," ")</f>
        <v xml:space="preserve"> </v>
      </c>
      <c r="CI29" s="45" t="str">
        <f ca="1">IFERROR(IF(AND(ISNUMBER($CC$29),$CC$29&lt;=95),INDEX('2.Distances'!$D$2:$D$9218,$CC$28*96+$CC$29+ 1) +$CI$28," ")," ")</f>
        <v xml:space="preserve"> </v>
      </c>
      <c r="CJ29" s="46" t="str">
        <f ca="1">IFERROR(IF(AND(ISNUMBER($CC$29),$CC$29&lt;=95),INDEX('2.Distances'!$D$2:$D$9218,$CC$28*96+$CC$29+ 1) +$CK$28," ")," ")</f>
        <v xml:space="preserve"> </v>
      </c>
      <c r="CK29" s="46" t="str">
        <f ca="1">IFERROR(IF(ISNUMBER($CJ$29),INDEX('1.Locations'!$I$2:$I$97,$CC$29 + 1) + MAX($CJ$29,INDEX('1.Locations'!$F$2:$F$97,$CC$29 + 1))," ")," ")</f>
        <v xml:space="preserve"> </v>
      </c>
      <c r="CL29" s="45" t="str">
        <f ca="1">IFERROR($CL$28 + INDEX('2.Distances'!$D$2:$D$9218,$CC$28*96+$CC$29+ 1) + INDEX('1.Locations'!$I$2:$I$97,$CC$29 + 1)," ")</f>
        <v xml:space="preserve"> </v>
      </c>
    </row>
    <row r="30" spans="1:90" x14ac:dyDescent="0.25">
      <c r="A30" s="24">
        <v>25</v>
      </c>
      <c r="B30" s="25"/>
      <c r="C30" s="43" t="str">
        <f ca="1">IFERROR(MATCH(INDIRECT("$B$30"),'1.Locations'!$B$2:$B$97, 0) - 1," ")</f>
        <v xml:space="preserve"> </v>
      </c>
      <c r="D30" s="43" t="e">
        <f ca="1">IFERROR(IF(ISNUMBER($C$30),INDEX('1.Locations'!$D$2:$D$97,$C$30 + 1),NA()),NA())</f>
        <v>#N/A</v>
      </c>
      <c r="E30" s="43" t="e">
        <f ca="1">IFERROR(IF(ISNUMBER($C$30),INDEX('1.Locations'!$E$2:$E$97,$C$30 + 1),NA()),NA())</f>
        <v>#N/A</v>
      </c>
      <c r="F30" s="44" t="str">
        <f ca="1">IFERROR(IF(AND(ISNUMBER($C$30),$C$30&lt;=95),INDEX('2.Distances'!$C$2:$C$9218,$C$29*96+$C$30+ 1) +$F$29," ")," ")</f>
        <v xml:space="preserve"> </v>
      </c>
      <c r="G30" s="43" t="str">
        <f ca="1">IFERROR(IF(ISNUMBER($C$30),INDEX('1.Locations'!$J$2:$J$97,$C$30 + 1) +$G$29," ")," ")</f>
        <v xml:space="preserve"> </v>
      </c>
      <c r="H30" s="43" t="str">
        <f ca="1">IFERROR(IF(ISNUMBER($C$30),INDEX('1.Locations'!$K$2:$K$97,$C$30 + 1) +$H$29," ")," ")</f>
        <v xml:space="preserve"> </v>
      </c>
      <c r="I30" s="45" t="str">
        <f ca="1">IFERROR(IF(AND(ISNUMBER($C$30),$C$30&lt;=95),INDEX('2.Distances'!$D$2:$D$9218,$C$29*96+$C$30+ 1) +$I$29," ")," ")</f>
        <v xml:space="preserve"> </v>
      </c>
      <c r="J30" s="46" t="str">
        <f ca="1">IFERROR(IF(AND(ISNUMBER($C$30),$C$30&lt;=95),INDEX('2.Distances'!$D$2:$D$9218,$C$29*96+$C$30+ 1) +$K$29," ")," ")</f>
        <v xml:space="preserve"> </v>
      </c>
      <c r="K30" s="46" t="str">
        <f ca="1">IFERROR(IF(ISNUMBER($J$30),INDEX('1.Locations'!$I$2:$I$97,$C$30 + 1) + MAX($J$30,INDEX('1.Locations'!$F$2:$F$97,$C$30 + 1))," ")," ")</f>
        <v xml:space="preserve"> </v>
      </c>
      <c r="L30" s="45" t="str">
        <f ca="1">IFERROR($L$29 + INDEX('2.Distances'!$D$2:$D$9218,$C$29*96+$C$30+ 1) + INDEX('1.Locations'!$I$2:$I$97,$C$30 + 1)," ")</f>
        <v xml:space="preserve"> </v>
      </c>
      <c r="N30" s="24">
        <v>25</v>
      </c>
      <c r="O30" s="25"/>
      <c r="P30" s="43" t="str">
        <f ca="1">IFERROR(MATCH(INDIRECT("$O$30"),'1.Locations'!$B$2:$B$97, 0) - 1," ")</f>
        <v xml:space="preserve"> </v>
      </c>
      <c r="Q30" s="43" t="e">
        <f ca="1">IFERROR(IF(ISNUMBER($P$30),INDEX('1.Locations'!$D$2:$D$97,$P$30 + 1),NA()),NA())</f>
        <v>#N/A</v>
      </c>
      <c r="R30" s="43" t="e">
        <f ca="1">IFERROR(IF(ISNUMBER($P$30),INDEX('1.Locations'!$E$2:$E$97,$P$30 + 1),NA()),NA())</f>
        <v>#N/A</v>
      </c>
      <c r="S30" s="44" t="str">
        <f ca="1">IFERROR(IF(AND(ISNUMBER($P$30),$P$30&lt;=95),INDEX('2.Distances'!$C$2:$C$9218,$P$29*96+$P$30+ 1) +$S$29," ")," ")</f>
        <v xml:space="preserve"> </v>
      </c>
      <c r="T30" s="43" t="str">
        <f ca="1">IFERROR(IF(ISNUMBER($P$30),INDEX('1.Locations'!$J$2:$J$97,$P$30 + 1) +$T$29," ")," ")</f>
        <v xml:space="preserve"> </v>
      </c>
      <c r="U30" s="43" t="str">
        <f ca="1">IFERROR(IF(ISNUMBER($P$30),INDEX('1.Locations'!$K$2:$K$97,$P$30 + 1) +$U$29," ")," ")</f>
        <v xml:space="preserve"> </v>
      </c>
      <c r="V30" s="45" t="str">
        <f ca="1">IFERROR(IF(AND(ISNUMBER($P$30),$P$30&lt;=95),INDEX('2.Distances'!$D$2:$D$9218,$P$29*96+$P$30+ 1) +$V$29," ")," ")</f>
        <v xml:space="preserve"> </v>
      </c>
      <c r="W30" s="46" t="str">
        <f ca="1">IFERROR(IF(AND(ISNUMBER($P$30),$P$30&lt;=95),INDEX('2.Distances'!$D$2:$D$9218,$P$29*96+$P$30+ 1) +$X$29," ")," ")</f>
        <v xml:space="preserve"> </v>
      </c>
      <c r="X30" s="46" t="str">
        <f ca="1">IFERROR(IF(ISNUMBER($W$30),INDEX('1.Locations'!$I$2:$I$97,$P$30 + 1) + MAX($W$30,INDEX('1.Locations'!$F$2:$F$97,$P$30 + 1))," ")," ")</f>
        <v xml:space="preserve"> </v>
      </c>
      <c r="Y30" s="45" t="str">
        <f ca="1">IFERROR($Y$29 + INDEX('2.Distances'!$D$2:$D$9218,$P$29*96+$P$30+ 1) + INDEX('1.Locations'!$I$2:$I$97,$P$30 + 1)," ")</f>
        <v xml:space="preserve"> </v>
      </c>
      <c r="AA30" s="24">
        <v>25</v>
      </c>
      <c r="AB30" s="25"/>
      <c r="AC30" s="43" t="str">
        <f ca="1">IFERROR(MATCH(INDIRECT("$AB$30"),'1.Locations'!$B$2:$B$97, 0) - 1," ")</f>
        <v xml:space="preserve"> </v>
      </c>
      <c r="AD30" s="43" t="e">
        <f ca="1">IFERROR(IF(ISNUMBER($AC$30),INDEX('1.Locations'!$D$2:$D$97,$AC$30 + 1),NA()),NA())</f>
        <v>#N/A</v>
      </c>
      <c r="AE30" s="43" t="e">
        <f ca="1">IFERROR(IF(ISNUMBER($AC$30),INDEX('1.Locations'!$E$2:$E$97,$AC$30 + 1),NA()),NA())</f>
        <v>#N/A</v>
      </c>
      <c r="AF30" s="44" t="str">
        <f ca="1">IFERROR(IF(AND(ISNUMBER($AC$30),$AC$30&lt;=95),INDEX('2.Distances'!$C$2:$C$9218,$AC$29*96+$AC$30+ 1) +$AF$29," ")," ")</f>
        <v xml:space="preserve"> </v>
      </c>
      <c r="AG30" s="43" t="str">
        <f ca="1">IFERROR(IF(ISNUMBER($AC$30),INDEX('1.Locations'!$J$2:$J$97,$AC$30 + 1) +$AG$29," ")," ")</f>
        <v xml:space="preserve"> </v>
      </c>
      <c r="AH30" s="43" t="str">
        <f ca="1">IFERROR(IF(ISNUMBER($AC$30),INDEX('1.Locations'!$K$2:$K$97,$AC$30 + 1) +$AH$29," ")," ")</f>
        <v xml:space="preserve"> </v>
      </c>
      <c r="AI30" s="45" t="str">
        <f ca="1">IFERROR(IF(AND(ISNUMBER($AC$30),$AC$30&lt;=95),INDEX('2.Distances'!$D$2:$D$9218,$AC$29*96+$AC$30+ 1) +$AI$29," ")," ")</f>
        <v xml:space="preserve"> </v>
      </c>
      <c r="AJ30" s="46" t="str">
        <f ca="1">IFERROR(IF(AND(ISNUMBER($AC$30),$AC$30&lt;=95),INDEX('2.Distances'!$D$2:$D$9218,$AC$29*96+$AC$30+ 1) +$AK$29," ")," ")</f>
        <v xml:space="preserve"> </v>
      </c>
      <c r="AK30" s="46" t="str">
        <f ca="1">IFERROR(IF(ISNUMBER($AJ$30),INDEX('1.Locations'!$I$2:$I$97,$AC$30 + 1) + MAX($AJ$30,INDEX('1.Locations'!$F$2:$F$97,$AC$30 + 1))," ")," ")</f>
        <v xml:space="preserve"> </v>
      </c>
      <c r="AL30" s="45" t="str">
        <f ca="1">IFERROR($AL$29 + INDEX('2.Distances'!$D$2:$D$9218,$AC$29*96+$AC$30+ 1) + INDEX('1.Locations'!$I$2:$I$97,$AC$30 + 1)," ")</f>
        <v xml:space="preserve"> </v>
      </c>
      <c r="AN30" s="24">
        <v>25</v>
      </c>
      <c r="AO30" s="25"/>
      <c r="AP30" s="43" t="str">
        <f ca="1">IFERROR(MATCH(INDIRECT("$AO$30"),'1.Locations'!$B$2:$B$97, 0) - 1," ")</f>
        <v xml:space="preserve"> </v>
      </c>
      <c r="AQ30" s="43" t="e">
        <f ca="1">IFERROR(IF(ISNUMBER($AP$30),INDEX('1.Locations'!$D$2:$D$97,$AP$30 + 1),NA()),NA())</f>
        <v>#N/A</v>
      </c>
      <c r="AR30" s="43" t="e">
        <f ca="1">IFERROR(IF(ISNUMBER($AP$30),INDEX('1.Locations'!$E$2:$E$97,$AP$30 + 1),NA()),NA())</f>
        <v>#N/A</v>
      </c>
      <c r="AS30" s="44" t="str">
        <f ca="1">IFERROR(IF(AND(ISNUMBER($AP$30),$AP$30&lt;=95),INDEX('2.Distances'!$C$2:$C$9218,$AP$29*96+$AP$30+ 1) +$AS$29," ")," ")</f>
        <v xml:space="preserve"> </v>
      </c>
      <c r="AT30" s="43" t="str">
        <f ca="1">IFERROR(IF(ISNUMBER($AP$30),INDEX('1.Locations'!$J$2:$J$97,$AP$30 + 1) +$AT$29," ")," ")</f>
        <v xml:space="preserve"> </v>
      </c>
      <c r="AU30" s="43" t="str">
        <f ca="1">IFERROR(IF(ISNUMBER($AP$30),INDEX('1.Locations'!$K$2:$K$97,$AP$30 + 1) +$AU$29," ")," ")</f>
        <v xml:space="preserve"> </v>
      </c>
      <c r="AV30" s="45" t="str">
        <f ca="1">IFERROR(IF(AND(ISNUMBER($AP$30),$AP$30&lt;=95),INDEX('2.Distances'!$D$2:$D$9218,$AP$29*96+$AP$30+ 1) +$AV$29," ")," ")</f>
        <v xml:space="preserve"> </v>
      </c>
      <c r="AW30" s="46" t="str">
        <f ca="1">IFERROR(IF(AND(ISNUMBER($AP$30),$AP$30&lt;=95),INDEX('2.Distances'!$D$2:$D$9218,$AP$29*96+$AP$30+ 1) +$AX$29," ")," ")</f>
        <v xml:space="preserve"> </v>
      </c>
      <c r="AX30" s="46" t="str">
        <f ca="1">IFERROR(IF(ISNUMBER($AW$30),INDEX('1.Locations'!$I$2:$I$97,$AP$30 + 1) + MAX($AW$30,INDEX('1.Locations'!$F$2:$F$97,$AP$30 + 1))," ")," ")</f>
        <v xml:space="preserve"> </v>
      </c>
      <c r="AY30" s="45" t="str">
        <f ca="1">IFERROR($AY$29 + INDEX('2.Distances'!$D$2:$D$9218,$AP$29*96+$AP$30+ 1) + INDEX('1.Locations'!$I$2:$I$97,$AP$30 + 1)," ")</f>
        <v xml:space="preserve"> </v>
      </c>
      <c r="BA30" s="24">
        <v>25</v>
      </c>
      <c r="BB30" s="25"/>
      <c r="BC30" s="43" t="str">
        <f ca="1">IFERROR(MATCH(INDIRECT("$BB$30"),'1.Locations'!$B$2:$B$97, 0) - 1," ")</f>
        <v xml:space="preserve"> </v>
      </c>
      <c r="BD30" s="43" t="e">
        <f ca="1">IFERROR(IF(ISNUMBER($BC$30),INDEX('1.Locations'!$D$2:$D$97,$BC$30 + 1),NA()),NA())</f>
        <v>#N/A</v>
      </c>
      <c r="BE30" s="43" t="e">
        <f ca="1">IFERROR(IF(ISNUMBER($BC$30),INDEX('1.Locations'!$E$2:$E$97,$BC$30 + 1),NA()),NA())</f>
        <v>#N/A</v>
      </c>
      <c r="BF30" s="44" t="str">
        <f ca="1">IFERROR(IF(AND(ISNUMBER($BC$30),$BC$30&lt;=95),INDEX('2.Distances'!$C$2:$C$9218,$BC$29*96+$BC$30+ 1) +$BF$29," ")," ")</f>
        <v xml:space="preserve"> </v>
      </c>
      <c r="BG30" s="43" t="str">
        <f ca="1">IFERROR(IF(ISNUMBER($BC$30),INDEX('1.Locations'!$J$2:$J$97,$BC$30 + 1) +$BG$29," ")," ")</f>
        <v xml:space="preserve"> </v>
      </c>
      <c r="BH30" s="43" t="str">
        <f ca="1">IFERROR(IF(ISNUMBER($BC$30),INDEX('1.Locations'!$K$2:$K$97,$BC$30 + 1) +$BH$29," ")," ")</f>
        <v xml:space="preserve"> </v>
      </c>
      <c r="BI30" s="45" t="str">
        <f ca="1">IFERROR(IF(AND(ISNUMBER($BC$30),$BC$30&lt;=95),INDEX('2.Distances'!$D$2:$D$9218,$BC$29*96+$BC$30+ 1) +$BI$29," ")," ")</f>
        <v xml:space="preserve"> </v>
      </c>
      <c r="BJ30" s="46" t="str">
        <f ca="1">IFERROR(IF(AND(ISNUMBER($BC$30),$BC$30&lt;=95),INDEX('2.Distances'!$D$2:$D$9218,$BC$29*96+$BC$30+ 1) +$BK$29," ")," ")</f>
        <v xml:space="preserve"> </v>
      </c>
      <c r="BK30" s="46" t="str">
        <f ca="1">IFERROR(IF(ISNUMBER($BJ$30),INDEX('1.Locations'!$I$2:$I$97,$BC$30 + 1) + MAX($BJ$30,INDEX('1.Locations'!$F$2:$F$97,$BC$30 + 1))," ")," ")</f>
        <v xml:space="preserve"> </v>
      </c>
      <c r="BL30" s="45" t="str">
        <f ca="1">IFERROR($BL$29 + INDEX('2.Distances'!$D$2:$D$9218,$BC$29*96+$BC$30+ 1) + INDEX('1.Locations'!$I$2:$I$97,$BC$30 + 1)," ")</f>
        <v xml:space="preserve"> </v>
      </c>
      <c r="BN30" s="24">
        <v>25</v>
      </c>
      <c r="BO30" s="25"/>
      <c r="BP30" s="43" t="str">
        <f ca="1">IFERROR(MATCH(INDIRECT("$BO$30"),'1.Locations'!$B$2:$B$97, 0) - 1," ")</f>
        <v xml:space="preserve"> </v>
      </c>
      <c r="BQ30" s="43" t="e">
        <f ca="1">IFERROR(IF(ISNUMBER($BP$30),INDEX('1.Locations'!$D$2:$D$97,$BP$30 + 1),NA()),NA())</f>
        <v>#N/A</v>
      </c>
      <c r="BR30" s="43" t="e">
        <f ca="1">IFERROR(IF(ISNUMBER($BP$30),INDEX('1.Locations'!$E$2:$E$97,$BP$30 + 1),NA()),NA())</f>
        <v>#N/A</v>
      </c>
      <c r="BS30" s="44" t="str">
        <f ca="1">IFERROR(IF(AND(ISNUMBER($BP$30),$BP$30&lt;=95),INDEX('2.Distances'!$C$2:$C$9218,$BP$29*96+$BP$30+ 1) +$BS$29," ")," ")</f>
        <v xml:space="preserve"> </v>
      </c>
      <c r="BT30" s="43" t="str">
        <f ca="1">IFERROR(IF(ISNUMBER($BP$30),INDEX('1.Locations'!$J$2:$J$97,$BP$30 + 1) +$BT$29," ")," ")</f>
        <v xml:space="preserve"> </v>
      </c>
      <c r="BU30" s="43" t="str">
        <f ca="1">IFERROR(IF(ISNUMBER($BP$30),INDEX('1.Locations'!$K$2:$K$97,$BP$30 + 1) +$BU$29," ")," ")</f>
        <v xml:space="preserve"> </v>
      </c>
      <c r="BV30" s="45" t="str">
        <f ca="1">IFERROR(IF(AND(ISNUMBER($BP$30),$BP$30&lt;=95),INDEX('2.Distances'!$D$2:$D$9218,$BP$29*96+$BP$30+ 1) +$BV$29," ")," ")</f>
        <v xml:space="preserve"> </v>
      </c>
      <c r="BW30" s="46" t="str">
        <f ca="1">IFERROR(IF(AND(ISNUMBER($BP$30),$BP$30&lt;=95),INDEX('2.Distances'!$D$2:$D$9218,$BP$29*96+$BP$30+ 1) +$BX$29," ")," ")</f>
        <v xml:space="preserve"> </v>
      </c>
      <c r="BX30" s="46" t="str">
        <f ca="1">IFERROR(IF(ISNUMBER($BW$30),INDEX('1.Locations'!$I$2:$I$97,$BP$30 + 1) + MAX($BW$30,INDEX('1.Locations'!$F$2:$F$97,$BP$30 + 1))," ")," ")</f>
        <v xml:space="preserve"> </v>
      </c>
      <c r="BY30" s="45" t="str">
        <f ca="1">IFERROR($BY$29 + INDEX('2.Distances'!$D$2:$D$9218,$BP$29*96+$BP$30+ 1) + INDEX('1.Locations'!$I$2:$I$97,$BP$30 + 1)," ")</f>
        <v xml:space="preserve"> </v>
      </c>
      <c r="CA30" s="24">
        <v>25</v>
      </c>
      <c r="CB30" s="25"/>
      <c r="CC30" s="43" t="str">
        <f ca="1">IFERROR(MATCH(INDIRECT("$CB$30"),'1.Locations'!$B$2:$B$97, 0) - 1," ")</f>
        <v xml:space="preserve"> </v>
      </c>
      <c r="CD30" s="43" t="e">
        <f ca="1">IFERROR(IF(ISNUMBER($CC$30),INDEX('1.Locations'!$D$2:$D$97,$CC$30 + 1),NA()),NA())</f>
        <v>#N/A</v>
      </c>
      <c r="CE30" s="43" t="e">
        <f ca="1">IFERROR(IF(ISNUMBER($CC$30),INDEX('1.Locations'!$E$2:$E$97,$CC$30 + 1),NA()),NA())</f>
        <v>#N/A</v>
      </c>
      <c r="CF30" s="44" t="str">
        <f ca="1">IFERROR(IF(AND(ISNUMBER($CC$30),$CC$30&lt;=95),INDEX('2.Distances'!$C$2:$C$9218,$CC$29*96+$CC$30+ 1) +$CF$29," ")," ")</f>
        <v xml:space="preserve"> </v>
      </c>
      <c r="CG30" s="43" t="str">
        <f ca="1">IFERROR(IF(ISNUMBER($CC$30),INDEX('1.Locations'!$J$2:$J$97,$CC$30 + 1) +$CG$29," ")," ")</f>
        <v xml:space="preserve"> </v>
      </c>
      <c r="CH30" s="43" t="str">
        <f ca="1">IFERROR(IF(ISNUMBER($CC$30),INDEX('1.Locations'!$K$2:$K$97,$CC$30 + 1) +$CH$29," ")," ")</f>
        <v xml:space="preserve"> </v>
      </c>
      <c r="CI30" s="45" t="str">
        <f ca="1">IFERROR(IF(AND(ISNUMBER($CC$30),$CC$30&lt;=95),INDEX('2.Distances'!$D$2:$D$9218,$CC$29*96+$CC$30+ 1) +$CI$29," ")," ")</f>
        <v xml:space="preserve"> </v>
      </c>
      <c r="CJ30" s="46" t="str">
        <f ca="1">IFERROR(IF(AND(ISNUMBER($CC$30),$CC$30&lt;=95),INDEX('2.Distances'!$D$2:$D$9218,$CC$29*96+$CC$30+ 1) +$CK$29," ")," ")</f>
        <v xml:space="preserve"> </v>
      </c>
      <c r="CK30" s="46" t="str">
        <f ca="1">IFERROR(IF(ISNUMBER($CJ$30),INDEX('1.Locations'!$I$2:$I$97,$CC$30 + 1) + MAX($CJ$30,INDEX('1.Locations'!$F$2:$F$97,$CC$30 + 1))," ")," ")</f>
        <v xml:space="preserve"> </v>
      </c>
      <c r="CL30" s="45" t="str">
        <f ca="1">IFERROR($CL$29 + INDEX('2.Distances'!$D$2:$D$9218,$CC$29*96+$CC$30+ 1) + INDEX('1.Locations'!$I$2:$I$97,$CC$30 + 1)," ")</f>
        <v xml:space="preserve"> </v>
      </c>
    </row>
    <row r="31" spans="1:90" x14ac:dyDescent="0.25">
      <c r="A31" s="24">
        <v>26</v>
      </c>
      <c r="B31" s="25"/>
      <c r="C31" s="43" t="str">
        <f ca="1">IFERROR(MATCH(INDIRECT("$B$31"),'1.Locations'!$B$2:$B$97, 0) - 1," ")</f>
        <v xml:space="preserve"> </v>
      </c>
      <c r="D31" s="43" t="e">
        <f ca="1">IFERROR(IF(ISNUMBER($C$31),INDEX('1.Locations'!$D$2:$D$97,$C$31 + 1),NA()),NA())</f>
        <v>#N/A</v>
      </c>
      <c r="E31" s="43" t="e">
        <f ca="1">IFERROR(IF(ISNUMBER($C$31),INDEX('1.Locations'!$E$2:$E$97,$C$31 + 1),NA()),NA())</f>
        <v>#N/A</v>
      </c>
      <c r="F31" s="44" t="str">
        <f ca="1">IFERROR(IF(AND(ISNUMBER($C$31),$C$31&lt;=95),INDEX('2.Distances'!$C$2:$C$9218,$C$30*96+$C$31+ 1) +$F$30," ")," ")</f>
        <v xml:space="preserve"> </v>
      </c>
      <c r="G31" s="43" t="str">
        <f ca="1">IFERROR(IF(ISNUMBER($C$31),INDEX('1.Locations'!$J$2:$J$97,$C$31 + 1) +$G$30," ")," ")</f>
        <v xml:space="preserve"> </v>
      </c>
      <c r="H31" s="43" t="str">
        <f ca="1">IFERROR(IF(ISNUMBER($C$31),INDEX('1.Locations'!$K$2:$K$97,$C$31 + 1) +$H$30," ")," ")</f>
        <v xml:space="preserve"> </v>
      </c>
      <c r="I31" s="45" t="str">
        <f ca="1">IFERROR(IF(AND(ISNUMBER($C$31),$C$31&lt;=95),INDEX('2.Distances'!$D$2:$D$9218,$C$30*96+$C$31+ 1) +$I$30," ")," ")</f>
        <v xml:space="preserve"> </v>
      </c>
      <c r="J31" s="46" t="str">
        <f ca="1">IFERROR(IF(AND(ISNUMBER($C$31),$C$31&lt;=95),INDEX('2.Distances'!$D$2:$D$9218,$C$30*96+$C$31+ 1) +$K$30," ")," ")</f>
        <v xml:space="preserve"> </v>
      </c>
      <c r="K31" s="46" t="str">
        <f ca="1">IFERROR(IF(ISNUMBER($J$31),INDEX('1.Locations'!$I$2:$I$97,$C$31 + 1) + MAX($J$31,INDEX('1.Locations'!$F$2:$F$97,$C$31 + 1))," ")," ")</f>
        <v xml:space="preserve"> </v>
      </c>
      <c r="L31" s="45" t="str">
        <f ca="1">IFERROR($L$30 + INDEX('2.Distances'!$D$2:$D$9218,$C$30*96+$C$31+ 1) + INDEX('1.Locations'!$I$2:$I$97,$C$31 + 1)," ")</f>
        <v xml:space="preserve"> </v>
      </c>
      <c r="N31" s="24">
        <v>26</v>
      </c>
      <c r="O31" s="25"/>
      <c r="P31" s="43" t="str">
        <f ca="1">IFERROR(MATCH(INDIRECT("$O$31"),'1.Locations'!$B$2:$B$97, 0) - 1," ")</f>
        <v xml:space="preserve"> </v>
      </c>
      <c r="Q31" s="43" t="e">
        <f ca="1">IFERROR(IF(ISNUMBER($P$31),INDEX('1.Locations'!$D$2:$D$97,$P$31 + 1),NA()),NA())</f>
        <v>#N/A</v>
      </c>
      <c r="R31" s="43" t="e">
        <f ca="1">IFERROR(IF(ISNUMBER($P$31),INDEX('1.Locations'!$E$2:$E$97,$P$31 + 1),NA()),NA())</f>
        <v>#N/A</v>
      </c>
      <c r="S31" s="44" t="str">
        <f ca="1">IFERROR(IF(AND(ISNUMBER($P$31),$P$31&lt;=95),INDEX('2.Distances'!$C$2:$C$9218,$P$30*96+$P$31+ 1) +$S$30," ")," ")</f>
        <v xml:space="preserve"> </v>
      </c>
      <c r="T31" s="43" t="str">
        <f ca="1">IFERROR(IF(ISNUMBER($P$31),INDEX('1.Locations'!$J$2:$J$97,$P$31 + 1) +$T$30," ")," ")</f>
        <v xml:space="preserve"> </v>
      </c>
      <c r="U31" s="43" t="str">
        <f ca="1">IFERROR(IF(ISNUMBER($P$31),INDEX('1.Locations'!$K$2:$K$97,$P$31 + 1) +$U$30," ")," ")</f>
        <v xml:space="preserve"> </v>
      </c>
      <c r="V31" s="45" t="str">
        <f ca="1">IFERROR(IF(AND(ISNUMBER($P$31),$P$31&lt;=95),INDEX('2.Distances'!$D$2:$D$9218,$P$30*96+$P$31+ 1) +$V$30," ")," ")</f>
        <v xml:space="preserve"> </v>
      </c>
      <c r="W31" s="46" t="str">
        <f ca="1">IFERROR(IF(AND(ISNUMBER($P$31),$P$31&lt;=95),INDEX('2.Distances'!$D$2:$D$9218,$P$30*96+$P$31+ 1) +$X$30," ")," ")</f>
        <v xml:space="preserve"> </v>
      </c>
      <c r="X31" s="46" t="str">
        <f ca="1">IFERROR(IF(ISNUMBER($W$31),INDEX('1.Locations'!$I$2:$I$97,$P$31 + 1) + MAX($W$31,INDEX('1.Locations'!$F$2:$F$97,$P$31 + 1))," ")," ")</f>
        <v xml:space="preserve"> </v>
      </c>
      <c r="Y31" s="45" t="str">
        <f ca="1">IFERROR($Y$30 + INDEX('2.Distances'!$D$2:$D$9218,$P$30*96+$P$31+ 1) + INDEX('1.Locations'!$I$2:$I$97,$P$31 + 1)," ")</f>
        <v xml:space="preserve"> </v>
      </c>
      <c r="AA31" s="24">
        <v>26</v>
      </c>
      <c r="AB31" s="25"/>
      <c r="AC31" s="43" t="str">
        <f ca="1">IFERROR(MATCH(INDIRECT("$AB$31"),'1.Locations'!$B$2:$B$97, 0) - 1," ")</f>
        <v xml:space="preserve"> </v>
      </c>
      <c r="AD31" s="43" t="e">
        <f ca="1">IFERROR(IF(ISNUMBER($AC$31),INDEX('1.Locations'!$D$2:$D$97,$AC$31 + 1),NA()),NA())</f>
        <v>#N/A</v>
      </c>
      <c r="AE31" s="43" t="e">
        <f ca="1">IFERROR(IF(ISNUMBER($AC$31),INDEX('1.Locations'!$E$2:$E$97,$AC$31 + 1),NA()),NA())</f>
        <v>#N/A</v>
      </c>
      <c r="AF31" s="44" t="str">
        <f ca="1">IFERROR(IF(AND(ISNUMBER($AC$31),$AC$31&lt;=95),INDEX('2.Distances'!$C$2:$C$9218,$AC$30*96+$AC$31+ 1) +$AF$30," ")," ")</f>
        <v xml:space="preserve"> </v>
      </c>
      <c r="AG31" s="43" t="str">
        <f ca="1">IFERROR(IF(ISNUMBER($AC$31),INDEX('1.Locations'!$J$2:$J$97,$AC$31 + 1) +$AG$30," ")," ")</f>
        <v xml:space="preserve"> </v>
      </c>
      <c r="AH31" s="43" t="str">
        <f ca="1">IFERROR(IF(ISNUMBER($AC$31),INDEX('1.Locations'!$K$2:$K$97,$AC$31 + 1) +$AH$30," ")," ")</f>
        <v xml:space="preserve"> </v>
      </c>
      <c r="AI31" s="45" t="str">
        <f ca="1">IFERROR(IF(AND(ISNUMBER($AC$31),$AC$31&lt;=95),INDEX('2.Distances'!$D$2:$D$9218,$AC$30*96+$AC$31+ 1) +$AI$30," ")," ")</f>
        <v xml:space="preserve"> </v>
      </c>
      <c r="AJ31" s="46" t="str">
        <f ca="1">IFERROR(IF(AND(ISNUMBER($AC$31),$AC$31&lt;=95),INDEX('2.Distances'!$D$2:$D$9218,$AC$30*96+$AC$31+ 1) +$AK$30," ")," ")</f>
        <v xml:space="preserve"> </v>
      </c>
      <c r="AK31" s="46" t="str">
        <f ca="1">IFERROR(IF(ISNUMBER($AJ$31),INDEX('1.Locations'!$I$2:$I$97,$AC$31 + 1) + MAX($AJ$31,INDEX('1.Locations'!$F$2:$F$97,$AC$31 + 1))," ")," ")</f>
        <v xml:space="preserve"> </v>
      </c>
      <c r="AL31" s="45" t="str">
        <f ca="1">IFERROR($AL$30 + INDEX('2.Distances'!$D$2:$D$9218,$AC$30*96+$AC$31+ 1) + INDEX('1.Locations'!$I$2:$I$97,$AC$31 + 1)," ")</f>
        <v xml:space="preserve"> </v>
      </c>
      <c r="AN31" s="24">
        <v>26</v>
      </c>
      <c r="AO31" s="25"/>
      <c r="AP31" s="43" t="str">
        <f ca="1">IFERROR(MATCH(INDIRECT("$AO$31"),'1.Locations'!$B$2:$B$97, 0) - 1," ")</f>
        <v xml:space="preserve"> </v>
      </c>
      <c r="AQ31" s="43" t="e">
        <f ca="1">IFERROR(IF(ISNUMBER($AP$31),INDEX('1.Locations'!$D$2:$D$97,$AP$31 + 1),NA()),NA())</f>
        <v>#N/A</v>
      </c>
      <c r="AR31" s="43" t="e">
        <f ca="1">IFERROR(IF(ISNUMBER($AP$31),INDEX('1.Locations'!$E$2:$E$97,$AP$31 + 1),NA()),NA())</f>
        <v>#N/A</v>
      </c>
      <c r="AS31" s="44" t="str">
        <f ca="1">IFERROR(IF(AND(ISNUMBER($AP$31),$AP$31&lt;=95),INDEX('2.Distances'!$C$2:$C$9218,$AP$30*96+$AP$31+ 1) +$AS$30," ")," ")</f>
        <v xml:space="preserve"> </v>
      </c>
      <c r="AT31" s="43" t="str">
        <f ca="1">IFERROR(IF(ISNUMBER($AP$31),INDEX('1.Locations'!$J$2:$J$97,$AP$31 + 1) +$AT$30," ")," ")</f>
        <v xml:space="preserve"> </v>
      </c>
      <c r="AU31" s="43" t="str">
        <f ca="1">IFERROR(IF(ISNUMBER($AP$31),INDEX('1.Locations'!$K$2:$K$97,$AP$31 + 1) +$AU$30," ")," ")</f>
        <v xml:space="preserve"> </v>
      </c>
      <c r="AV31" s="45" t="str">
        <f ca="1">IFERROR(IF(AND(ISNUMBER($AP$31),$AP$31&lt;=95),INDEX('2.Distances'!$D$2:$D$9218,$AP$30*96+$AP$31+ 1) +$AV$30," ")," ")</f>
        <v xml:space="preserve"> </v>
      </c>
      <c r="AW31" s="46" t="str">
        <f ca="1">IFERROR(IF(AND(ISNUMBER($AP$31),$AP$31&lt;=95),INDEX('2.Distances'!$D$2:$D$9218,$AP$30*96+$AP$31+ 1) +$AX$30," ")," ")</f>
        <v xml:space="preserve"> </v>
      </c>
      <c r="AX31" s="46" t="str">
        <f ca="1">IFERROR(IF(ISNUMBER($AW$31),INDEX('1.Locations'!$I$2:$I$97,$AP$31 + 1) + MAX($AW$31,INDEX('1.Locations'!$F$2:$F$97,$AP$31 + 1))," ")," ")</f>
        <v xml:space="preserve"> </v>
      </c>
      <c r="AY31" s="45" t="str">
        <f ca="1">IFERROR($AY$30 + INDEX('2.Distances'!$D$2:$D$9218,$AP$30*96+$AP$31+ 1) + INDEX('1.Locations'!$I$2:$I$97,$AP$31 + 1)," ")</f>
        <v xml:space="preserve"> </v>
      </c>
      <c r="BA31" s="24">
        <v>26</v>
      </c>
      <c r="BB31" s="25"/>
      <c r="BC31" s="43" t="str">
        <f ca="1">IFERROR(MATCH(INDIRECT("$BB$31"),'1.Locations'!$B$2:$B$97, 0) - 1," ")</f>
        <v xml:space="preserve"> </v>
      </c>
      <c r="BD31" s="43" t="e">
        <f ca="1">IFERROR(IF(ISNUMBER($BC$31),INDEX('1.Locations'!$D$2:$D$97,$BC$31 + 1),NA()),NA())</f>
        <v>#N/A</v>
      </c>
      <c r="BE31" s="43" t="e">
        <f ca="1">IFERROR(IF(ISNUMBER($BC$31),INDEX('1.Locations'!$E$2:$E$97,$BC$31 + 1),NA()),NA())</f>
        <v>#N/A</v>
      </c>
      <c r="BF31" s="44" t="str">
        <f ca="1">IFERROR(IF(AND(ISNUMBER($BC$31),$BC$31&lt;=95),INDEX('2.Distances'!$C$2:$C$9218,$BC$30*96+$BC$31+ 1) +$BF$30," ")," ")</f>
        <v xml:space="preserve"> </v>
      </c>
      <c r="BG31" s="43" t="str">
        <f ca="1">IFERROR(IF(ISNUMBER($BC$31),INDEX('1.Locations'!$J$2:$J$97,$BC$31 + 1) +$BG$30," ")," ")</f>
        <v xml:space="preserve"> </v>
      </c>
      <c r="BH31" s="43" t="str">
        <f ca="1">IFERROR(IF(ISNUMBER($BC$31),INDEX('1.Locations'!$K$2:$K$97,$BC$31 + 1) +$BH$30," ")," ")</f>
        <v xml:space="preserve"> </v>
      </c>
      <c r="BI31" s="45" t="str">
        <f ca="1">IFERROR(IF(AND(ISNUMBER($BC$31),$BC$31&lt;=95),INDEX('2.Distances'!$D$2:$D$9218,$BC$30*96+$BC$31+ 1) +$BI$30," ")," ")</f>
        <v xml:space="preserve"> </v>
      </c>
      <c r="BJ31" s="46" t="str">
        <f ca="1">IFERROR(IF(AND(ISNUMBER($BC$31),$BC$31&lt;=95),INDEX('2.Distances'!$D$2:$D$9218,$BC$30*96+$BC$31+ 1) +$BK$30," ")," ")</f>
        <v xml:space="preserve"> </v>
      </c>
      <c r="BK31" s="46" t="str">
        <f ca="1">IFERROR(IF(ISNUMBER($BJ$31),INDEX('1.Locations'!$I$2:$I$97,$BC$31 + 1) + MAX($BJ$31,INDEX('1.Locations'!$F$2:$F$97,$BC$31 + 1))," ")," ")</f>
        <v xml:space="preserve"> </v>
      </c>
      <c r="BL31" s="45" t="str">
        <f ca="1">IFERROR($BL$30 + INDEX('2.Distances'!$D$2:$D$9218,$BC$30*96+$BC$31+ 1) + INDEX('1.Locations'!$I$2:$I$97,$BC$31 + 1)," ")</f>
        <v xml:space="preserve"> </v>
      </c>
      <c r="BN31" s="24">
        <v>26</v>
      </c>
      <c r="BO31" s="25"/>
      <c r="BP31" s="43" t="str">
        <f ca="1">IFERROR(MATCH(INDIRECT("$BO$31"),'1.Locations'!$B$2:$B$97, 0) - 1," ")</f>
        <v xml:space="preserve"> </v>
      </c>
      <c r="BQ31" s="43" t="e">
        <f ca="1">IFERROR(IF(ISNUMBER($BP$31),INDEX('1.Locations'!$D$2:$D$97,$BP$31 + 1),NA()),NA())</f>
        <v>#N/A</v>
      </c>
      <c r="BR31" s="43" t="e">
        <f ca="1">IFERROR(IF(ISNUMBER($BP$31),INDEX('1.Locations'!$E$2:$E$97,$BP$31 + 1),NA()),NA())</f>
        <v>#N/A</v>
      </c>
      <c r="BS31" s="44" t="str">
        <f ca="1">IFERROR(IF(AND(ISNUMBER($BP$31),$BP$31&lt;=95),INDEX('2.Distances'!$C$2:$C$9218,$BP$30*96+$BP$31+ 1) +$BS$30," ")," ")</f>
        <v xml:space="preserve"> </v>
      </c>
      <c r="BT31" s="43" t="str">
        <f ca="1">IFERROR(IF(ISNUMBER($BP$31),INDEX('1.Locations'!$J$2:$J$97,$BP$31 + 1) +$BT$30," ")," ")</f>
        <v xml:space="preserve"> </v>
      </c>
      <c r="BU31" s="43" t="str">
        <f ca="1">IFERROR(IF(ISNUMBER($BP$31),INDEX('1.Locations'!$K$2:$K$97,$BP$31 + 1) +$BU$30," ")," ")</f>
        <v xml:space="preserve"> </v>
      </c>
      <c r="BV31" s="45" t="str">
        <f ca="1">IFERROR(IF(AND(ISNUMBER($BP$31),$BP$31&lt;=95),INDEX('2.Distances'!$D$2:$D$9218,$BP$30*96+$BP$31+ 1) +$BV$30," ")," ")</f>
        <v xml:space="preserve"> </v>
      </c>
      <c r="BW31" s="46" t="str">
        <f ca="1">IFERROR(IF(AND(ISNUMBER($BP$31),$BP$31&lt;=95),INDEX('2.Distances'!$D$2:$D$9218,$BP$30*96+$BP$31+ 1) +$BX$30," ")," ")</f>
        <v xml:space="preserve"> </v>
      </c>
      <c r="BX31" s="46" t="str">
        <f ca="1">IFERROR(IF(ISNUMBER($BW$31),INDEX('1.Locations'!$I$2:$I$97,$BP$31 + 1) + MAX($BW$31,INDEX('1.Locations'!$F$2:$F$97,$BP$31 + 1))," ")," ")</f>
        <v xml:space="preserve"> </v>
      </c>
      <c r="BY31" s="45" t="str">
        <f ca="1">IFERROR($BY$30 + INDEX('2.Distances'!$D$2:$D$9218,$BP$30*96+$BP$31+ 1) + INDEX('1.Locations'!$I$2:$I$97,$BP$31 + 1)," ")</f>
        <v xml:space="preserve"> </v>
      </c>
      <c r="CA31" s="24">
        <v>26</v>
      </c>
      <c r="CB31" s="25"/>
      <c r="CC31" s="43" t="str">
        <f ca="1">IFERROR(MATCH(INDIRECT("$CB$31"),'1.Locations'!$B$2:$B$97, 0) - 1," ")</f>
        <v xml:space="preserve"> </v>
      </c>
      <c r="CD31" s="43" t="e">
        <f ca="1">IFERROR(IF(ISNUMBER($CC$31),INDEX('1.Locations'!$D$2:$D$97,$CC$31 + 1),NA()),NA())</f>
        <v>#N/A</v>
      </c>
      <c r="CE31" s="43" t="e">
        <f ca="1">IFERROR(IF(ISNUMBER($CC$31),INDEX('1.Locations'!$E$2:$E$97,$CC$31 + 1),NA()),NA())</f>
        <v>#N/A</v>
      </c>
      <c r="CF31" s="44" t="str">
        <f ca="1">IFERROR(IF(AND(ISNUMBER($CC$31),$CC$31&lt;=95),INDEX('2.Distances'!$C$2:$C$9218,$CC$30*96+$CC$31+ 1) +$CF$30," ")," ")</f>
        <v xml:space="preserve"> </v>
      </c>
      <c r="CG31" s="43" t="str">
        <f ca="1">IFERROR(IF(ISNUMBER($CC$31),INDEX('1.Locations'!$J$2:$J$97,$CC$31 + 1) +$CG$30," ")," ")</f>
        <v xml:space="preserve"> </v>
      </c>
      <c r="CH31" s="43" t="str">
        <f ca="1">IFERROR(IF(ISNUMBER($CC$31),INDEX('1.Locations'!$K$2:$K$97,$CC$31 + 1) +$CH$30," ")," ")</f>
        <v xml:space="preserve"> </v>
      </c>
      <c r="CI31" s="45" t="str">
        <f ca="1">IFERROR(IF(AND(ISNUMBER($CC$31),$CC$31&lt;=95),INDEX('2.Distances'!$D$2:$D$9218,$CC$30*96+$CC$31+ 1) +$CI$30," ")," ")</f>
        <v xml:space="preserve"> </v>
      </c>
      <c r="CJ31" s="46" t="str">
        <f ca="1">IFERROR(IF(AND(ISNUMBER($CC$31),$CC$31&lt;=95),INDEX('2.Distances'!$D$2:$D$9218,$CC$30*96+$CC$31+ 1) +$CK$30," ")," ")</f>
        <v xml:space="preserve"> </v>
      </c>
      <c r="CK31" s="46" t="str">
        <f ca="1">IFERROR(IF(ISNUMBER($CJ$31),INDEX('1.Locations'!$I$2:$I$97,$CC$31 + 1) + MAX($CJ$31,INDEX('1.Locations'!$F$2:$F$97,$CC$31 + 1))," ")," ")</f>
        <v xml:space="preserve"> </v>
      </c>
      <c r="CL31" s="45" t="str">
        <f ca="1">IFERROR($CL$30 + INDEX('2.Distances'!$D$2:$D$9218,$CC$30*96+$CC$31+ 1) + INDEX('1.Locations'!$I$2:$I$97,$CC$31 + 1)," ")</f>
        <v xml:space="preserve"> </v>
      </c>
    </row>
    <row r="32" spans="1:90" x14ac:dyDescent="0.25">
      <c r="A32" s="24">
        <v>27</v>
      </c>
      <c r="B32" s="25"/>
      <c r="C32" s="43" t="str">
        <f ca="1">IFERROR(MATCH(INDIRECT("$B$32"),'1.Locations'!$B$2:$B$97, 0) - 1," ")</f>
        <v xml:space="preserve"> </v>
      </c>
      <c r="D32" s="43" t="e">
        <f ca="1">IFERROR(IF(ISNUMBER($C$32),INDEX('1.Locations'!$D$2:$D$97,$C$32 + 1),NA()),NA())</f>
        <v>#N/A</v>
      </c>
      <c r="E32" s="43" t="e">
        <f ca="1">IFERROR(IF(ISNUMBER($C$32),INDEX('1.Locations'!$E$2:$E$97,$C$32 + 1),NA()),NA())</f>
        <v>#N/A</v>
      </c>
      <c r="F32" s="44" t="str">
        <f ca="1">IFERROR(IF(AND(ISNUMBER($C$32),$C$32&lt;=95),INDEX('2.Distances'!$C$2:$C$9218,$C$31*96+$C$32+ 1) +$F$31," ")," ")</f>
        <v xml:space="preserve"> </v>
      </c>
      <c r="G32" s="43" t="str">
        <f ca="1">IFERROR(IF(ISNUMBER($C$32),INDEX('1.Locations'!$J$2:$J$97,$C$32 + 1) +$G$31," ")," ")</f>
        <v xml:space="preserve"> </v>
      </c>
      <c r="H32" s="43" t="str">
        <f ca="1">IFERROR(IF(ISNUMBER($C$32),INDEX('1.Locations'!$K$2:$K$97,$C$32 + 1) +$H$31," ")," ")</f>
        <v xml:space="preserve"> </v>
      </c>
      <c r="I32" s="45" t="str">
        <f ca="1">IFERROR(IF(AND(ISNUMBER($C$32),$C$32&lt;=95),INDEX('2.Distances'!$D$2:$D$9218,$C$31*96+$C$32+ 1) +$I$31," ")," ")</f>
        <v xml:space="preserve"> </v>
      </c>
      <c r="J32" s="46" t="str">
        <f ca="1">IFERROR(IF(AND(ISNUMBER($C$32),$C$32&lt;=95),INDEX('2.Distances'!$D$2:$D$9218,$C$31*96+$C$32+ 1) +$K$31," ")," ")</f>
        <v xml:space="preserve"> </v>
      </c>
      <c r="K32" s="46" t="str">
        <f ca="1">IFERROR(IF(ISNUMBER($J$32),INDEX('1.Locations'!$I$2:$I$97,$C$32 + 1) + MAX($J$32,INDEX('1.Locations'!$F$2:$F$97,$C$32 + 1))," ")," ")</f>
        <v xml:space="preserve"> </v>
      </c>
      <c r="L32" s="45" t="str">
        <f ca="1">IFERROR($L$31 + INDEX('2.Distances'!$D$2:$D$9218,$C$31*96+$C$32+ 1) + INDEX('1.Locations'!$I$2:$I$97,$C$32 + 1)," ")</f>
        <v xml:space="preserve"> </v>
      </c>
      <c r="N32" s="24">
        <v>27</v>
      </c>
      <c r="O32" s="25"/>
      <c r="P32" s="43" t="str">
        <f ca="1">IFERROR(MATCH(INDIRECT("$O$32"),'1.Locations'!$B$2:$B$97, 0) - 1," ")</f>
        <v xml:space="preserve"> </v>
      </c>
      <c r="Q32" s="43" t="e">
        <f ca="1">IFERROR(IF(ISNUMBER($P$32),INDEX('1.Locations'!$D$2:$D$97,$P$32 + 1),NA()),NA())</f>
        <v>#N/A</v>
      </c>
      <c r="R32" s="43" t="e">
        <f ca="1">IFERROR(IF(ISNUMBER($P$32),INDEX('1.Locations'!$E$2:$E$97,$P$32 + 1),NA()),NA())</f>
        <v>#N/A</v>
      </c>
      <c r="S32" s="44" t="str">
        <f ca="1">IFERROR(IF(AND(ISNUMBER($P$32),$P$32&lt;=95),INDEX('2.Distances'!$C$2:$C$9218,$P$31*96+$P$32+ 1) +$S$31," ")," ")</f>
        <v xml:space="preserve"> </v>
      </c>
      <c r="T32" s="43" t="str">
        <f ca="1">IFERROR(IF(ISNUMBER($P$32),INDEX('1.Locations'!$J$2:$J$97,$P$32 + 1) +$T$31," ")," ")</f>
        <v xml:space="preserve"> </v>
      </c>
      <c r="U32" s="43" t="str">
        <f ca="1">IFERROR(IF(ISNUMBER($P$32),INDEX('1.Locations'!$K$2:$K$97,$P$32 + 1) +$U$31," ")," ")</f>
        <v xml:space="preserve"> </v>
      </c>
      <c r="V32" s="45" t="str">
        <f ca="1">IFERROR(IF(AND(ISNUMBER($P$32),$P$32&lt;=95),INDEX('2.Distances'!$D$2:$D$9218,$P$31*96+$P$32+ 1) +$V$31," ")," ")</f>
        <v xml:space="preserve"> </v>
      </c>
      <c r="W32" s="46" t="str">
        <f ca="1">IFERROR(IF(AND(ISNUMBER($P$32),$P$32&lt;=95),INDEX('2.Distances'!$D$2:$D$9218,$P$31*96+$P$32+ 1) +$X$31," ")," ")</f>
        <v xml:space="preserve"> </v>
      </c>
      <c r="X32" s="46" t="str">
        <f ca="1">IFERROR(IF(ISNUMBER($W$32),INDEX('1.Locations'!$I$2:$I$97,$P$32 + 1) + MAX($W$32,INDEX('1.Locations'!$F$2:$F$97,$P$32 + 1))," ")," ")</f>
        <v xml:space="preserve"> </v>
      </c>
      <c r="Y32" s="45" t="str">
        <f ca="1">IFERROR($Y$31 + INDEX('2.Distances'!$D$2:$D$9218,$P$31*96+$P$32+ 1) + INDEX('1.Locations'!$I$2:$I$97,$P$32 + 1)," ")</f>
        <v xml:space="preserve"> </v>
      </c>
      <c r="AA32" s="24">
        <v>27</v>
      </c>
      <c r="AB32" s="25"/>
      <c r="AC32" s="43" t="str">
        <f ca="1">IFERROR(MATCH(INDIRECT("$AB$32"),'1.Locations'!$B$2:$B$97, 0) - 1," ")</f>
        <v xml:space="preserve"> </v>
      </c>
      <c r="AD32" s="43" t="e">
        <f ca="1">IFERROR(IF(ISNUMBER($AC$32),INDEX('1.Locations'!$D$2:$D$97,$AC$32 + 1),NA()),NA())</f>
        <v>#N/A</v>
      </c>
      <c r="AE32" s="43" t="e">
        <f ca="1">IFERROR(IF(ISNUMBER($AC$32),INDEX('1.Locations'!$E$2:$E$97,$AC$32 + 1),NA()),NA())</f>
        <v>#N/A</v>
      </c>
      <c r="AF32" s="44" t="str">
        <f ca="1">IFERROR(IF(AND(ISNUMBER($AC$32),$AC$32&lt;=95),INDEX('2.Distances'!$C$2:$C$9218,$AC$31*96+$AC$32+ 1) +$AF$31," ")," ")</f>
        <v xml:space="preserve"> </v>
      </c>
      <c r="AG32" s="43" t="str">
        <f ca="1">IFERROR(IF(ISNUMBER($AC$32),INDEX('1.Locations'!$J$2:$J$97,$AC$32 + 1) +$AG$31," ")," ")</f>
        <v xml:space="preserve"> </v>
      </c>
      <c r="AH32" s="43" t="str">
        <f ca="1">IFERROR(IF(ISNUMBER($AC$32),INDEX('1.Locations'!$K$2:$K$97,$AC$32 + 1) +$AH$31," ")," ")</f>
        <v xml:space="preserve"> </v>
      </c>
      <c r="AI32" s="45" t="str">
        <f ca="1">IFERROR(IF(AND(ISNUMBER($AC$32),$AC$32&lt;=95),INDEX('2.Distances'!$D$2:$D$9218,$AC$31*96+$AC$32+ 1) +$AI$31," ")," ")</f>
        <v xml:space="preserve"> </v>
      </c>
      <c r="AJ32" s="46" t="str">
        <f ca="1">IFERROR(IF(AND(ISNUMBER($AC$32),$AC$32&lt;=95),INDEX('2.Distances'!$D$2:$D$9218,$AC$31*96+$AC$32+ 1) +$AK$31," ")," ")</f>
        <v xml:space="preserve"> </v>
      </c>
      <c r="AK32" s="46" t="str">
        <f ca="1">IFERROR(IF(ISNUMBER($AJ$32),INDEX('1.Locations'!$I$2:$I$97,$AC$32 + 1) + MAX($AJ$32,INDEX('1.Locations'!$F$2:$F$97,$AC$32 + 1))," ")," ")</f>
        <v xml:space="preserve"> </v>
      </c>
      <c r="AL32" s="45" t="str">
        <f ca="1">IFERROR($AL$31 + INDEX('2.Distances'!$D$2:$D$9218,$AC$31*96+$AC$32+ 1) + INDEX('1.Locations'!$I$2:$I$97,$AC$32 + 1)," ")</f>
        <v xml:space="preserve"> </v>
      </c>
      <c r="AN32" s="24">
        <v>27</v>
      </c>
      <c r="AO32" s="25"/>
      <c r="AP32" s="43" t="str">
        <f ca="1">IFERROR(MATCH(INDIRECT("$AO$32"),'1.Locations'!$B$2:$B$97, 0) - 1," ")</f>
        <v xml:space="preserve"> </v>
      </c>
      <c r="AQ32" s="43" t="e">
        <f ca="1">IFERROR(IF(ISNUMBER($AP$32),INDEX('1.Locations'!$D$2:$D$97,$AP$32 + 1),NA()),NA())</f>
        <v>#N/A</v>
      </c>
      <c r="AR32" s="43" t="e">
        <f ca="1">IFERROR(IF(ISNUMBER($AP$32),INDEX('1.Locations'!$E$2:$E$97,$AP$32 + 1),NA()),NA())</f>
        <v>#N/A</v>
      </c>
      <c r="AS32" s="44" t="str">
        <f ca="1">IFERROR(IF(AND(ISNUMBER($AP$32),$AP$32&lt;=95),INDEX('2.Distances'!$C$2:$C$9218,$AP$31*96+$AP$32+ 1) +$AS$31," ")," ")</f>
        <v xml:space="preserve"> </v>
      </c>
      <c r="AT32" s="43" t="str">
        <f ca="1">IFERROR(IF(ISNUMBER($AP$32),INDEX('1.Locations'!$J$2:$J$97,$AP$32 + 1) +$AT$31," ")," ")</f>
        <v xml:space="preserve"> </v>
      </c>
      <c r="AU32" s="43" t="str">
        <f ca="1">IFERROR(IF(ISNUMBER($AP$32),INDEX('1.Locations'!$K$2:$K$97,$AP$32 + 1) +$AU$31," ")," ")</f>
        <v xml:space="preserve"> </v>
      </c>
      <c r="AV32" s="45" t="str">
        <f ca="1">IFERROR(IF(AND(ISNUMBER($AP$32),$AP$32&lt;=95),INDEX('2.Distances'!$D$2:$D$9218,$AP$31*96+$AP$32+ 1) +$AV$31," ")," ")</f>
        <v xml:space="preserve"> </v>
      </c>
      <c r="AW32" s="46" t="str">
        <f ca="1">IFERROR(IF(AND(ISNUMBER($AP$32),$AP$32&lt;=95),INDEX('2.Distances'!$D$2:$D$9218,$AP$31*96+$AP$32+ 1) +$AX$31," ")," ")</f>
        <v xml:space="preserve"> </v>
      </c>
      <c r="AX32" s="46" t="str">
        <f ca="1">IFERROR(IF(ISNUMBER($AW$32),INDEX('1.Locations'!$I$2:$I$97,$AP$32 + 1) + MAX($AW$32,INDEX('1.Locations'!$F$2:$F$97,$AP$32 + 1))," ")," ")</f>
        <v xml:space="preserve"> </v>
      </c>
      <c r="AY32" s="45" t="str">
        <f ca="1">IFERROR($AY$31 + INDEX('2.Distances'!$D$2:$D$9218,$AP$31*96+$AP$32+ 1) + INDEX('1.Locations'!$I$2:$I$97,$AP$32 + 1)," ")</f>
        <v xml:space="preserve"> </v>
      </c>
      <c r="BA32" s="24">
        <v>27</v>
      </c>
      <c r="BB32" s="25"/>
      <c r="BC32" s="43" t="str">
        <f ca="1">IFERROR(MATCH(INDIRECT("$BB$32"),'1.Locations'!$B$2:$B$97, 0) - 1," ")</f>
        <v xml:space="preserve"> </v>
      </c>
      <c r="BD32" s="43" t="e">
        <f ca="1">IFERROR(IF(ISNUMBER($BC$32),INDEX('1.Locations'!$D$2:$D$97,$BC$32 + 1),NA()),NA())</f>
        <v>#N/A</v>
      </c>
      <c r="BE32" s="43" t="e">
        <f ca="1">IFERROR(IF(ISNUMBER($BC$32),INDEX('1.Locations'!$E$2:$E$97,$BC$32 + 1),NA()),NA())</f>
        <v>#N/A</v>
      </c>
      <c r="BF32" s="44" t="str">
        <f ca="1">IFERROR(IF(AND(ISNUMBER($BC$32),$BC$32&lt;=95),INDEX('2.Distances'!$C$2:$C$9218,$BC$31*96+$BC$32+ 1) +$BF$31," ")," ")</f>
        <v xml:space="preserve"> </v>
      </c>
      <c r="BG32" s="43" t="str">
        <f ca="1">IFERROR(IF(ISNUMBER($BC$32),INDEX('1.Locations'!$J$2:$J$97,$BC$32 + 1) +$BG$31," ")," ")</f>
        <v xml:space="preserve"> </v>
      </c>
      <c r="BH32" s="43" t="str">
        <f ca="1">IFERROR(IF(ISNUMBER($BC$32),INDEX('1.Locations'!$K$2:$K$97,$BC$32 + 1) +$BH$31," ")," ")</f>
        <v xml:space="preserve"> </v>
      </c>
      <c r="BI32" s="45" t="str">
        <f ca="1">IFERROR(IF(AND(ISNUMBER($BC$32),$BC$32&lt;=95),INDEX('2.Distances'!$D$2:$D$9218,$BC$31*96+$BC$32+ 1) +$BI$31," ")," ")</f>
        <v xml:space="preserve"> </v>
      </c>
      <c r="BJ32" s="46" t="str">
        <f ca="1">IFERROR(IF(AND(ISNUMBER($BC$32),$BC$32&lt;=95),INDEX('2.Distances'!$D$2:$D$9218,$BC$31*96+$BC$32+ 1) +$BK$31," ")," ")</f>
        <v xml:space="preserve"> </v>
      </c>
      <c r="BK32" s="46" t="str">
        <f ca="1">IFERROR(IF(ISNUMBER($BJ$32),INDEX('1.Locations'!$I$2:$I$97,$BC$32 + 1) + MAX($BJ$32,INDEX('1.Locations'!$F$2:$F$97,$BC$32 + 1))," ")," ")</f>
        <v xml:space="preserve"> </v>
      </c>
      <c r="BL32" s="45" t="str">
        <f ca="1">IFERROR($BL$31 + INDEX('2.Distances'!$D$2:$D$9218,$BC$31*96+$BC$32+ 1) + INDEX('1.Locations'!$I$2:$I$97,$BC$32 + 1)," ")</f>
        <v xml:space="preserve"> </v>
      </c>
      <c r="BN32" s="24">
        <v>27</v>
      </c>
      <c r="BO32" s="25"/>
      <c r="BP32" s="43" t="str">
        <f ca="1">IFERROR(MATCH(INDIRECT("$BO$32"),'1.Locations'!$B$2:$B$97, 0) - 1," ")</f>
        <v xml:space="preserve"> </v>
      </c>
      <c r="BQ32" s="43" t="e">
        <f ca="1">IFERROR(IF(ISNUMBER($BP$32),INDEX('1.Locations'!$D$2:$D$97,$BP$32 + 1),NA()),NA())</f>
        <v>#N/A</v>
      </c>
      <c r="BR32" s="43" t="e">
        <f ca="1">IFERROR(IF(ISNUMBER($BP$32),INDEX('1.Locations'!$E$2:$E$97,$BP$32 + 1),NA()),NA())</f>
        <v>#N/A</v>
      </c>
      <c r="BS32" s="44" t="str">
        <f ca="1">IFERROR(IF(AND(ISNUMBER($BP$32),$BP$32&lt;=95),INDEX('2.Distances'!$C$2:$C$9218,$BP$31*96+$BP$32+ 1) +$BS$31," ")," ")</f>
        <v xml:space="preserve"> </v>
      </c>
      <c r="BT32" s="43" t="str">
        <f ca="1">IFERROR(IF(ISNUMBER($BP$32),INDEX('1.Locations'!$J$2:$J$97,$BP$32 + 1) +$BT$31," ")," ")</f>
        <v xml:space="preserve"> </v>
      </c>
      <c r="BU32" s="43" t="str">
        <f ca="1">IFERROR(IF(ISNUMBER($BP$32),INDEX('1.Locations'!$K$2:$K$97,$BP$32 + 1) +$BU$31," ")," ")</f>
        <v xml:space="preserve"> </v>
      </c>
      <c r="BV32" s="45" t="str">
        <f ca="1">IFERROR(IF(AND(ISNUMBER($BP$32),$BP$32&lt;=95),INDEX('2.Distances'!$D$2:$D$9218,$BP$31*96+$BP$32+ 1) +$BV$31," ")," ")</f>
        <v xml:space="preserve"> </v>
      </c>
      <c r="BW32" s="46" t="str">
        <f ca="1">IFERROR(IF(AND(ISNUMBER($BP$32),$BP$32&lt;=95),INDEX('2.Distances'!$D$2:$D$9218,$BP$31*96+$BP$32+ 1) +$BX$31," ")," ")</f>
        <v xml:space="preserve"> </v>
      </c>
      <c r="BX32" s="46" t="str">
        <f ca="1">IFERROR(IF(ISNUMBER($BW$32),INDEX('1.Locations'!$I$2:$I$97,$BP$32 + 1) + MAX($BW$32,INDEX('1.Locations'!$F$2:$F$97,$BP$32 + 1))," ")," ")</f>
        <v xml:space="preserve"> </v>
      </c>
      <c r="BY32" s="45" t="str">
        <f ca="1">IFERROR($BY$31 + INDEX('2.Distances'!$D$2:$D$9218,$BP$31*96+$BP$32+ 1) + INDEX('1.Locations'!$I$2:$I$97,$BP$32 + 1)," ")</f>
        <v xml:space="preserve"> </v>
      </c>
      <c r="CA32" s="24">
        <v>27</v>
      </c>
      <c r="CB32" s="25"/>
      <c r="CC32" s="43" t="str">
        <f ca="1">IFERROR(MATCH(INDIRECT("$CB$32"),'1.Locations'!$B$2:$B$97, 0) - 1," ")</f>
        <v xml:space="preserve"> </v>
      </c>
      <c r="CD32" s="43" t="e">
        <f ca="1">IFERROR(IF(ISNUMBER($CC$32),INDEX('1.Locations'!$D$2:$D$97,$CC$32 + 1),NA()),NA())</f>
        <v>#N/A</v>
      </c>
      <c r="CE32" s="43" t="e">
        <f ca="1">IFERROR(IF(ISNUMBER($CC$32),INDEX('1.Locations'!$E$2:$E$97,$CC$32 + 1),NA()),NA())</f>
        <v>#N/A</v>
      </c>
      <c r="CF32" s="44" t="str">
        <f ca="1">IFERROR(IF(AND(ISNUMBER($CC$32),$CC$32&lt;=95),INDEX('2.Distances'!$C$2:$C$9218,$CC$31*96+$CC$32+ 1) +$CF$31," ")," ")</f>
        <v xml:space="preserve"> </v>
      </c>
      <c r="CG32" s="43" t="str">
        <f ca="1">IFERROR(IF(ISNUMBER($CC$32),INDEX('1.Locations'!$J$2:$J$97,$CC$32 + 1) +$CG$31," ")," ")</f>
        <v xml:space="preserve"> </v>
      </c>
      <c r="CH32" s="43" t="str">
        <f ca="1">IFERROR(IF(ISNUMBER($CC$32),INDEX('1.Locations'!$K$2:$K$97,$CC$32 + 1) +$CH$31," ")," ")</f>
        <v xml:space="preserve"> </v>
      </c>
      <c r="CI32" s="45" t="str">
        <f ca="1">IFERROR(IF(AND(ISNUMBER($CC$32),$CC$32&lt;=95),INDEX('2.Distances'!$D$2:$D$9218,$CC$31*96+$CC$32+ 1) +$CI$31," ")," ")</f>
        <v xml:space="preserve"> </v>
      </c>
      <c r="CJ32" s="46" t="str">
        <f ca="1">IFERROR(IF(AND(ISNUMBER($CC$32),$CC$32&lt;=95),INDEX('2.Distances'!$D$2:$D$9218,$CC$31*96+$CC$32+ 1) +$CK$31," ")," ")</f>
        <v xml:space="preserve"> </v>
      </c>
      <c r="CK32" s="46" t="str">
        <f ca="1">IFERROR(IF(ISNUMBER($CJ$32),INDEX('1.Locations'!$I$2:$I$97,$CC$32 + 1) + MAX($CJ$32,INDEX('1.Locations'!$F$2:$F$97,$CC$32 + 1))," ")," ")</f>
        <v xml:space="preserve"> </v>
      </c>
      <c r="CL32" s="45" t="str">
        <f ca="1">IFERROR($CL$31 + INDEX('2.Distances'!$D$2:$D$9218,$CC$31*96+$CC$32+ 1) + INDEX('1.Locations'!$I$2:$I$97,$CC$32 + 1)," ")</f>
        <v xml:space="preserve"> </v>
      </c>
    </row>
    <row r="33" spans="1:90" x14ac:dyDescent="0.25">
      <c r="A33" s="24">
        <v>28</v>
      </c>
      <c r="B33" s="25"/>
      <c r="C33" s="43" t="str">
        <f ca="1">IFERROR(MATCH(INDIRECT("$B$33"),'1.Locations'!$B$2:$B$97, 0) - 1," ")</f>
        <v xml:space="preserve"> </v>
      </c>
      <c r="D33" s="43" t="e">
        <f ca="1">IFERROR(IF(ISNUMBER($C$33),INDEX('1.Locations'!$D$2:$D$97,$C$33 + 1),NA()),NA())</f>
        <v>#N/A</v>
      </c>
      <c r="E33" s="43" t="e">
        <f ca="1">IFERROR(IF(ISNUMBER($C$33),INDEX('1.Locations'!$E$2:$E$97,$C$33 + 1),NA()),NA())</f>
        <v>#N/A</v>
      </c>
      <c r="F33" s="44" t="str">
        <f ca="1">IFERROR(IF(AND(ISNUMBER($C$33),$C$33&lt;=95),INDEX('2.Distances'!$C$2:$C$9218,$C$32*96+$C$33+ 1) +$F$32," ")," ")</f>
        <v xml:space="preserve"> </v>
      </c>
      <c r="G33" s="43" t="str">
        <f ca="1">IFERROR(IF(ISNUMBER($C$33),INDEX('1.Locations'!$J$2:$J$97,$C$33 + 1) +$G$32," ")," ")</f>
        <v xml:space="preserve"> </v>
      </c>
      <c r="H33" s="43" t="str">
        <f ca="1">IFERROR(IF(ISNUMBER($C$33),INDEX('1.Locations'!$K$2:$K$97,$C$33 + 1) +$H$32," ")," ")</f>
        <v xml:space="preserve"> </v>
      </c>
      <c r="I33" s="45" t="str">
        <f ca="1">IFERROR(IF(AND(ISNUMBER($C$33),$C$33&lt;=95),INDEX('2.Distances'!$D$2:$D$9218,$C$32*96+$C$33+ 1) +$I$32," ")," ")</f>
        <v xml:space="preserve"> </v>
      </c>
      <c r="J33" s="46" t="str">
        <f ca="1">IFERROR(IF(AND(ISNUMBER($C$33),$C$33&lt;=95),INDEX('2.Distances'!$D$2:$D$9218,$C$32*96+$C$33+ 1) +$K$32," ")," ")</f>
        <v xml:space="preserve"> </v>
      </c>
      <c r="K33" s="46" t="str">
        <f ca="1">IFERROR(IF(ISNUMBER($J$33),INDEX('1.Locations'!$I$2:$I$97,$C$33 + 1) + MAX($J$33,INDEX('1.Locations'!$F$2:$F$97,$C$33 + 1))," ")," ")</f>
        <v xml:space="preserve"> </v>
      </c>
      <c r="L33" s="45" t="str">
        <f ca="1">IFERROR($L$32 + INDEX('2.Distances'!$D$2:$D$9218,$C$32*96+$C$33+ 1) + INDEX('1.Locations'!$I$2:$I$97,$C$33 + 1)," ")</f>
        <v xml:space="preserve"> </v>
      </c>
      <c r="N33" s="24">
        <v>28</v>
      </c>
      <c r="O33" s="25"/>
      <c r="P33" s="43" t="str">
        <f ca="1">IFERROR(MATCH(INDIRECT("$O$33"),'1.Locations'!$B$2:$B$97, 0) - 1," ")</f>
        <v xml:space="preserve"> </v>
      </c>
      <c r="Q33" s="43" t="e">
        <f ca="1">IFERROR(IF(ISNUMBER($P$33),INDEX('1.Locations'!$D$2:$D$97,$P$33 + 1),NA()),NA())</f>
        <v>#N/A</v>
      </c>
      <c r="R33" s="43" t="e">
        <f ca="1">IFERROR(IF(ISNUMBER($P$33),INDEX('1.Locations'!$E$2:$E$97,$P$33 + 1),NA()),NA())</f>
        <v>#N/A</v>
      </c>
      <c r="S33" s="44" t="str">
        <f ca="1">IFERROR(IF(AND(ISNUMBER($P$33),$P$33&lt;=95),INDEX('2.Distances'!$C$2:$C$9218,$P$32*96+$P$33+ 1) +$S$32," ")," ")</f>
        <v xml:space="preserve"> </v>
      </c>
      <c r="T33" s="43" t="str">
        <f ca="1">IFERROR(IF(ISNUMBER($P$33),INDEX('1.Locations'!$J$2:$J$97,$P$33 + 1) +$T$32," ")," ")</f>
        <v xml:space="preserve"> </v>
      </c>
      <c r="U33" s="43" t="str">
        <f ca="1">IFERROR(IF(ISNUMBER($P$33),INDEX('1.Locations'!$K$2:$K$97,$P$33 + 1) +$U$32," ")," ")</f>
        <v xml:space="preserve"> </v>
      </c>
      <c r="V33" s="45" t="str">
        <f ca="1">IFERROR(IF(AND(ISNUMBER($P$33),$P$33&lt;=95),INDEX('2.Distances'!$D$2:$D$9218,$P$32*96+$P$33+ 1) +$V$32," ")," ")</f>
        <v xml:space="preserve"> </v>
      </c>
      <c r="W33" s="46" t="str">
        <f ca="1">IFERROR(IF(AND(ISNUMBER($P$33),$P$33&lt;=95),INDEX('2.Distances'!$D$2:$D$9218,$P$32*96+$P$33+ 1) +$X$32," ")," ")</f>
        <v xml:space="preserve"> </v>
      </c>
      <c r="X33" s="46" t="str">
        <f ca="1">IFERROR(IF(ISNUMBER($W$33),INDEX('1.Locations'!$I$2:$I$97,$P$33 + 1) + MAX($W$33,INDEX('1.Locations'!$F$2:$F$97,$P$33 + 1))," ")," ")</f>
        <v xml:space="preserve"> </v>
      </c>
      <c r="Y33" s="45" t="str">
        <f ca="1">IFERROR($Y$32 + INDEX('2.Distances'!$D$2:$D$9218,$P$32*96+$P$33+ 1) + INDEX('1.Locations'!$I$2:$I$97,$P$33 + 1)," ")</f>
        <v xml:space="preserve"> </v>
      </c>
      <c r="AA33" s="24">
        <v>28</v>
      </c>
      <c r="AB33" s="25"/>
      <c r="AC33" s="43" t="str">
        <f ca="1">IFERROR(MATCH(INDIRECT("$AB$33"),'1.Locations'!$B$2:$B$97, 0) - 1," ")</f>
        <v xml:space="preserve"> </v>
      </c>
      <c r="AD33" s="43" t="e">
        <f ca="1">IFERROR(IF(ISNUMBER($AC$33),INDEX('1.Locations'!$D$2:$D$97,$AC$33 + 1),NA()),NA())</f>
        <v>#N/A</v>
      </c>
      <c r="AE33" s="43" t="e">
        <f ca="1">IFERROR(IF(ISNUMBER($AC$33),INDEX('1.Locations'!$E$2:$E$97,$AC$33 + 1),NA()),NA())</f>
        <v>#N/A</v>
      </c>
      <c r="AF33" s="44" t="str">
        <f ca="1">IFERROR(IF(AND(ISNUMBER($AC$33),$AC$33&lt;=95),INDEX('2.Distances'!$C$2:$C$9218,$AC$32*96+$AC$33+ 1) +$AF$32," ")," ")</f>
        <v xml:space="preserve"> </v>
      </c>
      <c r="AG33" s="43" t="str">
        <f ca="1">IFERROR(IF(ISNUMBER($AC$33),INDEX('1.Locations'!$J$2:$J$97,$AC$33 + 1) +$AG$32," ")," ")</f>
        <v xml:space="preserve"> </v>
      </c>
      <c r="AH33" s="43" t="str">
        <f ca="1">IFERROR(IF(ISNUMBER($AC$33),INDEX('1.Locations'!$K$2:$K$97,$AC$33 + 1) +$AH$32," ")," ")</f>
        <v xml:space="preserve"> </v>
      </c>
      <c r="AI33" s="45" t="str">
        <f ca="1">IFERROR(IF(AND(ISNUMBER($AC$33),$AC$33&lt;=95),INDEX('2.Distances'!$D$2:$D$9218,$AC$32*96+$AC$33+ 1) +$AI$32," ")," ")</f>
        <v xml:space="preserve"> </v>
      </c>
      <c r="AJ33" s="46" t="str">
        <f ca="1">IFERROR(IF(AND(ISNUMBER($AC$33),$AC$33&lt;=95),INDEX('2.Distances'!$D$2:$D$9218,$AC$32*96+$AC$33+ 1) +$AK$32," ")," ")</f>
        <v xml:space="preserve"> </v>
      </c>
      <c r="AK33" s="46" t="str">
        <f ca="1">IFERROR(IF(ISNUMBER($AJ$33),INDEX('1.Locations'!$I$2:$I$97,$AC$33 + 1) + MAX($AJ$33,INDEX('1.Locations'!$F$2:$F$97,$AC$33 + 1))," ")," ")</f>
        <v xml:space="preserve"> </v>
      </c>
      <c r="AL33" s="45" t="str">
        <f ca="1">IFERROR($AL$32 + INDEX('2.Distances'!$D$2:$D$9218,$AC$32*96+$AC$33+ 1) + INDEX('1.Locations'!$I$2:$I$97,$AC$33 + 1)," ")</f>
        <v xml:space="preserve"> </v>
      </c>
      <c r="AN33" s="24">
        <v>28</v>
      </c>
      <c r="AO33" s="25"/>
      <c r="AP33" s="43" t="str">
        <f ca="1">IFERROR(MATCH(INDIRECT("$AO$33"),'1.Locations'!$B$2:$B$97, 0) - 1," ")</f>
        <v xml:space="preserve"> </v>
      </c>
      <c r="AQ33" s="43" t="e">
        <f ca="1">IFERROR(IF(ISNUMBER($AP$33),INDEX('1.Locations'!$D$2:$D$97,$AP$33 + 1),NA()),NA())</f>
        <v>#N/A</v>
      </c>
      <c r="AR33" s="43" t="e">
        <f ca="1">IFERROR(IF(ISNUMBER($AP$33),INDEX('1.Locations'!$E$2:$E$97,$AP$33 + 1),NA()),NA())</f>
        <v>#N/A</v>
      </c>
      <c r="AS33" s="44" t="str">
        <f ca="1">IFERROR(IF(AND(ISNUMBER($AP$33),$AP$33&lt;=95),INDEX('2.Distances'!$C$2:$C$9218,$AP$32*96+$AP$33+ 1) +$AS$32," ")," ")</f>
        <v xml:space="preserve"> </v>
      </c>
      <c r="AT33" s="43" t="str">
        <f ca="1">IFERROR(IF(ISNUMBER($AP$33),INDEX('1.Locations'!$J$2:$J$97,$AP$33 + 1) +$AT$32," ")," ")</f>
        <v xml:space="preserve"> </v>
      </c>
      <c r="AU33" s="43" t="str">
        <f ca="1">IFERROR(IF(ISNUMBER($AP$33),INDEX('1.Locations'!$K$2:$K$97,$AP$33 + 1) +$AU$32," ")," ")</f>
        <v xml:space="preserve"> </v>
      </c>
      <c r="AV33" s="45" t="str">
        <f ca="1">IFERROR(IF(AND(ISNUMBER($AP$33),$AP$33&lt;=95),INDEX('2.Distances'!$D$2:$D$9218,$AP$32*96+$AP$33+ 1) +$AV$32," ")," ")</f>
        <v xml:space="preserve"> </v>
      </c>
      <c r="AW33" s="46" t="str">
        <f ca="1">IFERROR(IF(AND(ISNUMBER($AP$33),$AP$33&lt;=95),INDEX('2.Distances'!$D$2:$D$9218,$AP$32*96+$AP$33+ 1) +$AX$32," ")," ")</f>
        <v xml:space="preserve"> </v>
      </c>
      <c r="AX33" s="46" t="str">
        <f ca="1">IFERROR(IF(ISNUMBER($AW$33),INDEX('1.Locations'!$I$2:$I$97,$AP$33 + 1) + MAX($AW$33,INDEX('1.Locations'!$F$2:$F$97,$AP$33 + 1))," ")," ")</f>
        <v xml:space="preserve"> </v>
      </c>
      <c r="AY33" s="45" t="str">
        <f ca="1">IFERROR($AY$32 + INDEX('2.Distances'!$D$2:$D$9218,$AP$32*96+$AP$33+ 1) + INDEX('1.Locations'!$I$2:$I$97,$AP$33 + 1)," ")</f>
        <v xml:space="preserve"> </v>
      </c>
      <c r="BA33" s="24">
        <v>28</v>
      </c>
      <c r="BB33" s="25"/>
      <c r="BC33" s="43" t="str">
        <f ca="1">IFERROR(MATCH(INDIRECT("$BB$33"),'1.Locations'!$B$2:$B$97, 0) - 1," ")</f>
        <v xml:space="preserve"> </v>
      </c>
      <c r="BD33" s="43" t="e">
        <f ca="1">IFERROR(IF(ISNUMBER($BC$33),INDEX('1.Locations'!$D$2:$D$97,$BC$33 + 1),NA()),NA())</f>
        <v>#N/A</v>
      </c>
      <c r="BE33" s="43" t="e">
        <f ca="1">IFERROR(IF(ISNUMBER($BC$33),INDEX('1.Locations'!$E$2:$E$97,$BC$33 + 1),NA()),NA())</f>
        <v>#N/A</v>
      </c>
      <c r="BF33" s="44" t="str">
        <f ca="1">IFERROR(IF(AND(ISNUMBER($BC$33),$BC$33&lt;=95),INDEX('2.Distances'!$C$2:$C$9218,$BC$32*96+$BC$33+ 1) +$BF$32," ")," ")</f>
        <v xml:space="preserve"> </v>
      </c>
      <c r="BG33" s="43" t="str">
        <f ca="1">IFERROR(IF(ISNUMBER($BC$33),INDEX('1.Locations'!$J$2:$J$97,$BC$33 + 1) +$BG$32," ")," ")</f>
        <v xml:space="preserve"> </v>
      </c>
      <c r="BH33" s="43" t="str">
        <f ca="1">IFERROR(IF(ISNUMBER($BC$33),INDEX('1.Locations'!$K$2:$K$97,$BC$33 + 1) +$BH$32," ")," ")</f>
        <v xml:space="preserve"> </v>
      </c>
      <c r="BI33" s="45" t="str">
        <f ca="1">IFERROR(IF(AND(ISNUMBER($BC$33),$BC$33&lt;=95),INDEX('2.Distances'!$D$2:$D$9218,$BC$32*96+$BC$33+ 1) +$BI$32," ")," ")</f>
        <v xml:space="preserve"> </v>
      </c>
      <c r="BJ33" s="46" t="str">
        <f ca="1">IFERROR(IF(AND(ISNUMBER($BC$33),$BC$33&lt;=95),INDEX('2.Distances'!$D$2:$D$9218,$BC$32*96+$BC$33+ 1) +$BK$32," ")," ")</f>
        <v xml:space="preserve"> </v>
      </c>
      <c r="BK33" s="46" t="str">
        <f ca="1">IFERROR(IF(ISNUMBER($BJ$33),INDEX('1.Locations'!$I$2:$I$97,$BC$33 + 1) + MAX($BJ$33,INDEX('1.Locations'!$F$2:$F$97,$BC$33 + 1))," ")," ")</f>
        <v xml:space="preserve"> </v>
      </c>
      <c r="BL33" s="45" t="str">
        <f ca="1">IFERROR($BL$32 + INDEX('2.Distances'!$D$2:$D$9218,$BC$32*96+$BC$33+ 1) + INDEX('1.Locations'!$I$2:$I$97,$BC$33 + 1)," ")</f>
        <v xml:space="preserve"> </v>
      </c>
      <c r="BN33" s="24">
        <v>28</v>
      </c>
      <c r="BO33" s="25"/>
      <c r="BP33" s="43" t="str">
        <f ca="1">IFERROR(MATCH(INDIRECT("$BO$33"),'1.Locations'!$B$2:$B$97, 0) - 1," ")</f>
        <v xml:space="preserve"> </v>
      </c>
      <c r="BQ33" s="43" t="e">
        <f ca="1">IFERROR(IF(ISNUMBER($BP$33),INDEX('1.Locations'!$D$2:$D$97,$BP$33 + 1),NA()),NA())</f>
        <v>#N/A</v>
      </c>
      <c r="BR33" s="43" t="e">
        <f ca="1">IFERROR(IF(ISNUMBER($BP$33),INDEX('1.Locations'!$E$2:$E$97,$BP$33 + 1),NA()),NA())</f>
        <v>#N/A</v>
      </c>
      <c r="BS33" s="44" t="str">
        <f ca="1">IFERROR(IF(AND(ISNUMBER($BP$33),$BP$33&lt;=95),INDEX('2.Distances'!$C$2:$C$9218,$BP$32*96+$BP$33+ 1) +$BS$32," ")," ")</f>
        <v xml:space="preserve"> </v>
      </c>
      <c r="BT33" s="43" t="str">
        <f ca="1">IFERROR(IF(ISNUMBER($BP$33),INDEX('1.Locations'!$J$2:$J$97,$BP$33 + 1) +$BT$32," ")," ")</f>
        <v xml:space="preserve"> </v>
      </c>
      <c r="BU33" s="43" t="str">
        <f ca="1">IFERROR(IF(ISNUMBER($BP$33),INDEX('1.Locations'!$K$2:$K$97,$BP$33 + 1) +$BU$32," ")," ")</f>
        <v xml:space="preserve"> </v>
      </c>
      <c r="BV33" s="45" t="str">
        <f ca="1">IFERROR(IF(AND(ISNUMBER($BP$33),$BP$33&lt;=95),INDEX('2.Distances'!$D$2:$D$9218,$BP$32*96+$BP$33+ 1) +$BV$32," ")," ")</f>
        <v xml:space="preserve"> </v>
      </c>
      <c r="BW33" s="46" t="str">
        <f ca="1">IFERROR(IF(AND(ISNUMBER($BP$33),$BP$33&lt;=95),INDEX('2.Distances'!$D$2:$D$9218,$BP$32*96+$BP$33+ 1) +$BX$32," ")," ")</f>
        <v xml:space="preserve"> </v>
      </c>
      <c r="BX33" s="46" t="str">
        <f ca="1">IFERROR(IF(ISNUMBER($BW$33),INDEX('1.Locations'!$I$2:$I$97,$BP$33 + 1) + MAX($BW$33,INDEX('1.Locations'!$F$2:$F$97,$BP$33 + 1))," ")," ")</f>
        <v xml:space="preserve"> </v>
      </c>
      <c r="BY33" s="45" t="str">
        <f ca="1">IFERROR($BY$32 + INDEX('2.Distances'!$D$2:$D$9218,$BP$32*96+$BP$33+ 1) + INDEX('1.Locations'!$I$2:$I$97,$BP$33 + 1)," ")</f>
        <v xml:space="preserve"> </v>
      </c>
      <c r="CA33" s="24">
        <v>28</v>
      </c>
      <c r="CB33" s="25"/>
      <c r="CC33" s="43" t="str">
        <f ca="1">IFERROR(MATCH(INDIRECT("$CB$33"),'1.Locations'!$B$2:$B$97, 0) - 1," ")</f>
        <v xml:space="preserve"> </v>
      </c>
      <c r="CD33" s="43" t="e">
        <f ca="1">IFERROR(IF(ISNUMBER($CC$33),INDEX('1.Locations'!$D$2:$D$97,$CC$33 + 1),NA()),NA())</f>
        <v>#N/A</v>
      </c>
      <c r="CE33" s="43" t="e">
        <f ca="1">IFERROR(IF(ISNUMBER($CC$33),INDEX('1.Locations'!$E$2:$E$97,$CC$33 + 1),NA()),NA())</f>
        <v>#N/A</v>
      </c>
      <c r="CF33" s="44" t="str">
        <f ca="1">IFERROR(IF(AND(ISNUMBER($CC$33),$CC$33&lt;=95),INDEX('2.Distances'!$C$2:$C$9218,$CC$32*96+$CC$33+ 1) +$CF$32," ")," ")</f>
        <v xml:space="preserve"> </v>
      </c>
      <c r="CG33" s="43" t="str">
        <f ca="1">IFERROR(IF(ISNUMBER($CC$33),INDEX('1.Locations'!$J$2:$J$97,$CC$33 + 1) +$CG$32," ")," ")</f>
        <v xml:space="preserve"> </v>
      </c>
      <c r="CH33" s="43" t="str">
        <f ca="1">IFERROR(IF(ISNUMBER($CC$33),INDEX('1.Locations'!$K$2:$K$97,$CC$33 + 1) +$CH$32," ")," ")</f>
        <v xml:space="preserve"> </v>
      </c>
      <c r="CI33" s="45" t="str">
        <f ca="1">IFERROR(IF(AND(ISNUMBER($CC$33),$CC$33&lt;=95),INDEX('2.Distances'!$D$2:$D$9218,$CC$32*96+$CC$33+ 1) +$CI$32," ")," ")</f>
        <v xml:space="preserve"> </v>
      </c>
      <c r="CJ33" s="46" t="str">
        <f ca="1">IFERROR(IF(AND(ISNUMBER($CC$33),$CC$33&lt;=95),INDEX('2.Distances'!$D$2:$D$9218,$CC$32*96+$CC$33+ 1) +$CK$32," ")," ")</f>
        <v xml:space="preserve"> </v>
      </c>
      <c r="CK33" s="46" t="str">
        <f ca="1">IFERROR(IF(ISNUMBER($CJ$33),INDEX('1.Locations'!$I$2:$I$97,$CC$33 + 1) + MAX($CJ$33,INDEX('1.Locations'!$F$2:$F$97,$CC$33 + 1))," ")," ")</f>
        <v xml:space="preserve"> </v>
      </c>
      <c r="CL33" s="45" t="str">
        <f ca="1">IFERROR($CL$32 + INDEX('2.Distances'!$D$2:$D$9218,$CC$32*96+$CC$33+ 1) + INDEX('1.Locations'!$I$2:$I$97,$CC$33 + 1)," ")</f>
        <v xml:space="preserve"> </v>
      </c>
    </row>
    <row r="34" spans="1:90" x14ac:dyDescent="0.25">
      <c r="A34" s="24">
        <v>29</v>
      </c>
      <c r="B34" s="25"/>
      <c r="C34" s="43" t="str">
        <f ca="1">IFERROR(MATCH(INDIRECT("$B$34"),'1.Locations'!$B$2:$B$97, 0) - 1," ")</f>
        <v xml:space="preserve"> </v>
      </c>
      <c r="D34" s="43" t="e">
        <f ca="1">IFERROR(IF(ISNUMBER($C$34),INDEX('1.Locations'!$D$2:$D$97,$C$34 + 1),NA()),NA())</f>
        <v>#N/A</v>
      </c>
      <c r="E34" s="43" t="e">
        <f ca="1">IFERROR(IF(ISNUMBER($C$34),INDEX('1.Locations'!$E$2:$E$97,$C$34 + 1),NA()),NA())</f>
        <v>#N/A</v>
      </c>
      <c r="F34" s="44" t="str">
        <f ca="1">IFERROR(IF(AND(ISNUMBER($C$34),$C$34&lt;=95),INDEX('2.Distances'!$C$2:$C$9218,$C$33*96+$C$34+ 1) +$F$33," ")," ")</f>
        <v xml:space="preserve"> </v>
      </c>
      <c r="G34" s="43" t="str">
        <f ca="1">IFERROR(IF(ISNUMBER($C$34),INDEX('1.Locations'!$J$2:$J$97,$C$34 + 1) +$G$33," ")," ")</f>
        <v xml:space="preserve"> </v>
      </c>
      <c r="H34" s="43" t="str">
        <f ca="1">IFERROR(IF(ISNUMBER($C$34),INDEX('1.Locations'!$K$2:$K$97,$C$34 + 1) +$H$33," ")," ")</f>
        <v xml:space="preserve"> </v>
      </c>
      <c r="I34" s="45" t="str">
        <f ca="1">IFERROR(IF(AND(ISNUMBER($C$34),$C$34&lt;=95),INDEX('2.Distances'!$D$2:$D$9218,$C$33*96+$C$34+ 1) +$I$33," ")," ")</f>
        <v xml:space="preserve"> </v>
      </c>
      <c r="J34" s="46" t="str">
        <f ca="1">IFERROR(IF(AND(ISNUMBER($C$34),$C$34&lt;=95),INDEX('2.Distances'!$D$2:$D$9218,$C$33*96+$C$34+ 1) +$K$33," ")," ")</f>
        <v xml:space="preserve"> </v>
      </c>
      <c r="K34" s="46" t="str">
        <f ca="1">IFERROR(IF(ISNUMBER($J$34),INDEX('1.Locations'!$I$2:$I$97,$C$34 + 1) + MAX($J$34,INDEX('1.Locations'!$F$2:$F$97,$C$34 + 1))," ")," ")</f>
        <v xml:space="preserve"> </v>
      </c>
      <c r="L34" s="45" t="str">
        <f ca="1">IFERROR($L$33 + INDEX('2.Distances'!$D$2:$D$9218,$C$33*96+$C$34+ 1) + INDEX('1.Locations'!$I$2:$I$97,$C$34 + 1)," ")</f>
        <v xml:space="preserve"> </v>
      </c>
      <c r="N34" s="24">
        <v>29</v>
      </c>
      <c r="O34" s="25"/>
      <c r="P34" s="43" t="str">
        <f ca="1">IFERROR(MATCH(INDIRECT("$O$34"),'1.Locations'!$B$2:$B$97, 0) - 1," ")</f>
        <v xml:space="preserve"> </v>
      </c>
      <c r="Q34" s="43" t="e">
        <f ca="1">IFERROR(IF(ISNUMBER($P$34),INDEX('1.Locations'!$D$2:$D$97,$P$34 + 1),NA()),NA())</f>
        <v>#N/A</v>
      </c>
      <c r="R34" s="43" t="e">
        <f ca="1">IFERROR(IF(ISNUMBER($P$34),INDEX('1.Locations'!$E$2:$E$97,$P$34 + 1),NA()),NA())</f>
        <v>#N/A</v>
      </c>
      <c r="S34" s="44" t="str">
        <f ca="1">IFERROR(IF(AND(ISNUMBER($P$34),$P$34&lt;=95),INDEX('2.Distances'!$C$2:$C$9218,$P$33*96+$P$34+ 1) +$S$33," ")," ")</f>
        <v xml:space="preserve"> </v>
      </c>
      <c r="T34" s="43" t="str">
        <f ca="1">IFERROR(IF(ISNUMBER($P$34),INDEX('1.Locations'!$J$2:$J$97,$P$34 + 1) +$T$33," ")," ")</f>
        <v xml:space="preserve"> </v>
      </c>
      <c r="U34" s="43" t="str">
        <f ca="1">IFERROR(IF(ISNUMBER($P$34),INDEX('1.Locations'!$K$2:$K$97,$P$34 + 1) +$U$33," ")," ")</f>
        <v xml:space="preserve"> </v>
      </c>
      <c r="V34" s="45" t="str">
        <f ca="1">IFERROR(IF(AND(ISNUMBER($P$34),$P$34&lt;=95),INDEX('2.Distances'!$D$2:$D$9218,$P$33*96+$P$34+ 1) +$V$33," ")," ")</f>
        <v xml:space="preserve"> </v>
      </c>
      <c r="W34" s="46" t="str">
        <f ca="1">IFERROR(IF(AND(ISNUMBER($P$34),$P$34&lt;=95),INDEX('2.Distances'!$D$2:$D$9218,$P$33*96+$P$34+ 1) +$X$33," ")," ")</f>
        <v xml:space="preserve"> </v>
      </c>
      <c r="X34" s="46" t="str">
        <f ca="1">IFERROR(IF(ISNUMBER($W$34),INDEX('1.Locations'!$I$2:$I$97,$P$34 + 1) + MAX($W$34,INDEX('1.Locations'!$F$2:$F$97,$P$34 + 1))," ")," ")</f>
        <v xml:space="preserve"> </v>
      </c>
      <c r="Y34" s="45" t="str">
        <f ca="1">IFERROR($Y$33 + INDEX('2.Distances'!$D$2:$D$9218,$P$33*96+$P$34+ 1) + INDEX('1.Locations'!$I$2:$I$97,$P$34 + 1)," ")</f>
        <v xml:space="preserve"> </v>
      </c>
      <c r="AA34" s="24">
        <v>29</v>
      </c>
      <c r="AB34" s="25"/>
      <c r="AC34" s="43" t="str">
        <f ca="1">IFERROR(MATCH(INDIRECT("$AB$34"),'1.Locations'!$B$2:$B$97, 0) - 1," ")</f>
        <v xml:space="preserve"> </v>
      </c>
      <c r="AD34" s="43" t="e">
        <f ca="1">IFERROR(IF(ISNUMBER($AC$34),INDEX('1.Locations'!$D$2:$D$97,$AC$34 + 1),NA()),NA())</f>
        <v>#N/A</v>
      </c>
      <c r="AE34" s="43" t="e">
        <f ca="1">IFERROR(IF(ISNUMBER($AC$34),INDEX('1.Locations'!$E$2:$E$97,$AC$34 + 1),NA()),NA())</f>
        <v>#N/A</v>
      </c>
      <c r="AF34" s="44" t="str">
        <f ca="1">IFERROR(IF(AND(ISNUMBER($AC$34),$AC$34&lt;=95),INDEX('2.Distances'!$C$2:$C$9218,$AC$33*96+$AC$34+ 1) +$AF$33," ")," ")</f>
        <v xml:space="preserve"> </v>
      </c>
      <c r="AG34" s="43" t="str">
        <f ca="1">IFERROR(IF(ISNUMBER($AC$34),INDEX('1.Locations'!$J$2:$J$97,$AC$34 + 1) +$AG$33," ")," ")</f>
        <v xml:space="preserve"> </v>
      </c>
      <c r="AH34" s="43" t="str">
        <f ca="1">IFERROR(IF(ISNUMBER($AC$34),INDEX('1.Locations'!$K$2:$K$97,$AC$34 + 1) +$AH$33," ")," ")</f>
        <v xml:space="preserve"> </v>
      </c>
      <c r="AI34" s="45" t="str">
        <f ca="1">IFERROR(IF(AND(ISNUMBER($AC$34),$AC$34&lt;=95),INDEX('2.Distances'!$D$2:$D$9218,$AC$33*96+$AC$34+ 1) +$AI$33," ")," ")</f>
        <v xml:space="preserve"> </v>
      </c>
      <c r="AJ34" s="46" t="str">
        <f ca="1">IFERROR(IF(AND(ISNUMBER($AC$34),$AC$34&lt;=95),INDEX('2.Distances'!$D$2:$D$9218,$AC$33*96+$AC$34+ 1) +$AK$33," ")," ")</f>
        <v xml:space="preserve"> </v>
      </c>
      <c r="AK34" s="46" t="str">
        <f ca="1">IFERROR(IF(ISNUMBER($AJ$34),INDEX('1.Locations'!$I$2:$I$97,$AC$34 + 1) + MAX($AJ$34,INDEX('1.Locations'!$F$2:$F$97,$AC$34 + 1))," ")," ")</f>
        <v xml:space="preserve"> </v>
      </c>
      <c r="AL34" s="45" t="str">
        <f ca="1">IFERROR($AL$33 + INDEX('2.Distances'!$D$2:$D$9218,$AC$33*96+$AC$34+ 1) + INDEX('1.Locations'!$I$2:$I$97,$AC$34 + 1)," ")</f>
        <v xml:space="preserve"> </v>
      </c>
      <c r="AN34" s="24">
        <v>29</v>
      </c>
      <c r="AO34" s="25"/>
      <c r="AP34" s="43" t="str">
        <f ca="1">IFERROR(MATCH(INDIRECT("$AO$34"),'1.Locations'!$B$2:$B$97, 0) - 1," ")</f>
        <v xml:space="preserve"> </v>
      </c>
      <c r="AQ34" s="43" t="e">
        <f ca="1">IFERROR(IF(ISNUMBER($AP$34),INDEX('1.Locations'!$D$2:$D$97,$AP$34 + 1),NA()),NA())</f>
        <v>#N/A</v>
      </c>
      <c r="AR34" s="43" t="e">
        <f ca="1">IFERROR(IF(ISNUMBER($AP$34),INDEX('1.Locations'!$E$2:$E$97,$AP$34 + 1),NA()),NA())</f>
        <v>#N/A</v>
      </c>
      <c r="AS34" s="44" t="str">
        <f ca="1">IFERROR(IF(AND(ISNUMBER($AP$34),$AP$34&lt;=95),INDEX('2.Distances'!$C$2:$C$9218,$AP$33*96+$AP$34+ 1) +$AS$33," ")," ")</f>
        <v xml:space="preserve"> </v>
      </c>
      <c r="AT34" s="43" t="str">
        <f ca="1">IFERROR(IF(ISNUMBER($AP$34),INDEX('1.Locations'!$J$2:$J$97,$AP$34 + 1) +$AT$33," ")," ")</f>
        <v xml:space="preserve"> </v>
      </c>
      <c r="AU34" s="43" t="str">
        <f ca="1">IFERROR(IF(ISNUMBER($AP$34),INDEX('1.Locations'!$K$2:$K$97,$AP$34 + 1) +$AU$33," ")," ")</f>
        <v xml:space="preserve"> </v>
      </c>
      <c r="AV34" s="45" t="str">
        <f ca="1">IFERROR(IF(AND(ISNUMBER($AP$34),$AP$34&lt;=95),INDEX('2.Distances'!$D$2:$D$9218,$AP$33*96+$AP$34+ 1) +$AV$33," ")," ")</f>
        <v xml:space="preserve"> </v>
      </c>
      <c r="AW34" s="46" t="str">
        <f ca="1">IFERROR(IF(AND(ISNUMBER($AP$34),$AP$34&lt;=95),INDEX('2.Distances'!$D$2:$D$9218,$AP$33*96+$AP$34+ 1) +$AX$33," ")," ")</f>
        <v xml:space="preserve"> </v>
      </c>
      <c r="AX34" s="46" t="str">
        <f ca="1">IFERROR(IF(ISNUMBER($AW$34),INDEX('1.Locations'!$I$2:$I$97,$AP$34 + 1) + MAX($AW$34,INDEX('1.Locations'!$F$2:$F$97,$AP$34 + 1))," ")," ")</f>
        <v xml:space="preserve"> </v>
      </c>
      <c r="AY34" s="45" t="str">
        <f ca="1">IFERROR($AY$33 + INDEX('2.Distances'!$D$2:$D$9218,$AP$33*96+$AP$34+ 1) + INDEX('1.Locations'!$I$2:$I$97,$AP$34 + 1)," ")</f>
        <v xml:space="preserve"> </v>
      </c>
      <c r="BA34" s="24">
        <v>29</v>
      </c>
      <c r="BB34" s="25"/>
      <c r="BC34" s="43" t="str">
        <f ca="1">IFERROR(MATCH(INDIRECT("$BB$34"),'1.Locations'!$B$2:$B$97, 0) - 1," ")</f>
        <v xml:space="preserve"> </v>
      </c>
      <c r="BD34" s="43" t="e">
        <f ca="1">IFERROR(IF(ISNUMBER($BC$34),INDEX('1.Locations'!$D$2:$D$97,$BC$34 + 1),NA()),NA())</f>
        <v>#N/A</v>
      </c>
      <c r="BE34" s="43" t="e">
        <f ca="1">IFERROR(IF(ISNUMBER($BC$34),INDEX('1.Locations'!$E$2:$E$97,$BC$34 + 1),NA()),NA())</f>
        <v>#N/A</v>
      </c>
      <c r="BF34" s="44" t="str">
        <f ca="1">IFERROR(IF(AND(ISNUMBER($BC$34),$BC$34&lt;=95),INDEX('2.Distances'!$C$2:$C$9218,$BC$33*96+$BC$34+ 1) +$BF$33," ")," ")</f>
        <v xml:space="preserve"> </v>
      </c>
      <c r="BG34" s="43" t="str">
        <f ca="1">IFERROR(IF(ISNUMBER($BC$34),INDEX('1.Locations'!$J$2:$J$97,$BC$34 + 1) +$BG$33," ")," ")</f>
        <v xml:space="preserve"> </v>
      </c>
      <c r="BH34" s="43" t="str">
        <f ca="1">IFERROR(IF(ISNUMBER($BC$34),INDEX('1.Locations'!$K$2:$K$97,$BC$34 + 1) +$BH$33," ")," ")</f>
        <v xml:space="preserve"> </v>
      </c>
      <c r="BI34" s="45" t="str">
        <f ca="1">IFERROR(IF(AND(ISNUMBER($BC$34),$BC$34&lt;=95),INDEX('2.Distances'!$D$2:$D$9218,$BC$33*96+$BC$34+ 1) +$BI$33," ")," ")</f>
        <v xml:space="preserve"> </v>
      </c>
      <c r="BJ34" s="46" t="str">
        <f ca="1">IFERROR(IF(AND(ISNUMBER($BC$34),$BC$34&lt;=95),INDEX('2.Distances'!$D$2:$D$9218,$BC$33*96+$BC$34+ 1) +$BK$33," ")," ")</f>
        <v xml:space="preserve"> </v>
      </c>
      <c r="BK34" s="46" t="str">
        <f ca="1">IFERROR(IF(ISNUMBER($BJ$34),INDEX('1.Locations'!$I$2:$I$97,$BC$34 + 1) + MAX($BJ$34,INDEX('1.Locations'!$F$2:$F$97,$BC$34 + 1))," ")," ")</f>
        <v xml:space="preserve"> </v>
      </c>
      <c r="BL34" s="45" t="str">
        <f ca="1">IFERROR($BL$33 + INDEX('2.Distances'!$D$2:$D$9218,$BC$33*96+$BC$34+ 1) + INDEX('1.Locations'!$I$2:$I$97,$BC$34 + 1)," ")</f>
        <v xml:space="preserve"> </v>
      </c>
      <c r="BN34" s="24">
        <v>29</v>
      </c>
      <c r="BO34" s="25"/>
      <c r="BP34" s="43" t="str">
        <f ca="1">IFERROR(MATCH(INDIRECT("$BO$34"),'1.Locations'!$B$2:$B$97, 0) - 1," ")</f>
        <v xml:space="preserve"> </v>
      </c>
      <c r="BQ34" s="43" t="e">
        <f ca="1">IFERROR(IF(ISNUMBER($BP$34),INDEX('1.Locations'!$D$2:$D$97,$BP$34 + 1),NA()),NA())</f>
        <v>#N/A</v>
      </c>
      <c r="BR34" s="43" t="e">
        <f ca="1">IFERROR(IF(ISNUMBER($BP$34),INDEX('1.Locations'!$E$2:$E$97,$BP$34 + 1),NA()),NA())</f>
        <v>#N/A</v>
      </c>
      <c r="BS34" s="44" t="str">
        <f ca="1">IFERROR(IF(AND(ISNUMBER($BP$34),$BP$34&lt;=95),INDEX('2.Distances'!$C$2:$C$9218,$BP$33*96+$BP$34+ 1) +$BS$33," ")," ")</f>
        <v xml:space="preserve"> </v>
      </c>
      <c r="BT34" s="43" t="str">
        <f ca="1">IFERROR(IF(ISNUMBER($BP$34),INDEX('1.Locations'!$J$2:$J$97,$BP$34 + 1) +$BT$33," ")," ")</f>
        <v xml:space="preserve"> </v>
      </c>
      <c r="BU34" s="43" t="str">
        <f ca="1">IFERROR(IF(ISNUMBER($BP$34),INDEX('1.Locations'!$K$2:$K$97,$BP$34 + 1) +$BU$33," ")," ")</f>
        <v xml:space="preserve"> </v>
      </c>
      <c r="BV34" s="45" t="str">
        <f ca="1">IFERROR(IF(AND(ISNUMBER($BP$34),$BP$34&lt;=95),INDEX('2.Distances'!$D$2:$D$9218,$BP$33*96+$BP$34+ 1) +$BV$33," ")," ")</f>
        <v xml:space="preserve"> </v>
      </c>
      <c r="BW34" s="46" t="str">
        <f ca="1">IFERROR(IF(AND(ISNUMBER($BP$34),$BP$34&lt;=95),INDEX('2.Distances'!$D$2:$D$9218,$BP$33*96+$BP$34+ 1) +$BX$33," ")," ")</f>
        <v xml:space="preserve"> </v>
      </c>
      <c r="BX34" s="46" t="str">
        <f ca="1">IFERROR(IF(ISNUMBER($BW$34),INDEX('1.Locations'!$I$2:$I$97,$BP$34 + 1) + MAX($BW$34,INDEX('1.Locations'!$F$2:$F$97,$BP$34 + 1))," ")," ")</f>
        <v xml:space="preserve"> </v>
      </c>
      <c r="BY34" s="45" t="str">
        <f ca="1">IFERROR($BY$33 + INDEX('2.Distances'!$D$2:$D$9218,$BP$33*96+$BP$34+ 1) + INDEX('1.Locations'!$I$2:$I$97,$BP$34 + 1)," ")</f>
        <v xml:space="preserve"> </v>
      </c>
      <c r="CA34" s="24">
        <v>29</v>
      </c>
      <c r="CB34" s="25"/>
      <c r="CC34" s="43" t="str">
        <f ca="1">IFERROR(MATCH(INDIRECT("$CB$34"),'1.Locations'!$B$2:$B$97, 0) - 1," ")</f>
        <v xml:space="preserve"> </v>
      </c>
      <c r="CD34" s="43" t="e">
        <f ca="1">IFERROR(IF(ISNUMBER($CC$34),INDEX('1.Locations'!$D$2:$D$97,$CC$34 + 1),NA()),NA())</f>
        <v>#N/A</v>
      </c>
      <c r="CE34" s="43" t="e">
        <f ca="1">IFERROR(IF(ISNUMBER($CC$34),INDEX('1.Locations'!$E$2:$E$97,$CC$34 + 1),NA()),NA())</f>
        <v>#N/A</v>
      </c>
      <c r="CF34" s="44" t="str">
        <f ca="1">IFERROR(IF(AND(ISNUMBER($CC$34),$CC$34&lt;=95),INDEX('2.Distances'!$C$2:$C$9218,$CC$33*96+$CC$34+ 1) +$CF$33," ")," ")</f>
        <v xml:space="preserve"> </v>
      </c>
      <c r="CG34" s="43" t="str">
        <f ca="1">IFERROR(IF(ISNUMBER($CC$34),INDEX('1.Locations'!$J$2:$J$97,$CC$34 + 1) +$CG$33," ")," ")</f>
        <v xml:space="preserve"> </v>
      </c>
      <c r="CH34" s="43" t="str">
        <f ca="1">IFERROR(IF(ISNUMBER($CC$34),INDEX('1.Locations'!$K$2:$K$97,$CC$34 + 1) +$CH$33," ")," ")</f>
        <v xml:space="preserve"> </v>
      </c>
      <c r="CI34" s="45" t="str">
        <f ca="1">IFERROR(IF(AND(ISNUMBER($CC$34),$CC$34&lt;=95),INDEX('2.Distances'!$D$2:$D$9218,$CC$33*96+$CC$34+ 1) +$CI$33," ")," ")</f>
        <v xml:space="preserve"> </v>
      </c>
      <c r="CJ34" s="46" t="str">
        <f ca="1">IFERROR(IF(AND(ISNUMBER($CC$34),$CC$34&lt;=95),INDEX('2.Distances'!$D$2:$D$9218,$CC$33*96+$CC$34+ 1) +$CK$33," ")," ")</f>
        <v xml:space="preserve"> </v>
      </c>
      <c r="CK34" s="46" t="str">
        <f ca="1">IFERROR(IF(ISNUMBER($CJ$34),INDEX('1.Locations'!$I$2:$I$97,$CC$34 + 1) + MAX($CJ$34,INDEX('1.Locations'!$F$2:$F$97,$CC$34 + 1))," ")," ")</f>
        <v xml:space="preserve"> </v>
      </c>
      <c r="CL34" s="45" t="str">
        <f ca="1">IFERROR($CL$33 + INDEX('2.Distances'!$D$2:$D$9218,$CC$33*96+$CC$34+ 1) + INDEX('1.Locations'!$I$2:$I$97,$CC$34 + 1)," ")</f>
        <v xml:space="preserve"> </v>
      </c>
    </row>
    <row r="35" spans="1:90" x14ac:dyDescent="0.25">
      <c r="A35" s="24">
        <v>30</v>
      </c>
      <c r="B35" s="25"/>
      <c r="C35" s="43" t="str">
        <f ca="1">IFERROR(MATCH(INDIRECT("$B$35"),'1.Locations'!$B$2:$B$97, 0) - 1," ")</f>
        <v xml:space="preserve"> </v>
      </c>
      <c r="D35" s="43" t="e">
        <f ca="1">IFERROR(IF(ISNUMBER($C$35),INDEX('1.Locations'!$D$2:$D$97,$C$35 + 1),NA()),NA())</f>
        <v>#N/A</v>
      </c>
      <c r="E35" s="43" t="e">
        <f ca="1">IFERROR(IF(ISNUMBER($C$35),INDEX('1.Locations'!$E$2:$E$97,$C$35 + 1),NA()),NA())</f>
        <v>#N/A</v>
      </c>
      <c r="F35" s="44" t="str">
        <f ca="1">IFERROR(IF(AND(ISNUMBER($C$35),$C$35&lt;=95),INDEX('2.Distances'!$C$2:$C$9218,$C$34*96+$C$35+ 1) +$F$34," ")," ")</f>
        <v xml:space="preserve"> </v>
      </c>
      <c r="G35" s="43" t="str">
        <f ca="1">IFERROR(IF(ISNUMBER($C$35),INDEX('1.Locations'!$J$2:$J$97,$C$35 + 1) +$G$34," ")," ")</f>
        <v xml:space="preserve"> </v>
      </c>
      <c r="H35" s="43" t="str">
        <f ca="1">IFERROR(IF(ISNUMBER($C$35),INDEX('1.Locations'!$K$2:$K$97,$C$35 + 1) +$H$34," ")," ")</f>
        <v xml:space="preserve"> </v>
      </c>
      <c r="I35" s="45" t="str">
        <f ca="1">IFERROR(IF(AND(ISNUMBER($C$35),$C$35&lt;=95),INDEX('2.Distances'!$D$2:$D$9218,$C$34*96+$C$35+ 1) +$I$34," ")," ")</f>
        <v xml:space="preserve"> </v>
      </c>
      <c r="J35" s="46" t="str">
        <f ca="1">IFERROR(IF(AND(ISNUMBER($C$35),$C$35&lt;=95),INDEX('2.Distances'!$D$2:$D$9218,$C$34*96+$C$35+ 1) +$K$34," ")," ")</f>
        <v xml:space="preserve"> </v>
      </c>
      <c r="K35" s="46" t="str">
        <f ca="1">IFERROR(IF(ISNUMBER($J$35),INDEX('1.Locations'!$I$2:$I$97,$C$35 + 1) + MAX($J$35,INDEX('1.Locations'!$F$2:$F$97,$C$35 + 1))," ")," ")</f>
        <v xml:space="preserve"> </v>
      </c>
      <c r="L35" s="45" t="str">
        <f ca="1">IFERROR($L$34 + INDEX('2.Distances'!$D$2:$D$9218,$C$34*96+$C$35+ 1) + INDEX('1.Locations'!$I$2:$I$97,$C$35 + 1)," ")</f>
        <v xml:space="preserve"> </v>
      </c>
      <c r="N35" s="24">
        <v>30</v>
      </c>
      <c r="O35" s="25"/>
      <c r="P35" s="43" t="str">
        <f ca="1">IFERROR(MATCH(INDIRECT("$O$35"),'1.Locations'!$B$2:$B$97, 0) - 1," ")</f>
        <v xml:space="preserve"> </v>
      </c>
      <c r="Q35" s="43" t="e">
        <f ca="1">IFERROR(IF(ISNUMBER($P$35),INDEX('1.Locations'!$D$2:$D$97,$P$35 + 1),NA()),NA())</f>
        <v>#N/A</v>
      </c>
      <c r="R35" s="43" t="e">
        <f ca="1">IFERROR(IF(ISNUMBER($P$35),INDEX('1.Locations'!$E$2:$E$97,$P$35 + 1),NA()),NA())</f>
        <v>#N/A</v>
      </c>
      <c r="S35" s="44" t="str">
        <f ca="1">IFERROR(IF(AND(ISNUMBER($P$35),$P$35&lt;=95),INDEX('2.Distances'!$C$2:$C$9218,$P$34*96+$P$35+ 1) +$S$34," ")," ")</f>
        <v xml:space="preserve"> </v>
      </c>
      <c r="T35" s="43" t="str">
        <f ca="1">IFERROR(IF(ISNUMBER($P$35),INDEX('1.Locations'!$J$2:$J$97,$P$35 + 1) +$T$34," ")," ")</f>
        <v xml:space="preserve"> </v>
      </c>
      <c r="U35" s="43" t="str">
        <f ca="1">IFERROR(IF(ISNUMBER($P$35),INDEX('1.Locations'!$K$2:$K$97,$P$35 + 1) +$U$34," ")," ")</f>
        <v xml:space="preserve"> </v>
      </c>
      <c r="V35" s="45" t="str">
        <f ca="1">IFERROR(IF(AND(ISNUMBER($P$35),$P$35&lt;=95),INDEX('2.Distances'!$D$2:$D$9218,$P$34*96+$P$35+ 1) +$V$34," ")," ")</f>
        <v xml:space="preserve"> </v>
      </c>
      <c r="W35" s="46" t="str">
        <f ca="1">IFERROR(IF(AND(ISNUMBER($P$35),$P$35&lt;=95),INDEX('2.Distances'!$D$2:$D$9218,$P$34*96+$P$35+ 1) +$X$34," ")," ")</f>
        <v xml:space="preserve"> </v>
      </c>
      <c r="X35" s="46" t="str">
        <f ca="1">IFERROR(IF(ISNUMBER($W$35),INDEX('1.Locations'!$I$2:$I$97,$P$35 + 1) + MAX($W$35,INDEX('1.Locations'!$F$2:$F$97,$P$35 + 1))," ")," ")</f>
        <v xml:space="preserve"> </v>
      </c>
      <c r="Y35" s="45" t="str">
        <f ca="1">IFERROR($Y$34 + INDEX('2.Distances'!$D$2:$D$9218,$P$34*96+$P$35+ 1) + INDEX('1.Locations'!$I$2:$I$97,$P$35 + 1)," ")</f>
        <v xml:space="preserve"> </v>
      </c>
      <c r="AA35" s="24">
        <v>30</v>
      </c>
      <c r="AB35" s="25"/>
      <c r="AC35" s="43" t="str">
        <f ca="1">IFERROR(MATCH(INDIRECT("$AB$35"),'1.Locations'!$B$2:$B$97, 0) - 1," ")</f>
        <v xml:space="preserve"> </v>
      </c>
      <c r="AD35" s="43" t="e">
        <f ca="1">IFERROR(IF(ISNUMBER($AC$35),INDEX('1.Locations'!$D$2:$D$97,$AC$35 + 1),NA()),NA())</f>
        <v>#N/A</v>
      </c>
      <c r="AE35" s="43" t="e">
        <f ca="1">IFERROR(IF(ISNUMBER($AC$35),INDEX('1.Locations'!$E$2:$E$97,$AC$35 + 1),NA()),NA())</f>
        <v>#N/A</v>
      </c>
      <c r="AF35" s="44" t="str">
        <f ca="1">IFERROR(IF(AND(ISNUMBER($AC$35),$AC$35&lt;=95),INDEX('2.Distances'!$C$2:$C$9218,$AC$34*96+$AC$35+ 1) +$AF$34," ")," ")</f>
        <v xml:space="preserve"> </v>
      </c>
      <c r="AG35" s="43" t="str">
        <f ca="1">IFERROR(IF(ISNUMBER($AC$35),INDEX('1.Locations'!$J$2:$J$97,$AC$35 + 1) +$AG$34," ")," ")</f>
        <v xml:space="preserve"> </v>
      </c>
      <c r="AH35" s="43" t="str">
        <f ca="1">IFERROR(IF(ISNUMBER($AC$35),INDEX('1.Locations'!$K$2:$K$97,$AC$35 + 1) +$AH$34," ")," ")</f>
        <v xml:space="preserve"> </v>
      </c>
      <c r="AI35" s="45" t="str">
        <f ca="1">IFERROR(IF(AND(ISNUMBER($AC$35),$AC$35&lt;=95),INDEX('2.Distances'!$D$2:$D$9218,$AC$34*96+$AC$35+ 1) +$AI$34," ")," ")</f>
        <v xml:space="preserve"> </v>
      </c>
      <c r="AJ35" s="46" t="str">
        <f ca="1">IFERROR(IF(AND(ISNUMBER($AC$35),$AC$35&lt;=95),INDEX('2.Distances'!$D$2:$D$9218,$AC$34*96+$AC$35+ 1) +$AK$34," ")," ")</f>
        <v xml:space="preserve"> </v>
      </c>
      <c r="AK35" s="46" t="str">
        <f ca="1">IFERROR(IF(ISNUMBER($AJ$35),INDEX('1.Locations'!$I$2:$I$97,$AC$35 + 1) + MAX($AJ$35,INDEX('1.Locations'!$F$2:$F$97,$AC$35 + 1))," ")," ")</f>
        <v xml:space="preserve"> </v>
      </c>
      <c r="AL35" s="45" t="str">
        <f ca="1">IFERROR($AL$34 + INDEX('2.Distances'!$D$2:$D$9218,$AC$34*96+$AC$35+ 1) + INDEX('1.Locations'!$I$2:$I$97,$AC$35 + 1)," ")</f>
        <v xml:space="preserve"> </v>
      </c>
      <c r="AN35" s="24">
        <v>30</v>
      </c>
      <c r="AO35" s="25"/>
      <c r="AP35" s="43" t="str">
        <f ca="1">IFERROR(MATCH(INDIRECT("$AO$35"),'1.Locations'!$B$2:$B$97, 0) - 1," ")</f>
        <v xml:space="preserve"> </v>
      </c>
      <c r="AQ35" s="43" t="e">
        <f ca="1">IFERROR(IF(ISNUMBER($AP$35),INDEX('1.Locations'!$D$2:$D$97,$AP$35 + 1),NA()),NA())</f>
        <v>#N/A</v>
      </c>
      <c r="AR35" s="43" t="e">
        <f ca="1">IFERROR(IF(ISNUMBER($AP$35),INDEX('1.Locations'!$E$2:$E$97,$AP$35 + 1),NA()),NA())</f>
        <v>#N/A</v>
      </c>
      <c r="AS35" s="44" t="str">
        <f ca="1">IFERROR(IF(AND(ISNUMBER($AP$35),$AP$35&lt;=95),INDEX('2.Distances'!$C$2:$C$9218,$AP$34*96+$AP$35+ 1) +$AS$34," ")," ")</f>
        <v xml:space="preserve"> </v>
      </c>
      <c r="AT35" s="43" t="str">
        <f ca="1">IFERROR(IF(ISNUMBER($AP$35),INDEX('1.Locations'!$J$2:$J$97,$AP$35 + 1) +$AT$34," ")," ")</f>
        <v xml:space="preserve"> </v>
      </c>
      <c r="AU35" s="43" t="str">
        <f ca="1">IFERROR(IF(ISNUMBER($AP$35),INDEX('1.Locations'!$K$2:$K$97,$AP$35 + 1) +$AU$34," ")," ")</f>
        <v xml:space="preserve"> </v>
      </c>
      <c r="AV35" s="45" t="str">
        <f ca="1">IFERROR(IF(AND(ISNUMBER($AP$35),$AP$35&lt;=95),INDEX('2.Distances'!$D$2:$D$9218,$AP$34*96+$AP$35+ 1) +$AV$34," ")," ")</f>
        <v xml:space="preserve"> </v>
      </c>
      <c r="AW35" s="46" t="str">
        <f ca="1">IFERROR(IF(AND(ISNUMBER($AP$35),$AP$35&lt;=95),INDEX('2.Distances'!$D$2:$D$9218,$AP$34*96+$AP$35+ 1) +$AX$34," ")," ")</f>
        <v xml:space="preserve"> </v>
      </c>
      <c r="AX35" s="46" t="str">
        <f ca="1">IFERROR(IF(ISNUMBER($AW$35),INDEX('1.Locations'!$I$2:$I$97,$AP$35 + 1) + MAX($AW$35,INDEX('1.Locations'!$F$2:$F$97,$AP$35 + 1))," ")," ")</f>
        <v xml:space="preserve"> </v>
      </c>
      <c r="AY35" s="45" t="str">
        <f ca="1">IFERROR($AY$34 + INDEX('2.Distances'!$D$2:$D$9218,$AP$34*96+$AP$35+ 1) + INDEX('1.Locations'!$I$2:$I$97,$AP$35 + 1)," ")</f>
        <v xml:space="preserve"> </v>
      </c>
      <c r="BA35" s="24">
        <v>30</v>
      </c>
      <c r="BB35" s="25"/>
      <c r="BC35" s="43" t="str">
        <f ca="1">IFERROR(MATCH(INDIRECT("$BB$35"),'1.Locations'!$B$2:$B$97, 0) - 1," ")</f>
        <v xml:space="preserve"> </v>
      </c>
      <c r="BD35" s="43" t="e">
        <f ca="1">IFERROR(IF(ISNUMBER($BC$35),INDEX('1.Locations'!$D$2:$D$97,$BC$35 + 1),NA()),NA())</f>
        <v>#N/A</v>
      </c>
      <c r="BE35" s="43" t="e">
        <f ca="1">IFERROR(IF(ISNUMBER($BC$35),INDEX('1.Locations'!$E$2:$E$97,$BC$35 + 1),NA()),NA())</f>
        <v>#N/A</v>
      </c>
      <c r="BF35" s="44" t="str">
        <f ca="1">IFERROR(IF(AND(ISNUMBER($BC$35),$BC$35&lt;=95),INDEX('2.Distances'!$C$2:$C$9218,$BC$34*96+$BC$35+ 1) +$BF$34," ")," ")</f>
        <v xml:space="preserve"> </v>
      </c>
      <c r="BG35" s="43" t="str">
        <f ca="1">IFERROR(IF(ISNUMBER($BC$35),INDEX('1.Locations'!$J$2:$J$97,$BC$35 + 1) +$BG$34," ")," ")</f>
        <v xml:space="preserve"> </v>
      </c>
      <c r="BH35" s="43" t="str">
        <f ca="1">IFERROR(IF(ISNUMBER($BC$35),INDEX('1.Locations'!$K$2:$K$97,$BC$35 + 1) +$BH$34," ")," ")</f>
        <v xml:space="preserve"> </v>
      </c>
      <c r="BI35" s="45" t="str">
        <f ca="1">IFERROR(IF(AND(ISNUMBER($BC$35),$BC$35&lt;=95),INDEX('2.Distances'!$D$2:$D$9218,$BC$34*96+$BC$35+ 1) +$BI$34," ")," ")</f>
        <v xml:space="preserve"> </v>
      </c>
      <c r="BJ35" s="46" t="str">
        <f ca="1">IFERROR(IF(AND(ISNUMBER($BC$35),$BC$35&lt;=95),INDEX('2.Distances'!$D$2:$D$9218,$BC$34*96+$BC$35+ 1) +$BK$34," ")," ")</f>
        <v xml:space="preserve"> </v>
      </c>
      <c r="BK35" s="46" t="str">
        <f ca="1">IFERROR(IF(ISNUMBER($BJ$35),INDEX('1.Locations'!$I$2:$I$97,$BC$35 + 1) + MAX($BJ$35,INDEX('1.Locations'!$F$2:$F$97,$BC$35 + 1))," ")," ")</f>
        <v xml:space="preserve"> </v>
      </c>
      <c r="BL35" s="45" t="str">
        <f ca="1">IFERROR($BL$34 + INDEX('2.Distances'!$D$2:$D$9218,$BC$34*96+$BC$35+ 1) + INDEX('1.Locations'!$I$2:$I$97,$BC$35 + 1)," ")</f>
        <v xml:space="preserve"> </v>
      </c>
      <c r="BN35" s="24">
        <v>30</v>
      </c>
      <c r="BO35" s="25"/>
      <c r="BP35" s="43" t="str">
        <f ca="1">IFERROR(MATCH(INDIRECT("$BO$35"),'1.Locations'!$B$2:$B$97, 0) - 1," ")</f>
        <v xml:space="preserve"> </v>
      </c>
      <c r="BQ35" s="43" t="e">
        <f ca="1">IFERROR(IF(ISNUMBER($BP$35),INDEX('1.Locations'!$D$2:$D$97,$BP$35 + 1),NA()),NA())</f>
        <v>#N/A</v>
      </c>
      <c r="BR35" s="43" t="e">
        <f ca="1">IFERROR(IF(ISNUMBER($BP$35),INDEX('1.Locations'!$E$2:$E$97,$BP$35 + 1),NA()),NA())</f>
        <v>#N/A</v>
      </c>
      <c r="BS35" s="44" t="str">
        <f ca="1">IFERROR(IF(AND(ISNUMBER($BP$35),$BP$35&lt;=95),INDEX('2.Distances'!$C$2:$C$9218,$BP$34*96+$BP$35+ 1) +$BS$34," ")," ")</f>
        <v xml:space="preserve"> </v>
      </c>
      <c r="BT35" s="43" t="str">
        <f ca="1">IFERROR(IF(ISNUMBER($BP$35),INDEX('1.Locations'!$J$2:$J$97,$BP$35 + 1) +$BT$34," ")," ")</f>
        <v xml:space="preserve"> </v>
      </c>
      <c r="BU35" s="43" t="str">
        <f ca="1">IFERROR(IF(ISNUMBER($BP$35),INDEX('1.Locations'!$K$2:$K$97,$BP$35 + 1) +$BU$34," ")," ")</f>
        <v xml:space="preserve"> </v>
      </c>
      <c r="BV35" s="45" t="str">
        <f ca="1">IFERROR(IF(AND(ISNUMBER($BP$35),$BP$35&lt;=95),INDEX('2.Distances'!$D$2:$D$9218,$BP$34*96+$BP$35+ 1) +$BV$34," ")," ")</f>
        <v xml:space="preserve"> </v>
      </c>
      <c r="BW35" s="46" t="str">
        <f ca="1">IFERROR(IF(AND(ISNUMBER($BP$35),$BP$35&lt;=95),INDEX('2.Distances'!$D$2:$D$9218,$BP$34*96+$BP$35+ 1) +$BX$34," ")," ")</f>
        <v xml:space="preserve"> </v>
      </c>
      <c r="BX35" s="46" t="str">
        <f ca="1">IFERROR(IF(ISNUMBER($BW$35),INDEX('1.Locations'!$I$2:$I$97,$BP$35 + 1) + MAX($BW$35,INDEX('1.Locations'!$F$2:$F$97,$BP$35 + 1))," ")," ")</f>
        <v xml:space="preserve"> </v>
      </c>
      <c r="BY35" s="45" t="str">
        <f ca="1">IFERROR($BY$34 + INDEX('2.Distances'!$D$2:$D$9218,$BP$34*96+$BP$35+ 1) + INDEX('1.Locations'!$I$2:$I$97,$BP$35 + 1)," ")</f>
        <v xml:space="preserve"> </v>
      </c>
      <c r="CA35" s="24">
        <v>30</v>
      </c>
      <c r="CB35" s="25"/>
      <c r="CC35" s="43" t="str">
        <f ca="1">IFERROR(MATCH(INDIRECT("$CB$35"),'1.Locations'!$B$2:$B$97, 0) - 1," ")</f>
        <v xml:space="preserve"> </v>
      </c>
      <c r="CD35" s="43" t="e">
        <f ca="1">IFERROR(IF(ISNUMBER($CC$35),INDEX('1.Locations'!$D$2:$D$97,$CC$35 + 1),NA()),NA())</f>
        <v>#N/A</v>
      </c>
      <c r="CE35" s="43" t="e">
        <f ca="1">IFERROR(IF(ISNUMBER($CC$35),INDEX('1.Locations'!$E$2:$E$97,$CC$35 + 1),NA()),NA())</f>
        <v>#N/A</v>
      </c>
      <c r="CF35" s="44" t="str">
        <f ca="1">IFERROR(IF(AND(ISNUMBER($CC$35),$CC$35&lt;=95),INDEX('2.Distances'!$C$2:$C$9218,$CC$34*96+$CC$35+ 1) +$CF$34," ")," ")</f>
        <v xml:space="preserve"> </v>
      </c>
      <c r="CG35" s="43" t="str">
        <f ca="1">IFERROR(IF(ISNUMBER($CC$35),INDEX('1.Locations'!$J$2:$J$97,$CC$35 + 1) +$CG$34," ")," ")</f>
        <v xml:space="preserve"> </v>
      </c>
      <c r="CH35" s="43" t="str">
        <f ca="1">IFERROR(IF(ISNUMBER($CC$35),INDEX('1.Locations'!$K$2:$K$97,$CC$35 + 1) +$CH$34," ")," ")</f>
        <v xml:space="preserve"> </v>
      </c>
      <c r="CI35" s="45" t="str">
        <f ca="1">IFERROR(IF(AND(ISNUMBER($CC$35),$CC$35&lt;=95),INDEX('2.Distances'!$D$2:$D$9218,$CC$34*96+$CC$35+ 1) +$CI$34," ")," ")</f>
        <v xml:space="preserve"> </v>
      </c>
      <c r="CJ35" s="46" t="str">
        <f ca="1">IFERROR(IF(AND(ISNUMBER($CC$35),$CC$35&lt;=95),INDEX('2.Distances'!$D$2:$D$9218,$CC$34*96+$CC$35+ 1) +$CK$34," ")," ")</f>
        <v xml:space="preserve"> </v>
      </c>
      <c r="CK35" s="46" t="str">
        <f ca="1">IFERROR(IF(ISNUMBER($CJ$35),INDEX('1.Locations'!$I$2:$I$97,$CC$35 + 1) + MAX($CJ$35,INDEX('1.Locations'!$F$2:$F$97,$CC$35 + 1))," ")," ")</f>
        <v xml:space="preserve"> </v>
      </c>
      <c r="CL35" s="45" t="str">
        <f ca="1">IFERROR($CL$34 + INDEX('2.Distances'!$D$2:$D$9218,$CC$34*96+$CC$35+ 1) + INDEX('1.Locations'!$I$2:$I$97,$CC$35 + 1)," ")</f>
        <v xml:space="preserve"> </v>
      </c>
    </row>
    <row r="36" spans="1:90" x14ac:dyDescent="0.25">
      <c r="A36" s="24">
        <v>31</v>
      </c>
      <c r="B36" s="25"/>
      <c r="C36" s="43" t="str">
        <f ca="1">IFERROR(MATCH(INDIRECT("$B$36"),'1.Locations'!$B$2:$B$97, 0) - 1," ")</f>
        <v xml:space="preserve"> </v>
      </c>
      <c r="D36" s="43" t="e">
        <f ca="1">IFERROR(IF(ISNUMBER($C$36),INDEX('1.Locations'!$D$2:$D$97,$C$36 + 1),NA()),NA())</f>
        <v>#N/A</v>
      </c>
      <c r="E36" s="43" t="e">
        <f ca="1">IFERROR(IF(ISNUMBER($C$36),INDEX('1.Locations'!$E$2:$E$97,$C$36 + 1),NA()),NA())</f>
        <v>#N/A</v>
      </c>
      <c r="F36" s="44" t="str">
        <f ca="1">IFERROR(IF(AND(ISNUMBER($C$36),$C$36&lt;=95),INDEX('2.Distances'!$C$2:$C$9218,$C$35*96+$C$36+ 1) +$F$35," ")," ")</f>
        <v xml:space="preserve"> </v>
      </c>
      <c r="G36" s="43" t="str">
        <f ca="1">IFERROR(IF(ISNUMBER($C$36),INDEX('1.Locations'!$J$2:$J$97,$C$36 + 1) +$G$35," ")," ")</f>
        <v xml:space="preserve"> </v>
      </c>
      <c r="H36" s="43" t="str">
        <f ca="1">IFERROR(IF(ISNUMBER($C$36),INDEX('1.Locations'!$K$2:$K$97,$C$36 + 1) +$H$35," ")," ")</f>
        <v xml:space="preserve"> </v>
      </c>
      <c r="I36" s="45" t="str">
        <f ca="1">IFERROR(IF(AND(ISNUMBER($C$36),$C$36&lt;=95),INDEX('2.Distances'!$D$2:$D$9218,$C$35*96+$C$36+ 1) +$I$35," ")," ")</f>
        <v xml:space="preserve"> </v>
      </c>
      <c r="J36" s="46" t="str">
        <f ca="1">IFERROR(IF(AND(ISNUMBER($C$36),$C$36&lt;=95),INDEX('2.Distances'!$D$2:$D$9218,$C$35*96+$C$36+ 1) +$K$35," ")," ")</f>
        <v xml:space="preserve"> </v>
      </c>
      <c r="K36" s="46" t="str">
        <f ca="1">IFERROR(IF(ISNUMBER($J$36),INDEX('1.Locations'!$I$2:$I$97,$C$36 + 1) + MAX($J$36,INDEX('1.Locations'!$F$2:$F$97,$C$36 + 1))," ")," ")</f>
        <v xml:space="preserve"> </v>
      </c>
      <c r="L36" s="45" t="str">
        <f ca="1">IFERROR($L$35 + INDEX('2.Distances'!$D$2:$D$9218,$C$35*96+$C$36+ 1) + INDEX('1.Locations'!$I$2:$I$97,$C$36 + 1)," ")</f>
        <v xml:space="preserve"> </v>
      </c>
      <c r="N36" s="24">
        <v>31</v>
      </c>
      <c r="O36" s="25"/>
      <c r="P36" s="43" t="str">
        <f ca="1">IFERROR(MATCH(INDIRECT("$O$36"),'1.Locations'!$B$2:$B$97, 0) - 1," ")</f>
        <v xml:space="preserve"> </v>
      </c>
      <c r="Q36" s="43" t="e">
        <f ca="1">IFERROR(IF(ISNUMBER($P$36),INDEX('1.Locations'!$D$2:$D$97,$P$36 + 1),NA()),NA())</f>
        <v>#N/A</v>
      </c>
      <c r="R36" s="43" t="e">
        <f ca="1">IFERROR(IF(ISNUMBER($P$36),INDEX('1.Locations'!$E$2:$E$97,$P$36 + 1),NA()),NA())</f>
        <v>#N/A</v>
      </c>
      <c r="S36" s="44" t="str">
        <f ca="1">IFERROR(IF(AND(ISNUMBER($P$36),$P$36&lt;=95),INDEX('2.Distances'!$C$2:$C$9218,$P$35*96+$P$36+ 1) +$S$35," ")," ")</f>
        <v xml:space="preserve"> </v>
      </c>
      <c r="T36" s="43" t="str">
        <f ca="1">IFERROR(IF(ISNUMBER($P$36),INDEX('1.Locations'!$J$2:$J$97,$P$36 + 1) +$T$35," ")," ")</f>
        <v xml:space="preserve"> </v>
      </c>
      <c r="U36" s="43" t="str">
        <f ca="1">IFERROR(IF(ISNUMBER($P$36),INDEX('1.Locations'!$K$2:$K$97,$P$36 + 1) +$U$35," ")," ")</f>
        <v xml:space="preserve"> </v>
      </c>
      <c r="V36" s="45" t="str">
        <f ca="1">IFERROR(IF(AND(ISNUMBER($P$36),$P$36&lt;=95),INDEX('2.Distances'!$D$2:$D$9218,$P$35*96+$P$36+ 1) +$V$35," ")," ")</f>
        <v xml:space="preserve"> </v>
      </c>
      <c r="W36" s="46" t="str">
        <f ca="1">IFERROR(IF(AND(ISNUMBER($P$36),$P$36&lt;=95),INDEX('2.Distances'!$D$2:$D$9218,$P$35*96+$P$36+ 1) +$X$35," ")," ")</f>
        <v xml:space="preserve"> </v>
      </c>
      <c r="X36" s="46" t="str">
        <f ca="1">IFERROR(IF(ISNUMBER($W$36),INDEX('1.Locations'!$I$2:$I$97,$P$36 + 1) + MAX($W$36,INDEX('1.Locations'!$F$2:$F$97,$P$36 + 1))," ")," ")</f>
        <v xml:space="preserve"> </v>
      </c>
      <c r="Y36" s="45" t="str">
        <f ca="1">IFERROR($Y$35 + INDEX('2.Distances'!$D$2:$D$9218,$P$35*96+$P$36+ 1) + INDEX('1.Locations'!$I$2:$I$97,$P$36 + 1)," ")</f>
        <v xml:space="preserve"> </v>
      </c>
      <c r="AA36" s="24">
        <v>31</v>
      </c>
      <c r="AB36" s="25"/>
      <c r="AC36" s="43" t="str">
        <f ca="1">IFERROR(MATCH(INDIRECT("$AB$36"),'1.Locations'!$B$2:$B$97, 0) - 1," ")</f>
        <v xml:space="preserve"> </v>
      </c>
      <c r="AD36" s="43" t="e">
        <f ca="1">IFERROR(IF(ISNUMBER($AC$36),INDEX('1.Locations'!$D$2:$D$97,$AC$36 + 1),NA()),NA())</f>
        <v>#N/A</v>
      </c>
      <c r="AE36" s="43" t="e">
        <f ca="1">IFERROR(IF(ISNUMBER($AC$36),INDEX('1.Locations'!$E$2:$E$97,$AC$36 + 1),NA()),NA())</f>
        <v>#N/A</v>
      </c>
      <c r="AF36" s="44" t="str">
        <f ca="1">IFERROR(IF(AND(ISNUMBER($AC$36),$AC$36&lt;=95),INDEX('2.Distances'!$C$2:$C$9218,$AC$35*96+$AC$36+ 1) +$AF$35," ")," ")</f>
        <v xml:space="preserve"> </v>
      </c>
      <c r="AG36" s="43" t="str">
        <f ca="1">IFERROR(IF(ISNUMBER($AC$36),INDEX('1.Locations'!$J$2:$J$97,$AC$36 + 1) +$AG$35," ")," ")</f>
        <v xml:space="preserve"> </v>
      </c>
      <c r="AH36" s="43" t="str">
        <f ca="1">IFERROR(IF(ISNUMBER($AC$36),INDEX('1.Locations'!$K$2:$K$97,$AC$36 + 1) +$AH$35," ")," ")</f>
        <v xml:space="preserve"> </v>
      </c>
      <c r="AI36" s="45" t="str">
        <f ca="1">IFERROR(IF(AND(ISNUMBER($AC$36),$AC$36&lt;=95),INDEX('2.Distances'!$D$2:$D$9218,$AC$35*96+$AC$36+ 1) +$AI$35," ")," ")</f>
        <v xml:space="preserve"> </v>
      </c>
      <c r="AJ36" s="46" t="str">
        <f ca="1">IFERROR(IF(AND(ISNUMBER($AC$36),$AC$36&lt;=95),INDEX('2.Distances'!$D$2:$D$9218,$AC$35*96+$AC$36+ 1) +$AK$35," ")," ")</f>
        <v xml:space="preserve"> </v>
      </c>
      <c r="AK36" s="46" t="str">
        <f ca="1">IFERROR(IF(ISNUMBER($AJ$36),INDEX('1.Locations'!$I$2:$I$97,$AC$36 + 1) + MAX($AJ$36,INDEX('1.Locations'!$F$2:$F$97,$AC$36 + 1))," ")," ")</f>
        <v xml:space="preserve"> </v>
      </c>
      <c r="AL36" s="45" t="str">
        <f ca="1">IFERROR($AL$35 + INDEX('2.Distances'!$D$2:$D$9218,$AC$35*96+$AC$36+ 1) + INDEX('1.Locations'!$I$2:$I$97,$AC$36 + 1)," ")</f>
        <v xml:space="preserve"> </v>
      </c>
      <c r="AN36" s="24">
        <v>31</v>
      </c>
      <c r="AO36" s="25"/>
      <c r="AP36" s="43" t="str">
        <f ca="1">IFERROR(MATCH(INDIRECT("$AO$36"),'1.Locations'!$B$2:$B$97, 0) - 1," ")</f>
        <v xml:space="preserve"> </v>
      </c>
      <c r="AQ36" s="43" t="e">
        <f ca="1">IFERROR(IF(ISNUMBER($AP$36),INDEX('1.Locations'!$D$2:$D$97,$AP$36 + 1),NA()),NA())</f>
        <v>#N/A</v>
      </c>
      <c r="AR36" s="43" t="e">
        <f ca="1">IFERROR(IF(ISNUMBER($AP$36),INDEX('1.Locations'!$E$2:$E$97,$AP$36 + 1),NA()),NA())</f>
        <v>#N/A</v>
      </c>
      <c r="AS36" s="44" t="str">
        <f ca="1">IFERROR(IF(AND(ISNUMBER($AP$36),$AP$36&lt;=95),INDEX('2.Distances'!$C$2:$C$9218,$AP$35*96+$AP$36+ 1) +$AS$35," ")," ")</f>
        <v xml:space="preserve"> </v>
      </c>
      <c r="AT36" s="43" t="str">
        <f ca="1">IFERROR(IF(ISNUMBER($AP$36),INDEX('1.Locations'!$J$2:$J$97,$AP$36 + 1) +$AT$35," ")," ")</f>
        <v xml:space="preserve"> </v>
      </c>
      <c r="AU36" s="43" t="str">
        <f ca="1">IFERROR(IF(ISNUMBER($AP$36),INDEX('1.Locations'!$K$2:$K$97,$AP$36 + 1) +$AU$35," ")," ")</f>
        <v xml:space="preserve"> </v>
      </c>
      <c r="AV36" s="45" t="str">
        <f ca="1">IFERROR(IF(AND(ISNUMBER($AP$36),$AP$36&lt;=95),INDEX('2.Distances'!$D$2:$D$9218,$AP$35*96+$AP$36+ 1) +$AV$35," ")," ")</f>
        <v xml:space="preserve"> </v>
      </c>
      <c r="AW36" s="46" t="str">
        <f ca="1">IFERROR(IF(AND(ISNUMBER($AP$36),$AP$36&lt;=95),INDEX('2.Distances'!$D$2:$D$9218,$AP$35*96+$AP$36+ 1) +$AX$35," ")," ")</f>
        <v xml:space="preserve"> </v>
      </c>
      <c r="AX36" s="46" t="str">
        <f ca="1">IFERROR(IF(ISNUMBER($AW$36),INDEX('1.Locations'!$I$2:$I$97,$AP$36 + 1) + MAX($AW$36,INDEX('1.Locations'!$F$2:$F$97,$AP$36 + 1))," ")," ")</f>
        <v xml:space="preserve"> </v>
      </c>
      <c r="AY36" s="45" t="str">
        <f ca="1">IFERROR($AY$35 + INDEX('2.Distances'!$D$2:$D$9218,$AP$35*96+$AP$36+ 1) + INDEX('1.Locations'!$I$2:$I$97,$AP$36 + 1)," ")</f>
        <v xml:space="preserve"> </v>
      </c>
      <c r="BA36" s="24">
        <v>31</v>
      </c>
      <c r="BB36" s="25"/>
      <c r="BC36" s="43" t="str">
        <f ca="1">IFERROR(MATCH(INDIRECT("$BB$36"),'1.Locations'!$B$2:$B$97, 0) - 1," ")</f>
        <v xml:space="preserve"> </v>
      </c>
      <c r="BD36" s="43" t="e">
        <f ca="1">IFERROR(IF(ISNUMBER($BC$36),INDEX('1.Locations'!$D$2:$D$97,$BC$36 + 1),NA()),NA())</f>
        <v>#N/A</v>
      </c>
      <c r="BE36" s="43" t="e">
        <f ca="1">IFERROR(IF(ISNUMBER($BC$36),INDEX('1.Locations'!$E$2:$E$97,$BC$36 + 1),NA()),NA())</f>
        <v>#N/A</v>
      </c>
      <c r="BF36" s="44" t="str">
        <f ca="1">IFERROR(IF(AND(ISNUMBER($BC$36),$BC$36&lt;=95),INDEX('2.Distances'!$C$2:$C$9218,$BC$35*96+$BC$36+ 1) +$BF$35," ")," ")</f>
        <v xml:space="preserve"> </v>
      </c>
      <c r="BG36" s="43" t="str">
        <f ca="1">IFERROR(IF(ISNUMBER($BC$36),INDEX('1.Locations'!$J$2:$J$97,$BC$36 + 1) +$BG$35," ")," ")</f>
        <v xml:space="preserve"> </v>
      </c>
      <c r="BH36" s="43" t="str">
        <f ca="1">IFERROR(IF(ISNUMBER($BC$36),INDEX('1.Locations'!$K$2:$K$97,$BC$36 + 1) +$BH$35," ")," ")</f>
        <v xml:space="preserve"> </v>
      </c>
      <c r="BI36" s="45" t="str">
        <f ca="1">IFERROR(IF(AND(ISNUMBER($BC$36),$BC$36&lt;=95),INDEX('2.Distances'!$D$2:$D$9218,$BC$35*96+$BC$36+ 1) +$BI$35," ")," ")</f>
        <v xml:space="preserve"> </v>
      </c>
      <c r="BJ36" s="46" t="str">
        <f ca="1">IFERROR(IF(AND(ISNUMBER($BC$36),$BC$36&lt;=95),INDEX('2.Distances'!$D$2:$D$9218,$BC$35*96+$BC$36+ 1) +$BK$35," ")," ")</f>
        <v xml:space="preserve"> </v>
      </c>
      <c r="BK36" s="46" t="str">
        <f ca="1">IFERROR(IF(ISNUMBER($BJ$36),INDEX('1.Locations'!$I$2:$I$97,$BC$36 + 1) + MAX($BJ$36,INDEX('1.Locations'!$F$2:$F$97,$BC$36 + 1))," ")," ")</f>
        <v xml:space="preserve"> </v>
      </c>
      <c r="BL36" s="45" t="str">
        <f ca="1">IFERROR($BL$35 + INDEX('2.Distances'!$D$2:$D$9218,$BC$35*96+$BC$36+ 1) + INDEX('1.Locations'!$I$2:$I$97,$BC$36 + 1)," ")</f>
        <v xml:space="preserve"> </v>
      </c>
      <c r="BN36" s="24">
        <v>31</v>
      </c>
      <c r="BO36" s="25"/>
      <c r="BP36" s="43" t="str">
        <f ca="1">IFERROR(MATCH(INDIRECT("$BO$36"),'1.Locations'!$B$2:$B$97, 0) - 1," ")</f>
        <v xml:space="preserve"> </v>
      </c>
      <c r="BQ36" s="43" t="e">
        <f ca="1">IFERROR(IF(ISNUMBER($BP$36),INDEX('1.Locations'!$D$2:$D$97,$BP$36 + 1),NA()),NA())</f>
        <v>#N/A</v>
      </c>
      <c r="BR36" s="43" t="e">
        <f ca="1">IFERROR(IF(ISNUMBER($BP$36),INDEX('1.Locations'!$E$2:$E$97,$BP$36 + 1),NA()),NA())</f>
        <v>#N/A</v>
      </c>
      <c r="BS36" s="44" t="str">
        <f ca="1">IFERROR(IF(AND(ISNUMBER($BP$36),$BP$36&lt;=95),INDEX('2.Distances'!$C$2:$C$9218,$BP$35*96+$BP$36+ 1) +$BS$35," ")," ")</f>
        <v xml:space="preserve"> </v>
      </c>
      <c r="BT36" s="43" t="str">
        <f ca="1">IFERROR(IF(ISNUMBER($BP$36),INDEX('1.Locations'!$J$2:$J$97,$BP$36 + 1) +$BT$35," ")," ")</f>
        <v xml:space="preserve"> </v>
      </c>
      <c r="BU36" s="43" t="str">
        <f ca="1">IFERROR(IF(ISNUMBER($BP$36),INDEX('1.Locations'!$K$2:$K$97,$BP$36 + 1) +$BU$35," ")," ")</f>
        <v xml:space="preserve"> </v>
      </c>
      <c r="BV36" s="45" t="str">
        <f ca="1">IFERROR(IF(AND(ISNUMBER($BP$36),$BP$36&lt;=95),INDEX('2.Distances'!$D$2:$D$9218,$BP$35*96+$BP$36+ 1) +$BV$35," ")," ")</f>
        <v xml:space="preserve"> </v>
      </c>
      <c r="BW36" s="46" t="str">
        <f ca="1">IFERROR(IF(AND(ISNUMBER($BP$36),$BP$36&lt;=95),INDEX('2.Distances'!$D$2:$D$9218,$BP$35*96+$BP$36+ 1) +$BX$35," ")," ")</f>
        <v xml:space="preserve"> </v>
      </c>
      <c r="BX36" s="46" t="str">
        <f ca="1">IFERROR(IF(ISNUMBER($BW$36),INDEX('1.Locations'!$I$2:$I$97,$BP$36 + 1) + MAX($BW$36,INDEX('1.Locations'!$F$2:$F$97,$BP$36 + 1))," ")," ")</f>
        <v xml:space="preserve"> </v>
      </c>
      <c r="BY36" s="45" t="str">
        <f ca="1">IFERROR($BY$35 + INDEX('2.Distances'!$D$2:$D$9218,$BP$35*96+$BP$36+ 1) + INDEX('1.Locations'!$I$2:$I$97,$BP$36 + 1)," ")</f>
        <v xml:space="preserve"> </v>
      </c>
      <c r="CA36" s="24">
        <v>31</v>
      </c>
      <c r="CB36" s="25"/>
      <c r="CC36" s="43" t="str">
        <f ca="1">IFERROR(MATCH(INDIRECT("$CB$36"),'1.Locations'!$B$2:$B$97, 0) - 1," ")</f>
        <v xml:space="preserve"> </v>
      </c>
      <c r="CD36" s="43" t="e">
        <f ca="1">IFERROR(IF(ISNUMBER($CC$36),INDEX('1.Locations'!$D$2:$D$97,$CC$36 + 1),NA()),NA())</f>
        <v>#N/A</v>
      </c>
      <c r="CE36" s="43" t="e">
        <f ca="1">IFERROR(IF(ISNUMBER($CC$36),INDEX('1.Locations'!$E$2:$E$97,$CC$36 + 1),NA()),NA())</f>
        <v>#N/A</v>
      </c>
      <c r="CF36" s="44" t="str">
        <f ca="1">IFERROR(IF(AND(ISNUMBER($CC$36),$CC$36&lt;=95),INDEX('2.Distances'!$C$2:$C$9218,$CC$35*96+$CC$36+ 1) +$CF$35," ")," ")</f>
        <v xml:space="preserve"> </v>
      </c>
      <c r="CG36" s="43" t="str">
        <f ca="1">IFERROR(IF(ISNUMBER($CC$36),INDEX('1.Locations'!$J$2:$J$97,$CC$36 + 1) +$CG$35," ")," ")</f>
        <v xml:space="preserve"> </v>
      </c>
      <c r="CH36" s="43" t="str">
        <f ca="1">IFERROR(IF(ISNUMBER($CC$36),INDEX('1.Locations'!$K$2:$K$97,$CC$36 + 1) +$CH$35," ")," ")</f>
        <v xml:space="preserve"> </v>
      </c>
      <c r="CI36" s="45" t="str">
        <f ca="1">IFERROR(IF(AND(ISNUMBER($CC$36),$CC$36&lt;=95),INDEX('2.Distances'!$D$2:$D$9218,$CC$35*96+$CC$36+ 1) +$CI$35," ")," ")</f>
        <v xml:space="preserve"> </v>
      </c>
      <c r="CJ36" s="46" t="str">
        <f ca="1">IFERROR(IF(AND(ISNUMBER($CC$36),$CC$36&lt;=95),INDEX('2.Distances'!$D$2:$D$9218,$CC$35*96+$CC$36+ 1) +$CK$35," ")," ")</f>
        <v xml:space="preserve"> </v>
      </c>
      <c r="CK36" s="46" t="str">
        <f ca="1">IFERROR(IF(ISNUMBER($CJ$36),INDEX('1.Locations'!$I$2:$I$97,$CC$36 + 1) + MAX($CJ$36,INDEX('1.Locations'!$F$2:$F$97,$CC$36 + 1))," ")," ")</f>
        <v xml:space="preserve"> </v>
      </c>
      <c r="CL36" s="45" t="str">
        <f ca="1">IFERROR($CL$35 + INDEX('2.Distances'!$D$2:$D$9218,$CC$35*96+$CC$36+ 1) + INDEX('1.Locations'!$I$2:$I$97,$CC$36 + 1)," ")</f>
        <v xml:space="preserve"> </v>
      </c>
    </row>
    <row r="37" spans="1:90" x14ac:dyDescent="0.25">
      <c r="A37" s="24">
        <v>32</v>
      </c>
      <c r="B37" s="25"/>
      <c r="C37" s="43" t="str">
        <f ca="1">IFERROR(MATCH(INDIRECT("$B$37"),'1.Locations'!$B$2:$B$97, 0) - 1," ")</f>
        <v xml:space="preserve"> </v>
      </c>
      <c r="D37" s="43" t="e">
        <f ca="1">IFERROR(IF(ISNUMBER($C$37),INDEX('1.Locations'!$D$2:$D$97,$C$37 + 1),NA()),NA())</f>
        <v>#N/A</v>
      </c>
      <c r="E37" s="43" t="e">
        <f ca="1">IFERROR(IF(ISNUMBER($C$37),INDEX('1.Locations'!$E$2:$E$97,$C$37 + 1),NA()),NA())</f>
        <v>#N/A</v>
      </c>
      <c r="F37" s="44" t="str">
        <f ca="1">IFERROR(IF(AND(ISNUMBER($C$37),$C$37&lt;=95),INDEX('2.Distances'!$C$2:$C$9218,$C$36*96+$C$37+ 1) +$F$36," ")," ")</f>
        <v xml:space="preserve"> </v>
      </c>
      <c r="G37" s="43" t="str">
        <f ca="1">IFERROR(IF(ISNUMBER($C$37),INDEX('1.Locations'!$J$2:$J$97,$C$37 + 1) +$G$36," ")," ")</f>
        <v xml:space="preserve"> </v>
      </c>
      <c r="H37" s="43" t="str">
        <f ca="1">IFERROR(IF(ISNUMBER($C$37),INDEX('1.Locations'!$K$2:$K$97,$C$37 + 1) +$H$36," ")," ")</f>
        <v xml:space="preserve"> </v>
      </c>
      <c r="I37" s="45" t="str">
        <f ca="1">IFERROR(IF(AND(ISNUMBER($C$37),$C$37&lt;=95),INDEX('2.Distances'!$D$2:$D$9218,$C$36*96+$C$37+ 1) +$I$36," ")," ")</f>
        <v xml:space="preserve"> </v>
      </c>
      <c r="J37" s="46" t="str">
        <f ca="1">IFERROR(IF(AND(ISNUMBER($C$37),$C$37&lt;=95),INDEX('2.Distances'!$D$2:$D$9218,$C$36*96+$C$37+ 1) +$K$36," ")," ")</f>
        <v xml:space="preserve"> </v>
      </c>
      <c r="K37" s="46" t="str">
        <f ca="1">IFERROR(IF(ISNUMBER($J$37),INDEX('1.Locations'!$I$2:$I$97,$C$37 + 1) + MAX($J$37,INDEX('1.Locations'!$F$2:$F$97,$C$37 + 1))," ")," ")</f>
        <v xml:space="preserve"> </v>
      </c>
      <c r="L37" s="45" t="str">
        <f ca="1">IFERROR($L$36 + INDEX('2.Distances'!$D$2:$D$9218,$C$36*96+$C$37+ 1) + INDEX('1.Locations'!$I$2:$I$97,$C$37 + 1)," ")</f>
        <v xml:space="preserve"> </v>
      </c>
      <c r="N37" s="24">
        <v>32</v>
      </c>
      <c r="O37" s="25"/>
      <c r="P37" s="43" t="str">
        <f ca="1">IFERROR(MATCH(INDIRECT("$O$37"),'1.Locations'!$B$2:$B$97, 0) - 1," ")</f>
        <v xml:space="preserve"> </v>
      </c>
      <c r="Q37" s="43" t="e">
        <f ca="1">IFERROR(IF(ISNUMBER($P$37),INDEX('1.Locations'!$D$2:$D$97,$P$37 + 1),NA()),NA())</f>
        <v>#N/A</v>
      </c>
      <c r="R37" s="43" t="e">
        <f ca="1">IFERROR(IF(ISNUMBER($P$37),INDEX('1.Locations'!$E$2:$E$97,$P$37 + 1),NA()),NA())</f>
        <v>#N/A</v>
      </c>
      <c r="S37" s="44" t="str">
        <f ca="1">IFERROR(IF(AND(ISNUMBER($P$37),$P$37&lt;=95),INDEX('2.Distances'!$C$2:$C$9218,$P$36*96+$P$37+ 1) +$S$36," ")," ")</f>
        <v xml:space="preserve"> </v>
      </c>
      <c r="T37" s="43" t="str">
        <f ca="1">IFERROR(IF(ISNUMBER($P$37),INDEX('1.Locations'!$J$2:$J$97,$P$37 + 1) +$T$36," ")," ")</f>
        <v xml:space="preserve"> </v>
      </c>
      <c r="U37" s="43" t="str">
        <f ca="1">IFERROR(IF(ISNUMBER($P$37),INDEX('1.Locations'!$K$2:$K$97,$P$37 + 1) +$U$36," ")," ")</f>
        <v xml:space="preserve"> </v>
      </c>
      <c r="V37" s="45" t="str">
        <f ca="1">IFERROR(IF(AND(ISNUMBER($P$37),$P$37&lt;=95),INDEX('2.Distances'!$D$2:$D$9218,$P$36*96+$P$37+ 1) +$V$36," ")," ")</f>
        <v xml:space="preserve"> </v>
      </c>
      <c r="W37" s="46" t="str">
        <f ca="1">IFERROR(IF(AND(ISNUMBER($P$37),$P$37&lt;=95),INDEX('2.Distances'!$D$2:$D$9218,$P$36*96+$P$37+ 1) +$X$36," ")," ")</f>
        <v xml:space="preserve"> </v>
      </c>
      <c r="X37" s="46" t="str">
        <f ca="1">IFERROR(IF(ISNUMBER($W$37),INDEX('1.Locations'!$I$2:$I$97,$P$37 + 1) + MAX($W$37,INDEX('1.Locations'!$F$2:$F$97,$P$37 + 1))," ")," ")</f>
        <v xml:space="preserve"> </v>
      </c>
      <c r="Y37" s="45" t="str">
        <f ca="1">IFERROR($Y$36 + INDEX('2.Distances'!$D$2:$D$9218,$P$36*96+$P$37+ 1) + INDEX('1.Locations'!$I$2:$I$97,$P$37 + 1)," ")</f>
        <v xml:space="preserve"> </v>
      </c>
      <c r="AA37" s="24">
        <v>32</v>
      </c>
      <c r="AB37" s="25"/>
      <c r="AC37" s="43" t="str">
        <f ca="1">IFERROR(MATCH(INDIRECT("$AB$37"),'1.Locations'!$B$2:$B$97, 0) - 1," ")</f>
        <v xml:space="preserve"> </v>
      </c>
      <c r="AD37" s="43" t="e">
        <f ca="1">IFERROR(IF(ISNUMBER($AC$37),INDEX('1.Locations'!$D$2:$D$97,$AC$37 + 1),NA()),NA())</f>
        <v>#N/A</v>
      </c>
      <c r="AE37" s="43" t="e">
        <f ca="1">IFERROR(IF(ISNUMBER($AC$37),INDEX('1.Locations'!$E$2:$E$97,$AC$37 + 1),NA()),NA())</f>
        <v>#N/A</v>
      </c>
      <c r="AF37" s="44" t="str">
        <f ca="1">IFERROR(IF(AND(ISNUMBER($AC$37),$AC$37&lt;=95),INDEX('2.Distances'!$C$2:$C$9218,$AC$36*96+$AC$37+ 1) +$AF$36," ")," ")</f>
        <v xml:space="preserve"> </v>
      </c>
      <c r="AG37" s="43" t="str">
        <f ca="1">IFERROR(IF(ISNUMBER($AC$37),INDEX('1.Locations'!$J$2:$J$97,$AC$37 + 1) +$AG$36," ")," ")</f>
        <v xml:space="preserve"> </v>
      </c>
      <c r="AH37" s="43" t="str">
        <f ca="1">IFERROR(IF(ISNUMBER($AC$37),INDEX('1.Locations'!$K$2:$K$97,$AC$37 + 1) +$AH$36," ")," ")</f>
        <v xml:space="preserve"> </v>
      </c>
      <c r="AI37" s="45" t="str">
        <f ca="1">IFERROR(IF(AND(ISNUMBER($AC$37),$AC$37&lt;=95),INDEX('2.Distances'!$D$2:$D$9218,$AC$36*96+$AC$37+ 1) +$AI$36," ")," ")</f>
        <v xml:space="preserve"> </v>
      </c>
      <c r="AJ37" s="46" t="str">
        <f ca="1">IFERROR(IF(AND(ISNUMBER($AC$37),$AC$37&lt;=95),INDEX('2.Distances'!$D$2:$D$9218,$AC$36*96+$AC$37+ 1) +$AK$36," ")," ")</f>
        <v xml:space="preserve"> </v>
      </c>
      <c r="AK37" s="46" t="str">
        <f ca="1">IFERROR(IF(ISNUMBER($AJ$37),INDEX('1.Locations'!$I$2:$I$97,$AC$37 + 1) + MAX($AJ$37,INDEX('1.Locations'!$F$2:$F$97,$AC$37 + 1))," ")," ")</f>
        <v xml:space="preserve"> </v>
      </c>
      <c r="AL37" s="45" t="str">
        <f ca="1">IFERROR($AL$36 + INDEX('2.Distances'!$D$2:$D$9218,$AC$36*96+$AC$37+ 1) + INDEX('1.Locations'!$I$2:$I$97,$AC$37 + 1)," ")</f>
        <v xml:space="preserve"> </v>
      </c>
      <c r="AN37" s="24">
        <v>32</v>
      </c>
      <c r="AO37" s="25"/>
      <c r="AP37" s="43" t="str">
        <f ca="1">IFERROR(MATCH(INDIRECT("$AO$37"),'1.Locations'!$B$2:$B$97, 0) - 1," ")</f>
        <v xml:space="preserve"> </v>
      </c>
      <c r="AQ37" s="43" t="e">
        <f ca="1">IFERROR(IF(ISNUMBER($AP$37),INDEX('1.Locations'!$D$2:$D$97,$AP$37 + 1),NA()),NA())</f>
        <v>#N/A</v>
      </c>
      <c r="AR37" s="43" t="e">
        <f ca="1">IFERROR(IF(ISNUMBER($AP$37),INDEX('1.Locations'!$E$2:$E$97,$AP$37 + 1),NA()),NA())</f>
        <v>#N/A</v>
      </c>
      <c r="AS37" s="44" t="str">
        <f ca="1">IFERROR(IF(AND(ISNUMBER($AP$37),$AP$37&lt;=95),INDEX('2.Distances'!$C$2:$C$9218,$AP$36*96+$AP$37+ 1) +$AS$36," ")," ")</f>
        <v xml:space="preserve"> </v>
      </c>
      <c r="AT37" s="43" t="str">
        <f ca="1">IFERROR(IF(ISNUMBER($AP$37),INDEX('1.Locations'!$J$2:$J$97,$AP$37 + 1) +$AT$36," ")," ")</f>
        <v xml:space="preserve"> </v>
      </c>
      <c r="AU37" s="43" t="str">
        <f ca="1">IFERROR(IF(ISNUMBER($AP$37),INDEX('1.Locations'!$K$2:$K$97,$AP$37 + 1) +$AU$36," ")," ")</f>
        <v xml:space="preserve"> </v>
      </c>
      <c r="AV37" s="45" t="str">
        <f ca="1">IFERROR(IF(AND(ISNUMBER($AP$37),$AP$37&lt;=95),INDEX('2.Distances'!$D$2:$D$9218,$AP$36*96+$AP$37+ 1) +$AV$36," ")," ")</f>
        <v xml:space="preserve"> </v>
      </c>
      <c r="AW37" s="46" t="str">
        <f ca="1">IFERROR(IF(AND(ISNUMBER($AP$37),$AP$37&lt;=95),INDEX('2.Distances'!$D$2:$D$9218,$AP$36*96+$AP$37+ 1) +$AX$36," ")," ")</f>
        <v xml:space="preserve"> </v>
      </c>
      <c r="AX37" s="46" t="str">
        <f ca="1">IFERROR(IF(ISNUMBER($AW$37),INDEX('1.Locations'!$I$2:$I$97,$AP$37 + 1) + MAX($AW$37,INDEX('1.Locations'!$F$2:$F$97,$AP$37 + 1))," ")," ")</f>
        <v xml:space="preserve"> </v>
      </c>
      <c r="AY37" s="45" t="str">
        <f ca="1">IFERROR($AY$36 + INDEX('2.Distances'!$D$2:$D$9218,$AP$36*96+$AP$37+ 1) + INDEX('1.Locations'!$I$2:$I$97,$AP$37 + 1)," ")</f>
        <v xml:space="preserve"> </v>
      </c>
      <c r="BA37" s="24">
        <v>32</v>
      </c>
      <c r="BB37" s="25"/>
      <c r="BC37" s="43" t="str">
        <f ca="1">IFERROR(MATCH(INDIRECT("$BB$37"),'1.Locations'!$B$2:$B$97, 0) - 1," ")</f>
        <v xml:space="preserve"> </v>
      </c>
      <c r="BD37" s="43" t="e">
        <f ca="1">IFERROR(IF(ISNUMBER($BC$37),INDEX('1.Locations'!$D$2:$D$97,$BC$37 + 1),NA()),NA())</f>
        <v>#N/A</v>
      </c>
      <c r="BE37" s="43" t="e">
        <f ca="1">IFERROR(IF(ISNUMBER($BC$37),INDEX('1.Locations'!$E$2:$E$97,$BC$37 + 1),NA()),NA())</f>
        <v>#N/A</v>
      </c>
      <c r="BF37" s="44" t="str">
        <f ca="1">IFERROR(IF(AND(ISNUMBER($BC$37),$BC$37&lt;=95),INDEX('2.Distances'!$C$2:$C$9218,$BC$36*96+$BC$37+ 1) +$BF$36," ")," ")</f>
        <v xml:space="preserve"> </v>
      </c>
      <c r="BG37" s="43" t="str">
        <f ca="1">IFERROR(IF(ISNUMBER($BC$37),INDEX('1.Locations'!$J$2:$J$97,$BC$37 + 1) +$BG$36," ")," ")</f>
        <v xml:space="preserve"> </v>
      </c>
      <c r="BH37" s="43" t="str">
        <f ca="1">IFERROR(IF(ISNUMBER($BC$37),INDEX('1.Locations'!$K$2:$K$97,$BC$37 + 1) +$BH$36," ")," ")</f>
        <v xml:space="preserve"> </v>
      </c>
      <c r="BI37" s="45" t="str">
        <f ca="1">IFERROR(IF(AND(ISNUMBER($BC$37),$BC$37&lt;=95),INDEX('2.Distances'!$D$2:$D$9218,$BC$36*96+$BC$37+ 1) +$BI$36," ")," ")</f>
        <v xml:space="preserve"> </v>
      </c>
      <c r="BJ37" s="46" t="str">
        <f ca="1">IFERROR(IF(AND(ISNUMBER($BC$37),$BC$37&lt;=95),INDEX('2.Distances'!$D$2:$D$9218,$BC$36*96+$BC$37+ 1) +$BK$36," ")," ")</f>
        <v xml:space="preserve"> </v>
      </c>
      <c r="BK37" s="46" t="str">
        <f ca="1">IFERROR(IF(ISNUMBER($BJ$37),INDEX('1.Locations'!$I$2:$I$97,$BC$37 + 1) + MAX($BJ$37,INDEX('1.Locations'!$F$2:$F$97,$BC$37 + 1))," ")," ")</f>
        <v xml:space="preserve"> </v>
      </c>
      <c r="BL37" s="45" t="str">
        <f ca="1">IFERROR($BL$36 + INDEX('2.Distances'!$D$2:$D$9218,$BC$36*96+$BC$37+ 1) + INDEX('1.Locations'!$I$2:$I$97,$BC$37 + 1)," ")</f>
        <v xml:space="preserve"> </v>
      </c>
      <c r="BN37" s="24">
        <v>32</v>
      </c>
      <c r="BO37" s="25"/>
      <c r="BP37" s="43" t="str">
        <f ca="1">IFERROR(MATCH(INDIRECT("$BO$37"),'1.Locations'!$B$2:$B$97, 0) - 1," ")</f>
        <v xml:space="preserve"> </v>
      </c>
      <c r="BQ37" s="43" t="e">
        <f ca="1">IFERROR(IF(ISNUMBER($BP$37),INDEX('1.Locations'!$D$2:$D$97,$BP$37 + 1),NA()),NA())</f>
        <v>#N/A</v>
      </c>
      <c r="BR37" s="43" t="e">
        <f ca="1">IFERROR(IF(ISNUMBER($BP$37),INDEX('1.Locations'!$E$2:$E$97,$BP$37 + 1),NA()),NA())</f>
        <v>#N/A</v>
      </c>
      <c r="BS37" s="44" t="str">
        <f ca="1">IFERROR(IF(AND(ISNUMBER($BP$37),$BP$37&lt;=95),INDEX('2.Distances'!$C$2:$C$9218,$BP$36*96+$BP$37+ 1) +$BS$36," ")," ")</f>
        <v xml:space="preserve"> </v>
      </c>
      <c r="BT37" s="43" t="str">
        <f ca="1">IFERROR(IF(ISNUMBER($BP$37),INDEX('1.Locations'!$J$2:$J$97,$BP$37 + 1) +$BT$36," ")," ")</f>
        <v xml:space="preserve"> </v>
      </c>
      <c r="BU37" s="43" t="str">
        <f ca="1">IFERROR(IF(ISNUMBER($BP$37),INDEX('1.Locations'!$K$2:$K$97,$BP$37 + 1) +$BU$36," ")," ")</f>
        <v xml:space="preserve"> </v>
      </c>
      <c r="BV37" s="45" t="str">
        <f ca="1">IFERROR(IF(AND(ISNUMBER($BP$37),$BP$37&lt;=95),INDEX('2.Distances'!$D$2:$D$9218,$BP$36*96+$BP$37+ 1) +$BV$36," ")," ")</f>
        <v xml:space="preserve"> </v>
      </c>
      <c r="BW37" s="46" t="str">
        <f ca="1">IFERROR(IF(AND(ISNUMBER($BP$37),$BP$37&lt;=95),INDEX('2.Distances'!$D$2:$D$9218,$BP$36*96+$BP$37+ 1) +$BX$36," ")," ")</f>
        <v xml:space="preserve"> </v>
      </c>
      <c r="BX37" s="46" t="str">
        <f ca="1">IFERROR(IF(ISNUMBER($BW$37),INDEX('1.Locations'!$I$2:$I$97,$BP$37 + 1) + MAX($BW$37,INDEX('1.Locations'!$F$2:$F$97,$BP$37 + 1))," ")," ")</f>
        <v xml:space="preserve"> </v>
      </c>
      <c r="BY37" s="45" t="str">
        <f ca="1">IFERROR($BY$36 + INDEX('2.Distances'!$D$2:$D$9218,$BP$36*96+$BP$37+ 1) + INDEX('1.Locations'!$I$2:$I$97,$BP$37 + 1)," ")</f>
        <v xml:space="preserve"> </v>
      </c>
      <c r="CA37" s="24">
        <v>32</v>
      </c>
      <c r="CB37" s="25"/>
      <c r="CC37" s="43" t="str">
        <f ca="1">IFERROR(MATCH(INDIRECT("$CB$37"),'1.Locations'!$B$2:$B$97, 0) - 1," ")</f>
        <v xml:space="preserve"> </v>
      </c>
      <c r="CD37" s="43" t="e">
        <f ca="1">IFERROR(IF(ISNUMBER($CC$37),INDEX('1.Locations'!$D$2:$D$97,$CC$37 + 1),NA()),NA())</f>
        <v>#N/A</v>
      </c>
      <c r="CE37" s="43" t="e">
        <f ca="1">IFERROR(IF(ISNUMBER($CC$37),INDEX('1.Locations'!$E$2:$E$97,$CC$37 + 1),NA()),NA())</f>
        <v>#N/A</v>
      </c>
      <c r="CF37" s="44" t="str">
        <f ca="1">IFERROR(IF(AND(ISNUMBER($CC$37),$CC$37&lt;=95),INDEX('2.Distances'!$C$2:$C$9218,$CC$36*96+$CC$37+ 1) +$CF$36," ")," ")</f>
        <v xml:space="preserve"> </v>
      </c>
      <c r="CG37" s="43" t="str">
        <f ca="1">IFERROR(IF(ISNUMBER($CC$37),INDEX('1.Locations'!$J$2:$J$97,$CC$37 + 1) +$CG$36," ")," ")</f>
        <v xml:space="preserve"> </v>
      </c>
      <c r="CH37" s="43" t="str">
        <f ca="1">IFERROR(IF(ISNUMBER($CC$37),INDEX('1.Locations'!$K$2:$K$97,$CC$37 + 1) +$CH$36," ")," ")</f>
        <v xml:space="preserve"> </v>
      </c>
      <c r="CI37" s="45" t="str">
        <f ca="1">IFERROR(IF(AND(ISNUMBER($CC$37),$CC$37&lt;=95),INDEX('2.Distances'!$D$2:$D$9218,$CC$36*96+$CC$37+ 1) +$CI$36," ")," ")</f>
        <v xml:space="preserve"> </v>
      </c>
      <c r="CJ37" s="46" t="str">
        <f ca="1">IFERROR(IF(AND(ISNUMBER($CC$37),$CC$37&lt;=95),INDEX('2.Distances'!$D$2:$D$9218,$CC$36*96+$CC$37+ 1) +$CK$36," ")," ")</f>
        <v xml:space="preserve"> </v>
      </c>
      <c r="CK37" s="46" t="str">
        <f ca="1">IFERROR(IF(ISNUMBER($CJ$37),INDEX('1.Locations'!$I$2:$I$97,$CC$37 + 1) + MAX($CJ$37,INDEX('1.Locations'!$F$2:$F$97,$CC$37 + 1))," ")," ")</f>
        <v xml:space="preserve"> </v>
      </c>
      <c r="CL37" s="45" t="str">
        <f ca="1">IFERROR($CL$36 + INDEX('2.Distances'!$D$2:$D$9218,$CC$36*96+$CC$37+ 1) + INDEX('1.Locations'!$I$2:$I$97,$CC$37 + 1)," ")</f>
        <v xml:space="preserve"> </v>
      </c>
    </row>
    <row r="38" spans="1:90" x14ac:dyDescent="0.25">
      <c r="A38" s="24">
        <v>33</v>
      </c>
      <c r="B38" s="25"/>
      <c r="C38" s="43" t="str">
        <f ca="1">IFERROR(MATCH(INDIRECT("$B$38"),'1.Locations'!$B$2:$B$97, 0) - 1," ")</f>
        <v xml:space="preserve"> </v>
      </c>
      <c r="D38" s="43" t="e">
        <f ca="1">IFERROR(IF(ISNUMBER($C$38),INDEX('1.Locations'!$D$2:$D$97,$C$38 + 1),NA()),NA())</f>
        <v>#N/A</v>
      </c>
      <c r="E38" s="43" t="e">
        <f ca="1">IFERROR(IF(ISNUMBER($C$38),INDEX('1.Locations'!$E$2:$E$97,$C$38 + 1),NA()),NA())</f>
        <v>#N/A</v>
      </c>
      <c r="F38" s="44" t="str">
        <f ca="1">IFERROR(IF(AND(ISNUMBER($C$38),$C$38&lt;=95),INDEX('2.Distances'!$C$2:$C$9218,$C$37*96+$C$38+ 1) +$F$37," ")," ")</f>
        <v xml:space="preserve"> </v>
      </c>
      <c r="G38" s="43" t="str">
        <f ca="1">IFERROR(IF(ISNUMBER($C$38),INDEX('1.Locations'!$J$2:$J$97,$C$38 + 1) +$G$37," ")," ")</f>
        <v xml:space="preserve"> </v>
      </c>
      <c r="H38" s="43" t="str">
        <f ca="1">IFERROR(IF(ISNUMBER($C$38),INDEX('1.Locations'!$K$2:$K$97,$C$38 + 1) +$H$37," ")," ")</f>
        <v xml:space="preserve"> </v>
      </c>
      <c r="I38" s="45" t="str">
        <f ca="1">IFERROR(IF(AND(ISNUMBER($C$38),$C$38&lt;=95),INDEX('2.Distances'!$D$2:$D$9218,$C$37*96+$C$38+ 1) +$I$37," ")," ")</f>
        <v xml:space="preserve"> </v>
      </c>
      <c r="J38" s="46" t="str">
        <f ca="1">IFERROR(IF(AND(ISNUMBER($C$38),$C$38&lt;=95),INDEX('2.Distances'!$D$2:$D$9218,$C$37*96+$C$38+ 1) +$K$37," ")," ")</f>
        <v xml:space="preserve"> </v>
      </c>
      <c r="K38" s="46" t="str">
        <f ca="1">IFERROR(IF(ISNUMBER($J$38),INDEX('1.Locations'!$I$2:$I$97,$C$38 + 1) + MAX($J$38,INDEX('1.Locations'!$F$2:$F$97,$C$38 + 1))," ")," ")</f>
        <v xml:space="preserve"> </v>
      </c>
      <c r="L38" s="45" t="str">
        <f ca="1">IFERROR($L$37 + INDEX('2.Distances'!$D$2:$D$9218,$C$37*96+$C$38+ 1) + INDEX('1.Locations'!$I$2:$I$97,$C$38 + 1)," ")</f>
        <v xml:space="preserve"> </v>
      </c>
      <c r="N38" s="24">
        <v>33</v>
      </c>
      <c r="O38" s="25"/>
      <c r="P38" s="43" t="str">
        <f ca="1">IFERROR(MATCH(INDIRECT("$O$38"),'1.Locations'!$B$2:$B$97, 0) - 1," ")</f>
        <v xml:space="preserve"> </v>
      </c>
      <c r="Q38" s="43" t="e">
        <f ca="1">IFERROR(IF(ISNUMBER($P$38),INDEX('1.Locations'!$D$2:$D$97,$P$38 + 1),NA()),NA())</f>
        <v>#N/A</v>
      </c>
      <c r="R38" s="43" t="e">
        <f ca="1">IFERROR(IF(ISNUMBER($P$38),INDEX('1.Locations'!$E$2:$E$97,$P$38 + 1),NA()),NA())</f>
        <v>#N/A</v>
      </c>
      <c r="S38" s="44" t="str">
        <f ca="1">IFERROR(IF(AND(ISNUMBER($P$38),$P$38&lt;=95),INDEX('2.Distances'!$C$2:$C$9218,$P$37*96+$P$38+ 1) +$S$37," ")," ")</f>
        <v xml:space="preserve"> </v>
      </c>
      <c r="T38" s="43" t="str">
        <f ca="1">IFERROR(IF(ISNUMBER($P$38),INDEX('1.Locations'!$J$2:$J$97,$P$38 + 1) +$T$37," ")," ")</f>
        <v xml:space="preserve"> </v>
      </c>
      <c r="U38" s="43" t="str">
        <f ca="1">IFERROR(IF(ISNUMBER($P$38),INDEX('1.Locations'!$K$2:$K$97,$P$38 + 1) +$U$37," ")," ")</f>
        <v xml:space="preserve"> </v>
      </c>
      <c r="V38" s="45" t="str">
        <f ca="1">IFERROR(IF(AND(ISNUMBER($P$38),$P$38&lt;=95),INDEX('2.Distances'!$D$2:$D$9218,$P$37*96+$P$38+ 1) +$V$37," ")," ")</f>
        <v xml:space="preserve"> </v>
      </c>
      <c r="W38" s="46" t="str">
        <f ca="1">IFERROR(IF(AND(ISNUMBER($P$38),$P$38&lt;=95),INDEX('2.Distances'!$D$2:$D$9218,$P$37*96+$P$38+ 1) +$X$37," ")," ")</f>
        <v xml:space="preserve"> </v>
      </c>
      <c r="X38" s="46" t="str">
        <f ca="1">IFERROR(IF(ISNUMBER($W$38),INDEX('1.Locations'!$I$2:$I$97,$P$38 + 1) + MAX($W$38,INDEX('1.Locations'!$F$2:$F$97,$P$38 + 1))," ")," ")</f>
        <v xml:space="preserve"> </v>
      </c>
      <c r="Y38" s="45" t="str">
        <f ca="1">IFERROR($Y$37 + INDEX('2.Distances'!$D$2:$D$9218,$P$37*96+$P$38+ 1) + INDEX('1.Locations'!$I$2:$I$97,$P$38 + 1)," ")</f>
        <v xml:space="preserve"> </v>
      </c>
      <c r="AA38" s="24">
        <v>33</v>
      </c>
      <c r="AB38" s="25"/>
      <c r="AC38" s="43" t="str">
        <f ca="1">IFERROR(MATCH(INDIRECT("$AB$38"),'1.Locations'!$B$2:$B$97, 0) - 1," ")</f>
        <v xml:space="preserve"> </v>
      </c>
      <c r="AD38" s="43" t="e">
        <f ca="1">IFERROR(IF(ISNUMBER($AC$38),INDEX('1.Locations'!$D$2:$D$97,$AC$38 + 1),NA()),NA())</f>
        <v>#N/A</v>
      </c>
      <c r="AE38" s="43" t="e">
        <f ca="1">IFERROR(IF(ISNUMBER($AC$38),INDEX('1.Locations'!$E$2:$E$97,$AC$38 + 1),NA()),NA())</f>
        <v>#N/A</v>
      </c>
      <c r="AF38" s="44" t="str">
        <f ca="1">IFERROR(IF(AND(ISNUMBER($AC$38),$AC$38&lt;=95),INDEX('2.Distances'!$C$2:$C$9218,$AC$37*96+$AC$38+ 1) +$AF$37," ")," ")</f>
        <v xml:space="preserve"> </v>
      </c>
      <c r="AG38" s="43" t="str">
        <f ca="1">IFERROR(IF(ISNUMBER($AC$38),INDEX('1.Locations'!$J$2:$J$97,$AC$38 + 1) +$AG$37," ")," ")</f>
        <v xml:space="preserve"> </v>
      </c>
      <c r="AH38" s="43" t="str">
        <f ca="1">IFERROR(IF(ISNUMBER($AC$38),INDEX('1.Locations'!$K$2:$K$97,$AC$38 + 1) +$AH$37," ")," ")</f>
        <v xml:space="preserve"> </v>
      </c>
      <c r="AI38" s="45" t="str">
        <f ca="1">IFERROR(IF(AND(ISNUMBER($AC$38),$AC$38&lt;=95),INDEX('2.Distances'!$D$2:$D$9218,$AC$37*96+$AC$38+ 1) +$AI$37," ")," ")</f>
        <v xml:space="preserve"> </v>
      </c>
      <c r="AJ38" s="46" t="str">
        <f ca="1">IFERROR(IF(AND(ISNUMBER($AC$38),$AC$38&lt;=95),INDEX('2.Distances'!$D$2:$D$9218,$AC$37*96+$AC$38+ 1) +$AK$37," ")," ")</f>
        <v xml:space="preserve"> </v>
      </c>
      <c r="AK38" s="46" t="str">
        <f ca="1">IFERROR(IF(ISNUMBER($AJ$38),INDEX('1.Locations'!$I$2:$I$97,$AC$38 + 1) + MAX($AJ$38,INDEX('1.Locations'!$F$2:$F$97,$AC$38 + 1))," ")," ")</f>
        <v xml:space="preserve"> </v>
      </c>
      <c r="AL38" s="45" t="str">
        <f ca="1">IFERROR($AL$37 + INDEX('2.Distances'!$D$2:$D$9218,$AC$37*96+$AC$38+ 1) + INDEX('1.Locations'!$I$2:$I$97,$AC$38 + 1)," ")</f>
        <v xml:space="preserve"> </v>
      </c>
      <c r="AN38" s="24">
        <v>33</v>
      </c>
      <c r="AO38" s="25"/>
      <c r="AP38" s="43" t="str">
        <f ca="1">IFERROR(MATCH(INDIRECT("$AO$38"),'1.Locations'!$B$2:$B$97, 0) - 1," ")</f>
        <v xml:space="preserve"> </v>
      </c>
      <c r="AQ38" s="43" t="e">
        <f ca="1">IFERROR(IF(ISNUMBER($AP$38),INDEX('1.Locations'!$D$2:$D$97,$AP$38 + 1),NA()),NA())</f>
        <v>#N/A</v>
      </c>
      <c r="AR38" s="43" t="e">
        <f ca="1">IFERROR(IF(ISNUMBER($AP$38),INDEX('1.Locations'!$E$2:$E$97,$AP$38 + 1),NA()),NA())</f>
        <v>#N/A</v>
      </c>
      <c r="AS38" s="44" t="str">
        <f ca="1">IFERROR(IF(AND(ISNUMBER($AP$38),$AP$38&lt;=95),INDEX('2.Distances'!$C$2:$C$9218,$AP$37*96+$AP$38+ 1) +$AS$37," ")," ")</f>
        <v xml:space="preserve"> </v>
      </c>
      <c r="AT38" s="43" t="str">
        <f ca="1">IFERROR(IF(ISNUMBER($AP$38),INDEX('1.Locations'!$J$2:$J$97,$AP$38 + 1) +$AT$37," ")," ")</f>
        <v xml:space="preserve"> </v>
      </c>
      <c r="AU38" s="43" t="str">
        <f ca="1">IFERROR(IF(ISNUMBER($AP$38),INDEX('1.Locations'!$K$2:$K$97,$AP$38 + 1) +$AU$37," ")," ")</f>
        <v xml:space="preserve"> </v>
      </c>
      <c r="AV38" s="45" t="str">
        <f ca="1">IFERROR(IF(AND(ISNUMBER($AP$38),$AP$38&lt;=95),INDEX('2.Distances'!$D$2:$D$9218,$AP$37*96+$AP$38+ 1) +$AV$37," ")," ")</f>
        <v xml:space="preserve"> </v>
      </c>
      <c r="AW38" s="46" t="str">
        <f ca="1">IFERROR(IF(AND(ISNUMBER($AP$38),$AP$38&lt;=95),INDEX('2.Distances'!$D$2:$D$9218,$AP$37*96+$AP$38+ 1) +$AX$37," ")," ")</f>
        <v xml:space="preserve"> </v>
      </c>
      <c r="AX38" s="46" t="str">
        <f ca="1">IFERROR(IF(ISNUMBER($AW$38),INDEX('1.Locations'!$I$2:$I$97,$AP$38 + 1) + MAX($AW$38,INDEX('1.Locations'!$F$2:$F$97,$AP$38 + 1))," ")," ")</f>
        <v xml:space="preserve"> </v>
      </c>
      <c r="AY38" s="45" t="str">
        <f ca="1">IFERROR($AY$37 + INDEX('2.Distances'!$D$2:$D$9218,$AP$37*96+$AP$38+ 1) + INDEX('1.Locations'!$I$2:$I$97,$AP$38 + 1)," ")</f>
        <v xml:space="preserve"> </v>
      </c>
      <c r="BA38" s="24">
        <v>33</v>
      </c>
      <c r="BB38" s="25"/>
      <c r="BC38" s="43" t="str">
        <f ca="1">IFERROR(MATCH(INDIRECT("$BB$38"),'1.Locations'!$B$2:$B$97, 0) - 1," ")</f>
        <v xml:space="preserve"> </v>
      </c>
      <c r="BD38" s="43" t="e">
        <f ca="1">IFERROR(IF(ISNUMBER($BC$38),INDEX('1.Locations'!$D$2:$D$97,$BC$38 + 1),NA()),NA())</f>
        <v>#N/A</v>
      </c>
      <c r="BE38" s="43" t="e">
        <f ca="1">IFERROR(IF(ISNUMBER($BC$38),INDEX('1.Locations'!$E$2:$E$97,$BC$38 + 1),NA()),NA())</f>
        <v>#N/A</v>
      </c>
      <c r="BF38" s="44" t="str">
        <f ca="1">IFERROR(IF(AND(ISNUMBER($BC$38),$BC$38&lt;=95),INDEX('2.Distances'!$C$2:$C$9218,$BC$37*96+$BC$38+ 1) +$BF$37," ")," ")</f>
        <v xml:space="preserve"> </v>
      </c>
      <c r="BG38" s="43" t="str">
        <f ca="1">IFERROR(IF(ISNUMBER($BC$38),INDEX('1.Locations'!$J$2:$J$97,$BC$38 + 1) +$BG$37," ")," ")</f>
        <v xml:space="preserve"> </v>
      </c>
      <c r="BH38" s="43" t="str">
        <f ca="1">IFERROR(IF(ISNUMBER($BC$38),INDEX('1.Locations'!$K$2:$K$97,$BC$38 + 1) +$BH$37," ")," ")</f>
        <v xml:space="preserve"> </v>
      </c>
      <c r="BI38" s="45" t="str">
        <f ca="1">IFERROR(IF(AND(ISNUMBER($BC$38),$BC$38&lt;=95),INDEX('2.Distances'!$D$2:$D$9218,$BC$37*96+$BC$38+ 1) +$BI$37," ")," ")</f>
        <v xml:space="preserve"> </v>
      </c>
      <c r="BJ38" s="46" t="str">
        <f ca="1">IFERROR(IF(AND(ISNUMBER($BC$38),$BC$38&lt;=95),INDEX('2.Distances'!$D$2:$D$9218,$BC$37*96+$BC$38+ 1) +$BK$37," ")," ")</f>
        <v xml:space="preserve"> </v>
      </c>
      <c r="BK38" s="46" t="str">
        <f ca="1">IFERROR(IF(ISNUMBER($BJ$38),INDEX('1.Locations'!$I$2:$I$97,$BC$38 + 1) + MAX($BJ$38,INDEX('1.Locations'!$F$2:$F$97,$BC$38 + 1))," ")," ")</f>
        <v xml:space="preserve"> </v>
      </c>
      <c r="BL38" s="45" t="str">
        <f ca="1">IFERROR($BL$37 + INDEX('2.Distances'!$D$2:$D$9218,$BC$37*96+$BC$38+ 1) + INDEX('1.Locations'!$I$2:$I$97,$BC$38 + 1)," ")</f>
        <v xml:space="preserve"> </v>
      </c>
      <c r="BN38" s="24">
        <v>33</v>
      </c>
      <c r="BO38" s="25"/>
      <c r="BP38" s="43" t="str">
        <f ca="1">IFERROR(MATCH(INDIRECT("$BO$38"),'1.Locations'!$B$2:$B$97, 0) - 1," ")</f>
        <v xml:space="preserve"> </v>
      </c>
      <c r="BQ38" s="43" t="e">
        <f ca="1">IFERROR(IF(ISNUMBER($BP$38),INDEX('1.Locations'!$D$2:$D$97,$BP$38 + 1),NA()),NA())</f>
        <v>#N/A</v>
      </c>
      <c r="BR38" s="43" t="e">
        <f ca="1">IFERROR(IF(ISNUMBER($BP$38),INDEX('1.Locations'!$E$2:$E$97,$BP$38 + 1),NA()),NA())</f>
        <v>#N/A</v>
      </c>
      <c r="BS38" s="44" t="str">
        <f ca="1">IFERROR(IF(AND(ISNUMBER($BP$38),$BP$38&lt;=95),INDEX('2.Distances'!$C$2:$C$9218,$BP$37*96+$BP$38+ 1) +$BS$37," ")," ")</f>
        <v xml:space="preserve"> </v>
      </c>
      <c r="BT38" s="43" t="str">
        <f ca="1">IFERROR(IF(ISNUMBER($BP$38),INDEX('1.Locations'!$J$2:$J$97,$BP$38 + 1) +$BT$37," ")," ")</f>
        <v xml:space="preserve"> </v>
      </c>
      <c r="BU38" s="43" t="str">
        <f ca="1">IFERROR(IF(ISNUMBER($BP$38),INDEX('1.Locations'!$K$2:$K$97,$BP$38 + 1) +$BU$37," ")," ")</f>
        <v xml:space="preserve"> </v>
      </c>
      <c r="BV38" s="45" t="str">
        <f ca="1">IFERROR(IF(AND(ISNUMBER($BP$38),$BP$38&lt;=95),INDEX('2.Distances'!$D$2:$D$9218,$BP$37*96+$BP$38+ 1) +$BV$37," ")," ")</f>
        <v xml:space="preserve"> </v>
      </c>
      <c r="BW38" s="46" t="str">
        <f ca="1">IFERROR(IF(AND(ISNUMBER($BP$38),$BP$38&lt;=95),INDEX('2.Distances'!$D$2:$D$9218,$BP$37*96+$BP$38+ 1) +$BX$37," ")," ")</f>
        <v xml:space="preserve"> </v>
      </c>
      <c r="BX38" s="46" t="str">
        <f ca="1">IFERROR(IF(ISNUMBER($BW$38),INDEX('1.Locations'!$I$2:$I$97,$BP$38 + 1) + MAX($BW$38,INDEX('1.Locations'!$F$2:$F$97,$BP$38 + 1))," ")," ")</f>
        <v xml:space="preserve"> </v>
      </c>
      <c r="BY38" s="45" t="str">
        <f ca="1">IFERROR($BY$37 + INDEX('2.Distances'!$D$2:$D$9218,$BP$37*96+$BP$38+ 1) + INDEX('1.Locations'!$I$2:$I$97,$BP$38 + 1)," ")</f>
        <v xml:space="preserve"> </v>
      </c>
      <c r="CA38" s="24">
        <v>33</v>
      </c>
      <c r="CB38" s="25"/>
      <c r="CC38" s="43" t="str">
        <f ca="1">IFERROR(MATCH(INDIRECT("$CB$38"),'1.Locations'!$B$2:$B$97, 0) - 1," ")</f>
        <v xml:space="preserve"> </v>
      </c>
      <c r="CD38" s="43" t="e">
        <f ca="1">IFERROR(IF(ISNUMBER($CC$38),INDEX('1.Locations'!$D$2:$D$97,$CC$38 + 1),NA()),NA())</f>
        <v>#N/A</v>
      </c>
      <c r="CE38" s="43" t="e">
        <f ca="1">IFERROR(IF(ISNUMBER($CC$38),INDEX('1.Locations'!$E$2:$E$97,$CC$38 + 1),NA()),NA())</f>
        <v>#N/A</v>
      </c>
      <c r="CF38" s="44" t="str">
        <f ca="1">IFERROR(IF(AND(ISNUMBER($CC$38),$CC$38&lt;=95),INDEX('2.Distances'!$C$2:$C$9218,$CC$37*96+$CC$38+ 1) +$CF$37," ")," ")</f>
        <v xml:space="preserve"> </v>
      </c>
      <c r="CG38" s="43" t="str">
        <f ca="1">IFERROR(IF(ISNUMBER($CC$38),INDEX('1.Locations'!$J$2:$J$97,$CC$38 + 1) +$CG$37," ")," ")</f>
        <v xml:space="preserve"> </v>
      </c>
      <c r="CH38" s="43" t="str">
        <f ca="1">IFERROR(IF(ISNUMBER($CC$38),INDEX('1.Locations'!$K$2:$K$97,$CC$38 + 1) +$CH$37," ")," ")</f>
        <v xml:space="preserve"> </v>
      </c>
      <c r="CI38" s="45" t="str">
        <f ca="1">IFERROR(IF(AND(ISNUMBER($CC$38),$CC$38&lt;=95),INDEX('2.Distances'!$D$2:$D$9218,$CC$37*96+$CC$38+ 1) +$CI$37," ")," ")</f>
        <v xml:space="preserve"> </v>
      </c>
      <c r="CJ38" s="46" t="str">
        <f ca="1">IFERROR(IF(AND(ISNUMBER($CC$38),$CC$38&lt;=95),INDEX('2.Distances'!$D$2:$D$9218,$CC$37*96+$CC$38+ 1) +$CK$37," ")," ")</f>
        <v xml:space="preserve"> </v>
      </c>
      <c r="CK38" s="46" t="str">
        <f ca="1">IFERROR(IF(ISNUMBER($CJ$38),INDEX('1.Locations'!$I$2:$I$97,$CC$38 + 1) + MAX($CJ$38,INDEX('1.Locations'!$F$2:$F$97,$CC$38 + 1))," ")," ")</f>
        <v xml:space="preserve"> </v>
      </c>
      <c r="CL38" s="45" t="str">
        <f ca="1">IFERROR($CL$37 + INDEX('2.Distances'!$D$2:$D$9218,$CC$37*96+$CC$38+ 1) + INDEX('1.Locations'!$I$2:$I$97,$CC$38 + 1)," ")</f>
        <v xml:space="preserve"> </v>
      </c>
    </row>
    <row r="39" spans="1:90" x14ac:dyDescent="0.25">
      <c r="A39" s="24">
        <v>34</v>
      </c>
      <c r="B39" s="25"/>
      <c r="C39" s="43" t="str">
        <f ca="1">IFERROR(MATCH(INDIRECT("$B$39"),'1.Locations'!$B$2:$B$97, 0) - 1," ")</f>
        <v xml:space="preserve"> </v>
      </c>
      <c r="D39" s="43" t="e">
        <f ca="1">IFERROR(IF(ISNUMBER($C$39),INDEX('1.Locations'!$D$2:$D$97,$C$39 + 1),NA()),NA())</f>
        <v>#N/A</v>
      </c>
      <c r="E39" s="43" t="e">
        <f ca="1">IFERROR(IF(ISNUMBER($C$39),INDEX('1.Locations'!$E$2:$E$97,$C$39 + 1),NA()),NA())</f>
        <v>#N/A</v>
      </c>
      <c r="F39" s="44" t="str">
        <f ca="1">IFERROR(IF(AND(ISNUMBER($C$39),$C$39&lt;=95),INDEX('2.Distances'!$C$2:$C$9218,$C$38*96+$C$39+ 1) +$F$38," ")," ")</f>
        <v xml:space="preserve"> </v>
      </c>
      <c r="G39" s="43" t="str">
        <f ca="1">IFERROR(IF(ISNUMBER($C$39),INDEX('1.Locations'!$J$2:$J$97,$C$39 + 1) +$G$38," ")," ")</f>
        <v xml:space="preserve"> </v>
      </c>
      <c r="H39" s="43" t="str">
        <f ca="1">IFERROR(IF(ISNUMBER($C$39),INDEX('1.Locations'!$K$2:$K$97,$C$39 + 1) +$H$38," ")," ")</f>
        <v xml:space="preserve"> </v>
      </c>
      <c r="I39" s="45" t="str">
        <f ca="1">IFERROR(IF(AND(ISNUMBER($C$39),$C$39&lt;=95),INDEX('2.Distances'!$D$2:$D$9218,$C$38*96+$C$39+ 1) +$I$38," ")," ")</f>
        <v xml:space="preserve"> </v>
      </c>
      <c r="J39" s="46" t="str">
        <f ca="1">IFERROR(IF(AND(ISNUMBER($C$39),$C$39&lt;=95),INDEX('2.Distances'!$D$2:$D$9218,$C$38*96+$C$39+ 1) +$K$38," ")," ")</f>
        <v xml:space="preserve"> </v>
      </c>
      <c r="K39" s="46" t="str">
        <f ca="1">IFERROR(IF(ISNUMBER($J$39),INDEX('1.Locations'!$I$2:$I$97,$C$39 + 1) + MAX($J$39,INDEX('1.Locations'!$F$2:$F$97,$C$39 + 1))," ")," ")</f>
        <v xml:space="preserve"> </v>
      </c>
      <c r="L39" s="45" t="str">
        <f ca="1">IFERROR($L$38 + INDEX('2.Distances'!$D$2:$D$9218,$C$38*96+$C$39+ 1) + INDEX('1.Locations'!$I$2:$I$97,$C$39 + 1)," ")</f>
        <v xml:space="preserve"> </v>
      </c>
      <c r="N39" s="24">
        <v>34</v>
      </c>
      <c r="O39" s="25"/>
      <c r="P39" s="43" t="str">
        <f ca="1">IFERROR(MATCH(INDIRECT("$O$39"),'1.Locations'!$B$2:$B$97, 0) - 1," ")</f>
        <v xml:space="preserve"> </v>
      </c>
      <c r="Q39" s="43" t="e">
        <f ca="1">IFERROR(IF(ISNUMBER($P$39),INDEX('1.Locations'!$D$2:$D$97,$P$39 + 1),NA()),NA())</f>
        <v>#N/A</v>
      </c>
      <c r="R39" s="43" t="e">
        <f ca="1">IFERROR(IF(ISNUMBER($P$39),INDEX('1.Locations'!$E$2:$E$97,$P$39 + 1),NA()),NA())</f>
        <v>#N/A</v>
      </c>
      <c r="S39" s="44" t="str">
        <f ca="1">IFERROR(IF(AND(ISNUMBER($P$39),$P$39&lt;=95),INDEX('2.Distances'!$C$2:$C$9218,$P$38*96+$P$39+ 1) +$S$38," ")," ")</f>
        <v xml:space="preserve"> </v>
      </c>
      <c r="T39" s="43" t="str">
        <f ca="1">IFERROR(IF(ISNUMBER($P$39),INDEX('1.Locations'!$J$2:$J$97,$P$39 + 1) +$T$38," ")," ")</f>
        <v xml:space="preserve"> </v>
      </c>
      <c r="U39" s="43" t="str">
        <f ca="1">IFERROR(IF(ISNUMBER($P$39),INDEX('1.Locations'!$K$2:$K$97,$P$39 + 1) +$U$38," ")," ")</f>
        <v xml:space="preserve"> </v>
      </c>
      <c r="V39" s="45" t="str">
        <f ca="1">IFERROR(IF(AND(ISNUMBER($P$39),$P$39&lt;=95),INDEX('2.Distances'!$D$2:$D$9218,$P$38*96+$P$39+ 1) +$V$38," ")," ")</f>
        <v xml:space="preserve"> </v>
      </c>
      <c r="W39" s="46" t="str">
        <f ca="1">IFERROR(IF(AND(ISNUMBER($P$39),$P$39&lt;=95),INDEX('2.Distances'!$D$2:$D$9218,$P$38*96+$P$39+ 1) +$X$38," ")," ")</f>
        <v xml:space="preserve"> </v>
      </c>
      <c r="X39" s="46" t="str">
        <f ca="1">IFERROR(IF(ISNUMBER($W$39),INDEX('1.Locations'!$I$2:$I$97,$P$39 + 1) + MAX($W$39,INDEX('1.Locations'!$F$2:$F$97,$P$39 + 1))," ")," ")</f>
        <v xml:space="preserve"> </v>
      </c>
      <c r="Y39" s="45" t="str">
        <f ca="1">IFERROR($Y$38 + INDEX('2.Distances'!$D$2:$D$9218,$P$38*96+$P$39+ 1) + INDEX('1.Locations'!$I$2:$I$97,$P$39 + 1)," ")</f>
        <v xml:space="preserve"> </v>
      </c>
      <c r="AA39" s="24">
        <v>34</v>
      </c>
      <c r="AB39" s="25"/>
      <c r="AC39" s="43" t="str">
        <f ca="1">IFERROR(MATCH(INDIRECT("$AB$39"),'1.Locations'!$B$2:$B$97, 0) - 1," ")</f>
        <v xml:space="preserve"> </v>
      </c>
      <c r="AD39" s="43" t="e">
        <f ca="1">IFERROR(IF(ISNUMBER($AC$39),INDEX('1.Locations'!$D$2:$D$97,$AC$39 + 1),NA()),NA())</f>
        <v>#N/A</v>
      </c>
      <c r="AE39" s="43" t="e">
        <f ca="1">IFERROR(IF(ISNUMBER($AC$39),INDEX('1.Locations'!$E$2:$E$97,$AC$39 + 1),NA()),NA())</f>
        <v>#N/A</v>
      </c>
      <c r="AF39" s="44" t="str">
        <f ca="1">IFERROR(IF(AND(ISNUMBER($AC$39),$AC$39&lt;=95),INDEX('2.Distances'!$C$2:$C$9218,$AC$38*96+$AC$39+ 1) +$AF$38," ")," ")</f>
        <v xml:space="preserve"> </v>
      </c>
      <c r="AG39" s="43" t="str">
        <f ca="1">IFERROR(IF(ISNUMBER($AC$39),INDEX('1.Locations'!$J$2:$J$97,$AC$39 + 1) +$AG$38," ")," ")</f>
        <v xml:space="preserve"> </v>
      </c>
      <c r="AH39" s="43" t="str">
        <f ca="1">IFERROR(IF(ISNUMBER($AC$39),INDEX('1.Locations'!$K$2:$K$97,$AC$39 + 1) +$AH$38," ")," ")</f>
        <v xml:space="preserve"> </v>
      </c>
      <c r="AI39" s="45" t="str">
        <f ca="1">IFERROR(IF(AND(ISNUMBER($AC$39),$AC$39&lt;=95),INDEX('2.Distances'!$D$2:$D$9218,$AC$38*96+$AC$39+ 1) +$AI$38," ")," ")</f>
        <v xml:space="preserve"> </v>
      </c>
      <c r="AJ39" s="46" t="str">
        <f ca="1">IFERROR(IF(AND(ISNUMBER($AC$39),$AC$39&lt;=95),INDEX('2.Distances'!$D$2:$D$9218,$AC$38*96+$AC$39+ 1) +$AK$38," ")," ")</f>
        <v xml:space="preserve"> </v>
      </c>
      <c r="AK39" s="46" t="str">
        <f ca="1">IFERROR(IF(ISNUMBER($AJ$39),INDEX('1.Locations'!$I$2:$I$97,$AC$39 + 1) + MAX($AJ$39,INDEX('1.Locations'!$F$2:$F$97,$AC$39 + 1))," ")," ")</f>
        <v xml:space="preserve"> </v>
      </c>
      <c r="AL39" s="45" t="str">
        <f ca="1">IFERROR($AL$38 + INDEX('2.Distances'!$D$2:$D$9218,$AC$38*96+$AC$39+ 1) + INDEX('1.Locations'!$I$2:$I$97,$AC$39 + 1)," ")</f>
        <v xml:space="preserve"> </v>
      </c>
      <c r="AN39" s="24">
        <v>34</v>
      </c>
      <c r="AO39" s="25"/>
      <c r="AP39" s="43" t="str">
        <f ca="1">IFERROR(MATCH(INDIRECT("$AO$39"),'1.Locations'!$B$2:$B$97, 0) - 1," ")</f>
        <v xml:space="preserve"> </v>
      </c>
      <c r="AQ39" s="43" t="e">
        <f ca="1">IFERROR(IF(ISNUMBER($AP$39),INDEX('1.Locations'!$D$2:$D$97,$AP$39 + 1),NA()),NA())</f>
        <v>#N/A</v>
      </c>
      <c r="AR39" s="43" t="e">
        <f ca="1">IFERROR(IF(ISNUMBER($AP$39),INDEX('1.Locations'!$E$2:$E$97,$AP$39 + 1),NA()),NA())</f>
        <v>#N/A</v>
      </c>
      <c r="AS39" s="44" t="str">
        <f ca="1">IFERROR(IF(AND(ISNUMBER($AP$39),$AP$39&lt;=95),INDEX('2.Distances'!$C$2:$C$9218,$AP$38*96+$AP$39+ 1) +$AS$38," ")," ")</f>
        <v xml:space="preserve"> </v>
      </c>
      <c r="AT39" s="43" t="str">
        <f ca="1">IFERROR(IF(ISNUMBER($AP$39),INDEX('1.Locations'!$J$2:$J$97,$AP$39 + 1) +$AT$38," ")," ")</f>
        <v xml:space="preserve"> </v>
      </c>
      <c r="AU39" s="43" t="str">
        <f ca="1">IFERROR(IF(ISNUMBER($AP$39),INDEX('1.Locations'!$K$2:$K$97,$AP$39 + 1) +$AU$38," ")," ")</f>
        <v xml:space="preserve"> </v>
      </c>
      <c r="AV39" s="45" t="str">
        <f ca="1">IFERROR(IF(AND(ISNUMBER($AP$39),$AP$39&lt;=95),INDEX('2.Distances'!$D$2:$D$9218,$AP$38*96+$AP$39+ 1) +$AV$38," ")," ")</f>
        <v xml:space="preserve"> </v>
      </c>
      <c r="AW39" s="46" t="str">
        <f ca="1">IFERROR(IF(AND(ISNUMBER($AP$39),$AP$39&lt;=95),INDEX('2.Distances'!$D$2:$D$9218,$AP$38*96+$AP$39+ 1) +$AX$38," ")," ")</f>
        <v xml:space="preserve"> </v>
      </c>
      <c r="AX39" s="46" t="str">
        <f ca="1">IFERROR(IF(ISNUMBER($AW$39),INDEX('1.Locations'!$I$2:$I$97,$AP$39 + 1) + MAX($AW$39,INDEX('1.Locations'!$F$2:$F$97,$AP$39 + 1))," ")," ")</f>
        <v xml:space="preserve"> </v>
      </c>
      <c r="AY39" s="45" t="str">
        <f ca="1">IFERROR($AY$38 + INDEX('2.Distances'!$D$2:$D$9218,$AP$38*96+$AP$39+ 1) + INDEX('1.Locations'!$I$2:$I$97,$AP$39 + 1)," ")</f>
        <v xml:space="preserve"> </v>
      </c>
      <c r="BA39" s="24">
        <v>34</v>
      </c>
      <c r="BB39" s="25"/>
      <c r="BC39" s="43" t="str">
        <f ca="1">IFERROR(MATCH(INDIRECT("$BB$39"),'1.Locations'!$B$2:$B$97, 0) - 1," ")</f>
        <v xml:space="preserve"> </v>
      </c>
      <c r="BD39" s="43" t="e">
        <f ca="1">IFERROR(IF(ISNUMBER($BC$39),INDEX('1.Locations'!$D$2:$D$97,$BC$39 + 1),NA()),NA())</f>
        <v>#N/A</v>
      </c>
      <c r="BE39" s="43" t="e">
        <f ca="1">IFERROR(IF(ISNUMBER($BC$39),INDEX('1.Locations'!$E$2:$E$97,$BC$39 + 1),NA()),NA())</f>
        <v>#N/A</v>
      </c>
      <c r="BF39" s="44" t="str">
        <f ca="1">IFERROR(IF(AND(ISNUMBER($BC$39),$BC$39&lt;=95),INDEX('2.Distances'!$C$2:$C$9218,$BC$38*96+$BC$39+ 1) +$BF$38," ")," ")</f>
        <v xml:space="preserve"> </v>
      </c>
      <c r="BG39" s="43" t="str">
        <f ca="1">IFERROR(IF(ISNUMBER($BC$39),INDEX('1.Locations'!$J$2:$J$97,$BC$39 + 1) +$BG$38," ")," ")</f>
        <v xml:space="preserve"> </v>
      </c>
      <c r="BH39" s="43" t="str">
        <f ca="1">IFERROR(IF(ISNUMBER($BC$39),INDEX('1.Locations'!$K$2:$K$97,$BC$39 + 1) +$BH$38," ")," ")</f>
        <v xml:space="preserve"> </v>
      </c>
      <c r="BI39" s="45" t="str">
        <f ca="1">IFERROR(IF(AND(ISNUMBER($BC$39),$BC$39&lt;=95),INDEX('2.Distances'!$D$2:$D$9218,$BC$38*96+$BC$39+ 1) +$BI$38," ")," ")</f>
        <v xml:space="preserve"> </v>
      </c>
      <c r="BJ39" s="46" t="str">
        <f ca="1">IFERROR(IF(AND(ISNUMBER($BC$39),$BC$39&lt;=95),INDEX('2.Distances'!$D$2:$D$9218,$BC$38*96+$BC$39+ 1) +$BK$38," ")," ")</f>
        <v xml:space="preserve"> </v>
      </c>
      <c r="BK39" s="46" t="str">
        <f ca="1">IFERROR(IF(ISNUMBER($BJ$39),INDEX('1.Locations'!$I$2:$I$97,$BC$39 + 1) + MAX($BJ$39,INDEX('1.Locations'!$F$2:$F$97,$BC$39 + 1))," ")," ")</f>
        <v xml:space="preserve"> </v>
      </c>
      <c r="BL39" s="45" t="str">
        <f ca="1">IFERROR($BL$38 + INDEX('2.Distances'!$D$2:$D$9218,$BC$38*96+$BC$39+ 1) + INDEX('1.Locations'!$I$2:$I$97,$BC$39 + 1)," ")</f>
        <v xml:space="preserve"> </v>
      </c>
      <c r="BN39" s="24">
        <v>34</v>
      </c>
      <c r="BO39" s="25"/>
      <c r="BP39" s="43" t="str">
        <f ca="1">IFERROR(MATCH(INDIRECT("$BO$39"),'1.Locations'!$B$2:$B$97, 0) - 1," ")</f>
        <v xml:space="preserve"> </v>
      </c>
      <c r="BQ39" s="43" t="e">
        <f ca="1">IFERROR(IF(ISNUMBER($BP$39),INDEX('1.Locations'!$D$2:$D$97,$BP$39 + 1),NA()),NA())</f>
        <v>#N/A</v>
      </c>
      <c r="BR39" s="43" t="e">
        <f ca="1">IFERROR(IF(ISNUMBER($BP$39),INDEX('1.Locations'!$E$2:$E$97,$BP$39 + 1),NA()),NA())</f>
        <v>#N/A</v>
      </c>
      <c r="BS39" s="44" t="str">
        <f ca="1">IFERROR(IF(AND(ISNUMBER($BP$39),$BP$39&lt;=95),INDEX('2.Distances'!$C$2:$C$9218,$BP$38*96+$BP$39+ 1) +$BS$38," ")," ")</f>
        <v xml:space="preserve"> </v>
      </c>
      <c r="BT39" s="43" t="str">
        <f ca="1">IFERROR(IF(ISNUMBER($BP$39),INDEX('1.Locations'!$J$2:$J$97,$BP$39 + 1) +$BT$38," ")," ")</f>
        <v xml:space="preserve"> </v>
      </c>
      <c r="BU39" s="43" t="str">
        <f ca="1">IFERROR(IF(ISNUMBER($BP$39),INDEX('1.Locations'!$K$2:$K$97,$BP$39 + 1) +$BU$38," ")," ")</f>
        <v xml:space="preserve"> </v>
      </c>
      <c r="BV39" s="45" t="str">
        <f ca="1">IFERROR(IF(AND(ISNUMBER($BP$39),$BP$39&lt;=95),INDEX('2.Distances'!$D$2:$D$9218,$BP$38*96+$BP$39+ 1) +$BV$38," ")," ")</f>
        <v xml:space="preserve"> </v>
      </c>
      <c r="BW39" s="46" t="str">
        <f ca="1">IFERROR(IF(AND(ISNUMBER($BP$39),$BP$39&lt;=95),INDEX('2.Distances'!$D$2:$D$9218,$BP$38*96+$BP$39+ 1) +$BX$38," ")," ")</f>
        <v xml:space="preserve"> </v>
      </c>
      <c r="BX39" s="46" t="str">
        <f ca="1">IFERROR(IF(ISNUMBER($BW$39),INDEX('1.Locations'!$I$2:$I$97,$BP$39 + 1) + MAX($BW$39,INDEX('1.Locations'!$F$2:$F$97,$BP$39 + 1))," ")," ")</f>
        <v xml:space="preserve"> </v>
      </c>
      <c r="BY39" s="45" t="str">
        <f ca="1">IFERROR($BY$38 + INDEX('2.Distances'!$D$2:$D$9218,$BP$38*96+$BP$39+ 1) + INDEX('1.Locations'!$I$2:$I$97,$BP$39 + 1)," ")</f>
        <v xml:space="preserve"> </v>
      </c>
      <c r="CA39" s="24">
        <v>34</v>
      </c>
      <c r="CB39" s="25"/>
      <c r="CC39" s="43" t="str">
        <f ca="1">IFERROR(MATCH(INDIRECT("$CB$39"),'1.Locations'!$B$2:$B$97, 0) - 1," ")</f>
        <v xml:space="preserve"> </v>
      </c>
      <c r="CD39" s="43" t="e">
        <f ca="1">IFERROR(IF(ISNUMBER($CC$39),INDEX('1.Locations'!$D$2:$D$97,$CC$39 + 1),NA()),NA())</f>
        <v>#N/A</v>
      </c>
      <c r="CE39" s="43" t="e">
        <f ca="1">IFERROR(IF(ISNUMBER($CC$39),INDEX('1.Locations'!$E$2:$E$97,$CC$39 + 1),NA()),NA())</f>
        <v>#N/A</v>
      </c>
      <c r="CF39" s="44" t="str">
        <f ca="1">IFERROR(IF(AND(ISNUMBER($CC$39),$CC$39&lt;=95),INDEX('2.Distances'!$C$2:$C$9218,$CC$38*96+$CC$39+ 1) +$CF$38," ")," ")</f>
        <v xml:space="preserve"> </v>
      </c>
      <c r="CG39" s="43" t="str">
        <f ca="1">IFERROR(IF(ISNUMBER($CC$39),INDEX('1.Locations'!$J$2:$J$97,$CC$39 + 1) +$CG$38," ")," ")</f>
        <v xml:space="preserve"> </v>
      </c>
      <c r="CH39" s="43" t="str">
        <f ca="1">IFERROR(IF(ISNUMBER($CC$39),INDEX('1.Locations'!$K$2:$K$97,$CC$39 + 1) +$CH$38," ")," ")</f>
        <v xml:space="preserve"> </v>
      </c>
      <c r="CI39" s="45" t="str">
        <f ca="1">IFERROR(IF(AND(ISNUMBER($CC$39),$CC$39&lt;=95),INDEX('2.Distances'!$D$2:$D$9218,$CC$38*96+$CC$39+ 1) +$CI$38," ")," ")</f>
        <v xml:space="preserve"> </v>
      </c>
      <c r="CJ39" s="46" t="str">
        <f ca="1">IFERROR(IF(AND(ISNUMBER($CC$39),$CC$39&lt;=95),INDEX('2.Distances'!$D$2:$D$9218,$CC$38*96+$CC$39+ 1) +$CK$38," ")," ")</f>
        <v xml:space="preserve"> </v>
      </c>
      <c r="CK39" s="46" t="str">
        <f ca="1">IFERROR(IF(ISNUMBER($CJ$39),INDEX('1.Locations'!$I$2:$I$97,$CC$39 + 1) + MAX($CJ$39,INDEX('1.Locations'!$F$2:$F$97,$CC$39 + 1))," ")," ")</f>
        <v xml:space="preserve"> </v>
      </c>
      <c r="CL39" s="45" t="str">
        <f ca="1">IFERROR($CL$38 + INDEX('2.Distances'!$D$2:$D$9218,$CC$38*96+$CC$39+ 1) + INDEX('1.Locations'!$I$2:$I$97,$CC$39 + 1)," ")</f>
        <v xml:space="preserve"> </v>
      </c>
    </row>
    <row r="40" spans="1:90" x14ac:dyDescent="0.25">
      <c r="A40" s="24">
        <v>35</v>
      </c>
      <c r="B40" s="25"/>
      <c r="C40" s="43" t="str">
        <f ca="1">IFERROR(MATCH(INDIRECT("$B$40"),'1.Locations'!$B$2:$B$97, 0) - 1," ")</f>
        <v xml:space="preserve"> </v>
      </c>
      <c r="D40" s="43" t="e">
        <f ca="1">IFERROR(IF(ISNUMBER($C$40),INDEX('1.Locations'!$D$2:$D$97,$C$40 + 1),NA()),NA())</f>
        <v>#N/A</v>
      </c>
      <c r="E40" s="43" t="e">
        <f ca="1">IFERROR(IF(ISNUMBER($C$40),INDEX('1.Locations'!$E$2:$E$97,$C$40 + 1),NA()),NA())</f>
        <v>#N/A</v>
      </c>
      <c r="F40" s="44" t="str">
        <f ca="1">IFERROR(IF(AND(ISNUMBER($C$40),$C$40&lt;=95),INDEX('2.Distances'!$C$2:$C$9218,$C$39*96+$C$40+ 1) +$F$39," ")," ")</f>
        <v xml:space="preserve"> </v>
      </c>
      <c r="G40" s="43" t="str">
        <f ca="1">IFERROR(IF(ISNUMBER($C$40),INDEX('1.Locations'!$J$2:$J$97,$C$40 + 1) +$G$39," ")," ")</f>
        <v xml:space="preserve"> </v>
      </c>
      <c r="H40" s="43" t="str">
        <f ca="1">IFERROR(IF(ISNUMBER($C$40),INDEX('1.Locations'!$K$2:$K$97,$C$40 + 1) +$H$39," ")," ")</f>
        <v xml:space="preserve"> </v>
      </c>
      <c r="I40" s="45" t="str">
        <f ca="1">IFERROR(IF(AND(ISNUMBER($C$40),$C$40&lt;=95),INDEX('2.Distances'!$D$2:$D$9218,$C$39*96+$C$40+ 1) +$I$39," ")," ")</f>
        <v xml:space="preserve"> </v>
      </c>
      <c r="J40" s="46" t="str">
        <f ca="1">IFERROR(IF(AND(ISNUMBER($C$40),$C$40&lt;=95),INDEX('2.Distances'!$D$2:$D$9218,$C$39*96+$C$40+ 1) +$K$39," ")," ")</f>
        <v xml:space="preserve"> </v>
      </c>
      <c r="K40" s="46" t="str">
        <f ca="1">IFERROR(IF(ISNUMBER($J$40),INDEX('1.Locations'!$I$2:$I$97,$C$40 + 1) + MAX($J$40,INDEX('1.Locations'!$F$2:$F$97,$C$40 + 1))," ")," ")</f>
        <v xml:space="preserve"> </v>
      </c>
      <c r="L40" s="45" t="str">
        <f ca="1">IFERROR($L$39 + INDEX('2.Distances'!$D$2:$D$9218,$C$39*96+$C$40+ 1) + INDEX('1.Locations'!$I$2:$I$97,$C$40 + 1)," ")</f>
        <v xml:space="preserve"> </v>
      </c>
      <c r="N40" s="24">
        <v>35</v>
      </c>
      <c r="O40" s="25"/>
      <c r="P40" s="43" t="str">
        <f ca="1">IFERROR(MATCH(INDIRECT("$O$40"),'1.Locations'!$B$2:$B$97, 0) - 1," ")</f>
        <v xml:space="preserve"> </v>
      </c>
      <c r="Q40" s="43" t="e">
        <f ca="1">IFERROR(IF(ISNUMBER($P$40),INDEX('1.Locations'!$D$2:$D$97,$P$40 + 1),NA()),NA())</f>
        <v>#N/A</v>
      </c>
      <c r="R40" s="43" t="e">
        <f ca="1">IFERROR(IF(ISNUMBER($P$40),INDEX('1.Locations'!$E$2:$E$97,$P$40 + 1),NA()),NA())</f>
        <v>#N/A</v>
      </c>
      <c r="S40" s="44" t="str">
        <f ca="1">IFERROR(IF(AND(ISNUMBER($P$40),$P$40&lt;=95),INDEX('2.Distances'!$C$2:$C$9218,$P$39*96+$P$40+ 1) +$S$39," ")," ")</f>
        <v xml:space="preserve"> </v>
      </c>
      <c r="T40" s="43" t="str">
        <f ca="1">IFERROR(IF(ISNUMBER($P$40),INDEX('1.Locations'!$J$2:$J$97,$P$40 + 1) +$T$39," ")," ")</f>
        <v xml:space="preserve"> </v>
      </c>
      <c r="U40" s="43" t="str">
        <f ca="1">IFERROR(IF(ISNUMBER($P$40),INDEX('1.Locations'!$K$2:$K$97,$P$40 + 1) +$U$39," ")," ")</f>
        <v xml:space="preserve"> </v>
      </c>
      <c r="V40" s="45" t="str">
        <f ca="1">IFERROR(IF(AND(ISNUMBER($P$40),$P$40&lt;=95),INDEX('2.Distances'!$D$2:$D$9218,$P$39*96+$P$40+ 1) +$V$39," ")," ")</f>
        <v xml:space="preserve"> </v>
      </c>
      <c r="W40" s="46" t="str">
        <f ca="1">IFERROR(IF(AND(ISNUMBER($P$40),$P$40&lt;=95),INDEX('2.Distances'!$D$2:$D$9218,$P$39*96+$P$40+ 1) +$X$39," ")," ")</f>
        <v xml:space="preserve"> </v>
      </c>
      <c r="X40" s="46" t="str">
        <f ca="1">IFERROR(IF(ISNUMBER($W$40),INDEX('1.Locations'!$I$2:$I$97,$P$40 + 1) + MAX($W$40,INDEX('1.Locations'!$F$2:$F$97,$P$40 + 1))," ")," ")</f>
        <v xml:space="preserve"> </v>
      </c>
      <c r="Y40" s="45" t="str">
        <f ca="1">IFERROR($Y$39 + INDEX('2.Distances'!$D$2:$D$9218,$P$39*96+$P$40+ 1) + INDEX('1.Locations'!$I$2:$I$97,$P$40 + 1)," ")</f>
        <v xml:space="preserve"> </v>
      </c>
      <c r="AA40" s="24">
        <v>35</v>
      </c>
      <c r="AB40" s="25"/>
      <c r="AC40" s="43" t="str">
        <f ca="1">IFERROR(MATCH(INDIRECT("$AB$40"),'1.Locations'!$B$2:$B$97, 0) - 1," ")</f>
        <v xml:space="preserve"> </v>
      </c>
      <c r="AD40" s="43" t="e">
        <f ca="1">IFERROR(IF(ISNUMBER($AC$40),INDEX('1.Locations'!$D$2:$D$97,$AC$40 + 1),NA()),NA())</f>
        <v>#N/A</v>
      </c>
      <c r="AE40" s="43" t="e">
        <f ca="1">IFERROR(IF(ISNUMBER($AC$40),INDEX('1.Locations'!$E$2:$E$97,$AC$40 + 1),NA()),NA())</f>
        <v>#N/A</v>
      </c>
      <c r="AF40" s="44" t="str">
        <f ca="1">IFERROR(IF(AND(ISNUMBER($AC$40),$AC$40&lt;=95),INDEX('2.Distances'!$C$2:$C$9218,$AC$39*96+$AC$40+ 1) +$AF$39," ")," ")</f>
        <v xml:space="preserve"> </v>
      </c>
      <c r="AG40" s="43" t="str">
        <f ca="1">IFERROR(IF(ISNUMBER($AC$40),INDEX('1.Locations'!$J$2:$J$97,$AC$40 + 1) +$AG$39," ")," ")</f>
        <v xml:space="preserve"> </v>
      </c>
      <c r="AH40" s="43" t="str">
        <f ca="1">IFERROR(IF(ISNUMBER($AC$40),INDEX('1.Locations'!$K$2:$K$97,$AC$40 + 1) +$AH$39," ")," ")</f>
        <v xml:space="preserve"> </v>
      </c>
      <c r="AI40" s="45" t="str">
        <f ca="1">IFERROR(IF(AND(ISNUMBER($AC$40),$AC$40&lt;=95),INDEX('2.Distances'!$D$2:$D$9218,$AC$39*96+$AC$40+ 1) +$AI$39," ")," ")</f>
        <v xml:space="preserve"> </v>
      </c>
      <c r="AJ40" s="46" t="str">
        <f ca="1">IFERROR(IF(AND(ISNUMBER($AC$40),$AC$40&lt;=95),INDEX('2.Distances'!$D$2:$D$9218,$AC$39*96+$AC$40+ 1) +$AK$39," ")," ")</f>
        <v xml:space="preserve"> </v>
      </c>
      <c r="AK40" s="46" t="str">
        <f ca="1">IFERROR(IF(ISNUMBER($AJ$40),INDEX('1.Locations'!$I$2:$I$97,$AC$40 + 1) + MAX($AJ$40,INDEX('1.Locations'!$F$2:$F$97,$AC$40 + 1))," ")," ")</f>
        <v xml:space="preserve"> </v>
      </c>
      <c r="AL40" s="45" t="str">
        <f ca="1">IFERROR($AL$39 + INDEX('2.Distances'!$D$2:$D$9218,$AC$39*96+$AC$40+ 1) + INDEX('1.Locations'!$I$2:$I$97,$AC$40 + 1)," ")</f>
        <v xml:space="preserve"> </v>
      </c>
      <c r="AN40" s="24">
        <v>35</v>
      </c>
      <c r="AO40" s="25"/>
      <c r="AP40" s="43" t="str">
        <f ca="1">IFERROR(MATCH(INDIRECT("$AO$40"),'1.Locations'!$B$2:$B$97, 0) - 1," ")</f>
        <v xml:space="preserve"> </v>
      </c>
      <c r="AQ40" s="43" t="e">
        <f ca="1">IFERROR(IF(ISNUMBER($AP$40),INDEX('1.Locations'!$D$2:$D$97,$AP$40 + 1),NA()),NA())</f>
        <v>#N/A</v>
      </c>
      <c r="AR40" s="43" t="e">
        <f ca="1">IFERROR(IF(ISNUMBER($AP$40),INDEX('1.Locations'!$E$2:$E$97,$AP$40 + 1),NA()),NA())</f>
        <v>#N/A</v>
      </c>
      <c r="AS40" s="44" t="str">
        <f ca="1">IFERROR(IF(AND(ISNUMBER($AP$40),$AP$40&lt;=95),INDEX('2.Distances'!$C$2:$C$9218,$AP$39*96+$AP$40+ 1) +$AS$39," ")," ")</f>
        <v xml:space="preserve"> </v>
      </c>
      <c r="AT40" s="43" t="str">
        <f ca="1">IFERROR(IF(ISNUMBER($AP$40),INDEX('1.Locations'!$J$2:$J$97,$AP$40 + 1) +$AT$39," ")," ")</f>
        <v xml:space="preserve"> </v>
      </c>
      <c r="AU40" s="43" t="str">
        <f ca="1">IFERROR(IF(ISNUMBER($AP$40),INDEX('1.Locations'!$K$2:$K$97,$AP$40 + 1) +$AU$39," ")," ")</f>
        <v xml:space="preserve"> </v>
      </c>
      <c r="AV40" s="45" t="str">
        <f ca="1">IFERROR(IF(AND(ISNUMBER($AP$40),$AP$40&lt;=95),INDEX('2.Distances'!$D$2:$D$9218,$AP$39*96+$AP$40+ 1) +$AV$39," ")," ")</f>
        <v xml:space="preserve"> </v>
      </c>
      <c r="AW40" s="46" t="str">
        <f ca="1">IFERROR(IF(AND(ISNUMBER($AP$40),$AP$40&lt;=95),INDEX('2.Distances'!$D$2:$D$9218,$AP$39*96+$AP$40+ 1) +$AX$39," ")," ")</f>
        <v xml:space="preserve"> </v>
      </c>
      <c r="AX40" s="46" t="str">
        <f ca="1">IFERROR(IF(ISNUMBER($AW$40),INDEX('1.Locations'!$I$2:$I$97,$AP$40 + 1) + MAX($AW$40,INDEX('1.Locations'!$F$2:$F$97,$AP$40 + 1))," ")," ")</f>
        <v xml:space="preserve"> </v>
      </c>
      <c r="AY40" s="45" t="str">
        <f ca="1">IFERROR($AY$39 + INDEX('2.Distances'!$D$2:$D$9218,$AP$39*96+$AP$40+ 1) + INDEX('1.Locations'!$I$2:$I$97,$AP$40 + 1)," ")</f>
        <v xml:space="preserve"> </v>
      </c>
      <c r="BA40" s="24">
        <v>35</v>
      </c>
      <c r="BB40" s="25"/>
      <c r="BC40" s="43" t="str">
        <f ca="1">IFERROR(MATCH(INDIRECT("$BB$40"),'1.Locations'!$B$2:$B$97, 0) - 1," ")</f>
        <v xml:space="preserve"> </v>
      </c>
      <c r="BD40" s="43" t="e">
        <f ca="1">IFERROR(IF(ISNUMBER($BC$40),INDEX('1.Locations'!$D$2:$D$97,$BC$40 + 1),NA()),NA())</f>
        <v>#N/A</v>
      </c>
      <c r="BE40" s="43" t="e">
        <f ca="1">IFERROR(IF(ISNUMBER($BC$40),INDEX('1.Locations'!$E$2:$E$97,$BC$40 + 1),NA()),NA())</f>
        <v>#N/A</v>
      </c>
      <c r="BF40" s="44" t="str">
        <f ca="1">IFERROR(IF(AND(ISNUMBER($BC$40),$BC$40&lt;=95),INDEX('2.Distances'!$C$2:$C$9218,$BC$39*96+$BC$40+ 1) +$BF$39," ")," ")</f>
        <v xml:space="preserve"> </v>
      </c>
      <c r="BG40" s="43" t="str">
        <f ca="1">IFERROR(IF(ISNUMBER($BC$40),INDEX('1.Locations'!$J$2:$J$97,$BC$40 + 1) +$BG$39," ")," ")</f>
        <v xml:space="preserve"> </v>
      </c>
      <c r="BH40" s="43" t="str">
        <f ca="1">IFERROR(IF(ISNUMBER($BC$40),INDEX('1.Locations'!$K$2:$K$97,$BC$40 + 1) +$BH$39," ")," ")</f>
        <v xml:space="preserve"> </v>
      </c>
      <c r="BI40" s="45" t="str">
        <f ca="1">IFERROR(IF(AND(ISNUMBER($BC$40),$BC$40&lt;=95),INDEX('2.Distances'!$D$2:$D$9218,$BC$39*96+$BC$40+ 1) +$BI$39," ")," ")</f>
        <v xml:space="preserve"> </v>
      </c>
      <c r="BJ40" s="46" t="str">
        <f ca="1">IFERROR(IF(AND(ISNUMBER($BC$40),$BC$40&lt;=95),INDEX('2.Distances'!$D$2:$D$9218,$BC$39*96+$BC$40+ 1) +$BK$39," ")," ")</f>
        <v xml:space="preserve"> </v>
      </c>
      <c r="BK40" s="46" t="str">
        <f ca="1">IFERROR(IF(ISNUMBER($BJ$40),INDEX('1.Locations'!$I$2:$I$97,$BC$40 + 1) + MAX($BJ$40,INDEX('1.Locations'!$F$2:$F$97,$BC$40 + 1))," ")," ")</f>
        <v xml:space="preserve"> </v>
      </c>
      <c r="BL40" s="45" t="str">
        <f ca="1">IFERROR($BL$39 + INDEX('2.Distances'!$D$2:$D$9218,$BC$39*96+$BC$40+ 1) + INDEX('1.Locations'!$I$2:$I$97,$BC$40 + 1)," ")</f>
        <v xml:space="preserve"> </v>
      </c>
      <c r="BN40" s="24">
        <v>35</v>
      </c>
      <c r="BO40" s="25"/>
      <c r="BP40" s="43" t="str">
        <f ca="1">IFERROR(MATCH(INDIRECT("$BO$40"),'1.Locations'!$B$2:$B$97, 0) - 1," ")</f>
        <v xml:space="preserve"> </v>
      </c>
      <c r="BQ40" s="43" t="e">
        <f ca="1">IFERROR(IF(ISNUMBER($BP$40),INDEX('1.Locations'!$D$2:$D$97,$BP$40 + 1),NA()),NA())</f>
        <v>#N/A</v>
      </c>
      <c r="BR40" s="43" t="e">
        <f ca="1">IFERROR(IF(ISNUMBER($BP$40),INDEX('1.Locations'!$E$2:$E$97,$BP$40 + 1),NA()),NA())</f>
        <v>#N/A</v>
      </c>
      <c r="BS40" s="44" t="str">
        <f ca="1">IFERROR(IF(AND(ISNUMBER($BP$40),$BP$40&lt;=95),INDEX('2.Distances'!$C$2:$C$9218,$BP$39*96+$BP$40+ 1) +$BS$39," ")," ")</f>
        <v xml:space="preserve"> </v>
      </c>
      <c r="BT40" s="43" t="str">
        <f ca="1">IFERROR(IF(ISNUMBER($BP$40),INDEX('1.Locations'!$J$2:$J$97,$BP$40 + 1) +$BT$39," ")," ")</f>
        <v xml:space="preserve"> </v>
      </c>
      <c r="BU40" s="43" t="str">
        <f ca="1">IFERROR(IF(ISNUMBER($BP$40),INDEX('1.Locations'!$K$2:$K$97,$BP$40 + 1) +$BU$39," ")," ")</f>
        <v xml:space="preserve"> </v>
      </c>
      <c r="BV40" s="45" t="str">
        <f ca="1">IFERROR(IF(AND(ISNUMBER($BP$40),$BP$40&lt;=95),INDEX('2.Distances'!$D$2:$D$9218,$BP$39*96+$BP$40+ 1) +$BV$39," ")," ")</f>
        <v xml:space="preserve"> </v>
      </c>
      <c r="BW40" s="46" t="str">
        <f ca="1">IFERROR(IF(AND(ISNUMBER($BP$40),$BP$40&lt;=95),INDEX('2.Distances'!$D$2:$D$9218,$BP$39*96+$BP$40+ 1) +$BX$39," ")," ")</f>
        <v xml:space="preserve"> </v>
      </c>
      <c r="BX40" s="46" t="str">
        <f ca="1">IFERROR(IF(ISNUMBER($BW$40),INDEX('1.Locations'!$I$2:$I$97,$BP$40 + 1) + MAX($BW$40,INDEX('1.Locations'!$F$2:$F$97,$BP$40 + 1))," ")," ")</f>
        <v xml:space="preserve"> </v>
      </c>
      <c r="BY40" s="45" t="str">
        <f ca="1">IFERROR($BY$39 + INDEX('2.Distances'!$D$2:$D$9218,$BP$39*96+$BP$40+ 1) + INDEX('1.Locations'!$I$2:$I$97,$BP$40 + 1)," ")</f>
        <v xml:space="preserve"> </v>
      </c>
      <c r="CA40" s="24">
        <v>35</v>
      </c>
      <c r="CB40" s="25"/>
      <c r="CC40" s="43" t="str">
        <f ca="1">IFERROR(MATCH(INDIRECT("$CB$40"),'1.Locations'!$B$2:$B$97, 0) - 1," ")</f>
        <v xml:space="preserve"> </v>
      </c>
      <c r="CD40" s="43" t="e">
        <f ca="1">IFERROR(IF(ISNUMBER($CC$40),INDEX('1.Locations'!$D$2:$D$97,$CC$40 + 1),NA()),NA())</f>
        <v>#N/A</v>
      </c>
      <c r="CE40" s="43" t="e">
        <f ca="1">IFERROR(IF(ISNUMBER($CC$40),INDEX('1.Locations'!$E$2:$E$97,$CC$40 + 1),NA()),NA())</f>
        <v>#N/A</v>
      </c>
      <c r="CF40" s="44" t="str">
        <f ca="1">IFERROR(IF(AND(ISNUMBER($CC$40),$CC$40&lt;=95),INDEX('2.Distances'!$C$2:$C$9218,$CC$39*96+$CC$40+ 1) +$CF$39," ")," ")</f>
        <v xml:space="preserve"> </v>
      </c>
      <c r="CG40" s="43" t="str">
        <f ca="1">IFERROR(IF(ISNUMBER($CC$40),INDEX('1.Locations'!$J$2:$J$97,$CC$40 + 1) +$CG$39," ")," ")</f>
        <v xml:space="preserve"> </v>
      </c>
      <c r="CH40" s="43" t="str">
        <f ca="1">IFERROR(IF(ISNUMBER($CC$40),INDEX('1.Locations'!$K$2:$K$97,$CC$40 + 1) +$CH$39," ")," ")</f>
        <v xml:space="preserve"> </v>
      </c>
      <c r="CI40" s="45" t="str">
        <f ca="1">IFERROR(IF(AND(ISNUMBER($CC$40),$CC$40&lt;=95),INDEX('2.Distances'!$D$2:$D$9218,$CC$39*96+$CC$40+ 1) +$CI$39," ")," ")</f>
        <v xml:space="preserve"> </v>
      </c>
      <c r="CJ40" s="46" t="str">
        <f ca="1">IFERROR(IF(AND(ISNUMBER($CC$40),$CC$40&lt;=95),INDEX('2.Distances'!$D$2:$D$9218,$CC$39*96+$CC$40+ 1) +$CK$39," ")," ")</f>
        <v xml:space="preserve"> </v>
      </c>
      <c r="CK40" s="46" t="str">
        <f ca="1">IFERROR(IF(ISNUMBER($CJ$40),INDEX('1.Locations'!$I$2:$I$97,$CC$40 + 1) + MAX($CJ$40,INDEX('1.Locations'!$F$2:$F$97,$CC$40 + 1))," ")," ")</f>
        <v xml:space="preserve"> </v>
      </c>
      <c r="CL40" s="45" t="str">
        <f ca="1">IFERROR($CL$39 + INDEX('2.Distances'!$D$2:$D$9218,$CC$39*96+$CC$40+ 1) + INDEX('1.Locations'!$I$2:$I$97,$CC$40 + 1)," ")</f>
        <v xml:space="preserve"> </v>
      </c>
    </row>
    <row r="41" spans="1:90" x14ac:dyDescent="0.25">
      <c r="A41" s="24">
        <v>36</v>
      </c>
      <c r="B41" s="25"/>
      <c r="C41" s="43" t="str">
        <f ca="1">IFERROR(MATCH(INDIRECT("$B$41"),'1.Locations'!$B$2:$B$97, 0) - 1," ")</f>
        <v xml:space="preserve"> </v>
      </c>
      <c r="D41" s="43" t="e">
        <f ca="1">IFERROR(IF(ISNUMBER($C$41),INDEX('1.Locations'!$D$2:$D$97,$C$41 + 1),NA()),NA())</f>
        <v>#N/A</v>
      </c>
      <c r="E41" s="43" t="e">
        <f ca="1">IFERROR(IF(ISNUMBER($C$41),INDEX('1.Locations'!$E$2:$E$97,$C$41 + 1),NA()),NA())</f>
        <v>#N/A</v>
      </c>
      <c r="F41" s="44" t="str">
        <f ca="1">IFERROR(IF(AND(ISNUMBER($C$41),$C$41&lt;=95),INDEX('2.Distances'!$C$2:$C$9218,$C$40*96+$C$41+ 1) +$F$40," ")," ")</f>
        <v xml:space="preserve"> </v>
      </c>
      <c r="G41" s="43" t="str">
        <f ca="1">IFERROR(IF(ISNUMBER($C$41),INDEX('1.Locations'!$J$2:$J$97,$C$41 + 1) +$G$40," ")," ")</f>
        <v xml:space="preserve"> </v>
      </c>
      <c r="H41" s="43" t="str">
        <f ca="1">IFERROR(IF(ISNUMBER($C$41),INDEX('1.Locations'!$K$2:$K$97,$C$41 + 1) +$H$40," ")," ")</f>
        <v xml:space="preserve"> </v>
      </c>
      <c r="I41" s="45" t="str">
        <f ca="1">IFERROR(IF(AND(ISNUMBER($C$41),$C$41&lt;=95),INDEX('2.Distances'!$D$2:$D$9218,$C$40*96+$C$41+ 1) +$I$40," ")," ")</f>
        <v xml:space="preserve"> </v>
      </c>
      <c r="J41" s="46" t="str">
        <f ca="1">IFERROR(IF(AND(ISNUMBER($C$41),$C$41&lt;=95),INDEX('2.Distances'!$D$2:$D$9218,$C$40*96+$C$41+ 1) +$K$40," ")," ")</f>
        <v xml:space="preserve"> </v>
      </c>
      <c r="K41" s="46" t="str">
        <f ca="1">IFERROR(IF(ISNUMBER($J$41),INDEX('1.Locations'!$I$2:$I$97,$C$41 + 1) + MAX($J$41,INDEX('1.Locations'!$F$2:$F$97,$C$41 + 1))," ")," ")</f>
        <v xml:space="preserve"> </v>
      </c>
      <c r="L41" s="45" t="str">
        <f ca="1">IFERROR($L$40 + INDEX('2.Distances'!$D$2:$D$9218,$C$40*96+$C$41+ 1) + INDEX('1.Locations'!$I$2:$I$97,$C$41 + 1)," ")</f>
        <v xml:space="preserve"> </v>
      </c>
      <c r="N41" s="24">
        <v>36</v>
      </c>
      <c r="O41" s="25"/>
      <c r="P41" s="43" t="str">
        <f ca="1">IFERROR(MATCH(INDIRECT("$O$41"),'1.Locations'!$B$2:$B$97, 0) - 1," ")</f>
        <v xml:space="preserve"> </v>
      </c>
      <c r="Q41" s="43" t="e">
        <f ca="1">IFERROR(IF(ISNUMBER($P$41),INDEX('1.Locations'!$D$2:$D$97,$P$41 + 1),NA()),NA())</f>
        <v>#N/A</v>
      </c>
      <c r="R41" s="43" t="e">
        <f ca="1">IFERROR(IF(ISNUMBER($P$41),INDEX('1.Locations'!$E$2:$E$97,$P$41 + 1),NA()),NA())</f>
        <v>#N/A</v>
      </c>
      <c r="S41" s="44" t="str">
        <f ca="1">IFERROR(IF(AND(ISNUMBER($P$41),$P$41&lt;=95),INDEX('2.Distances'!$C$2:$C$9218,$P$40*96+$P$41+ 1) +$S$40," ")," ")</f>
        <v xml:space="preserve"> </v>
      </c>
      <c r="T41" s="43" t="str">
        <f ca="1">IFERROR(IF(ISNUMBER($P$41),INDEX('1.Locations'!$J$2:$J$97,$P$41 + 1) +$T$40," ")," ")</f>
        <v xml:space="preserve"> </v>
      </c>
      <c r="U41" s="43" t="str">
        <f ca="1">IFERROR(IF(ISNUMBER($P$41),INDEX('1.Locations'!$K$2:$K$97,$P$41 + 1) +$U$40," ")," ")</f>
        <v xml:space="preserve"> </v>
      </c>
      <c r="V41" s="45" t="str">
        <f ca="1">IFERROR(IF(AND(ISNUMBER($P$41),$P$41&lt;=95),INDEX('2.Distances'!$D$2:$D$9218,$P$40*96+$P$41+ 1) +$V$40," ")," ")</f>
        <v xml:space="preserve"> </v>
      </c>
      <c r="W41" s="46" t="str">
        <f ca="1">IFERROR(IF(AND(ISNUMBER($P$41),$P$41&lt;=95),INDEX('2.Distances'!$D$2:$D$9218,$P$40*96+$P$41+ 1) +$X$40," ")," ")</f>
        <v xml:space="preserve"> </v>
      </c>
      <c r="X41" s="46" t="str">
        <f ca="1">IFERROR(IF(ISNUMBER($W$41),INDEX('1.Locations'!$I$2:$I$97,$P$41 + 1) + MAX($W$41,INDEX('1.Locations'!$F$2:$F$97,$P$41 + 1))," ")," ")</f>
        <v xml:space="preserve"> </v>
      </c>
      <c r="Y41" s="45" t="str">
        <f ca="1">IFERROR($Y$40 + INDEX('2.Distances'!$D$2:$D$9218,$P$40*96+$P$41+ 1) + INDEX('1.Locations'!$I$2:$I$97,$P$41 + 1)," ")</f>
        <v xml:space="preserve"> </v>
      </c>
      <c r="AA41" s="24">
        <v>36</v>
      </c>
      <c r="AB41" s="25"/>
      <c r="AC41" s="43" t="str">
        <f ca="1">IFERROR(MATCH(INDIRECT("$AB$41"),'1.Locations'!$B$2:$B$97, 0) - 1," ")</f>
        <v xml:space="preserve"> </v>
      </c>
      <c r="AD41" s="43" t="e">
        <f ca="1">IFERROR(IF(ISNUMBER($AC$41),INDEX('1.Locations'!$D$2:$D$97,$AC$41 + 1),NA()),NA())</f>
        <v>#N/A</v>
      </c>
      <c r="AE41" s="43" t="e">
        <f ca="1">IFERROR(IF(ISNUMBER($AC$41),INDEX('1.Locations'!$E$2:$E$97,$AC$41 + 1),NA()),NA())</f>
        <v>#N/A</v>
      </c>
      <c r="AF41" s="44" t="str">
        <f ca="1">IFERROR(IF(AND(ISNUMBER($AC$41),$AC$41&lt;=95),INDEX('2.Distances'!$C$2:$C$9218,$AC$40*96+$AC$41+ 1) +$AF$40," ")," ")</f>
        <v xml:space="preserve"> </v>
      </c>
      <c r="AG41" s="43" t="str">
        <f ca="1">IFERROR(IF(ISNUMBER($AC$41),INDEX('1.Locations'!$J$2:$J$97,$AC$41 + 1) +$AG$40," ")," ")</f>
        <v xml:space="preserve"> </v>
      </c>
      <c r="AH41" s="43" t="str">
        <f ca="1">IFERROR(IF(ISNUMBER($AC$41),INDEX('1.Locations'!$K$2:$K$97,$AC$41 + 1) +$AH$40," ")," ")</f>
        <v xml:space="preserve"> </v>
      </c>
      <c r="AI41" s="45" t="str">
        <f ca="1">IFERROR(IF(AND(ISNUMBER($AC$41),$AC$41&lt;=95),INDEX('2.Distances'!$D$2:$D$9218,$AC$40*96+$AC$41+ 1) +$AI$40," ")," ")</f>
        <v xml:space="preserve"> </v>
      </c>
      <c r="AJ41" s="46" t="str">
        <f ca="1">IFERROR(IF(AND(ISNUMBER($AC$41),$AC$41&lt;=95),INDEX('2.Distances'!$D$2:$D$9218,$AC$40*96+$AC$41+ 1) +$AK$40," ")," ")</f>
        <v xml:space="preserve"> </v>
      </c>
      <c r="AK41" s="46" t="str">
        <f ca="1">IFERROR(IF(ISNUMBER($AJ$41),INDEX('1.Locations'!$I$2:$I$97,$AC$41 + 1) + MAX($AJ$41,INDEX('1.Locations'!$F$2:$F$97,$AC$41 + 1))," ")," ")</f>
        <v xml:space="preserve"> </v>
      </c>
      <c r="AL41" s="45" t="str">
        <f ca="1">IFERROR($AL$40 + INDEX('2.Distances'!$D$2:$D$9218,$AC$40*96+$AC$41+ 1) + INDEX('1.Locations'!$I$2:$I$97,$AC$41 + 1)," ")</f>
        <v xml:space="preserve"> </v>
      </c>
      <c r="AN41" s="24">
        <v>36</v>
      </c>
      <c r="AO41" s="25"/>
      <c r="AP41" s="43" t="str">
        <f ca="1">IFERROR(MATCH(INDIRECT("$AO$41"),'1.Locations'!$B$2:$B$97, 0) - 1," ")</f>
        <v xml:space="preserve"> </v>
      </c>
      <c r="AQ41" s="43" t="e">
        <f ca="1">IFERROR(IF(ISNUMBER($AP$41),INDEX('1.Locations'!$D$2:$D$97,$AP$41 + 1),NA()),NA())</f>
        <v>#N/A</v>
      </c>
      <c r="AR41" s="43" t="e">
        <f ca="1">IFERROR(IF(ISNUMBER($AP$41),INDEX('1.Locations'!$E$2:$E$97,$AP$41 + 1),NA()),NA())</f>
        <v>#N/A</v>
      </c>
      <c r="AS41" s="44" t="str">
        <f ca="1">IFERROR(IF(AND(ISNUMBER($AP$41),$AP$41&lt;=95),INDEX('2.Distances'!$C$2:$C$9218,$AP$40*96+$AP$41+ 1) +$AS$40," ")," ")</f>
        <v xml:space="preserve"> </v>
      </c>
      <c r="AT41" s="43" t="str">
        <f ca="1">IFERROR(IF(ISNUMBER($AP$41),INDEX('1.Locations'!$J$2:$J$97,$AP$41 + 1) +$AT$40," ")," ")</f>
        <v xml:space="preserve"> </v>
      </c>
      <c r="AU41" s="43" t="str">
        <f ca="1">IFERROR(IF(ISNUMBER($AP$41),INDEX('1.Locations'!$K$2:$K$97,$AP$41 + 1) +$AU$40," ")," ")</f>
        <v xml:space="preserve"> </v>
      </c>
      <c r="AV41" s="45" t="str">
        <f ca="1">IFERROR(IF(AND(ISNUMBER($AP$41),$AP$41&lt;=95),INDEX('2.Distances'!$D$2:$D$9218,$AP$40*96+$AP$41+ 1) +$AV$40," ")," ")</f>
        <v xml:space="preserve"> </v>
      </c>
      <c r="AW41" s="46" t="str">
        <f ca="1">IFERROR(IF(AND(ISNUMBER($AP$41),$AP$41&lt;=95),INDEX('2.Distances'!$D$2:$D$9218,$AP$40*96+$AP$41+ 1) +$AX$40," ")," ")</f>
        <v xml:space="preserve"> </v>
      </c>
      <c r="AX41" s="46" t="str">
        <f ca="1">IFERROR(IF(ISNUMBER($AW$41),INDEX('1.Locations'!$I$2:$I$97,$AP$41 + 1) + MAX($AW$41,INDEX('1.Locations'!$F$2:$F$97,$AP$41 + 1))," ")," ")</f>
        <v xml:space="preserve"> </v>
      </c>
      <c r="AY41" s="45" t="str">
        <f ca="1">IFERROR($AY$40 + INDEX('2.Distances'!$D$2:$D$9218,$AP$40*96+$AP$41+ 1) + INDEX('1.Locations'!$I$2:$I$97,$AP$41 + 1)," ")</f>
        <v xml:space="preserve"> </v>
      </c>
      <c r="BA41" s="24">
        <v>36</v>
      </c>
      <c r="BB41" s="25"/>
      <c r="BC41" s="43" t="str">
        <f ca="1">IFERROR(MATCH(INDIRECT("$BB$41"),'1.Locations'!$B$2:$B$97, 0) - 1," ")</f>
        <v xml:space="preserve"> </v>
      </c>
      <c r="BD41" s="43" t="e">
        <f ca="1">IFERROR(IF(ISNUMBER($BC$41),INDEX('1.Locations'!$D$2:$D$97,$BC$41 + 1),NA()),NA())</f>
        <v>#N/A</v>
      </c>
      <c r="BE41" s="43" t="e">
        <f ca="1">IFERROR(IF(ISNUMBER($BC$41),INDEX('1.Locations'!$E$2:$E$97,$BC$41 + 1),NA()),NA())</f>
        <v>#N/A</v>
      </c>
      <c r="BF41" s="44" t="str">
        <f ca="1">IFERROR(IF(AND(ISNUMBER($BC$41),$BC$41&lt;=95),INDEX('2.Distances'!$C$2:$C$9218,$BC$40*96+$BC$41+ 1) +$BF$40," ")," ")</f>
        <v xml:space="preserve"> </v>
      </c>
      <c r="BG41" s="43" t="str">
        <f ca="1">IFERROR(IF(ISNUMBER($BC$41),INDEX('1.Locations'!$J$2:$J$97,$BC$41 + 1) +$BG$40," ")," ")</f>
        <v xml:space="preserve"> </v>
      </c>
      <c r="BH41" s="43" t="str">
        <f ca="1">IFERROR(IF(ISNUMBER($BC$41),INDEX('1.Locations'!$K$2:$K$97,$BC$41 + 1) +$BH$40," ")," ")</f>
        <v xml:space="preserve"> </v>
      </c>
      <c r="BI41" s="45" t="str">
        <f ca="1">IFERROR(IF(AND(ISNUMBER($BC$41),$BC$41&lt;=95),INDEX('2.Distances'!$D$2:$D$9218,$BC$40*96+$BC$41+ 1) +$BI$40," ")," ")</f>
        <v xml:space="preserve"> </v>
      </c>
      <c r="BJ41" s="46" t="str">
        <f ca="1">IFERROR(IF(AND(ISNUMBER($BC$41),$BC$41&lt;=95),INDEX('2.Distances'!$D$2:$D$9218,$BC$40*96+$BC$41+ 1) +$BK$40," ")," ")</f>
        <v xml:space="preserve"> </v>
      </c>
      <c r="BK41" s="46" t="str">
        <f ca="1">IFERROR(IF(ISNUMBER($BJ$41),INDEX('1.Locations'!$I$2:$I$97,$BC$41 + 1) + MAX($BJ$41,INDEX('1.Locations'!$F$2:$F$97,$BC$41 + 1))," ")," ")</f>
        <v xml:space="preserve"> </v>
      </c>
      <c r="BL41" s="45" t="str">
        <f ca="1">IFERROR($BL$40 + INDEX('2.Distances'!$D$2:$D$9218,$BC$40*96+$BC$41+ 1) + INDEX('1.Locations'!$I$2:$I$97,$BC$41 + 1)," ")</f>
        <v xml:space="preserve"> </v>
      </c>
      <c r="BN41" s="24">
        <v>36</v>
      </c>
      <c r="BO41" s="25"/>
      <c r="BP41" s="43" t="str">
        <f ca="1">IFERROR(MATCH(INDIRECT("$BO$41"),'1.Locations'!$B$2:$B$97, 0) - 1," ")</f>
        <v xml:space="preserve"> </v>
      </c>
      <c r="BQ41" s="43" t="e">
        <f ca="1">IFERROR(IF(ISNUMBER($BP$41),INDEX('1.Locations'!$D$2:$D$97,$BP$41 + 1),NA()),NA())</f>
        <v>#N/A</v>
      </c>
      <c r="BR41" s="43" t="e">
        <f ca="1">IFERROR(IF(ISNUMBER($BP$41),INDEX('1.Locations'!$E$2:$E$97,$BP$41 + 1),NA()),NA())</f>
        <v>#N/A</v>
      </c>
      <c r="BS41" s="44" t="str">
        <f ca="1">IFERROR(IF(AND(ISNUMBER($BP$41),$BP$41&lt;=95),INDEX('2.Distances'!$C$2:$C$9218,$BP$40*96+$BP$41+ 1) +$BS$40," ")," ")</f>
        <v xml:space="preserve"> </v>
      </c>
      <c r="BT41" s="43" t="str">
        <f ca="1">IFERROR(IF(ISNUMBER($BP$41),INDEX('1.Locations'!$J$2:$J$97,$BP$41 + 1) +$BT$40," ")," ")</f>
        <v xml:space="preserve"> </v>
      </c>
      <c r="BU41" s="43" t="str">
        <f ca="1">IFERROR(IF(ISNUMBER($BP$41),INDEX('1.Locations'!$K$2:$K$97,$BP$41 + 1) +$BU$40," ")," ")</f>
        <v xml:space="preserve"> </v>
      </c>
      <c r="BV41" s="45" t="str">
        <f ca="1">IFERROR(IF(AND(ISNUMBER($BP$41),$BP$41&lt;=95),INDEX('2.Distances'!$D$2:$D$9218,$BP$40*96+$BP$41+ 1) +$BV$40," ")," ")</f>
        <v xml:space="preserve"> </v>
      </c>
      <c r="BW41" s="46" t="str">
        <f ca="1">IFERROR(IF(AND(ISNUMBER($BP$41),$BP$41&lt;=95),INDEX('2.Distances'!$D$2:$D$9218,$BP$40*96+$BP$41+ 1) +$BX$40," ")," ")</f>
        <v xml:space="preserve"> </v>
      </c>
      <c r="BX41" s="46" t="str">
        <f ca="1">IFERROR(IF(ISNUMBER($BW$41),INDEX('1.Locations'!$I$2:$I$97,$BP$41 + 1) + MAX($BW$41,INDEX('1.Locations'!$F$2:$F$97,$BP$41 + 1))," ")," ")</f>
        <v xml:space="preserve"> </v>
      </c>
      <c r="BY41" s="45" t="str">
        <f ca="1">IFERROR($BY$40 + INDEX('2.Distances'!$D$2:$D$9218,$BP$40*96+$BP$41+ 1) + INDEX('1.Locations'!$I$2:$I$97,$BP$41 + 1)," ")</f>
        <v xml:space="preserve"> </v>
      </c>
      <c r="CA41" s="24">
        <v>36</v>
      </c>
      <c r="CB41" s="25"/>
      <c r="CC41" s="43" t="str">
        <f ca="1">IFERROR(MATCH(INDIRECT("$CB$41"),'1.Locations'!$B$2:$B$97, 0) - 1," ")</f>
        <v xml:space="preserve"> </v>
      </c>
      <c r="CD41" s="43" t="e">
        <f ca="1">IFERROR(IF(ISNUMBER($CC$41),INDEX('1.Locations'!$D$2:$D$97,$CC$41 + 1),NA()),NA())</f>
        <v>#N/A</v>
      </c>
      <c r="CE41" s="43" t="e">
        <f ca="1">IFERROR(IF(ISNUMBER($CC$41),INDEX('1.Locations'!$E$2:$E$97,$CC$41 + 1),NA()),NA())</f>
        <v>#N/A</v>
      </c>
      <c r="CF41" s="44" t="str">
        <f ca="1">IFERROR(IF(AND(ISNUMBER($CC$41),$CC$41&lt;=95),INDEX('2.Distances'!$C$2:$C$9218,$CC$40*96+$CC$41+ 1) +$CF$40," ")," ")</f>
        <v xml:space="preserve"> </v>
      </c>
      <c r="CG41" s="43" t="str">
        <f ca="1">IFERROR(IF(ISNUMBER($CC$41),INDEX('1.Locations'!$J$2:$J$97,$CC$41 + 1) +$CG$40," ")," ")</f>
        <v xml:space="preserve"> </v>
      </c>
      <c r="CH41" s="43" t="str">
        <f ca="1">IFERROR(IF(ISNUMBER($CC$41),INDEX('1.Locations'!$K$2:$K$97,$CC$41 + 1) +$CH$40," ")," ")</f>
        <v xml:space="preserve"> </v>
      </c>
      <c r="CI41" s="45" t="str">
        <f ca="1">IFERROR(IF(AND(ISNUMBER($CC$41),$CC$41&lt;=95),INDEX('2.Distances'!$D$2:$D$9218,$CC$40*96+$CC$41+ 1) +$CI$40," ")," ")</f>
        <v xml:space="preserve"> </v>
      </c>
      <c r="CJ41" s="46" t="str">
        <f ca="1">IFERROR(IF(AND(ISNUMBER($CC$41),$CC$41&lt;=95),INDEX('2.Distances'!$D$2:$D$9218,$CC$40*96+$CC$41+ 1) +$CK$40," ")," ")</f>
        <v xml:space="preserve"> </v>
      </c>
      <c r="CK41" s="46" t="str">
        <f ca="1">IFERROR(IF(ISNUMBER($CJ$41),INDEX('1.Locations'!$I$2:$I$97,$CC$41 + 1) + MAX($CJ$41,INDEX('1.Locations'!$F$2:$F$97,$CC$41 + 1))," ")," ")</f>
        <v xml:space="preserve"> </v>
      </c>
      <c r="CL41" s="45" t="str">
        <f ca="1">IFERROR($CL$40 + INDEX('2.Distances'!$D$2:$D$9218,$CC$40*96+$CC$41+ 1) + INDEX('1.Locations'!$I$2:$I$97,$CC$41 + 1)," ")</f>
        <v xml:space="preserve"> </v>
      </c>
    </row>
    <row r="42" spans="1:90" x14ac:dyDescent="0.25">
      <c r="A42" s="24">
        <v>37</v>
      </c>
      <c r="B42" s="25"/>
      <c r="C42" s="43" t="str">
        <f ca="1">IFERROR(MATCH(INDIRECT("$B$42"),'1.Locations'!$B$2:$B$97, 0) - 1," ")</f>
        <v xml:space="preserve"> </v>
      </c>
      <c r="D42" s="43" t="e">
        <f ca="1">IFERROR(IF(ISNUMBER($C$42),INDEX('1.Locations'!$D$2:$D$97,$C$42 + 1),NA()),NA())</f>
        <v>#N/A</v>
      </c>
      <c r="E42" s="43" t="e">
        <f ca="1">IFERROR(IF(ISNUMBER($C$42),INDEX('1.Locations'!$E$2:$E$97,$C$42 + 1),NA()),NA())</f>
        <v>#N/A</v>
      </c>
      <c r="F42" s="44" t="str">
        <f ca="1">IFERROR(IF(AND(ISNUMBER($C$42),$C$42&lt;=95),INDEX('2.Distances'!$C$2:$C$9218,$C$41*96+$C$42+ 1) +$F$41," ")," ")</f>
        <v xml:space="preserve"> </v>
      </c>
      <c r="G42" s="43" t="str">
        <f ca="1">IFERROR(IF(ISNUMBER($C$42),INDEX('1.Locations'!$J$2:$J$97,$C$42 + 1) +$G$41," ")," ")</f>
        <v xml:space="preserve"> </v>
      </c>
      <c r="H42" s="43" t="str">
        <f ca="1">IFERROR(IF(ISNUMBER($C$42),INDEX('1.Locations'!$K$2:$K$97,$C$42 + 1) +$H$41," ")," ")</f>
        <v xml:space="preserve"> </v>
      </c>
      <c r="I42" s="45" t="str">
        <f ca="1">IFERROR(IF(AND(ISNUMBER($C$42),$C$42&lt;=95),INDEX('2.Distances'!$D$2:$D$9218,$C$41*96+$C$42+ 1) +$I$41," ")," ")</f>
        <v xml:space="preserve"> </v>
      </c>
      <c r="J42" s="46" t="str">
        <f ca="1">IFERROR(IF(AND(ISNUMBER($C$42),$C$42&lt;=95),INDEX('2.Distances'!$D$2:$D$9218,$C$41*96+$C$42+ 1) +$K$41," ")," ")</f>
        <v xml:space="preserve"> </v>
      </c>
      <c r="K42" s="46" t="str">
        <f ca="1">IFERROR(IF(ISNUMBER($J$42),INDEX('1.Locations'!$I$2:$I$97,$C$42 + 1) + MAX($J$42,INDEX('1.Locations'!$F$2:$F$97,$C$42 + 1))," ")," ")</f>
        <v xml:space="preserve"> </v>
      </c>
      <c r="L42" s="45" t="str">
        <f ca="1">IFERROR($L$41 + INDEX('2.Distances'!$D$2:$D$9218,$C$41*96+$C$42+ 1) + INDEX('1.Locations'!$I$2:$I$97,$C$42 + 1)," ")</f>
        <v xml:space="preserve"> </v>
      </c>
      <c r="N42" s="24">
        <v>37</v>
      </c>
      <c r="O42" s="25"/>
      <c r="P42" s="43" t="str">
        <f ca="1">IFERROR(MATCH(INDIRECT("$O$42"),'1.Locations'!$B$2:$B$97, 0) - 1," ")</f>
        <v xml:space="preserve"> </v>
      </c>
      <c r="Q42" s="43" t="e">
        <f ca="1">IFERROR(IF(ISNUMBER($P$42),INDEX('1.Locations'!$D$2:$D$97,$P$42 + 1),NA()),NA())</f>
        <v>#N/A</v>
      </c>
      <c r="R42" s="43" t="e">
        <f ca="1">IFERROR(IF(ISNUMBER($P$42),INDEX('1.Locations'!$E$2:$E$97,$P$42 + 1),NA()),NA())</f>
        <v>#N/A</v>
      </c>
      <c r="S42" s="44" t="str">
        <f ca="1">IFERROR(IF(AND(ISNUMBER($P$42),$P$42&lt;=95),INDEX('2.Distances'!$C$2:$C$9218,$P$41*96+$P$42+ 1) +$S$41," ")," ")</f>
        <v xml:space="preserve"> </v>
      </c>
      <c r="T42" s="43" t="str">
        <f ca="1">IFERROR(IF(ISNUMBER($P$42),INDEX('1.Locations'!$J$2:$J$97,$P$42 + 1) +$T$41," ")," ")</f>
        <v xml:space="preserve"> </v>
      </c>
      <c r="U42" s="43" t="str">
        <f ca="1">IFERROR(IF(ISNUMBER($P$42),INDEX('1.Locations'!$K$2:$K$97,$P$42 + 1) +$U$41," ")," ")</f>
        <v xml:space="preserve"> </v>
      </c>
      <c r="V42" s="45" t="str">
        <f ca="1">IFERROR(IF(AND(ISNUMBER($P$42),$P$42&lt;=95),INDEX('2.Distances'!$D$2:$D$9218,$P$41*96+$P$42+ 1) +$V$41," ")," ")</f>
        <v xml:space="preserve"> </v>
      </c>
      <c r="W42" s="46" t="str">
        <f ca="1">IFERROR(IF(AND(ISNUMBER($P$42),$P$42&lt;=95),INDEX('2.Distances'!$D$2:$D$9218,$P$41*96+$P$42+ 1) +$X$41," ")," ")</f>
        <v xml:space="preserve"> </v>
      </c>
      <c r="X42" s="46" t="str">
        <f ca="1">IFERROR(IF(ISNUMBER($W$42),INDEX('1.Locations'!$I$2:$I$97,$P$42 + 1) + MAX($W$42,INDEX('1.Locations'!$F$2:$F$97,$P$42 + 1))," ")," ")</f>
        <v xml:space="preserve"> </v>
      </c>
      <c r="Y42" s="45" t="str">
        <f ca="1">IFERROR($Y$41 + INDEX('2.Distances'!$D$2:$D$9218,$P$41*96+$P$42+ 1) + INDEX('1.Locations'!$I$2:$I$97,$P$42 + 1)," ")</f>
        <v xml:space="preserve"> </v>
      </c>
      <c r="AA42" s="24">
        <v>37</v>
      </c>
      <c r="AB42" s="25"/>
      <c r="AC42" s="43" t="str">
        <f ca="1">IFERROR(MATCH(INDIRECT("$AB$42"),'1.Locations'!$B$2:$B$97, 0) - 1," ")</f>
        <v xml:space="preserve"> </v>
      </c>
      <c r="AD42" s="43" t="e">
        <f ca="1">IFERROR(IF(ISNUMBER($AC$42),INDEX('1.Locations'!$D$2:$D$97,$AC$42 + 1),NA()),NA())</f>
        <v>#N/A</v>
      </c>
      <c r="AE42" s="43" t="e">
        <f ca="1">IFERROR(IF(ISNUMBER($AC$42),INDEX('1.Locations'!$E$2:$E$97,$AC$42 + 1),NA()),NA())</f>
        <v>#N/A</v>
      </c>
      <c r="AF42" s="44" t="str">
        <f ca="1">IFERROR(IF(AND(ISNUMBER($AC$42),$AC$42&lt;=95),INDEX('2.Distances'!$C$2:$C$9218,$AC$41*96+$AC$42+ 1) +$AF$41," ")," ")</f>
        <v xml:space="preserve"> </v>
      </c>
      <c r="AG42" s="43" t="str">
        <f ca="1">IFERROR(IF(ISNUMBER($AC$42),INDEX('1.Locations'!$J$2:$J$97,$AC$42 + 1) +$AG$41," ")," ")</f>
        <v xml:space="preserve"> </v>
      </c>
      <c r="AH42" s="43" t="str">
        <f ca="1">IFERROR(IF(ISNUMBER($AC$42),INDEX('1.Locations'!$K$2:$K$97,$AC$42 + 1) +$AH$41," ")," ")</f>
        <v xml:space="preserve"> </v>
      </c>
      <c r="AI42" s="45" t="str">
        <f ca="1">IFERROR(IF(AND(ISNUMBER($AC$42),$AC$42&lt;=95),INDEX('2.Distances'!$D$2:$D$9218,$AC$41*96+$AC$42+ 1) +$AI$41," ")," ")</f>
        <v xml:space="preserve"> </v>
      </c>
      <c r="AJ42" s="46" t="str">
        <f ca="1">IFERROR(IF(AND(ISNUMBER($AC$42),$AC$42&lt;=95),INDEX('2.Distances'!$D$2:$D$9218,$AC$41*96+$AC$42+ 1) +$AK$41," ")," ")</f>
        <v xml:space="preserve"> </v>
      </c>
      <c r="AK42" s="46" t="str">
        <f ca="1">IFERROR(IF(ISNUMBER($AJ$42),INDEX('1.Locations'!$I$2:$I$97,$AC$42 + 1) + MAX($AJ$42,INDEX('1.Locations'!$F$2:$F$97,$AC$42 + 1))," ")," ")</f>
        <v xml:space="preserve"> </v>
      </c>
      <c r="AL42" s="45" t="str">
        <f ca="1">IFERROR($AL$41 + INDEX('2.Distances'!$D$2:$D$9218,$AC$41*96+$AC$42+ 1) + INDEX('1.Locations'!$I$2:$I$97,$AC$42 + 1)," ")</f>
        <v xml:space="preserve"> </v>
      </c>
      <c r="AN42" s="24">
        <v>37</v>
      </c>
      <c r="AO42" s="25"/>
      <c r="AP42" s="43" t="str">
        <f ca="1">IFERROR(MATCH(INDIRECT("$AO$42"),'1.Locations'!$B$2:$B$97, 0) - 1," ")</f>
        <v xml:space="preserve"> </v>
      </c>
      <c r="AQ42" s="43" t="e">
        <f ca="1">IFERROR(IF(ISNUMBER($AP$42),INDEX('1.Locations'!$D$2:$D$97,$AP$42 + 1),NA()),NA())</f>
        <v>#N/A</v>
      </c>
      <c r="AR42" s="43" t="e">
        <f ca="1">IFERROR(IF(ISNUMBER($AP$42),INDEX('1.Locations'!$E$2:$E$97,$AP$42 + 1),NA()),NA())</f>
        <v>#N/A</v>
      </c>
      <c r="AS42" s="44" t="str">
        <f ca="1">IFERROR(IF(AND(ISNUMBER($AP$42),$AP$42&lt;=95),INDEX('2.Distances'!$C$2:$C$9218,$AP$41*96+$AP$42+ 1) +$AS$41," ")," ")</f>
        <v xml:space="preserve"> </v>
      </c>
      <c r="AT42" s="43" t="str">
        <f ca="1">IFERROR(IF(ISNUMBER($AP$42),INDEX('1.Locations'!$J$2:$J$97,$AP$42 + 1) +$AT$41," ")," ")</f>
        <v xml:space="preserve"> </v>
      </c>
      <c r="AU42" s="43" t="str">
        <f ca="1">IFERROR(IF(ISNUMBER($AP$42),INDEX('1.Locations'!$K$2:$K$97,$AP$42 + 1) +$AU$41," ")," ")</f>
        <v xml:space="preserve"> </v>
      </c>
      <c r="AV42" s="45" t="str">
        <f ca="1">IFERROR(IF(AND(ISNUMBER($AP$42),$AP$42&lt;=95),INDEX('2.Distances'!$D$2:$D$9218,$AP$41*96+$AP$42+ 1) +$AV$41," ")," ")</f>
        <v xml:space="preserve"> </v>
      </c>
      <c r="AW42" s="46" t="str">
        <f ca="1">IFERROR(IF(AND(ISNUMBER($AP$42),$AP$42&lt;=95),INDEX('2.Distances'!$D$2:$D$9218,$AP$41*96+$AP$42+ 1) +$AX$41," ")," ")</f>
        <v xml:space="preserve"> </v>
      </c>
      <c r="AX42" s="46" t="str">
        <f ca="1">IFERROR(IF(ISNUMBER($AW$42),INDEX('1.Locations'!$I$2:$I$97,$AP$42 + 1) + MAX($AW$42,INDEX('1.Locations'!$F$2:$F$97,$AP$42 + 1))," ")," ")</f>
        <v xml:space="preserve"> </v>
      </c>
      <c r="AY42" s="45" t="str">
        <f ca="1">IFERROR($AY$41 + INDEX('2.Distances'!$D$2:$D$9218,$AP$41*96+$AP$42+ 1) + INDEX('1.Locations'!$I$2:$I$97,$AP$42 + 1)," ")</f>
        <v xml:space="preserve"> </v>
      </c>
      <c r="BA42" s="24">
        <v>37</v>
      </c>
      <c r="BB42" s="25"/>
      <c r="BC42" s="43" t="str">
        <f ca="1">IFERROR(MATCH(INDIRECT("$BB$42"),'1.Locations'!$B$2:$B$97, 0) - 1," ")</f>
        <v xml:space="preserve"> </v>
      </c>
      <c r="BD42" s="43" t="e">
        <f ca="1">IFERROR(IF(ISNUMBER($BC$42),INDEX('1.Locations'!$D$2:$D$97,$BC$42 + 1),NA()),NA())</f>
        <v>#N/A</v>
      </c>
      <c r="BE42" s="43" t="e">
        <f ca="1">IFERROR(IF(ISNUMBER($BC$42),INDEX('1.Locations'!$E$2:$E$97,$BC$42 + 1),NA()),NA())</f>
        <v>#N/A</v>
      </c>
      <c r="BF42" s="44" t="str">
        <f ca="1">IFERROR(IF(AND(ISNUMBER($BC$42),$BC$42&lt;=95),INDEX('2.Distances'!$C$2:$C$9218,$BC$41*96+$BC$42+ 1) +$BF$41," ")," ")</f>
        <v xml:space="preserve"> </v>
      </c>
      <c r="BG42" s="43" t="str">
        <f ca="1">IFERROR(IF(ISNUMBER($BC$42),INDEX('1.Locations'!$J$2:$J$97,$BC$42 + 1) +$BG$41," ")," ")</f>
        <v xml:space="preserve"> </v>
      </c>
      <c r="BH42" s="43" t="str">
        <f ca="1">IFERROR(IF(ISNUMBER($BC$42),INDEX('1.Locations'!$K$2:$K$97,$BC$42 + 1) +$BH$41," ")," ")</f>
        <v xml:space="preserve"> </v>
      </c>
      <c r="BI42" s="45" t="str">
        <f ca="1">IFERROR(IF(AND(ISNUMBER($BC$42),$BC$42&lt;=95),INDEX('2.Distances'!$D$2:$D$9218,$BC$41*96+$BC$42+ 1) +$BI$41," ")," ")</f>
        <v xml:space="preserve"> </v>
      </c>
      <c r="BJ42" s="46" t="str">
        <f ca="1">IFERROR(IF(AND(ISNUMBER($BC$42),$BC$42&lt;=95),INDEX('2.Distances'!$D$2:$D$9218,$BC$41*96+$BC$42+ 1) +$BK$41," ")," ")</f>
        <v xml:space="preserve"> </v>
      </c>
      <c r="BK42" s="46" t="str">
        <f ca="1">IFERROR(IF(ISNUMBER($BJ$42),INDEX('1.Locations'!$I$2:$I$97,$BC$42 + 1) + MAX($BJ$42,INDEX('1.Locations'!$F$2:$F$97,$BC$42 + 1))," ")," ")</f>
        <v xml:space="preserve"> </v>
      </c>
      <c r="BL42" s="45" t="str">
        <f ca="1">IFERROR($BL$41 + INDEX('2.Distances'!$D$2:$D$9218,$BC$41*96+$BC$42+ 1) + INDEX('1.Locations'!$I$2:$I$97,$BC$42 + 1)," ")</f>
        <v xml:space="preserve"> </v>
      </c>
      <c r="BN42" s="24">
        <v>37</v>
      </c>
      <c r="BO42" s="25"/>
      <c r="BP42" s="43" t="str">
        <f ca="1">IFERROR(MATCH(INDIRECT("$BO$42"),'1.Locations'!$B$2:$B$97, 0) - 1," ")</f>
        <v xml:space="preserve"> </v>
      </c>
      <c r="BQ42" s="43" t="e">
        <f ca="1">IFERROR(IF(ISNUMBER($BP$42),INDEX('1.Locations'!$D$2:$D$97,$BP$42 + 1),NA()),NA())</f>
        <v>#N/A</v>
      </c>
      <c r="BR42" s="43" t="e">
        <f ca="1">IFERROR(IF(ISNUMBER($BP$42),INDEX('1.Locations'!$E$2:$E$97,$BP$42 + 1),NA()),NA())</f>
        <v>#N/A</v>
      </c>
      <c r="BS42" s="44" t="str">
        <f ca="1">IFERROR(IF(AND(ISNUMBER($BP$42),$BP$42&lt;=95),INDEX('2.Distances'!$C$2:$C$9218,$BP$41*96+$BP$42+ 1) +$BS$41," ")," ")</f>
        <v xml:space="preserve"> </v>
      </c>
      <c r="BT42" s="43" t="str">
        <f ca="1">IFERROR(IF(ISNUMBER($BP$42),INDEX('1.Locations'!$J$2:$J$97,$BP$42 + 1) +$BT$41," ")," ")</f>
        <v xml:space="preserve"> </v>
      </c>
      <c r="BU42" s="43" t="str">
        <f ca="1">IFERROR(IF(ISNUMBER($BP$42),INDEX('1.Locations'!$K$2:$K$97,$BP$42 + 1) +$BU$41," ")," ")</f>
        <v xml:space="preserve"> </v>
      </c>
      <c r="BV42" s="45" t="str">
        <f ca="1">IFERROR(IF(AND(ISNUMBER($BP$42),$BP$42&lt;=95),INDEX('2.Distances'!$D$2:$D$9218,$BP$41*96+$BP$42+ 1) +$BV$41," ")," ")</f>
        <v xml:space="preserve"> </v>
      </c>
      <c r="BW42" s="46" t="str">
        <f ca="1">IFERROR(IF(AND(ISNUMBER($BP$42),$BP$42&lt;=95),INDEX('2.Distances'!$D$2:$D$9218,$BP$41*96+$BP$42+ 1) +$BX$41," ")," ")</f>
        <v xml:space="preserve"> </v>
      </c>
      <c r="BX42" s="46" t="str">
        <f ca="1">IFERROR(IF(ISNUMBER($BW$42),INDEX('1.Locations'!$I$2:$I$97,$BP$42 + 1) + MAX($BW$42,INDEX('1.Locations'!$F$2:$F$97,$BP$42 + 1))," ")," ")</f>
        <v xml:space="preserve"> </v>
      </c>
      <c r="BY42" s="45" t="str">
        <f ca="1">IFERROR($BY$41 + INDEX('2.Distances'!$D$2:$D$9218,$BP$41*96+$BP$42+ 1) + INDEX('1.Locations'!$I$2:$I$97,$BP$42 + 1)," ")</f>
        <v xml:space="preserve"> </v>
      </c>
      <c r="CA42" s="24">
        <v>37</v>
      </c>
      <c r="CB42" s="25"/>
      <c r="CC42" s="43" t="str">
        <f ca="1">IFERROR(MATCH(INDIRECT("$CB$42"),'1.Locations'!$B$2:$B$97, 0) - 1," ")</f>
        <v xml:space="preserve"> </v>
      </c>
      <c r="CD42" s="43" t="e">
        <f ca="1">IFERROR(IF(ISNUMBER($CC$42),INDEX('1.Locations'!$D$2:$D$97,$CC$42 + 1),NA()),NA())</f>
        <v>#N/A</v>
      </c>
      <c r="CE42" s="43" t="e">
        <f ca="1">IFERROR(IF(ISNUMBER($CC$42),INDEX('1.Locations'!$E$2:$E$97,$CC$42 + 1),NA()),NA())</f>
        <v>#N/A</v>
      </c>
      <c r="CF42" s="44" t="str">
        <f ca="1">IFERROR(IF(AND(ISNUMBER($CC$42),$CC$42&lt;=95),INDEX('2.Distances'!$C$2:$C$9218,$CC$41*96+$CC$42+ 1) +$CF$41," ")," ")</f>
        <v xml:space="preserve"> </v>
      </c>
      <c r="CG42" s="43" t="str">
        <f ca="1">IFERROR(IF(ISNUMBER($CC$42),INDEX('1.Locations'!$J$2:$J$97,$CC$42 + 1) +$CG$41," ")," ")</f>
        <v xml:space="preserve"> </v>
      </c>
      <c r="CH42" s="43" t="str">
        <f ca="1">IFERROR(IF(ISNUMBER($CC$42),INDEX('1.Locations'!$K$2:$K$97,$CC$42 + 1) +$CH$41," ")," ")</f>
        <v xml:space="preserve"> </v>
      </c>
      <c r="CI42" s="45" t="str">
        <f ca="1">IFERROR(IF(AND(ISNUMBER($CC$42),$CC$42&lt;=95),INDEX('2.Distances'!$D$2:$D$9218,$CC$41*96+$CC$42+ 1) +$CI$41," ")," ")</f>
        <v xml:space="preserve"> </v>
      </c>
      <c r="CJ42" s="46" t="str">
        <f ca="1">IFERROR(IF(AND(ISNUMBER($CC$42),$CC$42&lt;=95),INDEX('2.Distances'!$D$2:$D$9218,$CC$41*96+$CC$42+ 1) +$CK$41," ")," ")</f>
        <v xml:space="preserve"> </v>
      </c>
      <c r="CK42" s="46" t="str">
        <f ca="1">IFERROR(IF(ISNUMBER($CJ$42),INDEX('1.Locations'!$I$2:$I$97,$CC$42 + 1) + MAX($CJ$42,INDEX('1.Locations'!$F$2:$F$97,$CC$42 + 1))," ")," ")</f>
        <v xml:space="preserve"> </v>
      </c>
      <c r="CL42" s="45" t="str">
        <f ca="1">IFERROR($CL$41 + INDEX('2.Distances'!$D$2:$D$9218,$CC$41*96+$CC$42+ 1) + INDEX('1.Locations'!$I$2:$I$97,$CC$42 + 1)," ")</f>
        <v xml:space="preserve"> </v>
      </c>
    </row>
    <row r="43" spans="1:90" x14ac:dyDescent="0.25">
      <c r="A43" s="24">
        <v>38</v>
      </c>
      <c r="B43" s="25"/>
      <c r="C43" s="43" t="str">
        <f ca="1">IFERROR(MATCH(INDIRECT("$B$43"),'1.Locations'!$B$2:$B$97, 0) - 1," ")</f>
        <v xml:space="preserve"> </v>
      </c>
      <c r="D43" s="43" t="e">
        <f ca="1">IFERROR(IF(ISNUMBER($C$43),INDEX('1.Locations'!$D$2:$D$97,$C$43 + 1),NA()),NA())</f>
        <v>#N/A</v>
      </c>
      <c r="E43" s="43" t="e">
        <f ca="1">IFERROR(IF(ISNUMBER($C$43),INDEX('1.Locations'!$E$2:$E$97,$C$43 + 1),NA()),NA())</f>
        <v>#N/A</v>
      </c>
      <c r="F43" s="44" t="str">
        <f ca="1">IFERROR(IF(AND(ISNUMBER($C$43),$C$43&lt;=95),INDEX('2.Distances'!$C$2:$C$9218,$C$42*96+$C$43+ 1) +$F$42," ")," ")</f>
        <v xml:space="preserve"> </v>
      </c>
      <c r="G43" s="43" t="str">
        <f ca="1">IFERROR(IF(ISNUMBER($C$43),INDEX('1.Locations'!$J$2:$J$97,$C$43 + 1) +$G$42," ")," ")</f>
        <v xml:space="preserve"> </v>
      </c>
      <c r="H43" s="43" t="str">
        <f ca="1">IFERROR(IF(ISNUMBER($C$43),INDEX('1.Locations'!$K$2:$K$97,$C$43 + 1) +$H$42," ")," ")</f>
        <v xml:space="preserve"> </v>
      </c>
      <c r="I43" s="45" t="str">
        <f ca="1">IFERROR(IF(AND(ISNUMBER($C$43),$C$43&lt;=95),INDEX('2.Distances'!$D$2:$D$9218,$C$42*96+$C$43+ 1) +$I$42," ")," ")</f>
        <v xml:space="preserve"> </v>
      </c>
      <c r="J43" s="46" t="str">
        <f ca="1">IFERROR(IF(AND(ISNUMBER($C$43),$C$43&lt;=95),INDEX('2.Distances'!$D$2:$D$9218,$C$42*96+$C$43+ 1) +$K$42," ")," ")</f>
        <v xml:space="preserve"> </v>
      </c>
      <c r="K43" s="46" t="str">
        <f ca="1">IFERROR(IF(ISNUMBER($J$43),INDEX('1.Locations'!$I$2:$I$97,$C$43 + 1) + MAX($J$43,INDEX('1.Locations'!$F$2:$F$97,$C$43 + 1))," ")," ")</f>
        <v xml:space="preserve"> </v>
      </c>
      <c r="L43" s="45" t="str">
        <f ca="1">IFERROR($L$42 + INDEX('2.Distances'!$D$2:$D$9218,$C$42*96+$C$43+ 1) + INDEX('1.Locations'!$I$2:$I$97,$C$43 + 1)," ")</f>
        <v xml:space="preserve"> </v>
      </c>
      <c r="N43" s="24">
        <v>38</v>
      </c>
      <c r="O43" s="25"/>
      <c r="P43" s="43" t="str">
        <f ca="1">IFERROR(MATCH(INDIRECT("$O$43"),'1.Locations'!$B$2:$B$97, 0) - 1," ")</f>
        <v xml:space="preserve"> </v>
      </c>
      <c r="Q43" s="43" t="e">
        <f ca="1">IFERROR(IF(ISNUMBER($P$43),INDEX('1.Locations'!$D$2:$D$97,$P$43 + 1),NA()),NA())</f>
        <v>#N/A</v>
      </c>
      <c r="R43" s="43" t="e">
        <f ca="1">IFERROR(IF(ISNUMBER($P$43),INDEX('1.Locations'!$E$2:$E$97,$P$43 + 1),NA()),NA())</f>
        <v>#N/A</v>
      </c>
      <c r="S43" s="44" t="str">
        <f ca="1">IFERROR(IF(AND(ISNUMBER($P$43),$P$43&lt;=95),INDEX('2.Distances'!$C$2:$C$9218,$P$42*96+$P$43+ 1) +$S$42," ")," ")</f>
        <v xml:space="preserve"> </v>
      </c>
      <c r="T43" s="43" t="str">
        <f ca="1">IFERROR(IF(ISNUMBER($P$43),INDEX('1.Locations'!$J$2:$J$97,$P$43 + 1) +$T$42," ")," ")</f>
        <v xml:space="preserve"> </v>
      </c>
      <c r="U43" s="43" t="str">
        <f ca="1">IFERROR(IF(ISNUMBER($P$43),INDEX('1.Locations'!$K$2:$K$97,$P$43 + 1) +$U$42," ")," ")</f>
        <v xml:space="preserve"> </v>
      </c>
      <c r="V43" s="45" t="str">
        <f ca="1">IFERROR(IF(AND(ISNUMBER($P$43),$P$43&lt;=95),INDEX('2.Distances'!$D$2:$D$9218,$P$42*96+$P$43+ 1) +$V$42," ")," ")</f>
        <v xml:space="preserve"> </v>
      </c>
      <c r="W43" s="46" t="str">
        <f ca="1">IFERROR(IF(AND(ISNUMBER($P$43),$P$43&lt;=95),INDEX('2.Distances'!$D$2:$D$9218,$P$42*96+$P$43+ 1) +$X$42," ")," ")</f>
        <v xml:space="preserve"> </v>
      </c>
      <c r="X43" s="46" t="str">
        <f ca="1">IFERROR(IF(ISNUMBER($W$43),INDEX('1.Locations'!$I$2:$I$97,$P$43 + 1) + MAX($W$43,INDEX('1.Locations'!$F$2:$F$97,$P$43 + 1))," ")," ")</f>
        <v xml:space="preserve"> </v>
      </c>
      <c r="Y43" s="45" t="str">
        <f ca="1">IFERROR($Y$42 + INDEX('2.Distances'!$D$2:$D$9218,$P$42*96+$P$43+ 1) + INDEX('1.Locations'!$I$2:$I$97,$P$43 + 1)," ")</f>
        <v xml:space="preserve"> </v>
      </c>
      <c r="AA43" s="24">
        <v>38</v>
      </c>
      <c r="AB43" s="25"/>
      <c r="AC43" s="43" t="str">
        <f ca="1">IFERROR(MATCH(INDIRECT("$AB$43"),'1.Locations'!$B$2:$B$97, 0) - 1," ")</f>
        <v xml:space="preserve"> </v>
      </c>
      <c r="AD43" s="43" t="e">
        <f ca="1">IFERROR(IF(ISNUMBER($AC$43),INDEX('1.Locations'!$D$2:$D$97,$AC$43 + 1),NA()),NA())</f>
        <v>#N/A</v>
      </c>
      <c r="AE43" s="43" t="e">
        <f ca="1">IFERROR(IF(ISNUMBER($AC$43),INDEX('1.Locations'!$E$2:$E$97,$AC$43 + 1),NA()),NA())</f>
        <v>#N/A</v>
      </c>
      <c r="AF43" s="44" t="str">
        <f ca="1">IFERROR(IF(AND(ISNUMBER($AC$43),$AC$43&lt;=95),INDEX('2.Distances'!$C$2:$C$9218,$AC$42*96+$AC$43+ 1) +$AF$42," ")," ")</f>
        <v xml:space="preserve"> </v>
      </c>
      <c r="AG43" s="43" t="str">
        <f ca="1">IFERROR(IF(ISNUMBER($AC$43),INDEX('1.Locations'!$J$2:$J$97,$AC$43 + 1) +$AG$42," ")," ")</f>
        <v xml:space="preserve"> </v>
      </c>
      <c r="AH43" s="43" t="str">
        <f ca="1">IFERROR(IF(ISNUMBER($AC$43),INDEX('1.Locations'!$K$2:$K$97,$AC$43 + 1) +$AH$42," ")," ")</f>
        <v xml:space="preserve"> </v>
      </c>
      <c r="AI43" s="45" t="str">
        <f ca="1">IFERROR(IF(AND(ISNUMBER($AC$43),$AC$43&lt;=95),INDEX('2.Distances'!$D$2:$D$9218,$AC$42*96+$AC$43+ 1) +$AI$42," ")," ")</f>
        <v xml:space="preserve"> </v>
      </c>
      <c r="AJ43" s="46" t="str">
        <f ca="1">IFERROR(IF(AND(ISNUMBER($AC$43),$AC$43&lt;=95),INDEX('2.Distances'!$D$2:$D$9218,$AC$42*96+$AC$43+ 1) +$AK$42," ")," ")</f>
        <v xml:space="preserve"> </v>
      </c>
      <c r="AK43" s="46" t="str">
        <f ca="1">IFERROR(IF(ISNUMBER($AJ$43),INDEX('1.Locations'!$I$2:$I$97,$AC$43 + 1) + MAX($AJ$43,INDEX('1.Locations'!$F$2:$F$97,$AC$43 + 1))," ")," ")</f>
        <v xml:space="preserve"> </v>
      </c>
      <c r="AL43" s="45" t="str">
        <f ca="1">IFERROR($AL$42 + INDEX('2.Distances'!$D$2:$D$9218,$AC$42*96+$AC$43+ 1) + INDEX('1.Locations'!$I$2:$I$97,$AC$43 + 1)," ")</f>
        <v xml:space="preserve"> </v>
      </c>
      <c r="AN43" s="24">
        <v>38</v>
      </c>
      <c r="AO43" s="25"/>
      <c r="AP43" s="43" t="str">
        <f ca="1">IFERROR(MATCH(INDIRECT("$AO$43"),'1.Locations'!$B$2:$B$97, 0) - 1," ")</f>
        <v xml:space="preserve"> </v>
      </c>
      <c r="AQ43" s="43" t="e">
        <f ca="1">IFERROR(IF(ISNUMBER($AP$43),INDEX('1.Locations'!$D$2:$D$97,$AP$43 + 1),NA()),NA())</f>
        <v>#N/A</v>
      </c>
      <c r="AR43" s="43" t="e">
        <f ca="1">IFERROR(IF(ISNUMBER($AP$43),INDEX('1.Locations'!$E$2:$E$97,$AP$43 + 1),NA()),NA())</f>
        <v>#N/A</v>
      </c>
      <c r="AS43" s="44" t="str">
        <f ca="1">IFERROR(IF(AND(ISNUMBER($AP$43),$AP$43&lt;=95),INDEX('2.Distances'!$C$2:$C$9218,$AP$42*96+$AP$43+ 1) +$AS$42," ")," ")</f>
        <v xml:space="preserve"> </v>
      </c>
      <c r="AT43" s="43" t="str">
        <f ca="1">IFERROR(IF(ISNUMBER($AP$43),INDEX('1.Locations'!$J$2:$J$97,$AP$43 + 1) +$AT$42," ")," ")</f>
        <v xml:space="preserve"> </v>
      </c>
      <c r="AU43" s="43" t="str">
        <f ca="1">IFERROR(IF(ISNUMBER($AP$43),INDEX('1.Locations'!$K$2:$K$97,$AP$43 + 1) +$AU$42," ")," ")</f>
        <v xml:space="preserve"> </v>
      </c>
      <c r="AV43" s="45" t="str">
        <f ca="1">IFERROR(IF(AND(ISNUMBER($AP$43),$AP$43&lt;=95),INDEX('2.Distances'!$D$2:$D$9218,$AP$42*96+$AP$43+ 1) +$AV$42," ")," ")</f>
        <v xml:space="preserve"> </v>
      </c>
      <c r="AW43" s="46" t="str">
        <f ca="1">IFERROR(IF(AND(ISNUMBER($AP$43),$AP$43&lt;=95),INDEX('2.Distances'!$D$2:$D$9218,$AP$42*96+$AP$43+ 1) +$AX$42," ")," ")</f>
        <v xml:space="preserve"> </v>
      </c>
      <c r="AX43" s="46" t="str">
        <f ca="1">IFERROR(IF(ISNUMBER($AW$43),INDEX('1.Locations'!$I$2:$I$97,$AP$43 + 1) + MAX($AW$43,INDEX('1.Locations'!$F$2:$F$97,$AP$43 + 1))," ")," ")</f>
        <v xml:space="preserve"> </v>
      </c>
      <c r="AY43" s="45" t="str">
        <f ca="1">IFERROR($AY$42 + INDEX('2.Distances'!$D$2:$D$9218,$AP$42*96+$AP$43+ 1) + INDEX('1.Locations'!$I$2:$I$97,$AP$43 + 1)," ")</f>
        <v xml:space="preserve"> </v>
      </c>
      <c r="BA43" s="24">
        <v>38</v>
      </c>
      <c r="BB43" s="25"/>
      <c r="BC43" s="43" t="str">
        <f ca="1">IFERROR(MATCH(INDIRECT("$BB$43"),'1.Locations'!$B$2:$B$97, 0) - 1," ")</f>
        <v xml:space="preserve"> </v>
      </c>
      <c r="BD43" s="43" t="e">
        <f ca="1">IFERROR(IF(ISNUMBER($BC$43),INDEX('1.Locations'!$D$2:$D$97,$BC$43 + 1),NA()),NA())</f>
        <v>#N/A</v>
      </c>
      <c r="BE43" s="43" t="e">
        <f ca="1">IFERROR(IF(ISNUMBER($BC$43),INDEX('1.Locations'!$E$2:$E$97,$BC$43 + 1),NA()),NA())</f>
        <v>#N/A</v>
      </c>
      <c r="BF43" s="44" t="str">
        <f ca="1">IFERROR(IF(AND(ISNUMBER($BC$43),$BC$43&lt;=95),INDEX('2.Distances'!$C$2:$C$9218,$BC$42*96+$BC$43+ 1) +$BF$42," ")," ")</f>
        <v xml:space="preserve"> </v>
      </c>
      <c r="BG43" s="43" t="str">
        <f ca="1">IFERROR(IF(ISNUMBER($BC$43),INDEX('1.Locations'!$J$2:$J$97,$BC$43 + 1) +$BG$42," ")," ")</f>
        <v xml:space="preserve"> </v>
      </c>
      <c r="BH43" s="43" t="str">
        <f ca="1">IFERROR(IF(ISNUMBER($BC$43),INDEX('1.Locations'!$K$2:$K$97,$BC$43 + 1) +$BH$42," ")," ")</f>
        <v xml:space="preserve"> </v>
      </c>
      <c r="BI43" s="45" t="str">
        <f ca="1">IFERROR(IF(AND(ISNUMBER($BC$43),$BC$43&lt;=95),INDEX('2.Distances'!$D$2:$D$9218,$BC$42*96+$BC$43+ 1) +$BI$42," ")," ")</f>
        <v xml:space="preserve"> </v>
      </c>
      <c r="BJ43" s="46" t="str">
        <f ca="1">IFERROR(IF(AND(ISNUMBER($BC$43),$BC$43&lt;=95),INDEX('2.Distances'!$D$2:$D$9218,$BC$42*96+$BC$43+ 1) +$BK$42," ")," ")</f>
        <v xml:space="preserve"> </v>
      </c>
      <c r="BK43" s="46" t="str">
        <f ca="1">IFERROR(IF(ISNUMBER($BJ$43),INDEX('1.Locations'!$I$2:$I$97,$BC$43 + 1) + MAX($BJ$43,INDEX('1.Locations'!$F$2:$F$97,$BC$43 + 1))," ")," ")</f>
        <v xml:space="preserve"> </v>
      </c>
      <c r="BL43" s="45" t="str">
        <f ca="1">IFERROR($BL$42 + INDEX('2.Distances'!$D$2:$D$9218,$BC$42*96+$BC$43+ 1) + INDEX('1.Locations'!$I$2:$I$97,$BC$43 + 1)," ")</f>
        <v xml:space="preserve"> </v>
      </c>
      <c r="BN43" s="24">
        <v>38</v>
      </c>
      <c r="BO43" s="25"/>
      <c r="BP43" s="43" t="str">
        <f ca="1">IFERROR(MATCH(INDIRECT("$BO$43"),'1.Locations'!$B$2:$B$97, 0) - 1," ")</f>
        <v xml:space="preserve"> </v>
      </c>
      <c r="BQ43" s="43" t="e">
        <f ca="1">IFERROR(IF(ISNUMBER($BP$43),INDEX('1.Locations'!$D$2:$D$97,$BP$43 + 1),NA()),NA())</f>
        <v>#N/A</v>
      </c>
      <c r="BR43" s="43" t="e">
        <f ca="1">IFERROR(IF(ISNUMBER($BP$43),INDEX('1.Locations'!$E$2:$E$97,$BP$43 + 1),NA()),NA())</f>
        <v>#N/A</v>
      </c>
      <c r="BS43" s="44" t="str">
        <f ca="1">IFERROR(IF(AND(ISNUMBER($BP$43),$BP$43&lt;=95),INDEX('2.Distances'!$C$2:$C$9218,$BP$42*96+$BP$43+ 1) +$BS$42," ")," ")</f>
        <v xml:space="preserve"> </v>
      </c>
      <c r="BT43" s="43" t="str">
        <f ca="1">IFERROR(IF(ISNUMBER($BP$43),INDEX('1.Locations'!$J$2:$J$97,$BP$43 + 1) +$BT$42," ")," ")</f>
        <v xml:space="preserve"> </v>
      </c>
      <c r="BU43" s="43" t="str">
        <f ca="1">IFERROR(IF(ISNUMBER($BP$43),INDEX('1.Locations'!$K$2:$K$97,$BP$43 + 1) +$BU$42," ")," ")</f>
        <v xml:space="preserve"> </v>
      </c>
      <c r="BV43" s="45" t="str">
        <f ca="1">IFERROR(IF(AND(ISNUMBER($BP$43),$BP$43&lt;=95),INDEX('2.Distances'!$D$2:$D$9218,$BP$42*96+$BP$43+ 1) +$BV$42," ")," ")</f>
        <v xml:space="preserve"> </v>
      </c>
      <c r="BW43" s="46" t="str">
        <f ca="1">IFERROR(IF(AND(ISNUMBER($BP$43),$BP$43&lt;=95),INDEX('2.Distances'!$D$2:$D$9218,$BP$42*96+$BP$43+ 1) +$BX$42," ")," ")</f>
        <v xml:space="preserve"> </v>
      </c>
      <c r="BX43" s="46" t="str">
        <f ca="1">IFERROR(IF(ISNUMBER($BW$43),INDEX('1.Locations'!$I$2:$I$97,$BP$43 + 1) + MAX($BW$43,INDEX('1.Locations'!$F$2:$F$97,$BP$43 + 1))," ")," ")</f>
        <v xml:space="preserve"> </v>
      </c>
      <c r="BY43" s="45" t="str">
        <f ca="1">IFERROR($BY$42 + INDEX('2.Distances'!$D$2:$D$9218,$BP$42*96+$BP$43+ 1) + INDEX('1.Locations'!$I$2:$I$97,$BP$43 + 1)," ")</f>
        <v xml:space="preserve"> </v>
      </c>
      <c r="CA43" s="24">
        <v>38</v>
      </c>
      <c r="CB43" s="25"/>
      <c r="CC43" s="43" t="str">
        <f ca="1">IFERROR(MATCH(INDIRECT("$CB$43"),'1.Locations'!$B$2:$B$97, 0) - 1," ")</f>
        <v xml:space="preserve"> </v>
      </c>
      <c r="CD43" s="43" t="e">
        <f ca="1">IFERROR(IF(ISNUMBER($CC$43),INDEX('1.Locations'!$D$2:$D$97,$CC$43 + 1),NA()),NA())</f>
        <v>#N/A</v>
      </c>
      <c r="CE43" s="43" t="e">
        <f ca="1">IFERROR(IF(ISNUMBER($CC$43),INDEX('1.Locations'!$E$2:$E$97,$CC$43 + 1),NA()),NA())</f>
        <v>#N/A</v>
      </c>
      <c r="CF43" s="44" t="str">
        <f ca="1">IFERROR(IF(AND(ISNUMBER($CC$43),$CC$43&lt;=95),INDEX('2.Distances'!$C$2:$C$9218,$CC$42*96+$CC$43+ 1) +$CF$42," ")," ")</f>
        <v xml:space="preserve"> </v>
      </c>
      <c r="CG43" s="43" t="str">
        <f ca="1">IFERROR(IF(ISNUMBER($CC$43),INDEX('1.Locations'!$J$2:$J$97,$CC$43 + 1) +$CG$42," ")," ")</f>
        <v xml:space="preserve"> </v>
      </c>
      <c r="CH43" s="43" t="str">
        <f ca="1">IFERROR(IF(ISNUMBER($CC$43),INDEX('1.Locations'!$K$2:$K$97,$CC$43 + 1) +$CH$42," ")," ")</f>
        <v xml:space="preserve"> </v>
      </c>
      <c r="CI43" s="45" t="str">
        <f ca="1">IFERROR(IF(AND(ISNUMBER($CC$43),$CC$43&lt;=95),INDEX('2.Distances'!$D$2:$D$9218,$CC$42*96+$CC$43+ 1) +$CI$42," ")," ")</f>
        <v xml:space="preserve"> </v>
      </c>
      <c r="CJ43" s="46" t="str">
        <f ca="1">IFERROR(IF(AND(ISNUMBER($CC$43),$CC$43&lt;=95),INDEX('2.Distances'!$D$2:$D$9218,$CC$42*96+$CC$43+ 1) +$CK$42," ")," ")</f>
        <v xml:space="preserve"> </v>
      </c>
      <c r="CK43" s="46" t="str">
        <f ca="1">IFERROR(IF(ISNUMBER($CJ$43),INDEX('1.Locations'!$I$2:$I$97,$CC$43 + 1) + MAX($CJ$43,INDEX('1.Locations'!$F$2:$F$97,$CC$43 + 1))," ")," ")</f>
        <v xml:space="preserve"> </v>
      </c>
      <c r="CL43" s="45" t="str">
        <f ca="1">IFERROR($CL$42 + INDEX('2.Distances'!$D$2:$D$9218,$CC$42*96+$CC$43+ 1) + INDEX('1.Locations'!$I$2:$I$97,$CC$43 + 1)," ")</f>
        <v xml:space="preserve"> </v>
      </c>
    </row>
    <row r="44" spans="1:90" x14ac:dyDescent="0.25">
      <c r="A44" s="24">
        <v>39</v>
      </c>
      <c r="B44" s="25"/>
      <c r="C44" s="43" t="str">
        <f ca="1">IFERROR(MATCH(INDIRECT("$B$44"),'1.Locations'!$B$2:$B$97, 0) - 1," ")</f>
        <v xml:space="preserve"> </v>
      </c>
      <c r="D44" s="43" t="e">
        <f ca="1">IFERROR(IF(ISNUMBER($C$44),INDEX('1.Locations'!$D$2:$D$97,$C$44 + 1),NA()),NA())</f>
        <v>#N/A</v>
      </c>
      <c r="E44" s="43" t="e">
        <f ca="1">IFERROR(IF(ISNUMBER($C$44),INDEX('1.Locations'!$E$2:$E$97,$C$44 + 1),NA()),NA())</f>
        <v>#N/A</v>
      </c>
      <c r="F44" s="44" t="str">
        <f ca="1">IFERROR(IF(AND(ISNUMBER($C$44),$C$44&lt;=95),INDEX('2.Distances'!$C$2:$C$9218,$C$43*96+$C$44+ 1) +$F$43," ")," ")</f>
        <v xml:space="preserve"> </v>
      </c>
      <c r="G44" s="43" t="str">
        <f ca="1">IFERROR(IF(ISNUMBER($C$44),INDEX('1.Locations'!$J$2:$J$97,$C$44 + 1) +$G$43," ")," ")</f>
        <v xml:space="preserve"> </v>
      </c>
      <c r="H44" s="43" t="str">
        <f ca="1">IFERROR(IF(ISNUMBER($C$44),INDEX('1.Locations'!$K$2:$K$97,$C$44 + 1) +$H$43," ")," ")</f>
        <v xml:space="preserve"> </v>
      </c>
      <c r="I44" s="45" t="str">
        <f ca="1">IFERROR(IF(AND(ISNUMBER($C$44),$C$44&lt;=95),INDEX('2.Distances'!$D$2:$D$9218,$C$43*96+$C$44+ 1) +$I$43," ")," ")</f>
        <v xml:space="preserve"> </v>
      </c>
      <c r="J44" s="46" t="str">
        <f ca="1">IFERROR(IF(AND(ISNUMBER($C$44),$C$44&lt;=95),INDEX('2.Distances'!$D$2:$D$9218,$C$43*96+$C$44+ 1) +$K$43," ")," ")</f>
        <v xml:space="preserve"> </v>
      </c>
      <c r="K44" s="46" t="str">
        <f ca="1">IFERROR(IF(ISNUMBER($J$44),INDEX('1.Locations'!$I$2:$I$97,$C$44 + 1) + MAX($J$44,INDEX('1.Locations'!$F$2:$F$97,$C$44 + 1))," ")," ")</f>
        <v xml:space="preserve"> </v>
      </c>
      <c r="L44" s="45" t="str">
        <f ca="1">IFERROR($L$43 + INDEX('2.Distances'!$D$2:$D$9218,$C$43*96+$C$44+ 1) + INDEX('1.Locations'!$I$2:$I$97,$C$44 + 1)," ")</f>
        <v xml:space="preserve"> </v>
      </c>
      <c r="N44" s="24">
        <v>39</v>
      </c>
      <c r="O44" s="25"/>
      <c r="P44" s="43" t="str">
        <f ca="1">IFERROR(MATCH(INDIRECT("$O$44"),'1.Locations'!$B$2:$B$97, 0) - 1," ")</f>
        <v xml:space="preserve"> </v>
      </c>
      <c r="Q44" s="43" t="e">
        <f ca="1">IFERROR(IF(ISNUMBER($P$44),INDEX('1.Locations'!$D$2:$D$97,$P$44 + 1),NA()),NA())</f>
        <v>#N/A</v>
      </c>
      <c r="R44" s="43" t="e">
        <f ca="1">IFERROR(IF(ISNUMBER($P$44),INDEX('1.Locations'!$E$2:$E$97,$P$44 + 1),NA()),NA())</f>
        <v>#N/A</v>
      </c>
      <c r="S44" s="44" t="str">
        <f ca="1">IFERROR(IF(AND(ISNUMBER($P$44),$P$44&lt;=95),INDEX('2.Distances'!$C$2:$C$9218,$P$43*96+$P$44+ 1) +$S$43," ")," ")</f>
        <v xml:space="preserve"> </v>
      </c>
      <c r="T44" s="43" t="str">
        <f ca="1">IFERROR(IF(ISNUMBER($P$44),INDEX('1.Locations'!$J$2:$J$97,$P$44 + 1) +$T$43," ")," ")</f>
        <v xml:space="preserve"> </v>
      </c>
      <c r="U44" s="43" t="str">
        <f ca="1">IFERROR(IF(ISNUMBER($P$44),INDEX('1.Locations'!$K$2:$K$97,$P$44 + 1) +$U$43," ")," ")</f>
        <v xml:space="preserve"> </v>
      </c>
      <c r="V44" s="45" t="str">
        <f ca="1">IFERROR(IF(AND(ISNUMBER($P$44),$P$44&lt;=95),INDEX('2.Distances'!$D$2:$D$9218,$P$43*96+$P$44+ 1) +$V$43," ")," ")</f>
        <v xml:space="preserve"> </v>
      </c>
      <c r="W44" s="46" t="str">
        <f ca="1">IFERROR(IF(AND(ISNUMBER($P$44),$P$44&lt;=95),INDEX('2.Distances'!$D$2:$D$9218,$P$43*96+$P$44+ 1) +$X$43," ")," ")</f>
        <v xml:space="preserve"> </v>
      </c>
      <c r="X44" s="46" t="str">
        <f ca="1">IFERROR(IF(ISNUMBER($W$44),INDEX('1.Locations'!$I$2:$I$97,$P$44 + 1) + MAX($W$44,INDEX('1.Locations'!$F$2:$F$97,$P$44 + 1))," ")," ")</f>
        <v xml:space="preserve"> </v>
      </c>
      <c r="Y44" s="45" t="str">
        <f ca="1">IFERROR($Y$43 + INDEX('2.Distances'!$D$2:$D$9218,$P$43*96+$P$44+ 1) + INDEX('1.Locations'!$I$2:$I$97,$P$44 + 1)," ")</f>
        <v xml:space="preserve"> </v>
      </c>
      <c r="AA44" s="24">
        <v>39</v>
      </c>
      <c r="AB44" s="25"/>
      <c r="AC44" s="43" t="str">
        <f ca="1">IFERROR(MATCH(INDIRECT("$AB$44"),'1.Locations'!$B$2:$B$97, 0) - 1," ")</f>
        <v xml:space="preserve"> </v>
      </c>
      <c r="AD44" s="43" t="e">
        <f ca="1">IFERROR(IF(ISNUMBER($AC$44),INDEX('1.Locations'!$D$2:$D$97,$AC$44 + 1),NA()),NA())</f>
        <v>#N/A</v>
      </c>
      <c r="AE44" s="43" t="e">
        <f ca="1">IFERROR(IF(ISNUMBER($AC$44),INDEX('1.Locations'!$E$2:$E$97,$AC$44 + 1),NA()),NA())</f>
        <v>#N/A</v>
      </c>
      <c r="AF44" s="44" t="str">
        <f ca="1">IFERROR(IF(AND(ISNUMBER($AC$44),$AC$44&lt;=95),INDEX('2.Distances'!$C$2:$C$9218,$AC$43*96+$AC$44+ 1) +$AF$43," ")," ")</f>
        <v xml:space="preserve"> </v>
      </c>
      <c r="AG44" s="43" t="str">
        <f ca="1">IFERROR(IF(ISNUMBER($AC$44),INDEX('1.Locations'!$J$2:$J$97,$AC$44 + 1) +$AG$43," ")," ")</f>
        <v xml:space="preserve"> </v>
      </c>
      <c r="AH44" s="43" t="str">
        <f ca="1">IFERROR(IF(ISNUMBER($AC$44),INDEX('1.Locations'!$K$2:$K$97,$AC$44 + 1) +$AH$43," ")," ")</f>
        <v xml:space="preserve"> </v>
      </c>
      <c r="AI44" s="45" t="str">
        <f ca="1">IFERROR(IF(AND(ISNUMBER($AC$44),$AC$44&lt;=95),INDEX('2.Distances'!$D$2:$D$9218,$AC$43*96+$AC$44+ 1) +$AI$43," ")," ")</f>
        <v xml:space="preserve"> </v>
      </c>
      <c r="AJ44" s="46" t="str">
        <f ca="1">IFERROR(IF(AND(ISNUMBER($AC$44),$AC$44&lt;=95),INDEX('2.Distances'!$D$2:$D$9218,$AC$43*96+$AC$44+ 1) +$AK$43," ")," ")</f>
        <v xml:space="preserve"> </v>
      </c>
      <c r="AK44" s="46" t="str">
        <f ca="1">IFERROR(IF(ISNUMBER($AJ$44),INDEX('1.Locations'!$I$2:$I$97,$AC$44 + 1) + MAX($AJ$44,INDEX('1.Locations'!$F$2:$F$97,$AC$44 + 1))," ")," ")</f>
        <v xml:space="preserve"> </v>
      </c>
      <c r="AL44" s="45" t="str">
        <f ca="1">IFERROR($AL$43 + INDEX('2.Distances'!$D$2:$D$9218,$AC$43*96+$AC$44+ 1) + INDEX('1.Locations'!$I$2:$I$97,$AC$44 + 1)," ")</f>
        <v xml:space="preserve"> </v>
      </c>
      <c r="AN44" s="24">
        <v>39</v>
      </c>
      <c r="AO44" s="25"/>
      <c r="AP44" s="43" t="str">
        <f ca="1">IFERROR(MATCH(INDIRECT("$AO$44"),'1.Locations'!$B$2:$B$97, 0) - 1," ")</f>
        <v xml:space="preserve"> </v>
      </c>
      <c r="AQ44" s="43" t="e">
        <f ca="1">IFERROR(IF(ISNUMBER($AP$44),INDEX('1.Locations'!$D$2:$D$97,$AP$44 + 1),NA()),NA())</f>
        <v>#N/A</v>
      </c>
      <c r="AR44" s="43" t="e">
        <f ca="1">IFERROR(IF(ISNUMBER($AP$44),INDEX('1.Locations'!$E$2:$E$97,$AP$44 + 1),NA()),NA())</f>
        <v>#N/A</v>
      </c>
      <c r="AS44" s="44" t="str">
        <f ca="1">IFERROR(IF(AND(ISNUMBER($AP$44),$AP$44&lt;=95),INDEX('2.Distances'!$C$2:$C$9218,$AP$43*96+$AP$44+ 1) +$AS$43," ")," ")</f>
        <v xml:space="preserve"> </v>
      </c>
      <c r="AT44" s="43" t="str">
        <f ca="1">IFERROR(IF(ISNUMBER($AP$44),INDEX('1.Locations'!$J$2:$J$97,$AP$44 + 1) +$AT$43," ")," ")</f>
        <v xml:space="preserve"> </v>
      </c>
      <c r="AU44" s="43" t="str">
        <f ca="1">IFERROR(IF(ISNUMBER($AP$44),INDEX('1.Locations'!$K$2:$K$97,$AP$44 + 1) +$AU$43," ")," ")</f>
        <v xml:space="preserve"> </v>
      </c>
      <c r="AV44" s="45" t="str">
        <f ca="1">IFERROR(IF(AND(ISNUMBER($AP$44),$AP$44&lt;=95),INDEX('2.Distances'!$D$2:$D$9218,$AP$43*96+$AP$44+ 1) +$AV$43," ")," ")</f>
        <v xml:space="preserve"> </v>
      </c>
      <c r="AW44" s="46" t="str">
        <f ca="1">IFERROR(IF(AND(ISNUMBER($AP$44),$AP$44&lt;=95),INDEX('2.Distances'!$D$2:$D$9218,$AP$43*96+$AP$44+ 1) +$AX$43," ")," ")</f>
        <v xml:space="preserve"> </v>
      </c>
      <c r="AX44" s="46" t="str">
        <f ca="1">IFERROR(IF(ISNUMBER($AW$44),INDEX('1.Locations'!$I$2:$I$97,$AP$44 + 1) + MAX($AW$44,INDEX('1.Locations'!$F$2:$F$97,$AP$44 + 1))," ")," ")</f>
        <v xml:space="preserve"> </v>
      </c>
      <c r="AY44" s="45" t="str">
        <f ca="1">IFERROR($AY$43 + INDEX('2.Distances'!$D$2:$D$9218,$AP$43*96+$AP$44+ 1) + INDEX('1.Locations'!$I$2:$I$97,$AP$44 + 1)," ")</f>
        <v xml:space="preserve"> </v>
      </c>
      <c r="BA44" s="24">
        <v>39</v>
      </c>
      <c r="BB44" s="25"/>
      <c r="BC44" s="43" t="str">
        <f ca="1">IFERROR(MATCH(INDIRECT("$BB$44"),'1.Locations'!$B$2:$B$97, 0) - 1," ")</f>
        <v xml:space="preserve"> </v>
      </c>
      <c r="BD44" s="43" t="e">
        <f ca="1">IFERROR(IF(ISNUMBER($BC$44),INDEX('1.Locations'!$D$2:$D$97,$BC$44 + 1),NA()),NA())</f>
        <v>#N/A</v>
      </c>
      <c r="BE44" s="43" t="e">
        <f ca="1">IFERROR(IF(ISNUMBER($BC$44),INDEX('1.Locations'!$E$2:$E$97,$BC$44 + 1),NA()),NA())</f>
        <v>#N/A</v>
      </c>
      <c r="BF44" s="44" t="str">
        <f ca="1">IFERROR(IF(AND(ISNUMBER($BC$44),$BC$44&lt;=95),INDEX('2.Distances'!$C$2:$C$9218,$BC$43*96+$BC$44+ 1) +$BF$43," ")," ")</f>
        <v xml:space="preserve"> </v>
      </c>
      <c r="BG44" s="43" t="str">
        <f ca="1">IFERROR(IF(ISNUMBER($BC$44),INDEX('1.Locations'!$J$2:$J$97,$BC$44 + 1) +$BG$43," ")," ")</f>
        <v xml:space="preserve"> </v>
      </c>
      <c r="BH44" s="43" t="str">
        <f ca="1">IFERROR(IF(ISNUMBER($BC$44),INDEX('1.Locations'!$K$2:$K$97,$BC$44 + 1) +$BH$43," ")," ")</f>
        <v xml:space="preserve"> </v>
      </c>
      <c r="BI44" s="45" t="str">
        <f ca="1">IFERROR(IF(AND(ISNUMBER($BC$44),$BC$44&lt;=95),INDEX('2.Distances'!$D$2:$D$9218,$BC$43*96+$BC$44+ 1) +$BI$43," ")," ")</f>
        <v xml:space="preserve"> </v>
      </c>
      <c r="BJ44" s="46" t="str">
        <f ca="1">IFERROR(IF(AND(ISNUMBER($BC$44),$BC$44&lt;=95),INDEX('2.Distances'!$D$2:$D$9218,$BC$43*96+$BC$44+ 1) +$BK$43," ")," ")</f>
        <v xml:space="preserve"> </v>
      </c>
      <c r="BK44" s="46" t="str">
        <f ca="1">IFERROR(IF(ISNUMBER($BJ$44),INDEX('1.Locations'!$I$2:$I$97,$BC$44 + 1) + MAX($BJ$44,INDEX('1.Locations'!$F$2:$F$97,$BC$44 + 1))," ")," ")</f>
        <v xml:space="preserve"> </v>
      </c>
      <c r="BL44" s="45" t="str">
        <f ca="1">IFERROR($BL$43 + INDEX('2.Distances'!$D$2:$D$9218,$BC$43*96+$BC$44+ 1) + INDEX('1.Locations'!$I$2:$I$97,$BC$44 + 1)," ")</f>
        <v xml:space="preserve"> </v>
      </c>
      <c r="BN44" s="24">
        <v>39</v>
      </c>
      <c r="BO44" s="25"/>
      <c r="BP44" s="43" t="str">
        <f ca="1">IFERROR(MATCH(INDIRECT("$BO$44"),'1.Locations'!$B$2:$B$97, 0) - 1," ")</f>
        <v xml:space="preserve"> </v>
      </c>
      <c r="BQ44" s="43" t="e">
        <f ca="1">IFERROR(IF(ISNUMBER($BP$44),INDEX('1.Locations'!$D$2:$D$97,$BP$44 + 1),NA()),NA())</f>
        <v>#N/A</v>
      </c>
      <c r="BR44" s="43" t="e">
        <f ca="1">IFERROR(IF(ISNUMBER($BP$44),INDEX('1.Locations'!$E$2:$E$97,$BP$44 + 1),NA()),NA())</f>
        <v>#N/A</v>
      </c>
      <c r="BS44" s="44" t="str">
        <f ca="1">IFERROR(IF(AND(ISNUMBER($BP$44),$BP$44&lt;=95),INDEX('2.Distances'!$C$2:$C$9218,$BP$43*96+$BP$44+ 1) +$BS$43," ")," ")</f>
        <v xml:space="preserve"> </v>
      </c>
      <c r="BT44" s="43" t="str">
        <f ca="1">IFERROR(IF(ISNUMBER($BP$44),INDEX('1.Locations'!$J$2:$J$97,$BP$44 + 1) +$BT$43," ")," ")</f>
        <v xml:space="preserve"> </v>
      </c>
      <c r="BU44" s="43" t="str">
        <f ca="1">IFERROR(IF(ISNUMBER($BP$44),INDEX('1.Locations'!$K$2:$K$97,$BP$44 + 1) +$BU$43," ")," ")</f>
        <v xml:space="preserve"> </v>
      </c>
      <c r="BV44" s="45" t="str">
        <f ca="1">IFERROR(IF(AND(ISNUMBER($BP$44),$BP$44&lt;=95),INDEX('2.Distances'!$D$2:$D$9218,$BP$43*96+$BP$44+ 1) +$BV$43," ")," ")</f>
        <v xml:space="preserve"> </v>
      </c>
      <c r="BW44" s="46" t="str">
        <f ca="1">IFERROR(IF(AND(ISNUMBER($BP$44),$BP$44&lt;=95),INDEX('2.Distances'!$D$2:$D$9218,$BP$43*96+$BP$44+ 1) +$BX$43," ")," ")</f>
        <v xml:space="preserve"> </v>
      </c>
      <c r="BX44" s="46" t="str">
        <f ca="1">IFERROR(IF(ISNUMBER($BW$44),INDEX('1.Locations'!$I$2:$I$97,$BP$44 + 1) + MAX($BW$44,INDEX('1.Locations'!$F$2:$F$97,$BP$44 + 1))," ")," ")</f>
        <v xml:space="preserve"> </v>
      </c>
      <c r="BY44" s="45" t="str">
        <f ca="1">IFERROR($BY$43 + INDEX('2.Distances'!$D$2:$D$9218,$BP$43*96+$BP$44+ 1) + INDEX('1.Locations'!$I$2:$I$97,$BP$44 + 1)," ")</f>
        <v xml:space="preserve"> </v>
      </c>
      <c r="CA44" s="24">
        <v>39</v>
      </c>
      <c r="CB44" s="25"/>
      <c r="CC44" s="43" t="str">
        <f ca="1">IFERROR(MATCH(INDIRECT("$CB$44"),'1.Locations'!$B$2:$B$97, 0) - 1," ")</f>
        <v xml:space="preserve"> </v>
      </c>
      <c r="CD44" s="43" t="e">
        <f ca="1">IFERROR(IF(ISNUMBER($CC$44),INDEX('1.Locations'!$D$2:$D$97,$CC$44 + 1),NA()),NA())</f>
        <v>#N/A</v>
      </c>
      <c r="CE44" s="43" t="e">
        <f ca="1">IFERROR(IF(ISNUMBER($CC$44),INDEX('1.Locations'!$E$2:$E$97,$CC$44 + 1),NA()),NA())</f>
        <v>#N/A</v>
      </c>
      <c r="CF44" s="44" t="str">
        <f ca="1">IFERROR(IF(AND(ISNUMBER($CC$44),$CC$44&lt;=95),INDEX('2.Distances'!$C$2:$C$9218,$CC$43*96+$CC$44+ 1) +$CF$43," ")," ")</f>
        <v xml:space="preserve"> </v>
      </c>
      <c r="CG44" s="43" t="str">
        <f ca="1">IFERROR(IF(ISNUMBER($CC$44),INDEX('1.Locations'!$J$2:$J$97,$CC$44 + 1) +$CG$43," ")," ")</f>
        <v xml:space="preserve"> </v>
      </c>
      <c r="CH44" s="43" t="str">
        <f ca="1">IFERROR(IF(ISNUMBER($CC$44),INDEX('1.Locations'!$K$2:$K$97,$CC$44 + 1) +$CH$43," ")," ")</f>
        <v xml:space="preserve"> </v>
      </c>
      <c r="CI44" s="45" t="str">
        <f ca="1">IFERROR(IF(AND(ISNUMBER($CC$44),$CC$44&lt;=95),INDEX('2.Distances'!$D$2:$D$9218,$CC$43*96+$CC$44+ 1) +$CI$43," ")," ")</f>
        <v xml:space="preserve"> </v>
      </c>
      <c r="CJ44" s="46" t="str">
        <f ca="1">IFERROR(IF(AND(ISNUMBER($CC$44),$CC$44&lt;=95),INDEX('2.Distances'!$D$2:$D$9218,$CC$43*96+$CC$44+ 1) +$CK$43," ")," ")</f>
        <v xml:space="preserve"> </v>
      </c>
      <c r="CK44" s="46" t="str">
        <f ca="1">IFERROR(IF(ISNUMBER($CJ$44),INDEX('1.Locations'!$I$2:$I$97,$CC$44 + 1) + MAX($CJ$44,INDEX('1.Locations'!$F$2:$F$97,$CC$44 + 1))," ")," ")</f>
        <v xml:space="preserve"> </v>
      </c>
      <c r="CL44" s="45" t="str">
        <f ca="1">IFERROR($CL$43 + INDEX('2.Distances'!$D$2:$D$9218,$CC$43*96+$CC$44+ 1) + INDEX('1.Locations'!$I$2:$I$97,$CC$44 + 1)," ")</f>
        <v xml:space="preserve"> </v>
      </c>
    </row>
    <row r="45" spans="1:90" x14ac:dyDescent="0.25">
      <c r="A45" s="24">
        <v>40</v>
      </c>
      <c r="B45" s="25"/>
      <c r="C45" s="43" t="str">
        <f ca="1">IFERROR(MATCH(INDIRECT("$B$45"),'1.Locations'!$B$2:$B$97, 0) - 1," ")</f>
        <v xml:space="preserve"> </v>
      </c>
      <c r="D45" s="43" t="e">
        <f ca="1">IFERROR(IF(ISNUMBER($C$45),INDEX('1.Locations'!$D$2:$D$97,$C$45 + 1),NA()),NA())</f>
        <v>#N/A</v>
      </c>
      <c r="E45" s="43" t="e">
        <f ca="1">IFERROR(IF(ISNUMBER($C$45),INDEX('1.Locations'!$E$2:$E$97,$C$45 + 1),NA()),NA())</f>
        <v>#N/A</v>
      </c>
      <c r="F45" s="44" t="str">
        <f ca="1">IFERROR(IF(AND(ISNUMBER($C$45),$C$45&lt;=95),INDEX('2.Distances'!$C$2:$C$9218,$C$44*96+$C$45+ 1) +$F$44," ")," ")</f>
        <v xml:space="preserve"> </v>
      </c>
      <c r="G45" s="43" t="str">
        <f ca="1">IFERROR(IF(ISNUMBER($C$45),INDEX('1.Locations'!$J$2:$J$97,$C$45 + 1) +$G$44," ")," ")</f>
        <v xml:space="preserve"> </v>
      </c>
      <c r="H45" s="43" t="str">
        <f ca="1">IFERROR(IF(ISNUMBER($C$45),INDEX('1.Locations'!$K$2:$K$97,$C$45 + 1) +$H$44," ")," ")</f>
        <v xml:space="preserve"> </v>
      </c>
      <c r="I45" s="45" t="str">
        <f ca="1">IFERROR(IF(AND(ISNUMBER($C$45),$C$45&lt;=95),INDEX('2.Distances'!$D$2:$D$9218,$C$44*96+$C$45+ 1) +$I$44," ")," ")</f>
        <v xml:space="preserve"> </v>
      </c>
      <c r="J45" s="46" t="str">
        <f ca="1">IFERROR(IF(AND(ISNUMBER($C$45),$C$45&lt;=95),INDEX('2.Distances'!$D$2:$D$9218,$C$44*96+$C$45+ 1) +$K$44," ")," ")</f>
        <v xml:space="preserve"> </v>
      </c>
      <c r="K45" s="46" t="str">
        <f ca="1">IFERROR(IF(ISNUMBER($J$45),INDEX('1.Locations'!$I$2:$I$97,$C$45 + 1) + MAX($J$45,INDEX('1.Locations'!$F$2:$F$97,$C$45 + 1))," ")," ")</f>
        <v xml:space="preserve"> </v>
      </c>
      <c r="L45" s="45" t="str">
        <f ca="1">IFERROR($L$44 + INDEX('2.Distances'!$D$2:$D$9218,$C$44*96+$C$45+ 1) + INDEX('1.Locations'!$I$2:$I$97,$C$45 + 1)," ")</f>
        <v xml:space="preserve"> </v>
      </c>
      <c r="N45" s="24">
        <v>40</v>
      </c>
      <c r="O45" s="25"/>
      <c r="P45" s="43" t="str">
        <f ca="1">IFERROR(MATCH(INDIRECT("$O$45"),'1.Locations'!$B$2:$B$97, 0) - 1," ")</f>
        <v xml:space="preserve"> </v>
      </c>
      <c r="Q45" s="43" t="e">
        <f ca="1">IFERROR(IF(ISNUMBER($P$45),INDEX('1.Locations'!$D$2:$D$97,$P$45 + 1),NA()),NA())</f>
        <v>#N/A</v>
      </c>
      <c r="R45" s="43" t="e">
        <f ca="1">IFERROR(IF(ISNUMBER($P$45),INDEX('1.Locations'!$E$2:$E$97,$P$45 + 1),NA()),NA())</f>
        <v>#N/A</v>
      </c>
      <c r="S45" s="44" t="str">
        <f ca="1">IFERROR(IF(AND(ISNUMBER($P$45),$P$45&lt;=95),INDEX('2.Distances'!$C$2:$C$9218,$P$44*96+$P$45+ 1) +$S$44," ")," ")</f>
        <v xml:space="preserve"> </v>
      </c>
      <c r="T45" s="43" t="str">
        <f ca="1">IFERROR(IF(ISNUMBER($P$45),INDEX('1.Locations'!$J$2:$J$97,$P$45 + 1) +$T$44," ")," ")</f>
        <v xml:space="preserve"> </v>
      </c>
      <c r="U45" s="43" t="str">
        <f ca="1">IFERROR(IF(ISNUMBER($P$45),INDEX('1.Locations'!$K$2:$K$97,$P$45 + 1) +$U$44," ")," ")</f>
        <v xml:space="preserve"> </v>
      </c>
      <c r="V45" s="45" t="str">
        <f ca="1">IFERROR(IF(AND(ISNUMBER($P$45),$P$45&lt;=95),INDEX('2.Distances'!$D$2:$D$9218,$P$44*96+$P$45+ 1) +$V$44," ")," ")</f>
        <v xml:space="preserve"> </v>
      </c>
      <c r="W45" s="46" t="str">
        <f ca="1">IFERROR(IF(AND(ISNUMBER($P$45),$P$45&lt;=95),INDEX('2.Distances'!$D$2:$D$9218,$P$44*96+$P$45+ 1) +$X$44," ")," ")</f>
        <v xml:space="preserve"> </v>
      </c>
      <c r="X45" s="46" t="str">
        <f ca="1">IFERROR(IF(ISNUMBER($W$45),INDEX('1.Locations'!$I$2:$I$97,$P$45 + 1) + MAX($W$45,INDEX('1.Locations'!$F$2:$F$97,$P$45 + 1))," ")," ")</f>
        <v xml:space="preserve"> </v>
      </c>
      <c r="Y45" s="45" t="str">
        <f ca="1">IFERROR($Y$44 + INDEX('2.Distances'!$D$2:$D$9218,$P$44*96+$P$45+ 1) + INDEX('1.Locations'!$I$2:$I$97,$P$45 + 1)," ")</f>
        <v xml:space="preserve"> </v>
      </c>
      <c r="AA45" s="24">
        <v>40</v>
      </c>
      <c r="AB45" s="25"/>
      <c r="AC45" s="43" t="str">
        <f ca="1">IFERROR(MATCH(INDIRECT("$AB$45"),'1.Locations'!$B$2:$B$97, 0) - 1," ")</f>
        <v xml:space="preserve"> </v>
      </c>
      <c r="AD45" s="43" t="e">
        <f ca="1">IFERROR(IF(ISNUMBER($AC$45),INDEX('1.Locations'!$D$2:$D$97,$AC$45 + 1),NA()),NA())</f>
        <v>#N/A</v>
      </c>
      <c r="AE45" s="43" t="e">
        <f ca="1">IFERROR(IF(ISNUMBER($AC$45),INDEX('1.Locations'!$E$2:$E$97,$AC$45 + 1),NA()),NA())</f>
        <v>#N/A</v>
      </c>
      <c r="AF45" s="44" t="str">
        <f ca="1">IFERROR(IF(AND(ISNUMBER($AC$45),$AC$45&lt;=95),INDEX('2.Distances'!$C$2:$C$9218,$AC$44*96+$AC$45+ 1) +$AF$44," ")," ")</f>
        <v xml:space="preserve"> </v>
      </c>
      <c r="AG45" s="43" t="str">
        <f ca="1">IFERROR(IF(ISNUMBER($AC$45),INDEX('1.Locations'!$J$2:$J$97,$AC$45 + 1) +$AG$44," ")," ")</f>
        <v xml:space="preserve"> </v>
      </c>
      <c r="AH45" s="43" t="str">
        <f ca="1">IFERROR(IF(ISNUMBER($AC$45),INDEX('1.Locations'!$K$2:$K$97,$AC$45 + 1) +$AH$44," ")," ")</f>
        <v xml:space="preserve"> </v>
      </c>
      <c r="AI45" s="45" t="str">
        <f ca="1">IFERROR(IF(AND(ISNUMBER($AC$45),$AC$45&lt;=95),INDEX('2.Distances'!$D$2:$D$9218,$AC$44*96+$AC$45+ 1) +$AI$44," ")," ")</f>
        <v xml:space="preserve"> </v>
      </c>
      <c r="AJ45" s="46" t="str">
        <f ca="1">IFERROR(IF(AND(ISNUMBER($AC$45),$AC$45&lt;=95),INDEX('2.Distances'!$D$2:$D$9218,$AC$44*96+$AC$45+ 1) +$AK$44," ")," ")</f>
        <v xml:space="preserve"> </v>
      </c>
      <c r="AK45" s="46" t="str">
        <f ca="1">IFERROR(IF(ISNUMBER($AJ$45),INDEX('1.Locations'!$I$2:$I$97,$AC$45 + 1) + MAX($AJ$45,INDEX('1.Locations'!$F$2:$F$97,$AC$45 + 1))," ")," ")</f>
        <v xml:space="preserve"> </v>
      </c>
      <c r="AL45" s="45" t="str">
        <f ca="1">IFERROR($AL$44 + INDEX('2.Distances'!$D$2:$D$9218,$AC$44*96+$AC$45+ 1) + INDEX('1.Locations'!$I$2:$I$97,$AC$45 + 1)," ")</f>
        <v xml:space="preserve"> </v>
      </c>
      <c r="AN45" s="24">
        <v>40</v>
      </c>
      <c r="AO45" s="25"/>
      <c r="AP45" s="43" t="str">
        <f ca="1">IFERROR(MATCH(INDIRECT("$AO$45"),'1.Locations'!$B$2:$B$97, 0) - 1," ")</f>
        <v xml:space="preserve"> </v>
      </c>
      <c r="AQ45" s="43" t="e">
        <f ca="1">IFERROR(IF(ISNUMBER($AP$45),INDEX('1.Locations'!$D$2:$D$97,$AP$45 + 1),NA()),NA())</f>
        <v>#N/A</v>
      </c>
      <c r="AR45" s="43" t="e">
        <f ca="1">IFERROR(IF(ISNUMBER($AP$45),INDEX('1.Locations'!$E$2:$E$97,$AP$45 + 1),NA()),NA())</f>
        <v>#N/A</v>
      </c>
      <c r="AS45" s="44" t="str">
        <f ca="1">IFERROR(IF(AND(ISNUMBER($AP$45),$AP$45&lt;=95),INDEX('2.Distances'!$C$2:$C$9218,$AP$44*96+$AP$45+ 1) +$AS$44," ")," ")</f>
        <v xml:space="preserve"> </v>
      </c>
      <c r="AT45" s="43" t="str">
        <f ca="1">IFERROR(IF(ISNUMBER($AP$45),INDEX('1.Locations'!$J$2:$J$97,$AP$45 + 1) +$AT$44," ")," ")</f>
        <v xml:space="preserve"> </v>
      </c>
      <c r="AU45" s="43" t="str">
        <f ca="1">IFERROR(IF(ISNUMBER($AP$45),INDEX('1.Locations'!$K$2:$K$97,$AP$45 + 1) +$AU$44," ")," ")</f>
        <v xml:space="preserve"> </v>
      </c>
      <c r="AV45" s="45" t="str">
        <f ca="1">IFERROR(IF(AND(ISNUMBER($AP$45),$AP$45&lt;=95),INDEX('2.Distances'!$D$2:$D$9218,$AP$44*96+$AP$45+ 1) +$AV$44," ")," ")</f>
        <v xml:space="preserve"> </v>
      </c>
      <c r="AW45" s="46" t="str">
        <f ca="1">IFERROR(IF(AND(ISNUMBER($AP$45),$AP$45&lt;=95),INDEX('2.Distances'!$D$2:$D$9218,$AP$44*96+$AP$45+ 1) +$AX$44," ")," ")</f>
        <v xml:space="preserve"> </v>
      </c>
      <c r="AX45" s="46" t="str">
        <f ca="1">IFERROR(IF(ISNUMBER($AW$45),INDEX('1.Locations'!$I$2:$I$97,$AP$45 + 1) + MAX($AW$45,INDEX('1.Locations'!$F$2:$F$97,$AP$45 + 1))," ")," ")</f>
        <v xml:space="preserve"> </v>
      </c>
      <c r="AY45" s="45" t="str">
        <f ca="1">IFERROR($AY$44 + INDEX('2.Distances'!$D$2:$D$9218,$AP$44*96+$AP$45+ 1) + INDEX('1.Locations'!$I$2:$I$97,$AP$45 + 1)," ")</f>
        <v xml:space="preserve"> </v>
      </c>
      <c r="BA45" s="24">
        <v>40</v>
      </c>
      <c r="BB45" s="25"/>
      <c r="BC45" s="43" t="str">
        <f ca="1">IFERROR(MATCH(INDIRECT("$BB$45"),'1.Locations'!$B$2:$B$97, 0) - 1," ")</f>
        <v xml:space="preserve"> </v>
      </c>
      <c r="BD45" s="43" t="e">
        <f ca="1">IFERROR(IF(ISNUMBER($BC$45),INDEX('1.Locations'!$D$2:$D$97,$BC$45 + 1),NA()),NA())</f>
        <v>#N/A</v>
      </c>
      <c r="BE45" s="43" t="e">
        <f ca="1">IFERROR(IF(ISNUMBER($BC$45),INDEX('1.Locations'!$E$2:$E$97,$BC$45 + 1),NA()),NA())</f>
        <v>#N/A</v>
      </c>
      <c r="BF45" s="44" t="str">
        <f ca="1">IFERROR(IF(AND(ISNUMBER($BC$45),$BC$45&lt;=95),INDEX('2.Distances'!$C$2:$C$9218,$BC$44*96+$BC$45+ 1) +$BF$44," ")," ")</f>
        <v xml:space="preserve"> </v>
      </c>
      <c r="BG45" s="43" t="str">
        <f ca="1">IFERROR(IF(ISNUMBER($BC$45),INDEX('1.Locations'!$J$2:$J$97,$BC$45 + 1) +$BG$44," ")," ")</f>
        <v xml:space="preserve"> </v>
      </c>
      <c r="BH45" s="43" t="str">
        <f ca="1">IFERROR(IF(ISNUMBER($BC$45),INDEX('1.Locations'!$K$2:$K$97,$BC$45 + 1) +$BH$44," ")," ")</f>
        <v xml:space="preserve"> </v>
      </c>
      <c r="BI45" s="45" t="str">
        <f ca="1">IFERROR(IF(AND(ISNUMBER($BC$45),$BC$45&lt;=95),INDEX('2.Distances'!$D$2:$D$9218,$BC$44*96+$BC$45+ 1) +$BI$44," ")," ")</f>
        <v xml:space="preserve"> </v>
      </c>
      <c r="BJ45" s="46" t="str">
        <f ca="1">IFERROR(IF(AND(ISNUMBER($BC$45),$BC$45&lt;=95),INDEX('2.Distances'!$D$2:$D$9218,$BC$44*96+$BC$45+ 1) +$BK$44," ")," ")</f>
        <v xml:space="preserve"> </v>
      </c>
      <c r="BK45" s="46" t="str">
        <f ca="1">IFERROR(IF(ISNUMBER($BJ$45),INDEX('1.Locations'!$I$2:$I$97,$BC$45 + 1) + MAX($BJ$45,INDEX('1.Locations'!$F$2:$F$97,$BC$45 + 1))," ")," ")</f>
        <v xml:space="preserve"> </v>
      </c>
      <c r="BL45" s="45" t="str">
        <f ca="1">IFERROR($BL$44 + INDEX('2.Distances'!$D$2:$D$9218,$BC$44*96+$BC$45+ 1) + INDEX('1.Locations'!$I$2:$I$97,$BC$45 + 1)," ")</f>
        <v xml:space="preserve"> </v>
      </c>
      <c r="BN45" s="24">
        <v>40</v>
      </c>
      <c r="BO45" s="25"/>
      <c r="BP45" s="43" t="str">
        <f ca="1">IFERROR(MATCH(INDIRECT("$BO$45"),'1.Locations'!$B$2:$B$97, 0) - 1," ")</f>
        <v xml:space="preserve"> </v>
      </c>
      <c r="BQ45" s="43" t="e">
        <f ca="1">IFERROR(IF(ISNUMBER($BP$45),INDEX('1.Locations'!$D$2:$D$97,$BP$45 + 1),NA()),NA())</f>
        <v>#N/A</v>
      </c>
      <c r="BR45" s="43" t="e">
        <f ca="1">IFERROR(IF(ISNUMBER($BP$45),INDEX('1.Locations'!$E$2:$E$97,$BP$45 + 1),NA()),NA())</f>
        <v>#N/A</v>
      </c>
      <c r="BS45" s="44" t="str">
        <f ca="1">IFERROR(IF(AND(ISNUMBER($BP$45),$BP$45&lt;=95),INDEX('2.Distances'!$C$2:$C$9218,$BP$44*96+$BP$45+ 1) +$BS$44," ")," ")</f>
        <v xml:space="preserve"> </v>
      </c>
      <c r="BT45" s="43" t="str">
        <f ca="1">IFERROR(IF(ISNUMBER($BP$45),INDEX('1.Locations'!$J$2:$J$97,$BP$45 + 1) +$BT$44," ")," ")</f>
        <v xml:space="preserve"> </v>
      </c>
      <c r="BU45" s="43" t="str">
        <f ca="1">IFERROR(IF(ISNUMBER($BP$45),INDEX('1.Locations'!$K$2:$K$97,$BP$45 + 1) +$BU$44," ")," ")</f>
        <v xml:space="preserve"> </v>
      </c>
      <c r="BV45" s="45" t="str">
        <f ca="1">IFERROR(IF(AND(ISNUMBER($BP$45),$BP$45&lt;=95),INDEX('2.Distances'!$D$2:$D$9218,$BP$44*96+$BP$45+ 1) +$BV$44," ")," ")</f>
        <v xml:space="preserve"> </v>
      </c>
      <c r="BW45" s="46" t="str">
        <f ca="1">IFERROR(IF(AND(ISNUMBER($BP$45),$BP$45&lt;=95),INDEX('2.Distances'!$D$2:$D$9218,$BP$44*96+$BP$45+ 1) +$BX$44," ")," ")</f>
        <v xml:space="preserve"> </v>
      </c>
      <c r="BX45" s="46" t="str">
        <f ca="1">IFERROR(IF(ISNUMBER($BW$45),INDEX('1.Locations'!$I$2:$I$97,$BP$45 + 1) + MAX($BW$45,INDEX('1.Locations'!$F$2:$F$97,$BP$45 + 1))," ")," ")</f>
        <v xml:space="preserve"> </v>
      </c>
      <c r="BY45" s="45" t="str">
        <f ca="1">IFERROR($BY$44 + INDEX('2.Distances'!$D$2:$D$9218,$BP$44*96+$BP$45+ 1) + INDEX('1.Locations'!$I$2:$I$97,$BP$45 + 1)," ")</f>
        <v xml:space="preserve"> </v>
      </c>
      <c r="CA45" s="24">
        <v>40</v>
      </c>
      <c r="CB45" s="25"/>
      <c r="CC45" s="43" t="str">
        <f ca="1">IFERROR(MATCH(INDIRECT("$CB$45"),'1.Locations'!$B$2:$B$97, 0) - 1," ")</f>
        <v xml:space="preserve"> </v>
      </c>
      <c r="CD45" s="43" t="e">
        <f ca="1">IFERROR(IF(ISNUMBER($CC$45),INDEX('1.Locations'!$D$2:$D$97,$CC$45 + 1),NA()),NA())</f>
        <v>#N/A</v>
      </c>
      <c r="CE45" s="43" t="e">
        <f ca="1">IFERROR(IF(ISNUMBER($CC$45),INDEX('1.Locations'!$E$2:$E$97,$CC$45 + 1),NA()),NA())</f>
        <v>#N/A</v>
      </c>
      <c r="CF45" s="44" t="str">
        <f ca="1">IFERROR(IF(AND(ISNUMBER($CC$45),$CC$45&lt;=95),INDEX('2.Distances'!$C$2:$C$9218,$CC$44*96+$CC$45+ 1) +$CF$44," ")," ")</f>
        <v xml:space="preserve"> </v>
      </c>
      <c r="CG45" s="43" t="str">
        <f ca="1">IFERROR(IF(ISNUMBER($CC$45),INDEX('1.Locations'!$J$2:$J$97,$CC$45 + 1) +$CG$44," ")," ")</f>
        <v xml:space="preserve"> </v>
      </c>
      <c r="CH45" s="43" t="str">
        <f ca="1">IFERROR(IF(ISNUMBER($CC$45),INDEX('1.Locations'!$K$2:$K$97,$CC$45 + 1) +$CH$44," ")," ")</f>
        <v xml:space="preserve"> </v>
      </c>
      <c r="CI45" s="45" t="str">
        <f ca="1">IFERROR(IF(AND(ISNUMBER($CC$45),$CC$45&lt;=95),INDEX('2.Distances'!$D$2:$D$9218,$CC$44*96+$CC$45+ 1) +$CI$44," ")," ")</f>
        <v xml:space="preserve"> </v>
      </c>
      <c r="CJ45" s="46" t="str">
        <f ca="1">IFERROR(IF(AND(ISNUMBER($CC$45),$CC$45&lt;=95),INDEX('2.Distances'!$D$2:$D$9218,$CC$44*96+$CC$45+ 1) +$CK$44," ")," ")</f>
        <v xml:space="preserve"> </v>
      </c>
      <c r="CK45" s="46" t="str">
        <f ca="1">IFERROR(IF(ISNUMBER($CJ$45),INDEX('1.Locations'!$I$2:$I$97,$CC$45 + 1) + MAX($CJ$45,INDEX('1.Locations'!$F$2:$F$97,$CC$45 + 1))," ")," ")</f>
        <v xml:space="preserve"> </v>
      </c>
      <c r="CL45" s="45" t="str">
        <f ca="1">IFERROR($CL$44 + INDEX('2.Distances'!$D$2:$D$9218,$CC$44*96+$CC$45+ 1) + INDEX('1.Locations'!$I$2:$I$97,$CC$45 + 1)," ")</f>
        <v xml:space="preserve"> </v>
      </c>
    </row>
    <row r="46" spans="1:90" x14ac:dyDescent="0.25">
      <c r="A46" s="24">
        <v>41</v>
      </c>
      <c r="B46" s="25"/>
      <c r="C46" s="43" t="str">
        <f ca="1">IFERROR(MATCH(INDIRECT("$B$46"),'1.Locations'!$B$2:$B$97, 0) - 1," ")</f>
        <v xml:space="preserve"> </v>
      </c>
      <c r="D46" s="43" t="e">
        <f ca="1">IFERROR(IF(ISNUMBER($C$46),INDEX('1.Locations'!$D$2:$D$97,$C$46 + 1),NA()),NA())</f>
        <v>#N/A</v>
      </c>
      <c r="E46" s="43" t="e">
        <f ca="1">IFERROR(IF(ISNUMBER($C$46),INDEX('1.Locations'!$E$2:$E$97,$C$46 + 1),NA()),NA())</f>
        <v>#N/A</v>
      </c>
      <c r="F46" s="44" t="str">
        <f ca="1">IFERROR(IF(AND(ISNUMBER($C$46),$C$46&lt;=95),INDEX('2.Distances'!$C$2:$C$9218,$C$45*96+$C$46+ 1) +$F$45," ")," ")</f>
        <v xml:space="preserve"> </v>
      </c>
      <c r="G46" s="43" t="str">
        <f ca="1">IFERROR(IF(ISNUMBER($C$46),INDEX('1.Locations'!$J$2:$J$97,$C$46 + 1) +$G$45," ")," ")</f>
        <v xml:space="preserve"> </v>
      </c>
      <c r="H46" s="43" t="str">
        <f ca="1">IFERROR(IF(ISNUMBER($C$46),INDEX('1.Locations'!$K$2:$K$97,$C$46 + 1) +$H$45," ")," ")</f>
        <v xml:space="preserve"> </v>
      </c>
      <c r="I46" s="45" t="str">
        <f ca="1">IFERROR(IF(AND(ISNUMBER($C$46),$C$46&lt;=95),INDEX('2.Distances'!$D$2:$D$9218,$C$45*96+$C$46+ 1) +$I$45," ")," ")</f>
        <v xml:space="preserve"> </v>
      </c>
      <c r="J46" s="46" t="str">
        <f ca="1">IFERROR(IF(AND(ISNUMBER($C$46),$C$46&lt;=95),INDEX('2.Distances'!$D$2:$D$9218,$C$45*96+$C$46+ 1) +$K$45," ")," ")</f>
        <v xml:space="preserve"> </v>
      </c>
      <c r="K46" s="46" t="str">
        <f ca="1">IFERROR(IF(ISNUMBER($J$46),INDEX('1.Locations'!$I$2:$I$97,$C$46 + 1) + MAX($J$46,INDEX('1.Locations'!$F$2:$F$97,$C$46 + 1))," ")," ")</f>
        <v xml:space="preserve"> </v>
      </c>
      <c r="L46" s="45" t="str">
        <f ca="1">IFERROR($L$45 + INDEX('2.Distances'!$D$2:$D$9218,$C$45*96+$C$46+ 1) + INDEX('1.Locations'!$I$2:$I$97,$C$46 + 1)," ")</f>
        <v xml:space="preserve"> </v>
      </c>
      <c r="N46" s="24">
        <v>41</v>
      </c>
      <c r="O46" s="25"/>
      <c r="P46" s="43" t="str">
        <f ca="1">IFERROR(MATCH(INDIRECT("$O$46"),'1.Locations'!$B$2:$B$97, 0) - 1," ")</f>
        <v xml:space="preserve"> </v>
      </c>
      <c r="Q46" s="43" t="e">
        <f ca="1">IFERROR(IF(ISNUMBER($P$46),INDEX('1.Locations'!$D$2:$D$97,$P$46 + 1),NA()),NA())</f>
        <v>#N/A</v>
      </c>
      <c r="R46" s="43" t="e">
        <f ca="1">IFERROR(IF(ISNUMBER($P$46),INDEX('1.Locations'!$E$2:$E$97,$P$46 + 1),NA()),NA())</f>
        <v>#N/A</v>
      </c>
      <c r="S46" s="44" t="str">
        <f ca="1">IFERROR(IF(AND(ISNUMBER($P$46),$P$46&lt;=95),INDEX('2.Distances'!$C$2:$C$9218,$P$45*96+$P$46+ 1) +$S$45," ")," ")</f>
        <v xml:space="preserve"> </v>
      </c>
      <c r="T46" s="43" t="str">
        <f ca="1">IFERROR(IF(ISNUMBER($P$46),INDEX('1.Locations'!$J$2:$J$97,$P$46 + 1) +$T$45," ")," ")</f>
        <v xml:space="preserve"> </v>
      </c>
      <c r="U46" s="43" t="str">
        <f ca="1">IFERROR(IF(ISNUMBER($P$46),INDEX('1.Locations'!$K$2:$K$97,$P$46 + 1) +$U$45," ")," ")</f>
        <v xml:space="preserve"> </v>
      </c>
      <c r="V46" s="45" t="str">
        <f ca="1">IFERROR(IF(AND(ISNUMBER($P$46),$P$46&lt;=95),INDEX('2.Distances'!$D$2:$D$9218,$P$45*96+$P$46+ 1) +$V$45," ")," ")</f>
        <v xml:space="preserve"> </v>
      </c>
      <c r="W46" s="46" t="str">
        <f ca="1">IFERROR(IF(AND(ISNUMBER($P$46),$P$46&lt;=95),INDEX('2.Distances'!$D$2:$D$9218,$P$45*96+$P$46+ 1) +$X$45," ")," ")</f>
        <v xml:space="preserve"> </v>
      </c>
      <c r="X46" s="46" t="str">
        <f ca="1">IFERROR(IF(ISNUMBER($W$46),INDEX('1.Locations'!$I$2:$I$97,$P$46 + 1) + MAX($W$46,INDEX('1.Locations'!$F$2:$F$97,$P$46 + 1))," ")," ")</f>
        <v xml:space="preserve"> </v>
      </c>
      <c r="Y46" s="45" t="str">
        <f ca="1">IFERROR($Y$45 + INDEX('2.Distances'!$D$2:$D$9218,$P$45*96+$P$46+ 1) + INDEX('1.Locations'!$I$2:$I$97,$P$46 + 1)," ")</f>
        <v xml:space="preserve"> </v>
      </c>
      <c r="AA46" s="24">
        <v>41</v>
      </c>
      <c r="AB46" s="25"/>
      <c r="AC46" s="43" t="str">
        <f ca="1">IFERROR(MATCH(INDIRECT("$AB$46"),'1.Locations'!$B$2:$B$97, 0) - 1," ")</f>
        <v xml:space="preserve"> </v>
      </c>
      <c r="AD46" s="43" t="e">
        <f ca="1">IFERROR(IF(ISNUMBER($AC$46),INDEX('1.Locations'!$D$2:$D$97,$AC$46 + 1),NA()),NA())</f>
        <v>#N/A</v>
      </c>
      <c r="AE46" s="43" t="e">
        <f ca="1">IFERROR(IF(ISNUMBER($AC$46),INDEX('1.Locations'!$E$2:$E$97,$AC$46 + 1),NA()),NA())</f>
        <v>#N/A</v>
      </c>
      <c r="AF46" s="44" t="str">
        <f ca="1">IFERROR(IF(AND(ISNUMBER($AC$46),$AC$46&lt;=95),INDEX('2.Distances'!$C$2:$C$9218,$AC$45*96+$AC$46+ 1) +$AF$45," ")," ")</f>
        <v xml:space="preserve"> </v>
      </c>
      <c r="AG46" s="43" t="str">
        <f ca="1">IFERROR(IF(ISNUMBER($AC$46),INDEX('1.Locations'!$J$2:$J$97,$AC$46 + 1) +$AG$45," ")," ")</f>
        <v xml:space="preserve"> </v>
      </c>
      <c r="AH46" s="43" t="str">
        <f ca="1">IFERROR(IF(ISNUMBER($AC$46),INDEX('1.Locations'!$K$2:$K$97,$AC$46 + 1) +$AH$45," ")," ")</f>
        <v xml:space="preserve"> </v>
      </c>
      <c r="AI46" s="45" t="str">
        <f ca="1">IFERROR(IF(AND(ISNUMBER($AC$46),$AC$46&lt;=95),INDEX('2.Distances'!$D$2:$D$9218,$AC$45*96+$AC$46+ 1) +$AI$45," ")," ")</f>
        <v xml:space="preserve"> </v>
      </c>
      <c r="AJ46" s="46" t="str">
        <f ca="1">IFERROR(IF(AND(ISNUMBER($AC$46),$AC$46&lt;=95),INDEX('2.Distances'!$D$2:$D$9218,$AC$45*96+$AC$46+ 1) +$AK$45," ")," ")</f>
        <v xml:space="preserve"> </v>
      </c>
      <c r="AK46" s="46" t="str">
        <f ca="1">IFERROR(IF(ISNUMBER($AJ$46),INDEX('1.Locations'!$I$2:$I$97,$AC$46 + 1) + MAX($AJ$46,INDEX('1.Locations'!$F$2:$F$97,$AC$46 + 1))," ")," ")</f>
        <v xml:space="preserve"> </v>
      </c>
      <c r="AL46" s="45" t="str">
        <f ca="1">IFERROR($AL$45 + INDEX('2.Distances'!$D$2:$D$9218,$AC$45*96+$AC$46+ 1) + INDEX('1.Locations'!$I$2:$I$97,$AC$46 + 1)," ")</f>
        <v xml:space="preserve"> </v>
      </c>
      <c r="AN46" s="24">
        <v>41</v>
      </c>
      <c r="AO46" s="25"/>
      <c r="AP46" s="43" t="str">
        <f ca="1">IFERROR(MATCH(INDIRECT("$AO$46"),'1.Locations'!$B$2:$B$97, 0) - 1," ")</f>
        <v xml:space="preserve"> </v>
      </c>
      <c r="AQ46" s="43" t="e">
        <f ca="1">IFERROR(IF(ISNUMBER($AP$46),INDEX('1.Locations'!$D$2:$D$97,$AP$46 + 1),NA()),NA())</f>
        <v>#N/A</v>
      </c>
      <c r="AR46" s="43" t="e">
        <f ca="1">IFERROR(IF(ISNUMBER($AP$46),INDEX('1.Locations'!$E$2:$E$97,$AP$46 + 1),NA()),NA())</f>
        <v>#N/A</v>
      </c>
      <c r="AS46" s="44" t="str">
        <f ca="1">IFERROR(IF(AND(ISNUMBER($AP$46),$AP$46&lt;=95),INDEX('2.Distances'!$C$2:$C$9218,$AP$45*96+$AP$46+ 1) +$AS$45," ")," ")</f>
        <v xml:space="preserve"> </v>
      </c>
      <c r="AT46" s="43" t="str">
        <f ca="1">IFERROR(IF(ISNUMBER($AP$46),INDEX('1.Locations'!$J$2:$J$97,$AP$46 + 1) +$AT$45," ")," ")</f>
        <v xml:space="preserve"> </v>
      </c>
      <c r="AU46" s="43" t="str">
        <f ca="1">IFERROR(IF(ISNUMBER($AP$46),INDEX('1.Locations'!$K$2:$K$97,$AP$46 + 1) +$AU$45," ")," ")</f>
        <v xml:space="preserve"> </v>
      </c>
      <c r="AV46" s="45" t="str">
        <f ca="1">IFERROR(IF(AND(ISNUMBER($AP$46),$AP$46&lt;=95),INDEX('2.Distances'!$D$2:$D$9218,$AP$45*96+$AP$46+ 1) +$AV$45," ")," ")</f>
        <v xml:space="preserve"> </v>
      </c>
      <c r="AW46" s="46" t="str">
        <f ca="1">IFERROR(IF(AND(ISNUMBER($AP$46),$AP$46&lt;=95),INDEX('2.Distances'!$D$2:$D$9218,$AP$45*96+$AP$46+ 1) +$AX$45," ")," ")</f>
        <v xml:space="preserve"> </v>
      </c>
      <c r="AX46" s="46" t="str">
        <f ca="1">IFERROR(IF(ISNUMBER($AW$46),INDEX('1.Locations'!$I$2:$I$97,$AP$46 + 1) + MAX($AW$46,INDEX('1.Locations'!$F$2:$F$97,$AP$46 + 1))," ")," ")</f>
        <v xml:space="preserve"> </v>
      </c>
      <c r="AY46" s="45" t="str">
        <f ca="1">IFERROR($AY$45 + INDEX('2.Distances'!$D$2:$D$9218,$AP$45*96+$AP$46+ 1) + INDEX('1.Locations'!$I$2:$I$97,$AP$46 + 1)," ")</f>
        <v xml:space="preserve"> </v>
      </c>
      <c r="BA46" s="24">
        <v>41</v>
      </c>
      <c r="BB46" s="25"/>
      <c r="BC46" s="43" t="str">
        <f ca="1">IFERROR(MATCH(INDIRECT("$BB$46"),'1.Locations'!$B$2:$B$97, 0) - 1," ")</f>
        <v xml:space="preserve"> </v>
      </c>
      <c r="BD46" s="43" t="e">
        <f ca="1">IFERROR(IF(ISNUMBER($BC$46),INDEX('1.Locations'!$D$2:$D$97,$BC$46 + 1),NA()),NA())</f>
        <v>#N/A</v>
      </c>
      <c r="BE46" s="43" t="e">
        <f ca="1">IFERROR(IF(ISNUMBER($BC$46),INDEX('1.Locations'!$E$2:$E$97,$BC$46 + 1),NA()),NA())</f>
        <v>#N/A</v>
      </c>
      <c r="BF46" s="44" t="str">
        <f ca="1">IFERROR(IF(AND(ISNUMBER($BC$46),$BC$46&lt;=95),INDEX('2.Distances'!$C$2:$C$9218,$BC$45*96+$BC$46+ 1) +$BF$45," ")," ")</f>
        <v xml:space="preserve"> </v>
      </c>
      <c r="BG46" s="43" t="str">
        <f ca="1">IFERROR(IF(ISNUMBER($BC$46),INDEX('1.Locations'!$J$2:$J$97,$BC$46 + 1) +$BG$45," ")," ")</f>
        <v xml:space="preserve"> </v>
      </c>
      <c r="BH46" s="43" t="str">
        <f ca="1">IFERROR(IF(ISNUMBER($BC$46),INDEX('1.Locations'!$K$2:$K$97,$BC$46 + 1) +$BH$45," ")," ")</f>
        <v xml:space="preserve"> </v>
      </c>
      <c r="BI46" s="45" t="str">
        <f ca="1">IFERROR(IF(AND(ISNUMBER($BC$46),$BC$46&lt;=95),INDEX('2.Distances'!$D$2:$D$9218,$BC$45*96+$BC$46+ 1) +$BI$45," ")," ")</f>
        <v xml:space="preserve"> </v>
      </c>
      <c r="BJ46" s="46" t="str">
        <f ca="1">IFERROR(IF(AND(ISNUMBER($BC$46),$BC$46&lt;=95),INDEX('2.Distances'!$D$2:$D$9218,$BC$45*96+$BC$46+ 1) +$BK$45," ")," ")</f>
        <v xml:space="preserve"> </v>
      </c>
      <c r="BK46" s="46" t="str">
        <f ca="1">IFERROR(IF(ISNUMBER($BJ$46),INDEX('1.Locations'!$I$2:$I$97,$BC$46 + 1) + MAX($BJ$46,INDEX('1.Locations'!$F$2:$F$97,$BC$46 + 1))," ")," ")</f>
        <v xml:space="preserve"> </v>
      </c>
      <c r="BL46" s="45" t="str">
        <f ca="1">IFERROR($BL$45 + INDEX('2.Distances'!$D$2:$D$9218,$BC$45*96+$BC$46+ 1) + INDEX('1.Locations'!$I$2:$I$97,$BC$46 + 1)," ")</f>
        <v xml:space="preserve"> </v>
      </c>
      <c r="BN46" s="24">
        <v>41</v>
      </c>
      <c r="BO46" s="25"/>
      <c r="BP46" s="43" t="str">
        <f ca="1">IFERROR(MATCH(INDIRECT("$BO$46"),'1.Locations'!$B$2:$B$97, 0) - 1," ")</f>
        <v xml:space="preserve"> </v>
      </c>
      <c r="BQ46" s="43" t="e">
        <f ca="1">IFERROR(IF(ISNUMBER($BP$46),INDEX('1.Locations'!$D$2:$D$97,$BP$46 + 1),NA()),NA())</f>
        <v>#N/A</v>
      </c>
      <c r="BR46" s="43" t="e">
        <f ca="1">IFERROR(IF(ISNUMBER($BP$46),INDEX('1.Locations'!$E$2:$E$97,$BP$46 + 1),NA()),NA())</f>
        <v>#N/A</v>
      </c>
      <c r="BS46" s="44" t="str">
        <f ca="1">IFERROR(IF(AND(ISNUMBER($BP$46),$BP$46&lt;=95),INDEX('2.Distances'!$C$2:$C$9218,$BP$45*96+$BP$46+ 1) +$BS$45," ")," ")</f>
        <v xml:space="preserve"> </v>
      </c>
      <c r="BT46" s="43" t="str">
        <f ca="1">IFERROR(IF(ISNUMBER($BP$46),INDEX('1.Locations'!$J$2:$J$97,$BP$46 + 1) +$BT$45," ")," ")</f>
        <v xml:space="preserve"> </v>
      </c>
      <c r="BU46" s="43" t="str">
        <f ca="1">IFERROR(IF(ISNUMBER($BP$46),INDEX('1.Locations'!$K$2:$K$97,$BP$46 + 1) +$BU$45," ")," ")</f>
        <v xml:space="preserve"> </v>
      </c>
      <c r="BV46" s="45" t="str">
        <f ca="1">IFERROR(IF(AND(ISNUMBER($BP$46),$BP$46&lt;=95),INDEX('2.Distances'!$D$2:$D$9218,$BP$45*96+$BP$46+ 1) +$BV$45," ")," ")</f>
        <v xml:space="preserve"> </v>
      </c>
      <c r="BW46" s="46" t="str">
        <f ca="1">IFERROR(IF(AND(ISNUMBER($BP$46),$BP$46&lt;=95),INDEX('2.Distances'!$D$2:$D$9218,$BP$45*96+$BP$46+ 1) +$BX$45," ")," ")</f>
        <v xml:space="preserve"> </v>
      </c>
      <c r="BX46" s="46" t="str">
        <f ca="1">IFERROR(IF(ISNUMBER($BW$46),INDEX('1.Locations'!$I$2:$I$97,$BP$46 + 1) + MAX($BW$46,INDEX('1.Locations'!$F$2:$F$97,$BP$46 + 1))," ")," ")</f>
        <v xml:space="preserve"> </v>
      </c>
      <c r="BY46" s="45" t="str">
        <f ca="1">IFERROR($BY$45 + INDEX('2.Distances'!$D$2:$D$9218,$BP$45*96+$BP$46+ 1) + INDEX('1.Locations'!$I$2:$I$97,$BP$46 + 1)," ")</f>
        <v xml:space="preserve"> </v>
      </c>
      <c r="CA46" s="24">
        <v>41</v>
      </c>
      <c r="CB46" s="25"/>
      <c r="CC46" s="43" t="str">
        <f ca="1">IFERROR(MATCH(INDIRECT("$CB$46"),'1.Locations'!$B$2:$B$97, 0) - 1," ")</f>
        <v xml:space="preserve"> </v>
      </c>
      <c r="CD46" s="43" t="e">
        <f ca="1">IFERROR(IF(ISNUMBER($CC$46),INDEX('1.Locations'!$D$2:$D$97,$CC$46 + 1),NA()),NA())</f>
        <v>#N/A</v>
      </c>
      <c r="CE46" s="43" t="e">
        <f ca="1">IFERROR(IF(ISNUMBER($CC$46),INDEX('1.Locations'!$E$2:$E$97,$CC$46 + 1),NA()),NA())</f>
        <v>#N/A</v>
      </c>
      <c r="CF46" s="44" t="str">
        <f ca="1">IFERROR(IF(AND(ISNUMBER($CC$46),$CC$46&lt;=95),INDEX('2.Distances'!$C$2:$C$9218,$CC$45*96+$CC$46+ 1) +$CF$45," ")," ")</f>
        <v xml:space="preserve"> </v>
      </c>
      <c r="CG46" s="43" t="str">
        <f ca="1">IFERROR(IF(ISNUMBER($CC$46),INDEX('1.Locations'!$J$2:$J$97,$CC$46 + 1) +$CG$45," ")," ")</f>
        <v xml:space="preserve"> </v>
      </c>
      <c r="CH46" s="43" t="str">
        <f ca="1">IFERROR(IF(ISNUMBER($CC$46),INDEX('1.Locations'!$K$2:$K$97,$CC$46 + 1) +$CH$45," ")," ")</f>
        <v xml:space="preserve"> </v>
      </c>
      <c r="CI46" s="45" t="str">
        <f ca="1">IFERROR(IF(AND(ISNUMBER($CC$46),$CC$46&lt;=95),INDEX('2.Distances'!$D$2:$D$9218,$CC$45*96+$CC$46+ 1) +$CI$45," ")," ")</f>
        <v xml:space="preserve"> </v>
      </c>
      <c r="CJ46" s="46" t="str">
        <f ca="1">IFERROR(IF(AND(ISNUMBER($CC$46),$CC$46&lt;=95),INDEX('2.Distances'!$D$2:$D$9218,$CC$45*96+$CC$46+ 1) +$CK$45," ")," ")</f>
        <v xml:space="preserve"> </v>
      </c>
      <c r="CK46" s="46" t="str">
        <f ca="1">IFERROR(IF(ISNUMBER($CJ$46),INDEX('1.Locations'!$I$2:$I$97,$CC$46 + 1) + MAX($CJ$46,INDEX('1.Locations'!$F$2:$F$97,$CC$46 + 1))," ")," ")</f>
        <v xml:space="preserve"> </v>
      </c>
      <c r="CL46" s="45" t="str">
        <f ca="1">IFERROR($CL$45 + INDEX('2.Distances'!$D$2:$D$9218,$CC$45*96+$CC$46+ 1) + INDEX('1.Locations'!$I$2:$I$97,$CC$46 + 1)," ")</f>
        <v xml:space="preserve"> </v>
      </c>
    </row>
    <row r="47" spans="1:90" x14ac:dyDescent="0.25">
      <c r="A47" s="24">
        <v>42</v>
      </c>
      <c r="B47" s="25"/>
      <c r="C47" s="43" t="str">
        <f ca="1">IFERROR(MATCH(INDIRECT("$B$47"),'1.Locations'!$B$2:$B$97, 0) - 1," ")</f>
        <v xml:space="preserve"> </v>
      </c>
      <c r="D47" s="43" t="e">
        <f ca="1">IFERROR(IF(ISNUMBER($C$47),INDEX('1.Locations'!$D$2:$D$97,$C$47 + 1),NA()),NA())</f>
        <v>#N/A</v>
      </c>
      <c r="E47" s="43" t="e">
        <f ca="1">IFERROR(IF(ISNUMBER($C$47),INDEX('1.Locations'!$E$2:$E$97,$C$47 + 1),NA()),NA())</f>
        <v>#N/A</v>
      </c>
      <c r="F47" s="44" t="str">
        <f ca="1">IFERROR(IF(AND(ISNUMBER($C$47),$C$47&lt;=95),INDEX('2.Distances'!$C$2:$C$9218,$C$46*96+$C$47+ 1) +$F$46," ")," ")</f>
        <v xml:space="preserve"> </v>
      </c>
      <c r="G47" s="43" t="str">
        <f ca="1">IFERROR(IF(ISNUMBER($C$47),INDEX('1.Locations'!$J$2:$J$97,$C$47 + 1) +$G$46," ")," ")</f>
        <v xml:space="preserve"> </v>
      </c>
      <c r="H47" s="43" t="str">
        <f ca="1">IFERROR(IF(ISNUMBER($C$47),INDEX('1.Locations'!$K$2:$K$97,$C$47 + 1) +$H$46," ")," ")</f>
        <v xml:space="preserve"> </v>
      </c>
      <c r="I47" s="45" t="str">
        <f ca="1">IFERROR(IF(AND(ISNUMBER($C$47),$C$47&lt;=95),INDEX('2.Distances'!$D$2:$D$9218,$C$46*96+$C$47+ 1) +$I$46," ")," ")</f>
        <v xml:space="preserve"> </v>
      </c>
      <c r="J47" s="46" t="str">
        <f ca="1">IFERROR(IF(AND(ISNUMBER($C$47),$C$47&lt;=95),INDEX('2.Distances'!$D$2:$D$9218,$C$46*96+$C$47+ 1) +$K$46," ")," ")</f>
        <v xml:space="preserve"> </v>
      </c>
      <c r="K47" s="46" t="str">
        <f ca="1">IFERROR(IF(ISNUMBER($J$47),INDEX('1.Locations'!$I$2:$I$97,$C$47 + 1) + MAX($J$47,INDEX('1.Locations'!$F$2:$F$97,$C$47 + 1))," ")," ")</f>
        <v xml:space="preserve"> </v>
      </c>
      <c r="L47" s="45" t="str">
        <f ca="1">IFERROR($L$46 + INDEX('2.Distances'!$D$2:$D$9218,$C$46*96+$C$47+ 1) + INDEX('1.Locations'!$I$2:$I$97,$C$47 + 1)," ")</f>
        <v xml:space="preserve"> </v>
      </c>
      <c r="N47" s="24">
        <v>42</v>
      </c>
      <c r="O47" s="25"/>
      <c r="P47" s="43" t="str">
        <f ca="1">IFERROR(MATCH(INDIRECT("$O$47"),'1.Locations'!$B$2:$B$97, 0) - 1," ")</f>
        <v xml:space="preserve"> </v>
      </c>
      <c r="Q47" s="43" t="e">
        <f ca="1">IFERROR(IF(ISNUMBER($P$47),INDEX('1.Locations'!$D$2:$D$97,$P$47 + 1),NA()),NA())</f>
        <v>#N/A</v>
      </c>
      <c r="R47" s="43" t="e">
        <f ca="1">IFERROR(IF(ISNUMBER($P$47),INDEX('1.Locations'!$E$2:$E$97,$P$47 + 1),NA()),NA())</f>
        <v>#N/A</v>
      </c>
      <c r="S47" s="44" t="str">
        <f ca="1">IFERROR(IF(AND(ISNUMBER($P$47),$P$47&lt;=95),INDEX('2.Distances'!$C$2:$C$9218,$P$46*96+$P$47+ 1) +$S$46," ")," ")</f>
        <v xml:space="preserve"> </v>
      </c>
      <c r="T47" s="43" t="str">
        <f ca="1">IFERROR(IF(ISNUMBER($P$47),INDEX('1.Locations'!$J$2:$J$97,$P$47 + 1) +$T$46," ")," ")</f>
        <v xml:space="preserve"> </v>
      </c>
      <c r="U47" s="43" t="str">
        <f ca="1">IFERROR(IF(ISNUMBER($P$47),INDEX('1.Locations'!$K$2:$K$97,$P$47 + 1) +$U$46," ")," ")</f>
        <v xml:space="preserve"> </v>
      </c>
      <c r="V47" s="45" t="str">
        <f ca="1">IFERROR(IF(AND(ISNUMBER($P$47),$P$47&lt;=95),INDEX('2.Distances'!$D$2:$D$9218,$P$46*96+$P$47+ 1) +$V$46," ")," ")</f>
        <v xml:space="preserve"> </v>
      </c>
      <c r="W47" s="46" t="str">
        <f ca="1">IFERROR(IF(AND(ISNUMBER($P$47),$P$47&lt;=95),INDEX('2.Distances'!$D$2:$D$9218,$P$46*96+$P$47+ 1) +$X$46," ")," ")</f>
        <v xml:space="preserve"> </v>
      </c>
      <c r="X47" s="46" t="str">
        <f ca="1">IFERROR(IF(ISNUMBER($W$47),INDEX('1.Locations'!$I$2:$I$97,$P$47 + 1) + MAX($W$47,INDEX('1.Locations'!$F$2:$F$97,$P$47 + 1))," ")," ")</f>
        <v xml:space="preserve"> </v>
      </c>
      <c r="Y47" s="45" t="str">
        <f ca="1">IFERROR($Y$46 + INDEX('2.Distances'!$D$2:$D$9218,$P$46*96+$P$47+ 1) + INDEX('1.Locations'!$I$2:$I$97,$P$47 + 1)," ")</f>
        <v xml:space="preserve"> </v>
      </c>
      <c r="AA47" s="24">
        <v>42</v>
      </c>
      <c r="AB47" s="25"/>
      <c r="AC47" s="43" t="str">
        <f ca="1">IFERROR(MATCH(INDIRECT("$AB$47"),'1.Locations'!$B$2:$B$97, 0) - 1," ")</f>
        <v xml:space="preserve"> </v>
      </c>
      <c r="AD47" s="43" t="e">
        <f ca="1">IFERROR(IF(ISNUMBER($AC$47),INDEX('1.Locations'!$D$2:$D$97,$AC$47 + 1),NA()),NA())</f>
        <v>#N/A</v>
      </c>
      <c r="AE47" s="43" t="e">
        <f ca="1">IFERROR(IF(ISNUMBER($AC$47),INDEX('1.Locations'!$E$2:$E$97,$AC$47 + 1),NA()),NA())</f>
        <v>#N/A</v>
      </c>
      <c r="AF47" s="44" t="str">
        <f ca="1">IFERROR(IF(AND(ISNUMBER($AC$47),$AC$47&lt;=95),INDEX('2.Distances'!$C$2:$C$9218,$AC$46*96+$AC$47+ 1) +$AF$46," ")," ")</f>
        <v xml:space="preserve"> </v>
      </c>
      <c r="AG47" s="43" t="str">
        <f ca="1">IFERROR(IF(ISNUMBER($AC$47),INDEX('1.Locations'!$J$2:$J$97,$AC$47 + 1) +$AG$46," ")," ")</f>
        <v xml:space="preserve"> </v>
      </c>
      <c r="AH47" s="43" t="str">
        <f ca="1">IFERROR(IF(ISNUMBER($AC$47),INDEX('1.Locations'!$K$2:$K$97,$AC$47 + 1) +$AH$46," ")," ")</f>
        <v xml:space="preserve"> </v>
      </c>
      <c r="AI47" s="45" t="str">
        <f ca="1">IFERROR(IF(AND(ISNUMBER($AC$47),$AC$47&lt;=95),INDEX('2.Distances'!$D$2:$D$9218,$AC$46*96+$AC$47+ 1) +$AI$46," ")," ")</f>
        <v xml:space="preserve"> </v>
      </c>
      <c r="AJ47" s="46" t="str">
        <f ca="1">IFERROR(IF(AND(ISNUMBER($AC$47),$AC$47&lt;=95),INDEX('2.Distances'!$D$2:$D$9218,$AC$46*96+$AC$47+ 1) +$AK$46," ")," ")</f>
        <v xml:space="preserve"> </v>
      </c>
      <c r="AK47" s="46" t="str">
        <f ca="1">IFERROR(IF(ISNUMBER($AJ$47),INDEX('1.Locations'!$I$2:$I$97,$AC$47 + 1) + MAX($AJ$47,INDEX('1.Locations'!$F$2:$F$97,$AC$47 + 1))," ")," ")</f>
        <v xml:space="preserve"> </v>
      </c>
      <c r="AL47" s="45" t="str">
        <f ca="1">IFERROR($AL$46 + INDEX('2.Distances'!$D$2:$D$9218,$AC$46*96+$AC$47+ 1) + INDEX('1.Locations'!$I$2:$I$97,$AC$47 + 1)," ")</f>
        <v xml:space="preserve"> </v>
      </c>
      <c r="AN47" s="24">
        <v>42</v>
      </c>
      <c r="AO47" s="25"/>
      <c r="AP47" s="43" t="str">
        <f ca="1">IFERROR(MATCH(INDIRECT("$AO$47"),'1.Locations'!$B$2:$B$97, 0) - 1," ")</f>
        <v xml:space="preserve"> </v>
      </c>
      <c r="AQ47" s="43" t="e">
        <f ca="1">IFERROR(IF(ISNUMBER($AP$47),INDEX('1.Locations'!$D$2:$D$97,$AP$47 + 1),NA()),NA())</f>
        <v>#N/A</v>
      </c>
      <c r="AR47" s="43" t="e">
        <f ca="1">IFERROR(IF(ISNUMBER($AP$47),INDEX('1.Locations'!$E$2:$E$97,$AP$47 + 1),NA()),NA())</f>
        <v>#N/A</v>
      </c>
      <c r="AS47" s="44" t="str">
        <f ca="1">IFERROR(IF(AND(ISNUMBER($AP$47),$AP$47&lt;=95),INDEX('2.Distances'!$C$2:$C$9218,$AP$46*96+$AP$47+ 1) +$AS$46," ")," ")</f>
        <v xml:space="preserve"> </v>
      </c>
      <c r="AT47" s="43" t="str">
        <f ca="1">IFERROR(IF(ISNUMBER($AP$47),INDEX('1.Locations'!$J$2:$J$97,$AP$47 + 1) +$AT$46," ")," ")</f>
        <v xml:space="preserve"> </v>
      </c>
      <c r="AU47" s="43" t="str">
        <f ca="1">IFERROR(IF(ISNUMBER($AP$47),INDEX('1.Locations'!$K$2:$K$97,$AP$47 + 1) +$AU$46," ")," ")</f>
        <v xml:space="preserve"> </v>
      </c>
      <c r="AV47" s="45" t="str">
        <f ca="1">IFERROR(IF(AND(ISNUMBER($AP$47),$AP$47&lt;=95),INDEX('2.Distances'!$D$2:$D$9218,$AP$46*96+$AP$47+ 1) +$AV$46," ")," ")</f>
        <v xml:space="preserve"> </v>
      </c>
      <c r="AW47" s="46" t="str">
        <f ca="1">IFERROR(IF(AND(ISNUMBER($AP$47),$AP$47&lt;=95),INDEX('2.Distances'!$D$2:$D$9218,$AP$46*96+$AP$47+ 1) +$AX$46," ")," ")</f>
        <v xml:space="preserve"> </v>
      </c>
      <c r="AX47" s="46" t="str">
        <f ca="1">IFERROR(IF(ISNUMBER($AW$47),INDEX('1.Locations'!$I$2:$I$97,$AP$47 + 1) + MAX($AW$47,INDEX('1.Locations'!$F$2:$F$97,$AP$47 + 1))," ")," ")</f>
        <v xml:space="preserve"> </v>
      </c>
      <c r="AY47" s="45" t="str">
        <f ca="1">IFERROR($AY$46 + INDEX('2.Distances'!$D$2:$D$9218,$AP$46*96+$AP$47+ 1) + INDEX('1.Locations'!$I$2:$I$97,$AP$47 + 1)," ")</f>
        <v xml:space="preserve"> </v>
      </c>
      <c r="BA47" s="24">
        <v>42</v>
      </c>
      <c r="BB47" s="25"/>
      <c r="BC47" s="43" t="str">
        <f ca="1">IFERROR(MATCH(INDIRECT("$BB$47"),'1.Locations'!$B$2:$B$97, 0) - 1," ")</f>
        <v xml:space="preserve"> </v>
      </c>
      <c r="BD47" s="43" t="e">
        <f ca="1">IFERROR(IF(ISNUMBER($BC$47),INDEX('1.Locations'!$D$2:$D$97,$BC$47 + 1),NA()),NA())</f>
        <v>#N/A</v>
      </c>
      <c r="BE47" s="43" t="e">
        <f ca="1">IFERROR(IF(ISNUMBER($BC$47),INDEX('1.Locations'!$E$2:$E$97,$BC$47 + 1),NA()),NA())</f>
        <v>#N/A</v>
      </c>
      <c r="BF47" s="44" t="str">
        <f ca="1">IFERROR(IF(AND(ISNUMBER($BC$47),$BC$47&lt;=95),INDEX('2.Distances'!$C$2:$C$9218,$BC$46*96+$BC$47+ 1) +$BF$46," ")," ")</f>
        <v xml:space="preserve"> </v>
      </c>
      <c r="BG47" s="43" t="str">
        <f ca="1">IFERROR(IF(ISNUMBER($BC$47),INDEX('1.Locations'!$J$2:$J$97,$BC$47 + 1) +$BG$46," ")," ")</f>
        <v xml:space="preserve"> </v>
      </c>
      <c r="BH47" s="43" t="str">
        <f ca="1">IFERROR(IF(ISNUMBER($BC$47),INDEX('1.Locations'!$K$2:$K$97,$BC$47 + 1) +$BH$46," ")," ")</f>
        <v xml:space="preserve"> </v>
      </c>
      <c r="BI47" s="45" t="str">
        <f ca="1">IFERROR(IF(AND(ISNUMBER($BC$47),$BC$47&lt;=95),INDEX('2.Distances'!$D$2:$D$9218,$BC$46*96+$BC$47+ 1) +$BI$46," ")," ")</f>
        <v xml:space="preserve"> </v>
      </c>
      <c r="BJ47" s="46" t="str">
        <f ca="1">IFERROR(IF(AND(ISNUMBER($BC$47),$BC$47&lt;=95),INDEX('2.Distances'!$D$2:$D$9218,$BC$46*96+$BC$47+ 1) +$BK$46," ")," ")</f>
        <v xml:space="preserve"> </v>
      </c>
      <c r="BK47" s="46" t="str">
        <f ca="1">IFERROR(IF(ISNUMBER($BJ$47),INDEX('1.Locations'!$I$2:$I$97,$BC$47 + 1) + MAX($BJ$47,INDEX('1.Locations'!$F$2:$F$97,$BC$47 + 1))," ")," ")</f>
        <v xml:space="preserve"> </v>
      </c>
      <c r="BL47" s="45" t="str">
        <f ca="1">IFERROR($BL$46 + INDEX('2.Distances'!$D$2:$D$9218,$BC$46*96+$BC$47+ 1) + INDEX('1.Locations'!$I$2:$I$97,$BC$47 + 1)," ")</f>
        <v xml:space="preserve"> </v>
      </c>
      <c r="BN47" s="24">
        <v>42</v>
      </c>
      <c r="BO47" s="25"/>
      <c r="BP47" s="43" t="str">
        <f ca="1">IFERROR(MATCH(INDIRECT("$BO$47"),'1.Locations'!$B$2:$B$97, 0) - 1," ")</f>
        <v xml:space="preserve"> </v>
      </c>
      <c r="BQ47" s="43" t="e">
        <f ca="1">IFERROR(IF(ISNUMBER($BP$47),INDEX('1.Locations'!$D$2:$D$97,$BP$47 + 1),NA()),NA())</f>
        <v>#N/A</v>
      </c>
      <c r="BR47" s="43" t="e">
        <f ca="1">IFERROR(IF(ISNUMBER($BP$47),INDEX('1.Locations'!$E$2:$E$97,$BP$47 + 1),NA()),NA())</f>
        <v>#N/A</v>
      </c>
      <c r="BS47" s="44" t="str">
        <f ca="1">IFERROR(IF(AND(ISNUMBER($BP$47),$BP$47&lt;=95),INDEX('2.Distances'!$C$2:$C$9218,$BP$46*96+$BP$47+ 1) +$BS$46," ")," ")</f>
        <v xml:space="preserve"> </v>
      </c>
      <c r="BT47" s="43" t="str">
        <f ca="1">IFERROR(IF(ISNUMBER($BP$47),INDEX('1.Locations'!$J$2:$J$97,$BP$47 + 1) +$BT$46," ")," ")</f>
        <v xml:space="preserve"> </v>
      </c>
      <c r="BU47" s="43" t="str">
        <f ca="1">IFERROR(IF(ISNUMBER($BP$47),INDEX('1.Locations'!$K$2:$K$97,$BP$47 + 1) +$BU$46," ")," ")</f>
        <v xml:space="preserve"> </v>
      </c>
      <c r="BV47" s="45" t="str">
        <f ca="1">IFERROR(IF(AND(ISNUMBER($BP$47),$BP$47&lt;=95),INDEX('2.Distances'!$D$2:$D$9218,$BP$46*96+$BP$47+ 1) +$BV$46," ")," ")</f>
        <v xml:space="preserve"> </v>
      </c>
      <c r="BW47" s="46" t="str">
        <f ca="1">IFERROR(IF(AND(ISNUMBER($BP$47),$BP$47&lt;=95),INDEX('2.Distances'!$D$2:$D$9218,$BP$46*96+$BP$47+ 1) +$BX$46," ")," ")</f>
        <v xml:space="preserve"> </v>
      </c>
      <c r="BX47" s="46" t="str">
        <f ca="1">IFERROR(IF(ISNUMBER($BW$47),INDEX('1.Locations'!$I$2:$I$97,$BP$47 + 1) + MAX($BW$47,INDEX('1.Locations'!$F$2:$F$97,$BP$47 + 1))," ")," ")</f>
        <v xml:space="preserve"> </v>
      </c>
      <c r="BY47" s="45" t="str">
        <f ca="1">IFERROR($BY$46 + INDEX('2.Distances'!$D$2:$D$9218,$BP$46*96+$BP$47+ 1) + INDEX('1.Locations'!$I$2:$I$97,$BP$47 + 1)," ")</f>
        <v xml:space="preserve"> </v>
      </c>
      <c r="CA47" s="24">
        <v>42</v>
      </c>
      <c r="CB47" s="25"/>
      <c r="CC47" s="43" t="str">
        <f ca="1">IFERROR(MATCH(INDIRECT("$CB$47"),'1.Locations'!$B$2:$B$97, 0) - 1," ")</f>
        <v xml:space="preserve"> </v>
      </c>
      <c r="CD47" s="43" t="e">
        <f ca="1">IFERROR(IF(ISNUMBER($CC$47),INDEX('1.Locations'!$D$2:$D$97,$CC$47 + 1),NA()),NA())</f>
        <v>#N/A</v>
      </c>
      <c r="CE47" s="43" t="e">
        <f ca="1">IFERROR(IF(ISNUMBER($CC$47),INDEX('1.Locations'!$E$2:$E$97,$CC$47 + 1),NA()),NA())</f>
        <v>#N/A</v>
      </c>
      <c r="CF47" s="44" t="str">
        <f ca="1">IFERROR(IF(AND(ISNUMBER($CC$47),$CC$47&lt;=95),INDEX('2.Distances'!$C$2:$C$9218,$CC$46*96+$CC$47+ 1) +$CF$46," ")," ")</f>
        <v xml:space="preserve"> </v>
      </c>
      <c r="CG47" s="43" t="str">
        <f ca="1">IFERROR(IF(ISNUMBER($CC$47),INDEX('1.Locations'!$J$2:$J$97,$CC$47 + 1) +$CG$46," ")," ")</f>
        <v xml:space="preserve"> </v>
      </c>
      <c r="CH47" s="43" t="str">
        <f ca="1">IFERROR(IF(ISNUMBER($CC$47),INDEX('1.Locations'!$K$2:$K$97,$CC$47 + 1) +$CH$46," ")," ")</f>
        <v xml:space="preserve"> </v>
      </c>
      <c r="CI47" s="45" t="str">
        <f ca="1">IFERROR(IF(AND(ISNUMBER($CC$47),$CC$47&lt;=95),INDEX('2.Distances'!$D$2:$D$9218,$CC$46*96+$CC$47+ 1) +$CI$46," ")," ")</f>
        <v xml:space="preserve"> </v>
      </c>
      <c r="CJ47" s="46" t="str">
        <f ca="1">IFERROR(IF(AND(ISNUMBER($CC$47),$CC$47&lt;=95),INDEX('2.Distances'!$D$2:$D$9218,$CC$46*96+$CC$47+ 1) +$CK$46," ")," ")</f>
        <v xml:space="preserve"> </v>
      </c>
      <c r="CK47" s="46" t="str">
        <f ca="1">IFERROR(IF(ISNUMBER($CJ$47),INDEX('1.Locations'!$I$2:$I$97,$CC$47 + 1) + MAX($CJ$47,INDEX('1.Locations'!$F$2:$F$97,$CC$47 + 1))," ")," ")</f>
        <v xml:space="preserve"> </v>
      </c>
      <c r="CL47" s="45" t="str">
        <f ca="1">IFERROR($CL$46 + INDEX('2.Distances'!$D$2:$D$9218,$CC$46*96+$CC$47+ 1) + INDEX('1.Locations'!$I$2:$I$97,$CC$47 + 1)," ")</f>
        <v xml:space="preserve"> </v>
      </c>
    </row>
    <row r="48" spans="1:90" x14ac:dyDescent="0.25">
      <c r="A48" s="24">
        <v>43</v>
      </c>
      <c r="B48" s="25"/>
      <c r="C48" s="43" t="str">
        <f ca="1">IFERROR(MATCH(INDIRECT("$B$48"),'1.Locations'!$B$2:$B$97, 0) - 1," ")</f>
        <v xml:space="preserve"> </v>
      </c>
      <c r="D48" s="43" t="e">
        <f ca="1">IFERROR(IF(ISNUMBER($C$48),INDEX('1.Locations'!$D$2:$D$97,$C$48 + 1),NA()),NA())</f>
        <v>#N/A</v>
      </c>
      <c r="E48" s="43" t="e">
        <f ca="1">IFERROR(IF(ISNUMBER($C$48),INDEX('1.Locations'!$E$2:$E$97,$C$48 + 1),NA()),NA())</f>
        <v>#N/A</v>
      </c>
      <c r="F48" s="44" t="str">
        <f ca="1">IFERROR(IF(AND(ISNUMBER($C$48),$C$48&lt;=95),INDEX('2.Distances'!$C$2:$C$9218,$C$47*96+$C$48+ 1) +$F$47," ")," ")</f>
        <v xml:space="preserve"> </v>
      </c>
      <c r="G48" s="43" t="str">
        <f ca="1">IFERROR(IF(ISNUMBER($C$48),INDEX('1.Locations'!$J$2:$J$97,$C$48 + 1) +$G$47," ")," ")</f>
        <v xml:space="preserve"> </v>
      </c>
      <c r="H48" s="43" t="str">
        <f ca="1">IFERROR(IF(ISNUMBER($C$48),INDEX('1.Locations'!$K$2:$K$97,$C$48 + 1) +$H$47," ")," ")</f>
        <v xml:space="preserve"> </v>
      </c>
      <c r="I48" s="45" t="str">
        <f ca="1">IFERROR(IF(AND(ISNUMBER($C$48),$C$48&lt;=95),INDEX('2.Distances'!$D$2:$D$9218,$C$47*96+$C$48+ 1) +$I$47," ")," ")</f>
        <v xml:space="preserve"> </v>
      </c>
      <c r="J48" s="46" t="str">
        <f ca="1">IFERROR(IF(AND(ISNUMBER($C$48),$C$48&lt;=95),INDEX('2.Distances'!$D$2:$D$9218,$C$47*96+$C$48+ 1) +$K$47," ")," ")</f>
        <v xml:space="preserve"> </v>
      </c>
      <c r="K48" s="46" t="str">
        <f ca="1">IFERROR(IF(ISNUMBER($J$48),INDEX('1.Locations'!$I$2:$I$97,$C$48 + 1) + MAX($J$48,INDEX('1.Locations'!$F$2:$F$97,$C$48 + 1))," ")," ")</f>
        <v xml:space="preserve"> </v>
      </c>
      <c r="L48" s="45" t="str">
        <f ca="1">IFERROR($L$47 + INDEX('2.Distances'!$D$2:$D$9218,$C$47*96+$C$48+ 1) + INDEX('1.Locations'!$I$2:$I$97,$C$48 + 1)," ")</f>
        <v xml:space="preserve"> </v>
      </c>
      <c r="N48" s="24">
        <v>43</v>
      </c>
      <c r="O48" s="25"/>
      <c r="P48" s="43" t="str">
        <f ca="1">IFERROR(MATCH(INDIRECT("$O$48"),'1.Locations'!$B$2:$B$97, 0) - 1," ")</f>
        <v xml:space="preserve"> </v>
      </c>
      <c r="Q48" s="43" t="e">
        <f ca="1">IFERROR(IF(ISNUMBER($P$48),INDEX('1.Locations'!$D$2:$D$97,$P$48 + 1),NA()),NA())</f>
        <v>#N/A</v>
      </c>
      <c r="R48" s="43" t="e">
        <f ca="1">IFERROR(IF(ISNUMBER($P$48),INDEX('1.Locations'!$E$2:$E$97,$P$48 + 1),NA()),NA())</f>
        <v>#N/A</v>
      </c>
      <c r="S48" s="44" t="str">
        <f ca="1">IFERROR(IF(AND(ISNUMBER($P$48),$P$48&lt;=95),INDEX('2.Distances'!$C$2:$C$9218,$P$47*96+$P$48+ 1) +$S$47," ")," ")</f>
        <v xml:space="preserve"> </v>
      </c>
      <c r="T48" s="43" t="str">
        <f ca="1">IFERROR(IF(ISNUMBER($P$48),INDEX('1.Locations'!$J$2:$J$97,$P$48 + 1) +$T$47," ")," ")</f>
        <v xml:space="preserve"> </v>
      </c>
      <c r="U48" s="43" t="str">
        <f ca="1">IFERROR(IF(ISNUMBER($P$48),INDEX('1.Locations'!$K$2:$K$97,$P$48 + 1) +$U$47," ")," ")</f>
        <v xml:space="preserve"> </v>
      </c>
      <c r="V48" s="45" t="str">
        <f ca="1">IFERROR(IF(AND(ISNUMBER($P$48),$P$48&lt;=95),INDEX('2.Distances'!$D$2:$D$9218,$P$47*96+$P$48+ 1) +$V$47," ")," ")</f>
        <v xml:space="preserve"> </v>
      </c>
      <c r="W48" s="46" t="str">
        <f ca="1">IFERROR(IF(AND(ISNUMBER($P$48),$P$48&lt;=95),INDEX('2.Distances'!$D$2:$D$9218,$P$47*96+$P$48+ 1) +$X$47," ")," ")</f>
        <v xml:space="preserve"> </v>
      </c>
      <c r="X48" s="46" t="str">
        <f ca="1">IFERROR(IF(ISNUMBER($W$48),INDEX('1.Locations'!$I$2:$I$97,$P$48 + 1) + MAX($W$48,INDEX('1.Locations'!$F$2:$F$97,$P$48 + 1))," ")," ")</f>
        <v xml:space="preserve"> </v>
      </c>
      <c r="Y48" s="45" t="str">
        <f ca="1">IFERROR($Y$47 + INDEX('2.Distances'!$D$2:$D$9218,$P$47*96+$P$48+ 1) + INDEX('1.Locations'!$I$2:$I$97,$P$48 + 1)," ")</f>
        <v xml:space="preserve"> </v>
      </c>
      <c r="AA48" s="24">
        <v>43</v>
      </c>
      <c r="AB48" s="25"/>
      <c r="AC48" s="43" t="str">
        <f ca="1">IFERROR(MATCH(INDIRECT("$AB$48"),'1.Locations'!$B$2:$B$97, 0) - 1," ")</f>
        <v xml:space="preserve"> </v>
      </c>
      <c r="AD48" s="43" t="e">
        <f ca="1">IFERROR(IF(ISNUMBER($AC$48),INDEX('1.Locations'!$D$2:$D$97,$AC$48 + 1),NA()),NA())</f>
        <v>#N/A</v>
      </c>
      <c r="AE48" s="43" t="e">
        <f ca="1">IFERROR(IF(ISNUMBER($AC$48),INDEX('1.Locations'!$E$2:$E$97,$AC$48 + 1),NA()),NA())</f>
        <v>#N/A</v>
      </c>
      <c r="AF48" s="44" t="str">
        <f ca="1">IFERROR(IF(AND(ISNUMBER($AC$48),$AC$48&lt;=95),INDEX('2.Distances'!$C$2:$C$9218,$AC$47*96+$AC$48+ 1) +$AF$47," ")," ")</f>
        <v xml:space="preserve"> </v>
      </c>
      <c r="AG48" s="43" t="str">
        <f ca="1">IFERROR(IF(ISNUMBER($AC$48),INDEX('1.Locations'!$J$2:$J$97,$AC$48 + 1) +$AG$47," ")," ")</f>
        <v xml:space="preserve"> </v>
      </c>
      <c r="AH48" s="43" t="str">
        <f ca="1">IFERROR(IF(ISNUMBER($AC$48),INDEX('1.Locations'!$K$2:$K$97,$AC$48 + 1) +$AH$47," ")," ")</f>
        <v xml:space="preserve"> </v>
      </c>
      <c r="AI48" s="45" t="str">
        <f ca="1">IFERROR(IF(AND(ISNUMBER($AC$48),$AC$48&lt;=95),INDEX('2.Distances'!$D$2:$D$9218,$AC$47*96+$AC$48+ 1) +$AI$47," ")," ")</f>
        <v xml:space="preserve"> </v>
      </c>
      <c r="AJ48" s="46" t="str">
        <f ca="1">IFERROR(IF(AND(ISNUMBER($AC$48),$AC$48&lt;=95),INDEX('2.Distances'!$D$2:$D$9218,$AC$47*96+$AC$48+ 1) +$AK$47," ")," ")</f>
        <v xml:space="preserve"> </v>
      </c>
      <c r="AK48" s="46" t="str">
        <f ca="1">IFERROR(IF(ISNUMBER($AJ$48),INDEX('1.Locations'!$I$2:$I$97,$AC$48 + 1) + MAX($AJ$48,INDEX('1.Locations'!$F$2:$F$97,$AC$48 + 1))," ")," ")</f>
        <v xml:space="preserve"> </v>
      </c>
      <c r="AL48" s="45" t="str">
        <f ca="1">IFERROR($AL$47 + INDEX('2.Distances'!$D$2:$D$9218,$AC$47*96+$AC$48+ 1) + INDEX('1.Locations'!$I$2:$I$97,$AC$48 + 1)," ")</f>
        <v xml:space="preserve"> </v>
      </c>
      <c r="AN48" s="24">
        <v>43</v>
      </c>
      <c r="AO48" s="25"/>
      <c r="AP48" s="43" t="str">
        <f ca="1">IFERROR(MATCH(INDIRECT("$AO$48"),'1.Locations'!$B$2:$B$97, 0) - 1," ")</f>
        <v xml:space="preserve"> </v>
      </c>
      <c r="AQ48" s="43" t="e">
        <f ca="1">IFERROR(IF(ISNUMBER($AP$48),INDEX('1.Locations'!$D$2:$D$97,$AP$48 + 1),NA()),NA())</f>
        <v>#N/A</v>
      </c>
      <c r="AR48" s="43" t="e">
        <f ca="1">IFERROR(IF(ISNUMBER($AP$48),INDEX('1.Locations'!$E$2:$E$97,$AP$48 + 1),NA()),NA())</f>
        <v>#N/A</v>
      </c>
      <c r="AS48" s="44" t="str">
        <f ca="1">IFERROR(IF(AND(ISNUMBER($AP$48),$AP$48&lt;=95),INDEX('2.Distances'!$C$2:$C$9218,$AP$47*96+$AP$48+ 1) +$AS$47," ")," ")</f>
        <v xml:space="preserve"> </v>
      </c>
      <c r="AT48" s="43" t="str">
        <f ca="1">IFERROR(IF(ISNUMBER($AP$48),INDEX('1.Locations'!$J$2:$J$97,$AP$48 + 1) +$AT$47," ")," ")</f>
        <v xml:space="preserve"> </v>
      </c>
      <c r="AU48" s="43" t="str">
        <f ca="1">IFERROR(IF(ISNUMBER($AP$48),INDEX('1.Locations'!$K$2:$K$97,$AP$48 + 1) +$AU$47," ")," ")</f>
        <v xml:space="preserve"> </v>
      </c>
      <c r="AV48" s="45" t="str">
        <f ca="1">IFERROR(IF(AND(ISNUMBER($AP$48),$AP$48&lt;=95),INDEX('2.Distances'!$D$2:$D$9218,$AP$47*96+$AP$48+ 1) +$AV$47," ")," ")</f>
        <v xml:space="preserve"> </v>
      </c>
      <c r="AW48" s="46" t="str">
        <f ca="1">IFERROR(IF(AND(ISNUMBER($AP$48),$AP$48&lt;=95),INDEX('2.Distances'!$D$2:$D$9218,$AP$47*96+$AP$48+ 1) +$AX$47," ")," ")</f>
        <v xml:space="preserve"> </v>
      </c>
      <c r="AX48" s="46" t="str">
        <f ca="1">IFERROR(IF(ISNUMBER($AW$48),INDEX('1.Locations'!$I$2:$I$97,$AP$48 + 1) + MAX($AW$48,INDEX('1.Locations'!$F$2:$F$97,$AP$48 + 1))," ")," ")</f>
        <v xml:space="preserve"> </v>
      </c>
      <c r="AY48" s="45" t="str">
        <f ca="1">IFERROR($AY$47 + INDEX('2.Distances'!$D$2:$D$9218,$AP$47*96+$AP$48+ 1) + INDEX('1.Locations'!$I$2:$I$97,$AP$48 + 1)," ")</f>
        <v xml:space="preserve"> </v>
      </c>
      <c r="BA48" s="24">
        <v>43</v>
      </c>
      <c r="BB48" s="25"/>
      <c r="BC48" s="43" t="str">
        <f ca="1">IFERROR(MATCH(INDIRECT("$BB$48"),'1.Locations'!$B$2:$B$97, 0) - 1," ")</f>
        <v xml:space="preserve"> </v>
      </c>
      <c r="BD48" s="43" t="e">
        <f ca="1">IFERROR(IF(ISNUMBER($BC$48),INDEX('1.Locations'!$D$2:$D$97,$BC$48 + 1),NA()),NA())</f>
        <v>#N/A</v>
      </c>
      <c r="BE48" s="43" t="e">
        <f ca="1">IFERROR(IF(ISNUMBER($BC$48),INDEX('1.Locations'!$E$2:$E$97,$BC$48 + 1),NA()),NA())</f>
        <v>#N/A</v>
      </c>
      <c r="BF48" s="44" t="str">
        <f ca="1">IFERROR(IF(AND(ISNUMBER($BC$48),$BC$48&lt;=95),INDEX('2.Distances'!$C$2:$C$9218,$BC$47*96+$BC$48+ 1) +$BF$47," ")," ")</f>
        <v xml:space="preserve"> </v>
      </c>
      <c r="BG48" s="43" t="str">
        <f ca="1">IFERROR(IF(ISNUMBER($BC$48),INDEX('1.Locations'!$J$2:$J$97,$BC$48 + 1) +$BG$47," ")," ")</f>
        <v xml:space="preserve"> </v>
      </c>
      <c r="BH48" s="43" t="str">
        <f ca="1">IFERROR(IF(ISNUMBER($BC$48),INDEX('1.Locations'!$K$2:$K$97,$BC$48 + 1) +$BH$47," ")," ")</f>
        <v xml:space="preserve"> </v>
      </c>
      <c r="BI48" s="45" t="str">
        <f ca="1">IFERROR(IF(AND(ISNUMBER($BC$48),$BC$48&lt;=95),INDEX('2.Distances'!$D$2:$D$9218,$BC$47*96+$BC$48+ 1) +$BI$47," ")," ")</f>
        <v xml:space="preserve"> </v>
      </c>
      <c r="BJ48" s="46" t="str">
        <f ca="1">IFERROR(IF(AND(ISNUMBER($BC$48),$BC$48&lt;=95),INDEX('2.Distances'!$D$2:$D$9218,$BC$47*96+$BC$48+ 1) +$BK$47," ")," ")</f>
        <v xml:space="preserve"> </v>
      </c>
      <c r="BK48" s="46" t="str">
        <f ca="1">IFERROR(IF(ISNUMBER($BJ$48),INDEX('1.Locations'!$I$2:$I$97,$BC$48 + 1) + MAX($BJ$48,INDEX('1.Locations'!$F$2:$F$97,$BC$48 + 1))," ")," ")</f>
        <v xml:space="preserve"> </v>
      </c>
      <c r="BL48" s="45" t="str">
        <f ca="1">IFERROR($BL$47 + INDEX('2.Distances'!$D$2:$D$9218,$BC$47*96+$BC$48+ 1) + INDEX('1.Locations'!$I$2:$I$97,$BC$48 + 1)," ")</f>
        <v xml:space="preserve"> </v>
      </c>
      <c r="BN48" s="24">
        <v>43</v>
      </c>
      <c r="BO48" s="25"/>
      <c r="BP48" s="43" t="str">
        <f ca="1">IFERROR(MATCH(INDIRECT("$BO$48"),'1.Locations'!$B$2:$B$97, 0) - 1," ")</f>
        <v xml:space="preserve"> </v>
      </c>
      <c r="BQ48" s="43" t="e">
        <f ca="1">IFERROR(IF(ISNUMBER($BP$48),INDEX('1.Locations'!$D$2:$D$97,$BP$48 + 1),NA()),NA())</f>
        <v>#N/A</v>
      </c>
      <c r="BR48" s="43" t="e">
        <f ca="1">IFERROR(IF(ISNUMBER($BP$48),INDEX('1.Locations'!$E$2:$E$97,$BP$48 + 1),NA()),NA())</f>
        <v>#N/A</v>
      </c>
      <c r="BS48" s="44" t="str">
        <f ca="1">IFERROR(IF(AND(ISNUMBER($BP$48),$BP$48&lt;=95),INDEX('2.Distances'!$C$2:$C$9218,$BP$47*96+$BP$48+ 1) +$BS$47," ")," ")</f>
        <v xml:space="preserve"> </v>
      </c>
      <c r="BT48" s="43" t="str">
        <f ca="1">IFERROR(IF(ISNUMBER($BP$48),INDEX('1.Locations'!$J$2:$J$97,$BP$48 + 1) +$BT$47," ")," ")</f>
        <v xml:space="preserve"> </v>
      </c>
      <c r="BU48" s="43" t="str">
        <f ca="1">IFERROR(IF(ISNUMBER($BP$48),INDEX('1.Locations'!$K$2:$K$97,$BP$48 + 1) +$BU$47," ")," ")</f>
        <v xml:space="preserve"> </v>
      </c>
      <c r="BV48" s="45" t="str">
        <f ca="1">IFERROR(IF(AND(ISNUMBER($BP$48),$BP$48&lt;=95),INDEX('2.Distances'!$D$2:$D$9218,$BP$47*96+$BP$48+ 1) +$BV$47," ")," ")</f>
        <v xml:space="preserve"> </v>
      </c>
      <c r="BW48" s="46" t="str">
        <f ca="1">IFERROR(IF(AND(ISNUMBER($BP$48),$BP$48&lt;=95),INDEX('2.Distances'!$D$2:$D$9218,$BP$47*96+$BP$48+ 1) +$BX$47," ")," ")</f>
        <v xml:space="preserve"> </v>
      </c>
      <c r="BX48" s="46" t="str">
        <f ca="1">IFERROR(IF(ISNUMBER($BW$48),INDEX('1.Locations'!$I$2:$I$97,$BP$48 + 1) + MAX($BW$48,INDEX('1.Locations'!$F$2:$F$97,$BP$48 + 1))," ")," ")</f>
        <v xml:space="preserve"> </v>
      </c>
      <c r="BY48" s="45" t="str">
        <f ca="1">IFERROR($BY$47 + INDEX('2.Distances'!$D$2:$D$9218,$BP$47*96+$BP$48+ 1) + INDEX('1.Locations'!$I$2:$I$97,$BP$48 + 1)," ")</f>
        <v xml:space="preserve"> </v>
      </c>
      <c r="CA48" s="24">
        <v>43</v>
      </c>
      <c r="CB48" s="25"/>
      <c r="CC48" s="43" t="str">
        <f ca="1">IFERROR(MATCH(INDIRECT("$CB$48"),'1.Locations'!$B$2:$B$97, 0) - 1," ")</f>
        <v xml:space="preserve"> </v>
      </c>
      <c r="CD48" s="43" t="e">
        <f ca="1">IFERROR(IF(ISNUMBER($CC$48),INDEX('1.Locations'!$D$2:$D$97,$CC$48 + 1),NA()),NA())</f>
        <v>#N/A</v>
      </c>
      <c r="CE48" s="43" t="e">
        <f ca="1">IFERROR(IF(ISNUMBER($CC$48),INDEX('1.Locations'!$E$2:$E$97,$CC$48 + 1),NA()),NA())</f>
        <v>#N/A</v>
      </c>
      <c r="CF48" s="44" t="str">
        <f ca="1">IFERROR(IF(AND(ISNUMBER($CC$48),$CC$48&lt;=95),INDEX('2.Distances'!$C$2:$C$9218,$CC$47*96+$CC$48+ 1) +$CF$47," ")," ")</f>
        <v xml:space="preserve"> </v>
      </c>
      <c r="CG48" s="43" t="str">
        <f ca="1">IFERROR(IF(ISNUMBER($CC$48),INDEX('1.Locations'!$J$2:$J$97,$CC$48 + 1) +$CG$47," ")," ")</f>
        <v xml:space="preserve"> </v>
      </c>
      <c r="CH48" s="43" t="str">
        <f ca="1">IFERROR(IF(ISNUMBER($CC$48),INDEX('1.Locations'!$K$2:$K$97,$CC$48 + 1) +$CH$47," ")," ")</f>
        <v xml:space="preserve"> </v>
      </c>
      <c r="CI48" s="45" t="str">
        <f ca="1">IFERROR(IF(AND(ISNUMBER($CC$48),$CC$48&lt;=95),INDEX('2.Distances'!$D$2:$D$9218,$CC$47*96+$CC$48+ 1) +$CI$47," ")," ")</f>
        <v xml:space="preserve"> </v>
      </c>
      <c r="CJ48" s="46" t="str">
        <f ca="1">IFERROR(IF(AND(ISNUMBER($CC$48),$CC$48&lt;=95),INDEX('2.Distances'!$D$2:$D$9218,$CC$47*96+$CC$48+ 1) +$CK$47," ")," ")</f>
        <v xml:space="preserve"> </v>
      </c>
      <c r="CK48" s="46" t="str">
        <f ca="1">IFERROR(IF(ISNUMBER($CJ$48),INDEX('1.Locations'!$I$2:$I$97,$CC$48 + 1) + MAX($CJ$48,INDEX('1.Locations'!$F$2:$F$97,$CC$48 + 1))," ")," ")</f>
        <v xml:space="preserve"> </v>
      </c>
      <c r="CL48" s="45" t="str">
        <f ca="1">IFERROR($CL$47 + INDEX('2.Distances'!$D$2:$D$9218,$CC$47*96+$CC$48+ 1) + INDEX('1.Locations'!$I$2:$I$97,$CC$48 + 1)," ")</f>
        <v xml:space="preserve"> </v>
      </c>
    </row>
    <row r="49" spans="1:90" x14ac:dyDescent="0.25">
      <c r="A49" s="24">
        <v>44</v>
      </c>
      <c r="B49" s="25"/>
      <c r="C49" s="43" t="str">
        <f ca="1">IFERROR(MATCH(INDIRECT("$B$49"),'1.Locations'!$B$2:$B$97, 0) - 1," ")</f>
        <v xml:space="preserve"> </v>
      </c>
      <c r="D49" s="43" t="e">
        <f ca="1">IFERROR(IF(ISNUMBER($C$49),INDEX('1.Locations'!$D$2:$D$97,$C$49 + 1),NA()),NA())</f>
        <v>#N/A</v>
      </c>
      <c r="E49" s="43" t="e">
        <f ca="1">IFERROR(IF(ISNUMBER($C$49),INDEX('1.Locations'!$E$2:$E$97,$C$49 + 1),NA()),NA())</f>
        <v>#N/A</v>
      </c>
      <c r="F49" s="44" t="str">
        <f ca="1">IFERROR(IF(AND(ISNUMBER($C$49),$C$49&lt;=95),INDEX('2.Distances'!$C$2:$C$9218,$C$48*96+$C$49+ 1) +$F$48," ")," ")</f>
        <v xml:space="preserve"> </v>
      </c>
      <c r="G49" s="43" t="str">
        <f ca="1">IFERROR(IF(ISNUMBER($C$49),INDEX('1.Locations'!$J$2:$J$97,$C$49 + 1) +$G$48," ")," ")</f>
        <v xml:space="preserve"> </v>
      </c>
      <c r="H49" s="43" t="str">
        <f ca="1">IFERROR(IF(ISNUMBER($C$49),INDEX('1.Locations'!$K$2:$K$97,$C$49 + 1) +$H$48," ")," ")</f>
        <v xml:space="preserve"> </v>
      </c>
      <c r="I49" s="45" t="str">
        <f ca="1">IFERROR(IF(AND(ISNUMBER($C$49),$C$49&lt;=95),INDEX('2.Distances'!$D$2:$D$9218,$C$48*96+$C$49+ 1) +$I$48," ")," ")</f>
        <v xml:space="preserve"> </v>
      </c>
      <c r="J49" s="46" t="str">
        <f ca="1">IFERROR(IF(AND(ISNUMBER($C$49),$C$49&lt;=95),INDEX('2.Distances'!$D$2:$D$9218,$C$48*96+$C$49+ 1) +$K$48," ")," ")</f>
        <v xml:space="preserve"> </v>
      </c>
      <c r="K49" s="46" t="str">
        <f ca="1">IFERROR(IF(ISNUMBER($J$49),INDEX('1.Locations'!$I$2:$I$97,$C$49 + 1) + MAX($J$49,INDEX('1.Locations'!$F$2:$F$97,$C$49 + 1))," ")," ")</f>
        <v xml:space="preserve"> </v>
      </c>
      <c r="L49" s="45" t="str">
        <f ca="1">IFERROR($L$48 + INDEX('2.Distances'!$D$2:$D$9218,$C$48*96+$C$49+ 1) + INDEX('1.Locations'!$I$2:$I$97,$C$49 + 1)," ")</f>
        <v xml:space="preserve"> </v>
      </c>
      <c r="N49" s="24">
        <v>44</v>
      </c>
      <c r="O49" s="25"/>
      <c r="P49" s="43" t="str">
        <f ca="1">IFERROR(MATCH(INDIRECT("$O$49"),'1.Locations'!$B$2:$B$97, 0) - 1," ")</f>
        <v xml:space="preserve"> </v>
      </c>
      <c r="Q49" s="43" t="e">
        <f ca="1">IFERROR(IF(ISNUMBER($P$49),INDEX('1.Locations'!$D$2:$D$97,$P$49 + 1),NA()),NA())</f>
        <v>#N/A</v>
      </c>
      <c r="R49" s="43" t="e">
        <f ca="1">IFERROR(IF(ISNUMBER($P$49),INDEX('1.Locations'!$E$2:$E$97,$P$49 + 1),NA()),NA())</f>
        <v>#N/A</v>
      </c>
      <c r="S49" s="44" t="str">
        <f ca="1">IFERROR(IF(AND(ISNUMBER($P$49),$P$49&lt;=95),INDEX('2.Distances'!$C$2:$C$9218,$P$48*96+$P$49+ 1) +$S$48," ")," ")</f>
        <v xml:space="preserve"> </v>
      </c>
      <c r="T49" s="43" t="str">
        <f ca="1">IFERROR(IF(ISNUMBER($P$49),INDEX('1.Locations'!$J$2:$J$97,$P$49 + 1) +$T$48," ")," ")</f>
        <v xml:space="preserve"> </v>
      </c>
      <c r="U49" s="43" t="str">
        <f ca="1">IFERROR(IF(ISNUMBER($P$49),INDEX('1.Locations'!$K$2:$K$97,$P$49 + 1) +$U$48," ")," ")</f>
        <v xml:space="preserve"> </v>
      </c>
      <c r="V49" s="45" t="str">
        <f ca="1">IFERROR(IF(AND(ISNUMBER($P$49),$P$49&lt;=95),INDEX('2.Distances'!$D$2:$D$9218,$P$48*96+$P$49+ 1) +$V$48," ")," ")</f>
        <v xml:space="preserve"> </v>
      </c>
      <c r="W49" s="46" t="str">
        <f ca="1">IFERROR(IF(AND(ISNUMBER($P$49),$P$49&lt;=95),INDEX('2.Distances'!$D$2:$D$9218,$P$48*96+$P$49+ 1) +$X$48," ")," ")</f>
        <v xml:space="preserve"> </v>
      </c>
      <c r="X49" s="46" t="str">
        <f ca="1">IFERROR(IF(ISNUMBER($W$49),INDEX('1.Locations'!$I$2:$I$97,$P$49 + 1) + MAX($W$49,INDEX('1.Locations'!$F$2:$F$97,$P$49 + 1))," ")," ")</f>
        <v xml:space="preserve"> </v>
      </c>
      <c r="Y49" s="45" t="str">
        <f ca="1">IFERROR($Y$48 + INDEX('2.Distances'!$D$2:$D$9218,$P$48*96+$P$49+ 1) + INDEX('1.Locations'!$I$2:$I$97,$P$49 + 1)," ")</f>
        <v xml:space="preserve"> </v>
      </c>
      <c r="AA49" s="24">
        <v>44</v>
      </c>
      <c r="AB49" s="25"/>
      <c r="AC49" s="43" t="str">
        <f ca="1">IFERROR(MATCH(INDIRECT("$AB$49"),'1.Locations'!$B$2:$B$97, 0) - 1," ")</f>
        <v xml:space="preserve"> </v>
      </c>
      <c r="AD49" s="43" t="e">
        <f ca="1">IFERROR(IF(ISNUMBER($AC$49),INDEX('1.Locations'!$D$2:$D$97,$AC$49 + 1),NA()),NA())</f>
        <v>#N/A</v>
      </c>
      <c r="AE49" s="43" t="e">
        <f ca="1">IFERROR(IF(ISNUMBER($AC$49),INDEX('1.Locations'!$E$2:$E$97,$AC$49 + 1),NA()),NA())</f>
        <v>#N/A</v>
      </c>
      <c r="AF49" s="44" t="str">
        <f ca="1">IFERROR(IF(AND(ISNUMBER($AC$49),$AC$49&lt;=95),INDEX('2.Distances'!$C$2:$C$9218,$AC$48*96+$AC$49+ 1) +$AF$48," ")," ")</f>
        <v xml:space="preserve"> </v>
      </c>
      <c r="AG49" s="43" t="str">
        <f ca="1">IFERROR(IF(ISNUMBER($AC$49),INDEX('1.Locations'!$J$2:$J$97,$AC$49 + 1) +$AG$48," ")," ")</f>
        <v xml:space="preserve"> </v>
      </c>
      <c r="AH49" s="43" t="str">
        <f ca="1">IFERROR(IF(ISNUMBER($AC$49),INDEX('1.Locations'!$K$2:$K$97,$AC$49 + 1) +$AH$48," ")," ")</f>
        <v xml:space="preserve"> </v>
      </c>
      <c r="AI49" s="45" t="str">
        <f ca="1">IFERROR(IF(AND(ISNUMBER($AC$49),$AC$49&lt;=95),INDEX('2.Distances'!$D$2:$D$9218,$AC$48*96+$AC$49+ 1) +$AI$48," ")," ")</f>
        <v xml:space="preserve"> </v>
      </c>
      <c r="AJ49" s="46" t="str">
        <f ca="1">IFERROR(IF(AND(ISNUMBER($AC$49),$AC$49&lt;=95),INDEX('2.Distances'!$D$2:$D$9218,$AC$48*96+$AC$49+ 1) +$AK$48," ")," ")</f>
        <v xml:space="preserve"> </v>
      </c>
      <c r="AK49" s="46" t="str">
        <f ca="1">IFERROR(IF(ISNUMBER($AJ$49),INDEX('1.Locations'!$I$2:$I$97,$AC$49 + 1) + MAX($AJ$49,INDEX('1.Locations'!$F$2:$F$97,$AC$49 + 1))," ")," ")</f>
        <v xml:space="preserve"> </v>
      </c>
      <c r="AL49" s="45" t="str">
        <f ca="1">IFERROR($AL$48 + INDEX('2.Distances'!$D$2:$D$9218,$AC$48*96+$AC$49+ 1) + INDEX('1.Locations'!$I$2:$I$97,$AC$49 + 1)," ")</f>
        <v xml:space="preserve"> </v>
      </c>
      <c r="AN49" s="24">
        <v>44</v>
      </c>
      <c r="AO49" s="25"/>
      <c r="AP49" s="43" t="str">
        <f ca="1">IFERROR(MATCH(INDIRECT("$AO$49"),'1.Locations'!$B$2:$B$97, 0) - 1," ")</f>
        <v xml:space="preserve"> </v>
      </c>
      <c r="AQ49" s="43" t="e">
        <f ca="1">IFERROR(IF(ISNUMBER($AP$49),INDEX('1.Locations'!$D$2:$D$97,$AP$49 + 1),NA()),NA())</f>
        <v>#N/A</v>
      </c>
      <c r="AR49" s="43" t="e">
        <f ca="1">IFERROR(IF(ISNUMBER($AP$49),INDEX('1.Locations'!$E$2:$E$97,$AP$49 + 1),NA()),NA())</f>
        <v>#N/A</v>
      </c>
      <c r="AS49" s="44" t="str">
        <f ca="1">IFERROR(IF(AND(ISNUMBER($AP$49),$AP$49&lt;=95),INDEX('2.Distances'!$C$2:$C$9218,$AP$48*96+$AP$49+ 1) +$AS$48," ")," ")</f>
        <v xml:space="preserve"> </v>
      </c>
      <c r="AT49" s="43" t="str">
        <f ca="1">IFERROR(IF(ISNUMBER($AP$49),INDEX('1.Locations'!$J$2:$J$97,$AP$49 + 1) +$AT$48," ")," ")</f>
        <v xml:space="preserve"> </v>
      </c>
      <c r="AU49" s="43" t="str">
        <f ca="1">IFERROR(IF(ISNUMBER($AP$49),INDEX('1.Locations'!$K$2:$K$97,$AP$49 + 1) +$AU$48," ")," ")</f>
        <v xml:space="preserve"> </v>
      </c>
      <c r="AV49" s="45" t="str">
        <f ca="1">IFERROR(IF(AND(ISNUMBER($AP$49),$AP$49&lt;=95),INDEX('2.Distances'!$D$2:$D$9218,$AP$48*96+$AP$49+ 1) +$AV$48," ")," ")</f>
        <v xml:space="preserve"> </v>
      </c>
      <c r="AW49" s="46" t="str">
        <f ca="1">IFERROR(IF(AND(ISNUMBER($AP$49),$AP$49&lt;=95),INDEX('2.Distances'!$D$2:$D$9218,$AP$48*96+$AP$49+ 1) +$AX$48," ")," ")</f>
        <v xml:space="preserve"> </v>
      </c>
      <c r="AX49" s="46" t="str">
        <f ca="1">IFERROR(IF(ISNUMBER($AW$49),INDEX('1.Locations'!$I$2:$I$97,$AP$49 + 1) + MAX($AW$49,INDEX('1.Locations'!$F$2:$F$97,$AP$49 + 1))," ")," ")</f>
        <v xml:space="preserve"> </v>
      </c>
      <c r="AY49" s="45" t="str">
        <f ca="1">IFERROR($AY$48 + INDEX('2.Distances'!$D$2:$D$9218,$AP$48*96+$AP$49+ 1) + INDEX('1.Locations'!$I$2:$I$97,$AP$49 + 1)," ")</f>
        <v xml:space="preserve"> </v>
      </c>
      <c r="BA49" s="24">
        <v>44</v>
      </c>
      <c r="BB49" s="25"/>
      <c r="BC49" s="43" t="str">
        <f ca="1">IFERROR(MATCH(INDIRECT("$BB$49"),'1.Locations'!$B$2:$B$97, 0) - 1," ")</f>
        <v xml:space="preserve"> </v>
      </c>
      <c r="BD49" s="43" t="e">
        <f ca="1">IFERROR(IF(ISNUMBER($BC$49),INDEX('1.Locations'!$D$2:$D$97,$BC$49 + 1),NA()),NA())</f>
        <v>#N/A</v>
      </c>
      <c r="BE49" s="43" t="e">
        <f ca="1">IFERROR(IF(ISNUMBER($BC$49),INDEX('1.Locations'!$E$2:$E$97,$BC$49 + 1),NA()),NA())</f>
        <v>#N/A</v>
      </c>
      <c r="BF49" s="44" t="str">
        <f ca="1">IFERROR(IF(AND(ISNUMBER($BC$49),$BC$49&lt;=95),INDEX('2.Distances'!$C$2:$C$9218,$BC$48*96+$BC$49+ 1) +$BF$48," ")," ")</f>
        <v xml:space="preserve"> </v>
      </c>
      <c r="BG49" s="43" t="str">
        <f ca="1">IFERROR(IF(ISNUMBER($BC$49),INDEX('1.Locations'!$J$2:$J$97,$BC$49 + 1) +$BG$48," ")," ")</f>
        <v xml:space="preserve"> </v>
      </c>
      <c r="BH49" s="43" t="str">
        <f ca="1">IFERROR(IF(ISNUMBER($BC$49),INDEX('1.Locations'!$K$2:$K$97,$BC$49 + 1) +$BH$48," ")," ")</f>
        <v xml:space="preserve"> </v>
      </c>
      <c r="BI49" s="45" t="str">
        <f ca="1">IFERROR(IF(AND(ISNUMBER($BC$49),$BC$49&lt;=95),INDEX('2.Distances'!$D$2:$D$9218,$BC$48*96+$BC$49+ 1) +$BI$48," ")," ")</f>
        <v xml:space="preserve"> </v>
      </c>
      <c r="BJ49" s="46" t="str">
        <f ca="1">IFERROR(IF(AND(ISNUMBER($BC$49),$BC$49&lt;=95),INDEX('2.Distances'!$D$2:$D$9218,$BC$48*96+$BC$49+ 1) +$BK$48," ")," ")</f>
        <v xml:space="preserve"> </v>
      </c>
      <c r="BK49" s="46" t="str">
        <f ca="1">IFERROR(IF(ISNUMBER($BJ$49),INDEX('1.Locations'!$I$2:$I$97,$BC$49 + 1) + MAX($BJ$49,INDEX('1.Locations'!$F$2:$F$97,$BC$49 + 1))," ")," ")</f>
        <v xml:space="preserve"> </v>
      </c>
      <c r="BL49" s="45" t="str">
        <f ca="1">IFERROR($BL$48 + INDEX('2.Distances'!$D$2:$D$9218,$BC$48*96+$BC$49+ 1) + INDEX('1.Locations'!$I$2:$I$97,$BC$49 + 1)," ")</f>
        <v xml:space="preserve"> </v>
      </c>
      <c r="BN49" s="24">
        <v>44</v>
      </c>
      <c r="BO49" s="25"/>
      <c r="BP49" s="43" t="str">
        <f ca="1">IFERROR(MATCH(INDIRECT("$BO$49"),'1.Locations'!$B$2:$B$97, 0) - 1," ")</f>
        <v xml:space="preserve"> </v>
      </c>
      <c r="BQ49" s="43" t="e">
        <f ca="1">IFERROR(IF(ISNUMBER($BP$49),INDEX('1.Locations'!$D$2:$D$97,$BP$49 + 1),NA()),NA())</f>
        <v>#N/A</v>
      </c>
      <c r="BR49" s="43" t="e">
        <f ca="1">IFERROR(IF(ISNUMBER($BP$49),INDEX('1.Locations'!$E$2:$E$97,$BP$49 + 1),NA()),NA())</f>
        <v>#N/A</v>
      </c>
      <c r="BS49" s="44" t="str">
        <f ca="1">IFERROR(IF(AND(ISNUMBER($BP$49),$BP$49&lt;=95),INDEX('2.Distances'!$C$2:$C$9218,$BP$48*96+$BP$49+ 1) +$BS$48," ")," ")</f>
        <v xml:space="preserve"> </v>
      </c>
      <c r="BT49" s="43" t="str">
        <f ca="1">IFERROR(IF(ISNUMBER($BP$49),INDEX('1.Locations'!$J$2:$J$97,$BP$49 + 1) +$BT$48," ")," ")</f>
        <v xml:space="preserve"> </v>
      </c>
      <c r="BU49" s="43" t="str">
        <f ca="1">IFERROR(IF(ISNUMBER($BP$49),INDEX('1.Locations'!$K$2:$K$97,$BP$49 + 1) +$BU$48," ")," ")</f>
        <v xml:space="preserve"> </v>
      </c>
      <c r="BV49" s="45" t="str">
        <f ca="1">IFERROR(IF(AND(ISNUMBER($BP$49),$BP$49&lt;=95),INDEX('2.Distances'!$D$2:$D$9218,$BP$48*96+$BP$49+ 1) +$BV$48," ")," ")</f>
        <v xml:space="preserve"> </v>
      </c>
      <c r="BW49" s="46" t="str">
        <f ca="1">IFERROR(IF(AND(ISNUMBER($BP$49),$BP$49&lt;=95),INDEX('2.Distances'!$D$2:$D$9218,$BP$48*96+$BP$49+ 1) +$BX$48," ")," ")</f>
        <v xml:space="preserve"> </v>
      </c>
      <c r="BX49" s="46" t="str">
        <f ca="1">IFERROR(IF(ISNUMBER($BW$49),INDEX('1.Locations'!$I$2:$I$97,$BP$49 + 1) + MAX($BW$49,INDEX('1.Locations'!$F$2:$F$97,$BP$49 + 1))," ")," ")</f>
        <v xml:space="preserve"> </v>
      </c>
      <c r="BY49" s="45" t="str">
        <f ca="1">IFERROR($BY$48 + INDEX('2.Distances'!$D$2:$D$9218,$BP$48*96+$BP$49+ 1) + INDEX('1.Locations'!$I$2:$I$97,$BP$49 + 1)," ")</f>
        <v xml:space="preserve"> </v>
      </c>
      <c r="CA49" s="24">
        <v>44</v>
      </c>
      <c r="CB49" s="25"/>
      <c r="CC49" s="43" t="str">
        <f ca="1">IFERROR(MATCH(INDIRECT("$CB$49"),'1.Locations'!$B$2:$B$97, 0) - 1," ")</f>
        <v xml:space="preserve"> </v>
      </c>
      <c r="CD49" s="43" t="e">
        <f ca="1">IFERROR(IF(ISNUMBER($CC$49),INDEX('1.Locations'!$D$2:$D$97,$CC$49 + 1),NA()),NA())</f>
        <v>#N/A</v>
      </c>
      <c r="CE49" s="43" t="e">
        <f ca="1">IFERROR(IF(ISNUMBER($CC$49),INDEX('1.Locations'!$E$2:$E$97,$CC$49 + 1),NA()),NA())</f>
        <v>#N/A</v>
      </c>
      <c r="CF49" s="44" t="str">
        <f ca="1">IFERROR(IF(AND(ISNUMBER($CC$49),$CC$49&lt;=95),INDEX('2.Distances'!$C$2:$C$9218,$CC$48*96+$CC$49+ 1) +$CF$48," ")," ")</f>
        <v xml:space="preserve"> </v>
      </c>
      <c r="CG49" s="43" t="str">
        <f ca="1">IFERROR(IF(ISNUMBER($CC$49),INDEX('1.Locations'!$J$2:$J$97,$CC$49 + 1) +$CG$48," ")," ")</f>
        <v xml:space="preserve"> </v>
      </c>
      <c r="CH49" s="43" t="str">
        <f ca="1">IFERROR(IF(ISNUMBER($CC$49),INDEX('1.Locations'!$K$2:$K$97,$CC$49 + 1) +$CH$48," ")," ")</f>
        <v xml:space="preserve"> </v>
      </c>
      <c r="CI49" s="45" t="str">
        <f ca="1">IFERROR(IF(AND(ISNUMBER($CC$49),$CC$49&lt;=95),INDEX('2.Distances'!$D$2:$D$9218,$CC$48*96+$CC$49+ 1) +$CI$48," ")," ")</f>
        <v xml:space="preserve"> </v>
      </c>
      <c r="CJ49" s="46" t="str">
        <f ca="1">IFERROR(IF(AND(ISNUMBER($CC$49),$CC$49&lt;=95),INDEX('2.Distances'!$D$2:$D$9218,$CC$48*96+$CC$49+ 1) +$CK$48," ")," ")</f>
        <v xml:space="preserve"> </v>
      </c>
      <c r="CK49" s="46" t="str">
        <f ca="1">IFERROR(IF(ISNUMBER($CJ$49),INDEX('1.Locations'!$I$2:$I$97,$CC$49 + 1) + MAX($CJ$49,INDEX('1.Locations'!$F$2:$F$97,$CC$49 + 1))," ")," ")</f>
        <v xml:space="preserve"> </v>
      </c>
      <c r="CL49" s="45" t="str">
        <f ca="1">IFERROR($CL$48 + INDEX('2.Distances'!$D$2:$D$9218,$CC$48*96+$CC$49+ 1) + INDEX('1.Locations'!$I$2:$I$97,$CC$49 + 1)," ")</f>
        <v xml:space="preserve"> </v>
      </c>
    </row>
    <row r="50" spans="1:90" x14ac:dyDescent="0.25">
      <c r="A50" s="24">
        <v>45</v>
      </c>
      <c r="B50" s="25"/>
      <c r="C50" s="43" t="str">
        <f ca="1">IFERROR(MATCH(INDIRECT("$B$50"),'1.Locations'!$B$2:$B$97, 0) - 1," ")</f>
        <v xml:space="preserve"> </v>
      </c>
      <c r="D50" s="43" t="e">
        <f ca="1">IFERROR(IF(ISNUMBER($C$50),INDEX('1.Locations'!$D$2:$D$97,$C$50 + 1),NA()),NA())</f>
        <v>#N/A</v>
      </c>
      <c r="E50" s="43" t="e">
        <f ca="1">IFERROR(IF(ISNUMBER($C$50),INDEX('1.Locations'!$E$2:$E$97,$C$50 + 1),NA()),NA())</f>
        <v>#N/A</v>
      </c>
      <c r="F50" s="44" t="str">
        <f ca="1">IFERROR(IF(AND(ISNUMBER($C$50),$C$50&lt;=95),INDEX('2.Distances'!$C$2:$C$9218,$C$49*96+$C$50+ 1) +$F$49," ")," ")</f>
        <v xml:space="preserve"> </v>
      </c>
      <c r="G50" s="43" t="str">
        <f ca="1">IFERROR(IF(ISNUMBER($C$50),INDEX('1.Locations'!$J$2:$J$97,$C$50 + 1) +$G$49," ")," ")</f>
        <v xml:space="preserve"> </v>
      </c>
      <c r="H50" s="43" t="str">
        <f ca="1">IFERROR(IF(ISNUMBER($C$50),INDEX('1.Locations'!$K$2:$K$97,$C$50 + 1) +$H$49," ")," ")</f>
        <v xml:space="preserve"> </v>
      </c>
      <c r="I50" s="45" t="str">
        <f ca="1">IFERROR(IF(AND(ISNUMBER($C$50),$C$50&lt;=95),INDEX('2.Distances'!$D$2:$D$9218,$C$49*96+$C$50+ 1) +$I$49," ")," ")</f>
        <v xml:space="preserve"> </v>
      </c>
      <c r="J50" s="46" t="str">
        <f ca="1">IFERROR(IF(AND(ISNUMBER($C$50),$C$50&lt;=95),INDEX('2.Distances'!$D$2:$D$9218,$C$49*96+$C$50+ 1) +$K$49," ")," ")</f>
        <v xml:space="preserve"> </v>
      </c>
      <c r="K50" s="46" t="str">
        <f ca="1">IFERROR(IF(ISNUMBER($J$50),INDEX('1.Locations'!$I$2:$I$97,$C$50 + 1) + MAX($J$50,INDEX('1.Locations'!$F$2:$F$97,$C$50 + 1))," ")," ")</f>
        <v xml:space="preserve"> </v>
      </c>
      <c r="L50" s="45" t="str">
        <f ca="1">IFERROR($L$49 + INDEX('2.Distances'!$D$2:$D$9218,$C$49*96+$C$50+ 1) + INDEX('1.Locations'!$I$2:$I$97,$C$50 + 1)," ")</f>
        <v xml:space="preserve"> </v>
      </c>
      <c r="N50" s="24">
        <v>45</v>
      </c>
      <c r="O50" s="25"/>
      <c r="P50" s="43" t="str">
        <f ca="1">IFERROR(MATCH(INDIRECT("$O$50"),'1.Locations'!$B$2:$B$97, 0) - 1," ")</f>
        <v xml:space="preserve"> </v>
      </c>
      <c r="Q50" s="43" t="e">
        <f ca="1">IFERROR(IF(ISNUMBER($P$50),INDEX('1.Locations'!$D$2:$D$97,$P$50 + 1),NA()),NA())</f>
        <v>#N/A</v>
      </c>
      <c r="R50" s="43" t="e">
        <f ca="1">IFERROR(IF(ISNUMBER($P$50),INDEX('1.Locations'!$E$2:$E$97,$P$50 + 1),NA()),NA())</f>
        <v>#N/A</v>
      </c>
      <c r="S50" s="44" t="str">
        <f ca="1">IFERROR(IF(AND(ISNUMBER($P$50),$P$50&lt;=95),INDEX('2.Distances'!$C$2:$C$9218,$P$49*96+$P$50+ 1) +$S$49," ")," ")</f>
        <v xml:space="preserve"> </v>
      </c>
      <c r="T50" s="43" t="str">
        <f ca="1">IFERROR(IF(ISNUMBER($P$50),INDEX('1.Locations'!$J$2:$J$97,$P$50 + 1) +$T$49," ")," ")</f>
        <v xml:space="preserve"> </v>
      </c>
      <c r="U50" s="43" t="str">
        <f ca="1">IFERROR(IF(ISNUMBER($P$50),INDEX('1.Locations'!$K$2:$K$97,$P$50 + 1) +$U$49," ")," ")</f>
        <v xml:space="preserve"> </v>
      </c>
      <c r="V50" s="45" t="str">
        <f ca="1">IFERROR(IF(AND(ISNUMBER($P$50),$P$50&lt;=95),INDEX('2.Distances'!$D$2:$D$9218,$P$49*96+$P$50+ 1) +$V$49," ")," ")</f>
        <v xml:space="preserve"> </v>
      </c>
      <c r="W50" s="46" t="str">
        <f ca="1">IFERROR(IF(AND(ISNUMBER($P$50),$P$50&lt;=95),INDEX('2.Distances'!$D$2:$D$9218,$P$49*96+$P$50+ 1) +$X$49," ")," ")</f>
        <v xml:space="preserve"> </v>
      </c>
      <c r="X50" s="46" t="str">
        <f ca="1">IFERROR(IF(ISNUMBER($W$50),INDEX('1.Locations'!$I$2:$I$97,$P$50 + 1) + MAX($W$50,INDEX('1.Locations'!$F$2:$F$97,$P$50 + 1))," ")," ")</f>
        <v xml:space="preserve"> </v>
      </c>
      <c r="Y50" s="45" t="str">
        <f ca="1">IFERROR($Y$49 + INDEX('2.Distances'!$D$2:$D$9218,$P$49*96+$P$50+ 1) + INDEX('1.Locations'!$I$2:$I$97,$P$50 + 1)," ")</f>
        <v xml:space="preserve"> </v>
      </c>
      <c r="AA50" s="24">
        <v>45</v>
      </c>
      <c r="AB50" s="25"/>
      <c r="AC50" s="43" t="str">
        <f ca="1">IFERROR(MATCH(INDIRECT("$AB$50"),'1.Locations'!$B$2:$B$97, 0) - 1," ")</f>
        <v xml:space="preserve"> </v>
      </c>
      <c r="AD50" s="43" t="e">
        <f ca="1">IFERROR(IF(ISNUMBER($AC$50),INDEX('1.Locations'!$D$2:$D$97,$AC$50 + 1),NA()),NA())</f>
        <v>#N/A</v>
      </c>
      <c r="AE50" s="43" t="e">
        <f ca="1">IFERROR(IF(ISNUMBER($AC$50),INDEX('1.Locations'!$E$2:$E$97,$AC$50 + 1),NA()),NA())</f>
        <v>#N/A</v>
      </c>
      <c r="AF50" s="44" t="str">
        <f ca="1">IFERROR(IF(AND(ISNUMBER($AC$50),$AC$50&lt;=95),INDEX('2.Distances'!$C$2:$C$9218,$AC$49*96+$AC$50+ 1) +$AF$49," ")," ")</f>
        <v xml:space="preserve"> </v>
      </c>
      <c r="AG50" s="43" t="str">
        <f ca="1">IFERROR(IF(ISNUMBER($AC$50),INDEX('1.Locations'!$J$2:$J$97,$AC$50 + 1) +$AG$49," ")," ")</f>
        <v xml:space="preserve"> </v>
      </c>
      <c r="AH50" s="43" t="str">
        <f ca="1">IFERROR(IF(ISNUMBER($AC$50),INDEX('1.Locations'!$K$2:$K$97,$AC$50 + 1) +$AH$49," ")," ")</f>
        <v xml:space="preserve"> </v>
      </c>
      <c r="AI50" s="45" t="str">
        <f ca="1">IFERROR(IF(AND(ISNUMBER($AC$50),$AC$50&lt;=95),INDEX('2.Distances'!$D$2:$D$9218,$AC$49*96+$AC$50+ 1) +$AI$49," ")," ")</f>
        <v xml:space="preserve"> </v>
      </c>
      <c r="AJ50" s="46" t="str">
        <f ca="1">IFERROR(IF(AND(ISNUMBER($AC$50),$AC$50&lt;=95),INDEX('2.Distances'!$D$2:$D$9218,$AC$49*96+$AC$50+ 1) +$AK$49," ")," ")</f>
        <v xml:space="preserve"> </v>
      </c>
      <c r="AK50" s="46" t="str">
        <f ca="1">IFERROR(IF(ISNUMBER($AJ$50),INDEX('1.Locations'!$I$2:$I$97,$AC$50 + 1) + MAX($AJ$50,INDEX('1.Locations'!$F$2:$F$97,$AC$50 + 1))," ")," ")</f>
        <v xml:space="preserve"> </v>
      </c>
      <c r="AL50" s="45" t="str">
        <f ca="1">IFERROR($AL$49 + INDEX('2.Distances'!$D$2:$D$9218,$AC$49*96+$AC$50+ 1) + INDEX('1.Locations'!$I$2:$I$97,$AC$50 + 1)," ")</f>
        <v xml:space="preserve"> </v>
      </c>
      <c r="AN50" s="24">
        <v>45</v>
      </c>
      <c r="AO50" s="25"/>
      <c r="AP50" s="43" t="str">
        <f ca="1">IFERROR(MATCH(INDIRECT("$AO$50"),'1.Locations'!$B$2:$B$97, 0) - 1," ")</f>
        <v xml:space="preserve"> </v>
      </c>
      <c r="AQ50" s="43" t="e">
        <f ca="1">IFERROR(IF(ISNUMBER($AP$50),INDEX('1.Locations'!$D$2:$D$97,$AP$50 + 1),NA()),NA())</f>
        <v>#N/A</v>
      </c>
      <c r="AR50" s="43" t="e">
        <f ca="1">IFERROR(IF(ISNUMBER($AP$50),INDEX('1.Locations'!$E$2:$E$97,$AP$50 + 1),NA()),NA())</f>
        <v>#N/A</v>
      </c>
      <c r="AS50" s="44" t="str">
        <f ca="1">IFERROR(IF(AND(ISNUMBER($AP$50),$AP$50&lt;=95),INDEX('2.Distances'!$C$2:$C$9218,$AP$49*96+$AP$50+ 1) +$AS$49," ")," ")</f>
        <v xml:space="preserve"> </v>
      </c>
      <c r="AT50" s="43" t="str">
        <f ca="1">IFERROR(IF(ISNUMBER($AP$50),INDEX('1.Locations'!$J$2:$J$97,$AP$50 + 1) +$AT$49," ")," ")</f>
        <v xml:space="preserve"> </v>
      </c>
      <c r="AU50" s="43" t="str">
        <f ca="1">IFERROR(IF(ISNUMBER($AP$50),INDEX('1.Locations'!$K$2:$K$97,$AP$50 + 1) +$AU$49," ")," ")</f>
        <v xml:space="preserve"> </v>
      </c>
      <c r="AV50" s="45" t="str">
        <f ca="1">IFERROR(IF(AND(ISNUMBER($AP$50),$AP$50&lt;=95),INDEX('2.Distances'!$D$2:$D$9218,$AP$49*96+$AP$50+ 1) +$AV$49," ")," ")</f>
        <v xml:space="preserve"> </v>
      </c>
      <c r="AW50" s="46" t="str">
        <f ca="1">IFERROR(IF(AND(ISNUMBER($AP$50),$AP$50&lt;=95),INDEX('2.Distances'!$D$2:$D$9218,$AP$49*96+$AP$50+ 1) +$AX$49," ")," ")</f>
        <v xml:space="preserve"> </v>
      </c>
      <c r="AX50" s="46" t="str">
        <f ca="1">IFERROR(IF(ISNUMBER($AW$50),INDEX('1.Locations'!$I$2:$I$97,$AP$50 + 1) + MAX($AW$50,INDEX('1.Locations'!$F$2:$F$97,$AP$50 + 1))," ")," ")</f>
        <v xml:space="preserve"> </v>
      </c>
      <c r="AY50" s="45" t="str">
        <f ca="1">IFERROR($AY$49 + INDEX('2.Distances'!$D$2:$D$9218,$AP$49*96+$AP$50+ 1) + INDEX('1.Locations'!$I$2:$I$97,$AP$50 + 1)," ")</f>
        <v xml:space="preserve"> </v>
      </c>
      <c r="BA50" s="24">
        <v>45</v>
      </c>
      <c r="BB50" s="25"/>
      <c r="BC50" s="43" t="str">
        <f ca="1">IFERROR(MATCH(INDIRECT("$BB$50"),'1.Locations'!$B$2:$B$97, 0) - 1," ")</f>
        <v xml:space="preserve"> </v>
      </c>
      <c r="BD50" s="43" t="e">
        <f ca="1">IFERROR(IF(ISNUMBER($BC$50),INDEX('1.Locations'!$D$2:$D$97,$BC$50 + 1),NA()),NA())</f>
        <v>#N/A</v>
      </c>
      <c r="BE50" s="43" t="e">
        <f ca="1">IFERROR(IF(ISNUMBER($BC$50),INDEX('1.Locations'!$E$2:$E$97,$BC$50 + 1),NA()),NA())</f>
        <v>#N/A</v>
      </c>
      <c r="BF50" s="44" t="str">
        <f ca="1">IFERROR(IF(AND(ISNUMBER($BC$50),$BC$50&lt;=95),INDEX('2.Distances'!$C$2:$C$9218,$BC$49*96+$BC$50+ 1) +$BF$49," ")," ")</f>
        <v xml:space="preserve"> </v>
      </c>
      <c r="BG50" s="43" t="str">
        <f ca="1">IFERROR(IF(ISNUMBER($BC$50),INDEX('1.Locations'!$J$2:$J$97,$BC$50 + 1) +$BG$49," ")," ")</f>
        <v xml:space="preserve"> </v>
      </c>
      <c r="BH50" s="43" t="str">
        <f ca="1">IFERROR(IF(ISNUMBER($BC$50),INDEX('1.Locations'!$K$2:$K$97,$BC$50 + 1) +$BH$49," ")," ")</f>
        <v xml:space="preserve"> </v>
      </c>
      <c r="BI50" s="45" t="str">
        <f ca="1">IFERROR(IF(AND(ISNUMBER($BC$50),$BC$50&lt;=95),INDEX('2.Distances'!$D$2:$D$9218,$BC$49*96+$BC$50+ 1) +$BI$49," ")," ")</f>
        <v xml:space="preserve"> </v>
      </c>
      <c r="BJ50" s="46" t="str">
        <f ca="1">IFERROR(IF(AND(ISNUMBER($BC$50),$BC$50&lt;=95),INDEX('2.Distances'!$D$2:$D$9218,$BC$49*96+$BC$50+ 1) +$BK$49," ")," ")</f>
        <v xml:space="preserve"> </v>
      </c>
      <c r="BK50" s="46" t="str">
        <f ca="1">IFERROR(IF(ISNUMBER($BJ$50),INDEX('1.Locations'!$I$2:$I$97,$BC$50 + 1) + MAX($BJ$50,INDEX('1.Locations'!$F$2:$F$97,$BC$50 + 1))," ")," ")</f>
        <v xml:space="preserve"> </v>
      </c>
      <c r="BL50" s="45" t="str">
        <f ca="1">IFERROR($BL$49 + INDEX('2.Distances'!$D$2:$D$9218,$BC$49*96+$BC$50+ 1) + INDEX('1.Locations'!$I$2:$I$97,$BC$50 + 1)," ")</f>
        <v xml:space="preserve"> </v>
      </c>
      <c r="BN50" s="24">
        <v>45</v>
      </c>
      <c r="BO50" s="25"/>
      <c r="BP50" s="43" t="str">
        <f ca="1">IFERROR(MATCH(INDIRECT("$BO$50"),'1.Locations'!$B$2:$B$97, 0) - 1," ")</f>
        <v xml:space="preserve"> </v>
      </c>
      <c r="BQ50" s="43" t="e">
        <f ca="1">IFERROR(IF(ISNUMBER($BP$50),INDEX('1.Locations'!$D$2:$D$97,$BP$50 + 1),NA()),NA())</f>
        <v>#N/A</v>
      </c>
      <c r="BR50" s="43" t="e">
        <f ca="1">IFERROR(IF(ISNUMBER($BP$50),INDEX('1.Locations'!$E$2:$E$97,$BP$50 + 1),NA()),NA())</f>
        <v>#N/A</v>
      </c>
      <c r="BS50" s="44" t="str">
        <f ca="1">IFERROR(IF(AND(ISNUMBER($BP$50),$BP$50&lt;=95),INDEX('2.Distances'!$C$2:$C$9218,$BP$49*96+$BP$50+ 1) +$BS$49," ")," ")</f>
        <v xml:space="preserve"> </v>
      </c>
      <c r="BT50" s="43" t="str">
        <f ca="1">IFERROR(IF(ISNUMBER($BP$50),INDEX('1.Locations'!$J$2:$J$97,$BP$50 + 1) +$BT$49," ")," ")</f>
        <v xml:space="preserve"> </v>
      </c>
      <c r="BU50" s="43" t="str">
        <f ca="1">IFERROR(IF(ISNUMBER($BP$50),INDEX('1.Locations'!$K$2:$K$97,$BP$50 + 1) +$BU$49," ")," ")</f>
        <v xml:space="preserve"> </v>
      </c>
      <c r="BV50" s="45" t="str">
        <f ca="1">IFERROR(IF(AND(ISNUMBER($BP$50),$BP$50&lt;=95),INDEX('2.Distances'!$D$2:$D$9218,$BP$49*96+$BP$50+ 1) +$BV$49," ")," ")</f>
        <v xml:space="preserve"> </v>
      </c>
      <c r="BW50" s="46" t="str">
        <f ca="1">IFERROR(IF(AND(ISNUMBER($BP$50),$BP$50&lt;=95),INDEX('2.Distances'!$D$2:$D$9218,$BP$49*96+$BP$50+ 1) +$BX$49," ")," ")</f>
        <v xml:space="preserve"> </v>
      </c>
      <c r="BX50" s="46" t="str">
        <f ca="1">IFERROR(IF(ISNUMBER($BW$50),INDEX('1.Locations'!$I$2:$I$97,$BP$50 + 1) + MAX($BW$50,INDEX('1.Locations'!$F$2:$F$97,$BP$50 + 1))," ")," ")</f>
        <v xml:space="preserve"> </v>
      </c>
      <c r="BY50" s="45" t="str">
        <f ca="1">IFERROR($BY$49 + INDEX('2.Distances'!$D$2:$D$9218,$BP$49*96+$BP$50+ 1) + INDEX('1.Locations'!$I$2:$I$97,$BP$50 + 1)," ")</f>
        <v xml:space="preserve"> </v>
      </c>
      <c r="CA50" s="24">
        <v>45</v>
      </c>
      <c r="CB50" s="25"/>
      <c r="CC50" s="43" t="str">
        <f ca="1">IFERROR(MATCH(INDIRECT("$CB$50"),'1.Locations'!$B$2:$B$97, 0) - 1," ")</f>
        <v xml:space="preserve"> </v>
      </c>
      <c r="CD50" s="43" t="e">
        <f ca="1">IFERROR(IF(ISNUMBER($CC$50),INDEX('1.Locations'!$D$2:$D$97,$CC$50 + 1),NA()),NA())</f>
        <v>#N/A</v>
      </c>
      <c r="CE50" s="43" t="e">
        <f ca="1">IFERROR(IF(ISNUMBER($CC$50),INDEX('1.Locations'!$E$2:$E$97,$CC$50 + 1),NA()),NA())</f>
        <v>#N/A</v>
      </c>
      <c r="CF50" s="44" t="str">
        <f ca="1">IFERROR(IF(AND(ISNUMBER($CC$50),$CC$50&lt;=95),INDEX('2.Distances'!$C$2:$C$9218,$CC$49*96+$CC$50+ 1) +$CF$49," ")," ")</f>
        <v xml:space="preserve"> </v>
      </c>
      <c r="CG50" s="43" t="str">
        <f ca="1">IFERROR(IF(ISNUMBER($CC$50),INDEX('1.Locations'!$J$2:$J$97,$CC$50 + 1) +$CG$49," ")," ")</f>
        <v xml:space="preserve"> </v>
      </c>
      <c r="CH50" s="43" t="str">
        <f ca="1">IFERROR(IF(ISNUMBER($CC$50),INDEX('1.Locations'!$K$2:$K$97,$CC$50 + 1) +$CH$49," ")," ")</f>
        <v xml:space="preserve"> </v>
      </c>
      <c r="CI50" s="45" t="str">
        <f ca="1">IFERROR(IF(AND(ISNUMBER($CC$50),$CC$50&lt;=95),INDEX('2.Distances'!$D$2:$D$9218,$CC$49*96+$CC$50+ 1) +$CI$49," ")," ")</f>
        <v xml:space="preserve"> </v>
      </c>
      <c r="CJ50" s="46" t="str">
        <f ca="1">IFERROR(IF(AND(ISNUMBER($CC$50),$CC$50&lt;=95),INDEX('2.Distances'!$D$2:$D$9218,$CC$49*96+$CC$50+ 1) +$CK$49," ")," ")</f>
        <v xml:space="preserve"> </v>
      </c>
      <c r="CK50" s="46" t="str">
        <f ca="1">IFERROR(IF(ISNUMBER($CJ$50),INDEX('1.Locations'!$I$2:$I$97,$CC$50 + 1) + MAX($CJ$50,INDEX('1.Locations'!$F$2:$F$97,$CC$50 + 1))," ")," ")</f>
        <v xml:space="preserve"> </v>
      </c>
      <c r="CL50" s="45" t="str">
        <f ca="1">IFERROR($CL$49 + INDEX('2.Distances'!$D$2:$D$9218,$CC$49*96+$CC$50+ 1) + INDEX('1.Locations'!$I$2:$I$97,$CC$50 + 1)," ")</f>
        <v xml:space="preserve"> </v>
      </c>
    </row>
    <row r="51" spans="1:90" x14ac:dyDescent="0.25">
      <c r="A51" s="24">
        <v>46</v>
      </c>
      <c r="B51" s="25"/>
      <c r="C51" s="43" t="str">
        <f ca="1">IFERROR(MATCH(INDIRECT("$B$51"),'1.Locations'!$B$2:$B$97, 0) - 1," ")</f>
        <v xml:space="preserve"> </v>
      </c>
      <c r="D51" s="43" t="e">
        <f ca="1">IFERROR(IF(ISNUMBER($C$51),INDEX('1.Locations'!$D$2:$D$97,$C$51 + 1),NA()),NA())</f>
        <v>#N/A</v>
      </c>
      <c r="E51" s="43" t="e">
        <f ca="1">IFERROR(IF(ISNUMBER($C$51),INDEX('1.Locations'!$E$2:$E$97,$C$51 + 1),NA()),NA())</f>
        <v>#N/A</v>
      </c>
      <c r="F51" s="44" t="str">
        <f ca="1">IFERROR(IF(AND(ISNUMBER($C$51),$C$51&lt;=95),INDEX('2.Distances'!$C$2:$C$9218,$C$50*96+$C$51+ 1) +$F$50," ")," ")</f>
        <v xml:space="preserve"> </v>
      </c>
      <c r="G51" s="43" t="str">
        <f ca="1">IFERROR(IF(ISNUMBER($C$51),INDEX('1.Locations'!$J$2:$J$97,$C$51 + 1) +$G$50," ")," ")</f>
        <v xml:space="preserve"> </v>
      </c>
      <c r="H51" s="43" t="str">
        <f ca="1">IFERROR(IF(ISNUMBER($C$51),INDEX('1.Locations'!$K$2:$K$97,$C$51 + 1) +$H$50," ")," ")</f>
        <v xml:space="preserve"> </v>
      </c>
      <c r="I51" s="45" t="str">
        <f ca="1">IFERROR(IF(AND(ISNUMBER($C$51),$C$51&lt;=95),INDEX('2.Distances'!$D$2:$D$9218,$C$50*96+$C$51+ 1) +$I$50," ")," ")</f>
        <v xml:space="preserve"> </v>
      </c>
      <c r="J51" s="46" t="str">
        <f ca="1">IFERROR(IF(AND(ISNUMBER($C$51),$C$51&lt;=95),INDEX('2.Distances'!$D$2:$D$9218,$C$50*96+$C$51+ 1) +$K$50," ")," ")</f>
        <v xml:space="preserve"> </v>
      </c>
      <c r="K51" s="46" t="str">
        <f ca="1">IFERROR(IF(ISNUMBER($J$51),INDEX('1.Locations'!$I$2:$I$97,$C$51 + 1) + MAX($J$51,INDEX('1.Locations'!$F$2:$F$97,$C$51 + 1))," ")," ")</f>
        <v xml:space="preserve"> </v>
      </c>
      <c r="L51" s="45" t="str">
        <f ca="1">IFERROR($L$50 + INDEX('2.Distances'!$D$2:$D$9218,$C$50*96+$C$51+ 1) + INDEX('1.Locations'!$I$2:$I$97,$C$51 + 1)," ")</f>
        <v xml:space="preserve"> </v>
      </c>
      <c r="N51" s="24">
        <v>46</v>
      </c>
      <c r="O51" s="25"/>
      <c r="P51" s="43" t="str">
        <f ca="1">IFERROR(MATCH(INDIRECT("$O$51"),'1.Locations'!$B$2:$B$97, 0) - 1," ")</f>
        <v xml:space="preserve"> </v>
      </c>
      <c r="Q51" s="43" t="e">
        <f ca="1">IFERROR(IF(ISNUMBER($P$51),INDEX('1.Locations'!$D$2:$D$97,$P$51 + 1),NA()),NA())</f>
        <v>#N/A</v>
      </c>
      <c r="R51" s="43" t="e">
        <f ca="1">IFERROR(IF(ISNUMBER($P$51),INDEX('1.Locations'!$E$2:$E$97,$P$51 + 1),NA()),NA())</f>
        <v>#N/A</v>
      </c>
      <c r="S51" s="44" t="str">
        <f ca="1">IFERROR(IF(AND(ISNUMBER($P$51),$P$51&lt;=95),INDEX('2.Distances'!$C$2:$C$9218,$P$50*96+$P$51+ 1) +$S$50," ")," ")</f>
        <v xml:space="preserve"> </v>
      </c>
      <c r="T51" s="43" t="str">
        <f ca="1">IFERROR(IF(ISNUMBER($P$51),INDEX('1.Locations'!$J$2:$J$97,$P$51 + 1) +$T$50," ")," ")</f>
        <v xml:space="preserve"> </v>
      </c>
      <c r="U51" s="43" t="str">
        <f ca="1">IFERROR(IF(ISNUMBER($P$51),INDEX('1.Locations'!$K$2:$K$97,$P$51 + 1) +$U$50," ")," ")</f>
        <v xml:space="preserve"> </v>
      </c>
      <c r="V51" s="45" t="str">
        <f ca="1">IFERROR(IF(AND(ISNUMBER($P$51),$P$51&lt;=95),INDEX('2.Distances'!$D$2:$D$9218,$P$50*96+$P$51+ 1) +$V$50," ")," ")</f>
        <v xml:space="preserve"> </v>
      </c>
      <c r="W51" s="46" t="str">
        <f ca="1">IFERROR(IF(AND(ISNUMBER($P$51),$P$51&lt;=95),INDEX('2.Distances'!$D$2:$D$9218,$P$50*96+$P$51+ 1) +$X$50," ")," ")</f>
        <v xml:space="preserve"> </v>
      </c>
      <c r="X51" s="46" t="str">
        <f ca="1">IFERROR(IF(ISNUMBER($W$51),INDEX('1.Locations'!$I$2:$I$97,$P$51 + 1) + MAX($W$51,INDEX('1.Locations'!$F$2:$F$97,$P$51 + 1))," ")," ")</f>
        <v xml:space="preserve"> </v>
      </c>
      <c r="Y51" s="45" t="str">
        <f ca="1">IFERROR($Y$50 + INDEX('2.Distances'!$D$2:$D$9218,$P$50*96+$P$51+ 1) + INDEX('1.Locations'!$I$2:$I$97,$P$51 + 1)," ")</f>
        <v xml:space="preserve"> </v>
      </c>
      <c r="AA51" s="24">
        <v>46</v>
      </c>
      <c r="AB51" s="25"/>
      <c r="AC51" s="43" t="str">
        <f ca="1">IFERROR(MATCH(INDIRECT("$AB$51"),'1.Locations'!$B$2:$B$97, 0) - 1," ")</f>
        <v xml:space="preserve"> </v>
      </c>
      <c r="AD51" s="43" t="e">
        <f ca="1">IFERROR(IF(ISNUMBER($AC$51),INDEX('1.Locations'!$D$2:$D$97,$AC$51 + 1),NA()),NA())</f>
        <v>#N/A</v>
      </c>
      <c r="AE51" s="43" t="e">
        <f ca="1">IFERROR(IF(ISNUMBER($AC$51),INDEX('1.Locations'!$E$2:$E$97,$AC$51 + 1),NA()),NA())</f>
        <v>#N/A</v>
      </c>
      <c r="AF51" s="44" t="str">
        <f ca="1">IFERROR(IF(AND(ISNUMBER($AC$51),$AC$51&lt;=95),INDEX('2.Distances'!$C$2:$C$9218,$AC$50*96+$AC$51+ 1) +$AF$50," ")," ")</f>
        <v xml:space="preserve"> </v>
      </c>
      <c r="AG51" s="43" t="str">
        <f ca="1">IFERROR(IF(ISNUMBER($AC$51),INDEX('1.Locations'!$J$2:$J$97,$AC$51 + 1) +$AG$50," ")," ")</f>
        <v xml:space="preserve"> </v>
      </c>
      <c r="AH51" s="43" t="str">
        <f ca="1">IFERROR(IF(ISNUMBER($AC$51),INDEX('1.Locations'!$K$2:$K$97,$AC$51 + 1) +$AH$50," ")," ")</f>
        <v xml:space="preserve"> </v>
      </c>
      <c r="AI51" s="45" t="str">
        <f ca="1">IFERROR(IF(AND(ISNUMBER($AC$51),$AC$51&lt;=95),INDEX('2.Distances'!$D$2:$D$9218,$AC$50*96+$AC$51+ 1) +$AI$50," ")," ")</f>
        <v xml:space="preserve"> </v>
      </c>
      <c r="AJ51" s="46" t="str">
        <f ca="1">IFERROR(IF(AND(ISNUMBER($AC$51),$AC$51&lt;=95),INDEX('2.Distances'!$D$2:$D$9218,$AC$50*96+$AC$51+ 1) +$AK$50," ")," ")</f>
        <v xml:space="preserve"> </v>
      </c>
      <c r="AK51" s="46" t="str">
        <f ca="1">IFERROR(IF(ISNUMBER($AJ$51),INDEX('1.Locations'!$I$2:$I$97,$AC$51 + 1) + MAX($AJ$51,INDEX('1.Locations'!$F$2:$F$97,$AC$51 + 1))," ")," ")</f>
        <v xml:space="preserve"> </v>
      </c>
      <c r="AL51" s="45" t="str">
        <f ca="1">IFERROR($AL$50 + INDEX('2.Distances'!$D$2:$D$9218,$AC$50*96+$AC$51+ 1) + INDEX('1.Locations'!$I$2:$I$97,$AC$51 + 1)," ")</f>
        <v xml:space="preserve"> </v>
      </c>
      <c r="AN51" s="24">
        <v>46</v>
      </c>
      <c r="AO51" s="25"/>
      <c r="AP51" s="43" t="str">
        <f ca="1">IFERROR(MATCH(INDIRECT("$AO$51"),'1.Locations'!$B$2:$B$97, 0) - 1," ")</f>
        <v xml:space="preserve"> </v>
      </c>
      <c r="AQ51" s="43" t="e">
        <f ca="1">IFERROR(IF(ISNUMBER($AP$51),INDEX('1.Locations'!$D$2:$D$97,$AP$51 + 1),NA()),NA())</f>
        <v>#N/A</v>
      </c>
      <c r="AR51" s="43" t="e">
        <f ca="1">IFERROR(IF(ISNUMBER($AP$51),INDEX('1.Locations'!$E$2:$E$97,$AP$51 + 1),NA()),NA())</f>
        <v>#N/A</v>
      </c>
      <c r="AS51" s="44" t="str">
        <f ca="1">IFERROR(IF(AND(ISNUMBER($AP$51),$AP$51&lt;=95),INDEX('2.Distances'!$C$2:$C$9218,$AP$50*96+$AP$51+ 1) +$AS$50," ")," ")</f>
        <v xml:space="preserve"> </v>
      </c>
      <c r="AT51" s="43" t="str">
        <f ca="1">IFERROR(IF(ISNUMBER($AP$51),INDEX('1.Locations'!$J$2:$J$97,$AP$51 + 1) +$AT$50," ")," ")</f>
        <v xml:space="preserve"> </v>
      </c>
      <c r="AU51" s="43" t="str">
        <f ca="1">IFERROR(IF(ISNUMBER($AP$51),INDEX('1.Locations'!$K$2:$K$97,$AP$51 + 1) +$AU$50," ")," ")</f>
        <v xml:space="preserve"> </v>
      </c>
      <c r="AV51" s="45" t="str">
        <f ca="1">IFERROR(IF(AND(ISNUMBER($AP$51),$AP$51&lt;=95),INDEX('2.Distances'!$D$2:$D$9218,$AP$50*96+$AP$51+ 1) +$AV$50," ")," ")</f>
        <v xml:space="preserve"> </v>
      </c>
      <c r="AW51" s="46" t="str">
        <f ca="1">IFERROR(IF(AND(ISNUMBER($AP$51),$AP$51&lt;=95),INDEX('2.Distances'!$D$2:$D$9218,$AP$50*96+$AP$51+ 1) +$AX$50," ")," ")</f>
        <v xml:space="preserve"> </v>
      </c>
      <c r="AX51" s="46" t="str">
        <f ca="1">IFERROR(IF(ISNUMBER($AW$51),INDEX('1.Locations'!$I$2:$I$97,$AP$51 + 1) + MAX($AW$51,INDEX('1.Locations'!$F$2:$F$97,$AP$51 + 1))," ")," ")</f>
        <v xml:space="preserve"> </v>
      </c>
      <c r="AY51" s="45" t="str">
        <f ca="1">IFERROR($AY$50 + INDEX('2.Distances'!$D$2:$D$9218,$AP$50*96+$AP$51+ 1) + INDEX('1.Locations'!$I$2:$I$97,$AP$51 + 1)," ")</f>
        <v xml:space="preserve"> </v>
      </c>
      <c r="BA51" s="24">
        <v>46</v>
      </c>
      <c r="BB51" s="25"/>
      <c r="BC51" s="43" t="str">
        <f ca="1">IFERROR(MATCH(INDIRECT("$BB$51"),'1.Locations'!$B$2:$B$97, 0) - 1," ")</f>
        <v xml:space="preserve"> </v>
      </c>
      <c r="BD51" s="43" t="e">
        <f ca="1">IFERROR(IF(ISNUMBER($BC$51),INDEX('1.Locations'!$D$2:$D$97,$BC$51 + 1),NA()),NA())</f>
        <v>#N/A</v>
      </c>
      <c r="BE51" s="43" t="e">
        <f ca="1">IFERROR(IF(ISNUMBER($BC$51),INDEX('1.Locations'!$E$2:$E$97,$BC$51 + 1),NA()),NA())</f>
        <v>#N/A</v>
      </c>
      <c r="BF51" s="44" t="str">
        <f ca="1">IFERROR(IF(AND(ISNUMBER($BC$51),$BC$51&lt;=95),INDEX('2.Distances'!$C$2:$C$9218,$BC$50*96+$BC$51+ 1) +$BF$50," ")," ")</f>
        <v xml:space="preserve"> </v>
      </c>
      <c r="BG51" s="43" t="str">
        <f ca="1">IFERROR(IF(ISNUMBER($BC$51),INDEX('1.Locations'!$J$2:$J$97,$BC$51 + 1) +$BG$50," ")," ")</f>
        <v xml:space="preserve"> </v>
      </c>
      <c r="BH51" s="43" t="str">
        <f ca="1">IFERROR(IF(ISNUMBER($BC$51),INDEX('1.Locations'!$K$2:$K$97,$BC$51 + 1) +$BH$50," ")," ")</f>
        <v xml:space="preserve"> </v>
      </c>
      <c r="BI51" s="45" t="str">
        <f ca="1">IFERROR(IF(AND(ISNUMBER($BC$51),$BC$51&lt;=95),INDEX('2.Distances'!$D$2:$D$9218,$BC$50*96+$BC$51+ 1) +$BI$50," ")," ")</f>
        <v xml:space="preserve"> </v>
      </c>
      <c r="BJ51" s="46" t="str">
        <f ca="1">IFERROR(IF(AND(ISNUMBER($BC$51),$BC$51&lt;=95),INDEX('2.Distances'!$D$2:$D$9218,$BC$50*96+$BC$51+ 1) +$BK$50," ")," ")</f>
        <v xml:space="preserve"> </v>
      </c>
      <c r="BK51" s="46" t="str">
        <f ca="1">IFERROR(IF(ISNUMBER($BJ$51),INDEX('1.Locations'!$I$2:$I$97,$BC$51 + 1) + MAX($BJ$51,INDEX('1.Locations'!$F$2:$F$97,$BC$51 + 1))," ")," ")</f>
        <v xml:space="preserve"> </v>
      </c>
      <c r="BL51" s="45" t="str">
        <f ca="1">IFERROR($BL$50 + INDEX('2.Distances'!$D$2:$D$9218,$BC$50*96+$BC$51+ 1) + INDEX('1.Locations'!$I$2:$I$97,$BC$51 + 1)," ")</f>
        <v xml:space="preserve"> </v>
      </c>
      <c r="BN51" s="24">
        <v>46</v>
      </c>
      <c r="BO51" s="25"/>
      <c r="BP51" s="43" t="str">
        <f ca="1">IFERROR(MATCH(INDIRECT("$BO$51"),'1.Locations'!$B$2:$B$97, 0) - 1," ")</f>
        <v xml:space="preserve"> </v>
      </c>
      <c r="BQ51" s="43" t="e">
        <f ca="1">IFERROR(IF(ISNUMBER($BP$51),INDEX('1.Locations'!$D$2:$D$97,$BP$51 + 1),NA()),NA())</f>
        <v>#N/A</v>
      </c>
      <c r="BR51" s="43" t="e">
        <f ca="1">IFERROR(IF(ISNUMBER($BP$51),INDEX('1.Locations'!$E$2:$E$97,$BP$51 + 1),NA()),NA())</f>
        <v>#N/A</v>
      </c>
      <c r="BS51" s="44" t="str">
        <f ca="1">IFERROR(IF(AND(ISNUMBER($BP$51),$BP$51&lt;=95),INDEX('2.Distances'!$C$2:$C$9218,$BP$50*96+$BP$51+ 1) +$BS$50," ")," ")</f>
        <v xml:space="preserve"> </v>
      </c>
      <c r="BT51" s="43" t="str">
        <f ca="1">IFERROR(IF(ISNUMBER($BP$51),INDEX('1.Locations'!$J$2:$J$97,$BP$51 + 1) +$BT$50," ")," ")</f>
        <v xml:space="preserve"> </v>
      </c>
      <c r="BU51" s="43" t="str">
        <f ca="1">IFERROR(IF(ISNUMBER($BP$51),INDEX('1.Locations'!$K$2:$K$97,$BP$51 + 1) +$BU$50," ")," ")</f>
        <v xml:space="preserve"> </v>
      </c>
      <c r="BV51" s="45" t="str">
        <f ca="1">IFERROR(IF(AND(ISNUMBER($BP$51),$BP$51&lt;=95),INDEX('2.Distances'!$D$2:$D$9218,$BP$50*96+$BP$51+ 1) +$BV$50," ")," ")</f>
        <v xml:space="preserve"> </v>
      </c>
      <c r="BW51" s="46" t="str">
        <f ca="1">IFERROR(IF(AND(ISNUMBER($BP$51),$BP$51&lt;=95),INDEX('2.Distances'!$D$2:$D$9218,$BP$50*96+$BP$51+ 1) +$BX$50," ")," ")</f>
        <v xml:space="preserve"> </v>
      </c>
      <c r="BX51" s="46" t="str">
        <f ca="1">IFERROR(IF(ISNUMBER($BW$51),INDEX('1.Locations'!$I$2:$I$97,$BP$51 + 1) + MAX($BW$51,INDEX('1.Locations'!$F$2:$F$97,$BP$51 + 1))," ")," ")</f>
        <v xml:space="preserve"> </v>
      </c>
      <c r="BY51" s="45" t="str">
        <f ca="1">IFERROR($BY$50 + INDEX('2.Distances'!$D$2:$D$9218,$BP$50*96+$BP$51+ 1) + INDEX('1.Locations'!$I$2:$I$97,$BP$51 + 1)," ")</f>
        <v xml:space="preserve"> </v>
      </c>
      <c r="CA51" s="24">
        <v>46</v>
      </c>
      <c r="CB51" s="25"/>
      <c r="CC51" s="43" t="str">
        <f ca="1">IFERROR(MATCH(INDIRECT("$CB$51"),'1.Locations'!$B$2:$B$97, 0) - 1," ")</f>
        <v xml:space="preserve"> </v>
      </c>
      <c r="CD51" s="43" t="e">
        <f ca="1">IFERROR(IF(ISNUMBER($CC$51),INDEX('1.Locations'!$D$2:$D$97,$CC$51 + 1),NA()),NA())</f>
        <v>#N/A</v>
      </c>
      <c r="CE51" s="43" t="e">
        <f ca="1">IFERROR(IF(ISNUMBER($CC$51),INDEX('1.Locations'!$E$2:$E$97,$CC$51 + 1),NA()),NA())</f>
        <v>#N/A</v>
      </c>
      <c r="CF51" s="44" t="str">
        <f ca="1">IFERROR(IF(AND(ISNUMBER($CC$51),$CC$51&lt;=95),INDEX('2.Distances'!$C$2:$C$9218,$CC$50*96+$CC$51+ 1) +$CF$50," ")," ")</f>
        <v xml:space="preserve"> </v>
      </c>
      <c r="CG51" s="43" t="str">
        <f ca="1">IFERROR(IF(ISNUMBER($CC$51),INDEX('1.Locations'!$J$2:$J$97,$CC$51 + 1) +$CG$50," ")," ")</f>
        <v xml:space="preserve"> </v>
      </c>
      <c r="CH51" s="43" t="str">
        <f ca="1">IFERROR(IF(ISNUMBER($CC$51),INDEX('1.Locations'!$K$2:$K$97,$CC$51 + 1) +$CH$50," ")," ")</f>
        <v xml:space="preserve"> </v>
      </c>
      <c r="CI51" s="45" t="str">
        <f ca="1">IFERROR(IF(AND(ISNUMBER($CC$51),$CC$51&lt;=95),INDEX('2.Distances'!$D$2:$D$9218,$CC$50*96+$CC$51+ 1) +$CI$50," ")," ")</f>
        <v xml:space="preserve"> </v>
      </c>
      <c r="CJ51" s="46" t="str">
        <f ca="1">IFERROR(IF(AND(ISNUMBER($CC$51),$CC$51&lt;=95),INDEX('2.Distances'!$D$2:$D$9218,$CC$50*96+$CC$51+ 1) +$CK$50," ")," ")</f>
        <v xml:space="preserve"> </v>
      </c>
      <c r="CK51" s="46" t="str">
        <f ca="1">IFERROR(IF(ISNUMBER($CJ$51),INDEX('1.Locations'!$I$2:$I$97,$CC$51 + 1) + MAX($CJ$51,INDEX('1.Locations'!$F$2:$F$97,$CC$51 + 1))," ")," ")</f>
        <v xml:space="preserve"> </v>
      </c>
      <c r="CL51" s="45" t="str">
        <f ca="1">IFERROR($CL$50 + INDEX('2.Distances'!$D$2:$D$9218,$CC$50*96+$CC$51+ 1) + INDEX('1.Locations'!$I$2:$I$97,$CC$51 + 1)," ")</f>
        <v xml:space="preserve"> </v>
      </c>
    </row>
    <row r="52" spans="1:90" x14ac:dyDescent="0.25">
      <c r="A52" s="24">
        <v>47</v>
      </c>
      <c r="B52" s="25"/>
      <c r="C52" s="43" t="str">
        <f ca="1">IFERROR(MATCH(INDIRECT("$B$52"),'1.Locations'!$B$2:$B$97, 0) - 1," ")</f>
        <v xml:space="preserve"> </v>
      </c>
      <c r="D52" s="43" t="e">
        <f ca="1">IFERROR(IF(ISNUMBER($C$52),INDEX('1.Locations'!$D$2:$D$97,$C$52 + 1),NA()),NA())</f>
        <v>#N/A</v>
      </c>
      <c r="E52" s="43" t="e">
        <f ca="1">IFERROR(IF(ISNUMBER($C$52),INDEX('1.Locations'!$E$2:$E$97,$C$52 + 1),NA()),NA())</f>
        <v>#N/A</v>
      </c>
      <c r="F52" s="44" t="str">
        <f ca="1">IFERROR(IF(AND(ISNUMBER($C$52),$C$52&lt;=95),INDEX('2.Distances'!$C$2:$C$9218,$C$51*96+$C$52+ 1) +$F$51," ")," ")</f>
        <v xml:space="preserve"> </v>
      </c>
      <c r="G52" s="43" t="str">
        <f ca="1">IFERROR(IF(ISNUMBER($C$52),INDEX('1.Locations'!$J$2:$J$97,$C$52 + 1) +$G$51," ")," ")</f>
        <v xml:space="preserve"> </v>
      </c>
      <c r="H52" s="43" t="str">
        <f ca="1">IFERROR(IF(ISNUMBER($C$52),INDEX('1.Locations'!$K$2:$K$97,$C$52 + 1) +$H$51," ")," ")</f>
        <v xml:space="preserve"> </v>
      </c>
      <c r="I52" s="45" t="str">
        <f ca="1">IFERROR(IF(AND(ISNUMBER($C$52),$C$52&lt;=95),INDEX('2.Distances'!$D$2:$D$9218,$C$51*96+$C$52+ 1) +$I$51," ")," ")</f>
        <v xml:space="preserve"> </v>
      </c>
      <c r="J52" s="46" t="str">
        <f ca="1">IFERROR(IF(AND(ISNUMBER($C$52),$C$52&lt;=95),INDEX('2.Distances'!$D$2:$D$9218,$C$51*96+$C$52+ 1) +$K$51," ")," ")</f>
        <v xml:space="preserve"> </v>
      </c>
      <c r="K52" s="46" t="str">
        <f ca="1">IFERROR(IF(ISNUMBER($J$52),INDEX('1.Locations'!$I$2:$I$97,$C$52 + 1) + MAX($J$52,INDEX('1.Locations'!$F$2:$F$97,$C$52 + 1))," ")," ")</f>
        <v xml:space="preserve"> </v>
      </c>
      <c r="L52" s="45" t="str">
        <f ca="1">IFERROR($L$51 + INDEX('2.Distances'!$D$2:$D$9218,$C$51*96+$C$52+ 1) + INDEX('1.Locations'!$I$2:$I$97,$C$52 + 1)," ")</f>
        <v xml:space="preserve"> </v>
      </c>
      <c r="N52" s="24">
        <v>47</v>
      </c>
      <c r="O52" s="25"/>
      <c r="P52" s="43" t="str">
        <f ca="1">IFERROR(MATCH(INDIRECT("$O$52"),'1.Locations'!$B$2:$B$97, 0) - 1," ")</f>
        <v xml:space="preserve"> </v>
      </c>
      <c r="Q52" s="43" t="e">
        <f ca="1">IFERROR(IF(ISNUMBER($P$52),INDEX('1.Locations'!$D$2:$D$97,$P$52 + 1),NA()),NA())</f>
        <v>#N/A</v>
      </c>
      <c r="R52" s="43" t="e">
        <f ca="1">IFERROR(IF(ISNUMBER($P$52),INDEX('1.Locations'!$E$2:$E$97,$P$52 + 1),NA()),NA())</f>
        <v>#N/A</v>
      </c>
      <c r="S52" s="44" t="str">
        <f ca="1">IFERROR(IF(AND(ISNUMBER($P$52),$P$52&lt;=95),INDEX('2.Distances'!$C$2:$C$9218,$P$51*96+$P$52+ 1) +$S$51," ")," ")</f>
        <v xml:space="preserve"> </v>
      </c>
      <c r="T52" s="43" t="str">
        <f ca="1">IFERROR(IF(ISNUMBER($P$52),INDEX('1.Locations'!$J$2:$J$97,$P$52 + 1) +$T$51," ")," ")</f>
        <v xml:space="preserve"> </v>
      </c>
      <c r="U52" s="43" t="str">
        <f ca="1">IFERROR(IF(ISNUMBER($P$52),INDEX('1.Locations'!$K$2:$K$97,$P$52 + 1) +$U$51," ")," ")</f>
        <v xml:space="preserve"> </v>
      </c>
      <c r="V52" s="45" t="str">
        <f ca="1">IFERROR(IF(AND(ISNUMBER($P$52),$P$52&lt;=95),INDEX('2.Distances'!$D$2:$D$9218,$P$51*96+$P$52+ 1) +$V$51," ")," ")</f>
        <v xml:space="preserve"> </v>
      </c>
      <c r="W52" s="46" t="str">
        <f ca="1">IFERROR(IF(AND(ISNUMBER($P$52),$P$52&lt;=95),INDEX('2.Distances'!$D$2:$D$9218,$P$51*96+$P$52+ 1) +$X$51," ")," ")</f>
        <v xml:space="preserve"> </v>
      </c>
      <c r="X52" s="46" t="str">
        <f ca="1">IFERROR(IF(ISNUMBER($W$52),INDEX('1.Locations'!$I$2:$I$97,$P$52 + 1) + MAX($W$52,INDEX('1.Locations'!$F$2:$F$97,$P$52 + 1))," ")," ")</f>
        <v xml:space="preserve"> </v>
      </c>
      <c r="Y52" s="45" t="str">
        <f ca="1">IFERROR($Y$51 + INDEX('2.Distances'!$D$2:$D$9218,$P$51*96+$P$52+ 1) + INDEX('1.Locations'!$I$2:$I$97,$P$52 + 1)," ")</f>
        <v xml:space="preserve"> </v>
      </c>
      <c r="AA52" s="24">
        <v>47</v>
      </c>
      <c r="AB52" s="25"/>
      <c r="AC52" s="43" t="str">
        <f ca="1">IFERROR(MATCH(INDIRECT("$AB$52"),'1.Locations'!$B$2:$B$97, 0) - 1," ")</f>
        <v xml:space="preserve"> </v>
      </c>
      <c r="AD52" s="43" t="e">
        <f ca="1">IFERROR(IF(ISNUMBER($AC$52),INDEX('1.Locations'!$D$2:$D$97,$AC$52 + 1),NA()),NA())</f>
        <v>#N/A</v>
      </c>
      <c r="AE52" s="43" t="e">
        <f ca="1">IFERROR(IF(ISNUMBER($AC$52),INDEX('1.Locations'!$E$2:$E$97,$AC$52 + 1),NA()),NA())</f>
        <v>#N/A</v>
      </c>
      <c r="AF52" s="44" t="str">
        <f ca="1">IFERROR(IF(AND(ISNUMBER($AC$52),$AC$52&lt;=95),INDEX('2.Distances'!$C$2:$C$9218,$AC$51*96+$AC$52+ 1) +$AF$51," ")," ")</f>
        <v xml:space="preserve"> </v>
      </c>
      <c r="AG52" s="43" t="str">
        <f ca="1">IFERROR(IF(ISNUMBER($AC$52),INDEX('1.Locations'!$J$2:$J$97,$AC$52 + 1) +$AG$51," ")," ")</f>
        <v xml:space="preserve"> </v>
      </c>
      <c r="AH52" s="43" t="str">
        <f ca="1">IFERROR(IF(ISNUMBER($AC$52),INDEX('1.Locations'!$K$2:$K$97,$AC$52 + 1) +$AH$51," ")," ")</f>
        <v xml:space="preserve"> </v>
      </c>
      <c r="AI52" s="45" t="str">
        <f ca="1">IFERROR(IF(AND(ISNUMBER($AC$52),$AC$52&lt;=95),INDEX('2.Distances'!$D$2:$D$9218,$AC$51*96+$AC$52+ 1) +$AI$51," ")," ")</f>
        <v xml:space="preserve"> </v>
      </c>
      <c r="AJ52" s="46" t="str">
        <f ca="1">IFERROR(IF(AND(ISNUMBER($AC$52),$AC$52&lt;=95),INDEX('2.Distances'!$D$2:$D$9218,$AC$51*96+$AC$52+ 1) +$AK$51," ")," ")</f>
        <v xml:space="preserve"> </v>
      </c>
      <c r="AK52" s="46" t="str">
        <f ca="1">IFERROR(IF(ISNUMBER($AJ$52),INDEX('1.Locations'!$I$2:$I$97,$AC$52 + 1) + MAX($AJ$52,INDEX('1.Locations'!$F$2:$F$97,$AC$52 + 1))," ")," ")</f>
        <v xml:space="preserve"> </v>
      </c>
      <c r="AL52" s="45" t="str">
        <f ca="1">IFERROR($AL$51 + INDEX('2.Distances'!$D$2:$D$9218,$AC$51*96+$AC$52+ 1) + INDEX('1.Locations'!$I$2:$I$97,$AC$52 + 1)," ")</f>
        <v xml:space="preserve"> </v>
      </c>
      <c r="AN52" s="24">
        <v>47</v>
      </c>
      <c r="AO52" s="25"/>
      <c r="AP52" s="43" t="str">
        <f ca="1">IFERROR(MATCH(INDIRECT("$AO$52"),'1.Locations'!$B$2:$B$97, 0) - 1," ")</f>
        <v xml:space="preserve"> </v>
      </c>
      <c r="AQ52" s="43" t="e">
        <f ca="1">IFERROR(IF(ISNUMBER($AP$52),INDEX('1.Locations'!$D$2:$D$97,$AP$52 + 1),NA()),NA())</f>
        <v>#N/A</v>
      </c>
      <c r="AR52" s="43" t="e">
        <f ca="1">IFERROR(IF(ISNUMBER($AP$52),INDEX('1.Locations'!$E$2:$E$97,$AP$52 + 1),NA()),NA())</f>
        <v>#N/A</v>
      </c>
      <c r="AS52" s="44" t="str">
        <f ca="1">IFERROR(IF(AND(ISNUMBER($AP$52),$AP$52&lt;=95),INDEX('2.Distances'!$C$2:$C$9218,$AP$51*96+$AP$52+ 1) +$AS$51," ")," ")</f>
        <v xml:space="preserve"> </v>
      </c>
      <c r="AT52" s="43" t="str">
        <f ca="1">IFERROR(IF(ISNUMBER($AP$52),INDEX('1.Locations'!$J$2:$J$97,$AP$52 + 1) +$AT$51," ")," ")</f>
        <v xml:space="preserve"> </v>
      </c>
      <c r="AU52" s="43" t="str">
        <f ca="1">IFERROR(IF(ISNUMBER($AP$52),INDEX('1.Locations'!$K$2:$K$97,$AP$52 + 1) +$AU$51," ")," ")</f>
        <v xml:space="preserve"> </v>
      </c>
      <c r="AV52" s="45" t="str">
        <f ca="1">IFERROR(IF(AND(ISNUMBER($AP$52),$AP$52&lt;=95),INDEX('2.Distances'!$D$2:$D$9218,$AP$51*96+$AP$52+ 1) +$AV$51," ")," ")</f>
        <v xml:space="preserve"> </v>
      </c>
      <c r="AW52" s="46" t="str">
        <f ca="1">IFERROR(IF(AND(ISNUMBER($AP$52),$AP$52&lt;=95),INDEX('2.Distances'!$D$2:$D$9218,$AP$51*96+$AP$52+ 1) +$AX$51," ")," ")</f>
        <v xml:space="preserve"> </v>
      </c>
      <c r="AX52" s="46" t="str">
        <f ca="1">IFERROR(IF(ISNUMBER($AW$52),INDEX('1.Locations'!$I$2:$I$97,$AP$52 + 1) + MAX($AW$52,INDEX('1.Locations'!$F$2:$F$97,$AP$52 + 1))," ")," ")</f>
        <v xml:space="preserve"> </v>
      </c>
      <c r="AY52" s="45" t="str">
        <f ca="1">IFERROR($AY$51 + INDEX('2.Distances'!$D$2:$D$9218,$AP$51*96+$AP$52+ 1) + INDEX('1.Locations'!$I$2:$I$97,$AP$52 + 1)," ")</f>
        <v xml:space="preserve"> </v>
      </c>
      <c r="BA52" s="24">
        <v>47</v>
      </c>
      <c r="BB52" s="25"/>
      <c r="BC52" s="43" t="str">
        <f ca="1">IFERROR(MATCH(INDIRECT("$BB$52"),'1.Locations'!$B$2:$B$97, 0) - 1," ")</f>
        <v xml:space="preserve"> </v>
      </c>
      <c r="BD52" s="43" t="e">
        <f ca="1">IFERROR(IF(ISNUMBER($BC$52),INDEX('1.Locations'!$D$2:$D$97,$BC$52 + 1),NA()),NA())</f>
        <v>#N/A</v>
      </c>
      <c r="BE52" s="43" t="e">
        <f ca="1">IFERROR(IF(ISNUMBER($BC$52),INDEX('1.Locations'!$E$2:$E$97,$BC$52 + 1),NA()),NA())</f>
        <v>#N/A</v>
      </c>
      <c r="BF52" s="44" t="str">
        <f ca="1">IFERROR(IF(AND(ISNUMBER($BC$52),$BC$52&lt;=95),INDEX('2.Distances'!$C$2:$C$9218,$BC$51*96+$BC$52+ 1) +$BF$51," ")," ")</f>
        <v xml:space="preserve"> </v>
      </c>
      <c r="BG52" s="43" t="str">
        <f ca="1">IFERROR(IF(ISNUMBER($BC$52),INDEX('1.Locations'!$J$2:$J$97,$BC$52 + 1) +$BG$51," ")," ")</f>
        <v xml:space="preserve"> </v>
      </c>
      <c r="BH52" s="43" t="str">
        <f ca="1">IFERROR(IF(ISNUMBER($BC$52),INDEX('1.Locations'!$K$2:$K$97,$BC$52 + 1) +$BH$51," ")," ")</f>
        <v xml:space="preserve"> </v>
      </c>
      <c r="BI52" s="45" t="str">
        <f ca="1">IFERROR(IF(AND(ISNUMBER($BC$52),$BC$52&lt;=95),INDEX('2.Distances'!$D$2:$D$9218,$BC$51*96+$BC$52+ 1) +$BI$51," ")," ")</f>
        <v xml:space="preserve"> </v>
      </c>
      <c r="BJ52" s="46" t="str">
        <f ca="1">IFERROR(IF(AND(ISNUMBER($BC$52),$BC$52&lt;=95),INDEX('2.Distances'!$D$2:$D$9218,$BC$51*96+$BC$52+ 1) +$BK$51," ")," ")</f>
        <v xml:space="preserve"> </v>
      </c>
      <c r="BK52" s="46" t="str">
        <f ca="1">IFERROR(IF(ISNUMBER($BJ$52),INDEX('1.Locations'!$I$2:$I$97,$BC$52 + 1) + MAX($BJ$52,INDEX('1.Locations'!$F$2:$F$97,$BC$52 + 1))," ")," ")</f>
        <v xml:space="preserve"> </v>
      </c>
      <c r="BL52" s="45" t="str">
        <f ca="1">IFERROR($BL$51 + INDEX('2.Distances'!$D$2:$D$9218,$BC$51*96+$BC$52+ 1) + INDEX('1.Locations'!$I$2:$I$97,$BC$52 + 1)," ")</f>
        <v xml:space="preserve"> </v>
      </c>
      <c r="BN52" s="24">
        <v>47</v>
      </c>
      <c r="BO52" s="25"/>
      <c r="BP52" s="43" t="str">
        <f ca="1">IFERROR(MATCH(INDIRECT("$BO$52"),'1.Locations'!$B$2:$B$97, 0) - 1," ")</f>
        <v xml:space="preserve"> </v>
      </c>
      <c r="BQ52" s="43" t="e">
        <f ca="1">IFERROR(IF(ISNUMBER($BP$52),INDEX('1.Locations'!$D$2:$D$97,$BP$52 + 1),NA()),NA())</f>
        <v>#N/A</v>
      </c>
      <c r="BR52" s="43" t="e">
        <f ca="1">IFERROR(IF(ISNUMBER($BP$52),INDEX('1.Locations'!$E$2:$E$97,$BP$52 + 1),NA()),NA())</f>
        <v>#N/A</v>
      </c>
      <c r="BS52" s="44" t="str">
        <f ca="1">IFERROR(IF(AND(ISNUMBER($BP$52),$BP$52&lt;=95),INDEX('2.Distances'!$C$2:$C$9218,$BP$51*96+$BP$52+ 1) +$BS$51," ")," ")</f>
        <v xml:space="preserve"> </v>
      </c>
      <c r="BT52" s="43" t="str">
        <f ca="1">IFERROR(IF(ISNUMBER($BP$52),INDEX('1.Locations'!$J$2:$J$97,$BP$52 + 1) +$BT$51," ")," ")</f>
        <v xml:space="preserve"> </v>
      </c>
      <c r="BU52" s="43" t="str">
        <f ca="1">IFERROR(IF(ISNUMBER($BP$52),INDEX('1.Locations'!$K$2:$K$97,$BP$52 + 1) +$BU$51," ")," ")</f>
        <v xml:space="preserve"> </v>
      </c>
      <c r="BV52" s="45" t="str">
        <f ca="1">IFERROR(IF(AND(ISNUMBER($BP$52),$BP$52&lt;=95),INDEX('2.Distances'!$D$2:$D$9218,$BP$51*96+$BP$52+ 1) +$BV$51," ")," ")</f>
        <v xml:space="preserve"> </v>
      </c>
      <c r="BW52" s="46" t="str">
        <f ca="1">IFERROR(IF(AND(ISNUMBER($BP$52),$BP$52&lt;=95),INDEX('2.Distances'!$D$2:$D$9218,$BP$51*96+$BP$52+ 1) +$BX$51," ")," ")</f>
        <v xml:space="preserve"> </v>
      </c>
      <c r="BX52" s="46" t="str">
        <f ca="1">IFERROR(IF(ISNUMBER($BW$52),INDEX('1.Locations'!$I$2:$I$97,$BP$52 + 1) + MAX($BW$52,INDEX('1.Locations'!$F$2:$F$97,$BP$52 + 1))," ")," ")</f>
        <v xml:space="preserve"> </v>
      </c>
      <c r="BY52" s="45" t="str">
        <f ca="1">IFERROR($BY$51 + INDEX('2.Distances'!$D$2:$D$9218,$BP$51*96+$BP$52+ 1) + INDEX('1.Locations'!$I$2:$I$97,$BP$52 + 1)," ")</f>
        <v xml:space="preserve"> </v>
      </c>
      <c r="CA52" s="24">
        <v>47</v>
      </c>
      <c r="CB52" s="25"/>
      <c r="CC52" s="43" t="str">
        <f ca="1">IFERROR(MATCH(INDIRECT("$CB$52"),'1.Locations'!$B$2:$B$97, 0) - 1," ")</f>
        <v xml:space="preserve"> </v>
      </c>
      <c r="CD52" s="43" t="e">
        <f ca="1">IFERROR(IF(ISNUMBER($CC$52),INDEX('1.Locations'!$D$2:$D$97,$CC$52 + 1),NA()),NA())</f>
        <v>#N/A</v>
      </c>
      <c r="CE52" s="43" t="e">
        <f ca="1">IFERROR(IF(ISNUMBER($CC$52),INDEX('1.Locations'!$E$2:$E$97,$CC$52 + 1),NA()),NA())</f>
        <v>#N/A</v>
      </c>
      <c r="CF52" s="44" t="str">
        <f ca="1">IFERROR(IF(AND(ISNUMBER($CC$52),$CC$52&lt;=95),INDEX('2.Distances'!$C$2:$C$9218,$CC$51*96+$CC$52+ 1) +$CF$51," ")," ")</f>
        <v xml:space="preserve"> </v>
      </c>
      <c r="CG52" s="43" t="str">
        <f ca="1">IFERROR(IF(ISNUMBER($CC$52),INDEX('1.Locations'!$J$2:$J$97,$CC$52 + 1) +$CG$51," ")," ")</f>
        <v xml:space="preserve"> </v>
      </c>
      <c r="CH52" s="43" t="str">
        <f ca="1">IFERROR(IF(ISNUMBER($CC$52),INDEX('1.Locations'!$K$2:$K$97,$CC$52 + 1) +$CH$51," ")," ")</f>
        <v xml:space="preserve"> </v>
      </c>
      <c r="CI52" s="45" t="str">
        <f ca="1">IFERROR(IF(AND(ISNUMBER($CC$52),$CC$52&lt;=95),INDEX('2.Distances'!$D$2:$D$9218,$CC$51*96+$CC$52+ 1) +$CI$51," ")," ")</f>
        <v xml:space="preserve"> </v>
      </c>
      <c r="CJ52" s="46" t="str">
        <f ca="1">IFERROR(IF(AND(ISNUMBER($CC$52),$CC$52&lt;=95),INDEX('2.Distances'!$D$2:$D$9218,$CC$51*96+$CC$52+ 1) +$CK$51," ")," ")</f>
        <v xml:space="preserve"> </v>
      </c>
      <c r="CK52" s="46" t="str">
        <f ca="1">IFERROR(IF(ISNUMBER($CJ$52),INDEX('1.Locations'!$I$2:$I$97,$CC$52 + 1) + MAX($CJ$52,INDEX('1.Locations'!$F$2:$F$97,$CC$52 + 1))," ")," ")</f>
        <v xml:space="preserve"> </v>
      </c>
      <c r="CL52" s="45" t="str">
        <f ca="1">IFERROR($CL$51 + INDEX('2.Distances'!$D$2:$D$9218,$CC$51*96+$CC$52+ 1) + INDEX('1.Locations'!$I$2:$I$97,$CC$52 + 1)," ")</f>
        <v xml:space="preserve"> </v>
      </c>
    </row>
    <row r="53" spans="1:90" x14ac:dyDescent="0.25">
      <c r="A53" s="24">
        <v>48</v>
      </c>
      <c r="B53" s="25"/>
      <c r="C53" s="43" t="str">
        <f ca="1">IFERROR(MATCH(INDIRECT("$B$53"),'1.Locations'!$B$2:$B$97, 0) - 1," ")</f>
        <v xml:space="preserve"> </v>
      </c>
      <c r="D53" s="43" t="e">
        <f ca="1">IFERROR(IF(ISNUMBER($C$53),INDEX('1.Locations'!$D$2:$D$97,$C$53 + 1),NA()),NA())</f>
        <v>#N/A</v>
      </c>
      <c r="E53" s="43" t="e">
        <f ca="1">IFERROR(IF(ISNUMBER($C$53),INDEX('1.Locations'!$E$2:$E$97,$C$53 + 1),NA()),NA())</f>
        <v>#N/A</v>
      </c>
      <c r="F53" s="44" t="str">
        <f ca="1">IFERROR(IF(AND(ISNUMBER($C$53),$C$53&lt;=95),INDEX('2.Distances'!$C$2:$C$9218,$C$52*96+$C$53+ 1) +$F$52," ")," ")</f>
        <v xml:space="preserve"> </v>
      </c>
      <c r="G53" s="43" t="str">
        <f ca="1">IFERROR(IF(ISNUMBER($C$53),INDEX('1.Locations'!$J$2:$J$97,$C$53 + 1) +$G$52," ")," ")</f>
        <v xml:space="preserve"> </v>
      </c>
      <c r="H53" s="43" t="str">
        <f ca="1">IFERROR(IF(ISNUMBER($C$53),INDEX('1.Locations'!$K$2:$K$97,$C$53 + 1) +$H$52," ")," ")</f>
        <v xml:space="preserve"> </v>
      </c>
      <c r="I53" s="45" t="str">
        <f ca="1">IFERROR(IF(AND(ISNUMBER($C$53),$C$53&lt;=95),INDEX('2.Distances'!$D$2:$D$9218,$C$52*96+$C$53+ 1) +$I$52," ")," ")</f>
        <v xml:space="preserve"> </v>
      </c>
      <c r="J53" s="46" t="str">
        <f ca="1">IFERROR(IF(AND(ISNUMBER($C$53),$C$53&lt;=95),INDEX('2.Distances'!$D$2:$D$9218,$C$52*96+$C$53+ 1) +$K$52," ")," ")</f>
        <v xml:space="preserve"> </v>
      </c>
      <c r="K53" s="46" t="str">
        <f ca="1">IFERROR(IF(ISNUMBER($J$53),INDEX('1.Locations'!$I$2:$I$97,$C$53 + 1) + MAX($J$53,INDEX('1.Locations'!$F$2:$F$97,$C$53 + 1))," ")," ")</f>
        <v xml:space="preserve"> </v>
      </c>
      <c r="L53" s="45" t="str">
        <f ca="1">IFERROR($L$52 + INDEX('2.Distances'!$D$2:$D$9218,$C$52*96+$C$53+ 1) + INDEX('1.Locations'!$I$2:$I$97,$C$53 + 1)," ")</f>
        <v xml:space="preserve"> </v>
      </c>
      <c r="N53" s="24">
        <v>48</v>
      </c>
      <c r="O53" s="25"/>
      <c r="P53" s="43" t="str">
        <f ca="1">IFERROR(MATCH(INDIRECT("$O$53"),'1.Locations'!$B$2:$B$97, 0) - 1," ")</f>
        <v xml:space="preserve"> </v>
      </c>
      <c r="Q53" s="43" t="e">
        <f ca="1">IFERROR(IF(ISNUMBER($P$53),INDEX('1.Locations'!$D$2:$D$97,$P$53 + 1),NA()),NA())</f>
        <v>#N/A</v>
      </c>
      <c r="R53" s="43" t="e">
        <f ca="1">IFERROR(IF(ISNUMBER($P$53),INDEX('1.Locations'!$E$2:$E$97,$P$53 + 1),NA()),NA())</f>
        <v>#N/A</v>
      </c>
      <c r="S53" s="44" t="str">
        <f ca="1">IFERROR(IF(AND(ISNUMBER($P$53),$P$53&lt;=95),INDEX('2.Distances'!$C$2:$C$9218,$P$52*96+$P$53+ 1) +$S$52," ")," ")</f>
        <v xml:space="preserve"> </v>
      </c>
      <c r="T53" s="43" t="str">
        <f ca="1">IFERROR(IF(ISNUMBER($P$53),INDEX('1.Locations'!$J$2:$J$97,$P$53 + 1) +$T$52," ")," ")</f>
        <v xml:space="preserve"> </v>
      </c>
      <c r="U53" s="43" t="str">
        <f ca="1">IFERROR(IF(ISNUMBER($P$53),INDEX('1.Locations'!$K$2:$K$97,$P$53 + 1) +$U$52," ")," ")</f>
        <v xml:space="preserve"> </v>
      </c>
      <c r="V53" s="45" t="str">
        <f ca="1">IFERROR(IF(AND(ISNUMBER($P$53),$P$53&lt;=95),INDEX('2.Distances'!$D$2:$D$9218,$P$52*96+$P$53+ 1) +$V$52," ")," ")</f>
        <v xml:space="preserve"> </v>
      </c>
      <c r="W53" s="46" t="str">
        <f ca="1">IFERROR(IF(AND(ISNUMBER($P$53),$P$53&lt;=95),INDEX('2.Distances'!$D$2:$D$9218,$P$52*96+$P$53+ 1) +$X$52," ")," ")</f>
        <v xml:space="preserve"> </v>
      </c>
      <c r="X53" s="46" t="str">
        <f ca="1">IFERROR(IF(ISNUMBER($W$53),INDEX('1.Locations'!$I$2:$I$97,$P$53 + 1) + MAX($W$53,INDEX('1.Locations'!$F$2:$F$97,$P$53 + 1))," ")," ")</f>
        <v xml:space="preserve"> </v>
      </c>
      <c r="Y53" s="45" t="str">
        <f ca="1">IFERROR($Y$52 + INDEX('2.Distances'!$D$2:$D$9218,$P$52*96+$P$53+ 1) + INDEX('1.Locations'!$I$2:$I$97,$P$53 + 1)," ")</f>
        <v xml:space="preserve"> </v>
      </c>
      <c r="AA53" s="24">
        <v>48</v>
      </c>
      <c r="AB53" s="25"/>
      <c r="AC53" s="43" t="str">
        <f ca="1">IFERROR(MATCH(INDIRECT("$AB$53"),'1.Locations'!$B$2:$B$97, 0) - 1," ")</f>
        <v xml:space="preserve"> </v>
      </c>
      <c r="AD53" s="43" t="e">
        <f ca="1">IFERROR(IF(ISNUMBER($AC$53),INDEX('1.Locations'!$D$2:$D$97,$AC$53 + 1),NA()),NA())</f>
        <v>#N/A</v>
      </c>
      <c r="AE53" s="43" t="e">
        <f ca="1">IFERROR(IF(ISNUMBER($AC$53),INDEX('1.Locations'!$E$2:$E$97,$AC$53 + 1),NA()),NA())</f>
        <v>#N/A</v>
      </c>
      <c r="AF53" s="44" t="str">
        <f ca="1">IFERROR(IF(AND(ISNUMBER($AC$53),$AC$53&lt;=95),INDEX('2.Distances'!$C$2:$C$9218,$AC$52*96+$AC$53+ 1) +$AF$52," ")," ")</f>
        <v xml:space="preserve"> </v>
      </c>
      <c r="AG53" s="43" t="str">
        <f ca="1">IFERROR(IF(ISNUMBER($AC$53),INDEX('1.Locations'!$J$2:$J$97,$AC$53 + 1) +$AG$52," ")," ")</f>
        <v xml:space="preserve"> </v>
      </c>
      <c r="AH53" s="43" t="str">
        <f ca="1">IFERROR(IF(ISNUMBER($AC$53),INDEX('1.Locations'!$K$2:$K$97,$AC$53 + 1) +$AH$52," ")," ")</f>
        <v xml:space="preserve"> </v>
      </c>
      <c r="AI53" s="45" t="str">
        <f ca="1">IFERROR(IF(AND(ISNUMBER($AC$53),$AC$53&lt;=95),INDEX('2.Distances'!$D$2:$D$9218,$AC$52*96+$AC$53+ 1) +$AI$52," ")," ")</f>
        <v xml:space="preserve"> </v>
      </c>
      <c r="AJ53" s="46" t="str">
        <f ca="1">IFERROR(IF(AND(ISNUMBER($AC$53),$AC$53&lt;=95),INDEX('2.Distances'!$D$2:$D$9218,$AC$52*96+$AC$53+ 1) +$AK$52," ")," ")</f>
        <v xml:space="preserve"> </v>
      </c>
      <c r="AK53" s="46" t="str">
        <f ca="1">IFERROR(IF(ISNUMBER($AJ$53),INDEX('1.Locations'!$I$2:$I$97,$AC$53 + 1) + MAX($AJ$53,INDEX('1.Locations'!$F$2:$F$97,$AC$53 + 1))," ")," ")</f>
        <v xml:space="preserve"> </v>
      </c>
      <c r="AL53" s="45" t="str">
        <f ca="1">IFERROR($AL$52 + INDEX('2.Distances'!$D$2:$D$9218,$AC$52*96+$AC$53+ 1) + INDEX('1.Locations'!$I$2:$I$97,$AC$53 + 1)," ")</f>
        <v xml:space="preserve"> </v>
      </c>
      <c r="AN53" s="24">
        <v>48</v>
      </c>
      <c r="AO53" s="25"/>
      <c r="AP53" s="43" t="str">
        <f ca="1">IFERROR(MATCH(INDIRECT("$AO$53"),'1.Locations'!$B$2:$B$97, 0) - 1," ")</f>
        <v xml:space="preserve"> </v>
      </c>
      <c r="AQ53" s="43" t="e">
        <f ca="1">IFERROR(IF(ISNUMBER($AP$53),INDEX('1.Locations'!$D$2:$D$97,$AP$53 + 1),NA()),NA())</f>
        <v>#N/A</v>
      </c>
      <c r="AR53" s="43" t="e">
        <f ca="1">IFERROR(IF(ISNUMBER($AP$53),INDEX('1.Locations'!$E$2:$E$97,$AP$53 + 1),NA()),NA())</f>
        <v>#N/A</v>
      </c>
      <c r="AS53" s="44" t="str">
        <f ca="1">IFERROR(IF(AND(ISNUMBER($AP$53),$AP$53&lt;=95),INDEX('2.Distances'!$C$2:$C$9218,$AP$52*96+$AP$53+ 1) +$AS$52," ")," ")</f>
        <v xml:space="preserve"> </v>
      </c>
      <c r="AT53" s="43" t="str">
        <f ca="1">IFERROR(IF(ISNUMBER($AP$53),INDEX('1.Locations'!$J$2:$J$97,$AP$53 + 1) +$AT$52," ")," ")</f>
        <v xml:space="preserve"> </v>
      </c>
      <c r="AU53" s="43" t="str">
        <f ca="1">IFERROR(IF(ISNUMBER($AP$53),INDEX('1.Locations'!$K$2:$K$97,$AP$53 + 1) +$AU$52," ")," ")</f>
        <v xml:space="preserve"> </v>
      </c>
      <c r="AV53" s="45" t="str">
        <f ca="1">IFERROR(IF(AND(ISNUMBER($AP$53),$AP$53&lt;=95),INDEX('2.Distances'!$D$2:$D$9218,$AP$52*96+$AP$53+ 1) +$AV$52," ")," ")</f>
        <v xml:space="preserve"> </v>
      </c>
      <c r="AW53" s="46" t="str">
        <f ca="1">IFERROR(IF(AND(ISNUMBER($AP$53),$AP$53&lt;=95),INDEX('2.Distances'!$D$2:$D$9218,$AP$52*96+$AP$53+ 1) +$AX$52," ")," ")</f>
        <v xml:space="preserve"> </v>
      </c>
      <c r="AX53" s="46" t="str">
        <f ca="1">IFERROR(IF(ISNUMBER($AW$53),INDEX('1.Locations'!$I$2:$I$97,$AP$53 + 1) + MAX($AW$53,INDEX('1.Locations'!$F$2:$F$97,$AP$53 + 1))," ")," ")</f>
        <v xml:space="preserve"> </v>
      </c>
      <c r="AY53" s="45" t="str">
        <f ca="1">IFERROR($AY$52 + INDEX('2.Distances'!$D$2:$D$9218,$AP$52*96+$AP$53+ 1) + INDEX('1.Locations'!$I$2:$I$97,$AP$53 + 1)," ")</f>
        <v xml:space="preserve"> </v>
      </c>
      <c r="BA53" s="24">
        <v>48</v>
      </c>
      <c r="BB53" s="25"/>
      <c r="BC53" s="43" t="str">
        <f ca="1">IFERROR(MATCH(INDIRECT("$BB$53"),'1.Locations'!$B$2:$B$97, 0) - 1," ")</f>
        <v xml:space="preserve"> </v>
      </c>
      <c r="BD53" s="43" t="e">
        <f ca="1">IFERROR(IF(ISNUMBER($BC$53),INDEX('1.Locations'!$D$2:$D$97,$BC$53 + 1),NA()),NA())</f>
        <v>#N/A</v>
      </c>
      <c r="BE53" s="43" t="e">
        <f ca="1">IFERROR(IF(ISNUMBER($BC$53),INDEX('1.Locations'!$E$2:$E$97,$BC$53 + 1),NA()),NA())</f>
        <v>#N/A</v>
      </c>
      <c r="BF53" s="44" t="str">
        <f ca="1">IFERROR(IF(AND(ISNUMBER($BC$53),$BC$53&lt;=95),INDEX('2.Distances'!$C$2:$C$9218,$BC$52*96+$BC$53+ 1) +$BF$52," ")," ")</f>
        <v xml:space="preserve"> </v>
      </c>
      <c r="BG53" s="43" t="str">
        <f ca="1">IFERROR(IF(ISNUMBER($BC$53),INDEX('1.Locations'!$J$2:$J$97,$BC$53 + 1) +$BG$52," ")," ")</f>
        <v xml:space="preserve"> </v>
      </c>
      <c r="BH53" s="43" t="str">
        <f ca="1">IFERROR(IF(ISNUMBER($BC$53),INDEX('1.Locations'!$K$2:$K$97,$BC$53 + 1) +$BH$52," ")," ")</f>
        <v xml:space="preserve"> </v>
      </c>
      <c r="BI53" s="45" t="str">
        <f ca="1">IFERROR(IF(AND(ISNUMBER($BC$53),$BC$53&lt;=95),INDEX('2.Distances'!$D$2:$D$9218,$BC$52*96+$BC$53+ 1) +$BI$52," ")," ")</f>
        <v xml:space="preserve"> </v>
      </c>
      <c r="BJ53" s="46" t="str">
        <f ca="1">IFERROR(IF(AND(ISNUMBER($BC$53),$BC$53&lt;=95),INDEX('2.Distances'!$D$2:$D$9218,$BC$52*96+$BC$53+ 1) +$BK$52," ")," ")</f>
        <v xml:space="preserve"> </v>
      </c>
      <c r="BK53" s="46" t="str">
        <f ca="1">IFERROR(IF(ISNUMBER($BJ$53),INDEX('1.Locations'!$I$2:$I$97,$BC$53 + 1) + MAX($BJ$53,INDEX('1.Locations'!$F$2:$F$97,$BC$53 + 1))," ")," ")</f>
        <v xml:space="preserve"> </v>
      </c>
      <c r="BL53" s="45" t="str">
        <f ca="1">IFERROR($BL$52 + INDEX('2.Distances'!$D$2:$D$9218,$BC$52*96+$BC$53+ 1) + INDEX('1.Locations'!$I$2:$I$97,$BC$53 + 1)," ")</f>
        <v xml:space="preserve"> </v>
      </c>
      <c r="BN53" s="24">
        <v>48</v>
      </c>
      <c r="BO53" s="25"/>
      <c r="BP53" s="43" t="str">
        <f ca="1">IFERROR(MATCH(INDIRECT("$BO$53"),'1.Locations'!$B$2:$B$97, 0) - 1," ")</f>
        <v xml:space="preserve"> </v>
      </c>
      <c r="BQ53" s="43" t="e">
        <f ca="1">IFERROR(IF(ISNUMBER($BP$53),INDEX('1.Locations'!$D$2:$D$97,$BP$53 + 1),NA()),NA())</f>
        <v>#N/A</v>
      </c>
      <c r="BR53" s="43" t="e">
        <f ca="1">IFERROR(IF(ISNUMBER($BP$53),INDEX('1.Locations'!$E$2:$E$97,$BP$53 + 1),NA()),NA())</f>
        <v>#N/A</v>
      </c>
      <c r="BS53" s="44" t="str">
        <f ca="1">IFERROR(IF(AND(ISNUMBER($BP$53),$BP$53&lt;=95),INDEX('2.Distances'!$C$2:$C$9218,$BP$52*96+$BP$53+ 1) +$BS$52," ")," ")</f>
        <v xml:space="preserve"> </v>
      </c>
      <c r="BT53" s="43" t="str">
        <f ca="1">IFERROR(IF(ISNUMBER($BP$53),INDEX('1.Locations'!$J$2:$J$97,$BP$53 + 1) +$BT$52," ")," ")</f>
        <v xml:space="preserve"> </v>
      </c>
      <c r="BU53" s="43" t="str">
        <f ca="1">IFERROR(IF(ISNUMBER($BP$53),INDEX('1.Locations'!$K$2:$K$97,$BP$53 + 1) +$BU$52," ")," ")</f>
        <v xml:space="preserve"> </v>
      </c>
      <c r="BV53" s="45" t="str">
        <f ca="1">IFERROR(IF(AND(ISNUMBER($BP$53),$BP$53&lt;=95),INDEX('2.Distances'!$D$2:$D$9218,$BP$52*96+$BP$53+ 1) +$BV$52," ")," ")</f>
        <v xml:space="preserve"> </v>
      </c>
      <c r="BW53" s="46" t="str">
        <f ca="1">IFERROR(IF(AND(ISNUMBER($BP$53),$BP$53&lt;=95),INDEX('2.Distances'!$D$2:$D$9218,$BP$52*96+$BP$53+ 1) +$BX$52," ")," ")</f>
        <v xml:space="preserve"> </v>
      </c>
      <c r="BX53" s="46" t="str">
        <f ca="1">IFERROR(IF(ISNUMBER($BW$53),INDEX('1.Locations'!$I$2:$I$97,$BP$53 + 1) + MAX($BW$53,INDEX('1.Locations'!$F$2:$F$97,$BP$53 + 1))," ")," ")</f>
        <v xml:space="preserve"> </v>
      </c>
      <c r="BY53" s="45" t="str">
        <f ca="1">IFERROR($BY$52 + INDEX('2.Distances'!$D$2:$D$9218,$BP$52*96+$BP$53+ 1) + INDEX('1.Locations'!$I$2:$I$97,$BP$53 + 1)," ")</f>
        <v xml:space="preserve"> </v>
      </c>
      <c r="CA53" s="24">
        <v>48</v>
      </c>
      <c r="CB53" s="25"/>
      <c r="CC53" s="43" t="str">
        <f ca="1">IFERROR(MATCH(INDIRECT("$CB$53"),'1.Locations'!$B$2:$B$97, 0) - 1," ")</f>
        <v xml:space="preserve"> </v>
      </c>
      <c r="CD53" s="43" t="e">
        <f ca="1">IFERROR(IF(ISNUMBER($CC$53),INDEX('1.Locations'!$D$2:$D$97,$CC$53 + 1),NA()),NA())</f>
        <v>#N/A</v>
      </c>
      <c r="CE53" s="43" t="e">
        <f ca="1">IFERROR(IF(ISNUMBER($CC$53),INDEX('1.Locations'!$E$2:$E$97,$CC$53 + 1),NA()),NA())</f>
        <v>#N/A</v>
      </c>
      <c r="CF53" s="44" t="str">
        <f ca="1">IFERROR(IF(AND(ISNUMBER($CC$53),$CC$53&lt;=95),INDEX('2.Distances'!$C$2:$C$9218,$CC$52*96+$CC$53+ 1) +$CF$52," ")," ")</f>
        <v xml:space="preserve"> </v>
      </c>
      <c r="CG53" s="43" t="str">
        <f ca="1">IFERROR(IF(ISNUMBER($CC$53),INDEX('1.Locations'!$J$2:$J$97,$CC$53 + 1) +$CG$52," ")," ")</f>
        <v xml:space="preserve"> </v>
      </c>
      <c r="CH53" s="43" t="str">
        <f ca="1">IFERROR(IF(ISNUMBER($CC$53),INDEX('1.Locations'!$K$2:$K$97,$CC$53 + 1) +$CH$52," ")," ")</f>
        <v xml:space="preserve"> </v>
      </c>
      <c r="CI53" s="45" t="str">
        <f ca="1">IFERROR(IF(AND(ISNUMBER($CC$53),$CC$53&lt;=95),INDEX('2.Distances'!$D$2:$D$9218,$CC$52*96+$CC$53+ 1) +$CI$52," ")," ")</f>
        <v xml:space="preserve"> </v>
      </c>
      <c r="CJ53" s="46" t="str">
        <f ca="1">IFERROR(IF(AND(ISNUMBER($CC$53),$CC$53&lt;=95),INDEX('2.Distances'!$D$2:$D$9218,$CC$52*96+$CC$53+ 1) +$CK$52," ")," ")</f>
        <v xml:space="preserve"> </v>
      </c>
      <c r="CK53" s="46" t="str">
        <f ca="1">IFERROR(IF(ISNUMBER($CJ$53),INDEX('1.Locations'!$I$2:$I$97,$CC$53 + 1) + MAX($CJ$53,INDEX('1.Locations'!$F$2:$F$97,$CC$53 + 1))," ")," ")</f>
        <v xml:space="preserve"> </v>
      </c>
      <c r="CL53" s="45" t="str">
        <f ca="1">IFERROR($CL$52 + INDEX('2.Distances'!$D$2:$D$9218,$CC$52*96+$CC$53+ 1) + INDEX('1.Locations'!$I$2:$I$97,$CC$53 + 1)," ")</f>
        <v xml:space="preserve"> </v>
      </c>
    </row>
    <row r="54" spans="1:90" x14ac:dyDescent="0.25">
      <c r="A54" s="24">
        <v>49</v>
      </c>
      <c r="B54" s="25"/>
      <c r="C54" s="43" t="str">
        <f ca="1">IFERROR(MATCH(INDIRECT("$B$54"),'1.Locations'!$B$2:$B$97, 0) - 1," ")</f>
        <v xml:space="preserve"> </v>
      </c>
      <c r="D54" s="43" t="e">
        <f ca="1">IFERROR(IF(ISNUMBER($C$54),INDEX('1.Locations'!$D$2:$D$97,$C$54 + 1),NA()),NA())</f>
        <v>#N/A</v>
      </c>
      <c r="E54" s="43" t="e">
        <f ca="1">IFERROR(IF(ISNUMBER($C$54),INDEX('1.Locations'!$E$2:$E$97,$C$54 + 1),NA()),NA())</f>
        <v>#N/A</v>
      </c>
      <c r="F54" s="44" t="str">
        <f ca="1">IFERROR(IF(AND(ISNUMBER($C$54),$C$54&lt;=95),INDEX('2.Distances'!$C$2:$C$9218,$C$53*96+$C$54+ 1) +$F$53," ")," ")</f>
        <v xml:space="preserve"> </v>
      </c>
      <c r="G54" s="43" t="str">
        <f ca="1">IFERROR(IF(ISNUMBER($C$54),INDEX('1.Locations'!$J$2:$J$97,$C$54 + 1) +$G$53," ")," ")</f>
        <v xml:space="preserve"> </v>
      </c>
      <c r="H54" s="43" t="str">
        <f ca="1">IFERROR(IF(ISNUMBER($C$54),INDEX('1.Locations'!$K$2:$K$97,$C$54 + 1) +$H$53," ")," ")</f>
        <v xml:space="preserve"> </v>
      </c>
      <c r="I54" s="45" t="str">
        <f ca="1">IFERROR(IF(AND(ISNUMBER($C$54),$C$54&lt;=95),INDEX('2.Distances'!$D$2:$D$9218,$C$53*96+$C$54+ 1) +$I$53," ")," ")</f>
        <v xml:space="preserve"> </v>
      </c>
      <c r="J54" s="46" t="str">
        <f ca="1">IFERROR(IF(AND(ISNUMBER($C$54),$C$54&lt;=95),INDEX('2.Distances'!$D$2:$D$9218,$C$53*96+$C$54+ 1) +$K$53," ")," ")</f>
        <v xml:space="preserve"> </v>
      </c>
      <c r="K54" s="46" t="str">
        <f ca="1">IFERROR(IF(ISNUMBER($J$54),INDEX('1.Locations'!$I$2:$I$97,$C$54 + 1) + MAX($J$54,INDEX('1.Locations'!$F$2:$F$97,$C$54 + 1))," ")," ")</f>
        <v xml:space="preserve"> </v>
      </c>
      <c r="L54" s="45" t="str">
        <f ca="1">IFERROR($L$53 + INDEX('2.Distances'!$D$2:$D$9218,$C$53*96+$C$54+ 1) + INDEX('1.Locations'!$I$2:$I$97,$C$54 + 1)," ")</f>
        <v xml:space="preserve"> </v>
      </c>
      <c r="N54" s="24">
        <v>49</v>
      </c>
      <c r="O54" s="25"/>
      <c r="P54" s="43" t="str">
        <f ca="1">IFERROR(MATCH(INDIRECT("$O$54"),'1.Locations'!$B$2:$B$97, 0) - 1," ")</f>
        <v xml:space="preserve"> </v>
      </c>
      <c r="Q54" s="43" t="e">
        <f ca="1">IFERROR(IF(ISNUMBER($P$54),INDEX('1.Locations'!$D$2:$D$97,$P$54 + 1),NA()),NA())</f>
        <v>#N/A</v>
      </c>
      <c r="R54" s="43" t="e">
        <f ca="1">IFERROR(IF(ISNUMBER($P$54),INDEX('1.Locations'!$E$2:$E$97,$P$54 + 1),NA()),NA())</f>
        <v>#N/A</v>
      </c>
      <c r="S54" s="44" t="str">
        <f ca="1">IFERROR(IF(AND(ISNUMBER($P$54),$P$54&lt;=95),INDEX('2.Distances'!$C$2:$C$9218,$P$53*96+$P$54+ 1) +$S$53," ")," ")</f>
        <v xml:space="preserve"> </v>
      </c>
      <c r="T54" s="43" t="str">
        <f ca="1">IFERROR(IF(ISNUMBER($P$54),INDEX('1.Locations'!$J$2:$J$97,$P$54 + 1) +$T$53," ")," ")</f>
        <v xml:space="preserve"> </v>
      </c>
      <c r="U54" s="43" t="str">
        <f ca="1">IFERROR(IF(ISNUMBER($P$54),INDEX('1.Locations'!$K$2:$K$97,$P$54 + 1) +$U$53," ")," ")</f>
        <v xml:space="preserve"> </v>
      </c>
      <c r="V54" s="45" t="str">
        <f ca="1">IFERROR(IF(AND(ISNUMBER($P$54),$P$54&lt;=95),INDEX('2.Distances'!$D$2:$D$9218,$P$53*96+$P$54+ 1) +$V$53," ")," ")</f>
        <v xml:space="preserve"> </v>
      </c>
      <c r="W54" s="46" t="str">
        <f ca="1">IFERROR(IF(AND(ISNUMBER($P$54),$P$54&lt;=95),INDEX('2.Distances'!$D$2:$D$9218,$P$53*96+$P$54+ 1) +$X$53," ")," ")</f>
        <v xml:space="preserve"> </v>
      </c>
      <c r="X54" s="46" t="str">
        <f ca="1">IFERROR(IF(ISNUMBER($W$54),INDEX('1.Locations'!$I$2:$I$97,$P$54 + 1) + MAX($W$54,INDEX('1.Locations'!$F$2:$F$97,$P$54 + 1))," ")," ")</f>
        <v xml:space="preserve"> </v>
      </c>
      <c r="Y54" s="45" t="str">
        <f ca="1">IFERROR($Y$53 + INDEX('2.Distances'!$D$2:$D$9218,$P$53*96+$P$54+ 1) + INDEX('1.Locations'!$I$2:$I$97,$P$54 + 1)," ")</f>
        <v xml:space="preserve"> </v>
      </c>
      <c r="AA54" s="24">
        <v>49</v>
      </c>
      <c r="AB54" s="25"/>
      <c r="AC54" s="43" t="str">
        <f ca="1">IFERROR(MATCH(INDIRECT("$AB$54"),'1.Locations'!$B$2:$B$97, 0) - 1," ")</f>
        <v xml:space="preserve"> </v>
      </c>
      <c r="AD54" s="43" t="e">
        <f ca="1">IFERROR(IF(ISNUMBER($AC$54),INDEX('1.Locations'!$D$2:$D$97,$AC$54 + 1),NA()),NA())</f>
        <v>#N/A</v>
      </c>
      <c r="AE54" s="43" t="e">
        <f ca="1">IFERROR(IF(ISNUMBER($AC$54),INDEX('1.Locations'!$E$2:$E$97,$AC$54 + 1),NA()),NA())</f>
        <v>#N/A</v>
      </c>
      <c r="AF54" s="44" t="str">
        <f ca="1">IFERROR(IF(AND(ISNUMBER($AC$54),$AC$54&lt;=95),INDEX('2.Distances'!$C$2:$C$9218,$AC$53*96+$AC$54+ 1) +$AF$53," ")," ")</f>
        <v xml:space="preserve"> </v>
      </c>
      <c r="AG54" s="43" t="str">
        <f ca="1">IFERROR(IF(ISNUMBER($AC$54),INDEX('1.Locations'!$J$2:$J$97,$AC$54 + 1) +$AG$53," ")," ")</f>
        <v xml:space="preserve"> </v>
      </c>
      <c r="AH54" s="43" t="str">
        <f ca="1">IFERROR(IF(ISNUMBER($AC$54),INDEX('1.Locations'!$K$2:$K$97,$AC$54 + 1) +$AH$53," ")," ")</f>
        <v xml:space="preserve"> </v>
      </c>
      <c r="AI54" s="45" t="str">
        <f ca="1">IFERROR(IF(AND(ISNUMBER($AC$54),$AC$54&lt;=95),INDEX('2.Distances'!$D$2:$D$9218,$AC$53*96+$AC$54+ 1) +$AI$53," ")," ")</f>
        <v xml:space="preserve"> </v>
      </c>
      <c r="AJ54" s="46" t="str">
        <f ca="1">IFERROR(IF(AND(ISNUMBER($AC$54),$AC$54&lt;=95),INDEX('2.Distances'!$D$2:$D$9218,$AC$53*96+$AC$54+ 1) +$AK$53," ")," ")</f>
        <v xml:space="preserve"> </v>
      </c>
      <c r="AK54" s="46" t="str">
        <f ca="1">IFERROR(IF(ISNUMBER($AJ$54),INDEX('1.Locations'!$I$2:$I$97,$AC$54 + 1) + MAX($AJ$54,INDEX('1.Locations'!$F$2:$F$97,$AC$54 + 1))," ")," ")</f>
        <v xml:space="preserve"> </v>
      </c>
      <c r="AL54" s="45" t="str">
        <f ca="1">IFERROR($AL$53 + INDEX('2.Distances'!$D$2:$D$9218,$AC$53*96+$AC$54+ 1) + INDEX('1.Locations'!$I$2:$I$97,$AC$54 + 1)," ")</f>
        <v xml:space="preserve"> </v>
      </c>
      <c r="AN54" s="24">
        <v>49</v>
      </c>
      <c r="AO54" s="25"/>
      <c r="AP54" s="43" t="str">
        <f ca="1">IFERROR(MATCH(INDIRECT("$AO$54"),'1.Locations'!$B$2:$B$97, 0) - 1," ")</f>
        <v xml:space="preserve"> </v>
      </c>
      <c r="AQ54" s="43" t="e">
        <f ca="1">IFERROR(IF(ISNUMBER($AP$54),INDEX('1.Locations'!$D$2:$D$97,$AP$54 + 1),NA()),NA())</f>
        <v>#N/A</v>
      </c>
      <c r="AR54" s="43" t="e">
        <f ca="1">IFERROR(IF(ISNUMBER($AP$54),INDEX('1.Locations'!$E$2:$E$97,$AP$54 + 1),NA()),NA())</f>
        <v>#N/A</v>
      </c>
      <c r="AS54" s="44" t="str">
        <f ca="1">IFERROR(IF(AND(ISNUMBER($AP$54),$AP$54&lt;=95),INDEX('2.Distances'!$C$2:$C$9218,$AP$53*96+$AP$54+ 1) +$AS$53," ")," ")</f>
        <v xml:space="preserve"> </v>
      </c>
      <c r="AT54" s="43" t="str">
        <f ca="1">IFERROR(IF(ISNUMBER($AP$54),INDEX('1.Locations'!$J$2:$J$97,$AP$54 + 1) +$AT$53," ")," ")</f>
        <v xml:space="preserve"> </v>
      </c>
      <c r="AU54" s="43" t="str">
        <f ca="1">IFERROR(IF(ISNUMBER($AP$54),INDEX('1.Locations'!$K$2:$K$97,$AP$54 + 1) +$AU$53," ")," ")</f>
        <v xml:space="preserve"> </v>
      </c>
      <c r="AV54" s="45" t="str">
        <f ca="1">IFERROR(IF(AND(ISNUMBER($AP$54),$AP$54&lt;=95),INDEX('2.Distances'!$D$2:$D$9218,$AP$53*96+$AP$54+ 1) +$AV$53," ")," ")</f>
        <v xml:space="preserve"> </v>
      </c>
      <c r="AW54" s="46" t="str">
        <f ca="1">IFERROR(IF(AND(ISNUMBER($AP$54),$AP$54&lt;=95),INDEX('2.Distances'!$D$2:$D$9218,$AP$53*96+$AP$54+ 1) +$AX$53," ")," ")</f>
        <v xml:space="preserve"> </v>
      </c>
      <c r="AX54" s="46" t="str">
        <f ca="1">IFERROR(IF(ISNUMBER($AW$54),INDEX('1.Locations'!$I$2:$I$97,$AP$54 + 1) + MAX($AW$54,INDEX('1.Locations'!$F$2:$F$97,$AP$54 + 1))," ")," ")</f>
        <v xml:space="preserve"> </v>
      </c>
      <c r="AY54" s="45" t="str">
        <f ca="1">IFERROR($AY$53 + INDEX('2.Distances'!$D$2:$D$9218,$AP$53*96+$AP$54+ 1) + INDEX('1.Locations'!$I$2:$I$97,$AP$54 + 1)," ")</f>
        <v xml:space="preserve"> </v>
      </c>
      <c r="BA54" s="24">
        <v>49</v>
      </c>
      <c r="BB54" s="25"/>
      <c r="BC54" s="43" t="str">
        <f ca="1">IFERROR(MATCH(INDIRECT("$BB$54"),'1.Locations'!$B$2:$B$97, 0) - 1," ")</f>
        <v xml:space="preserve"> </v>
      </c>
      <c r="BD54" s="43" t="e">
        <f ca="1">IFERROR(IF(ISNUMBER($BC$54),INDEX('1.Locations'!$D$2:$D$97,$BC$54 + 1),NA()),NA())</f>
        <v>#N/A</v>
      </c>
      <c r="BE54" s="43" t="e">
        <f ca="1">IFERROR(IF(ISNUMBER($BC$54),INDEX('1.Locations'!$E$2:$E$97,$BC$54 + 1),NA()),NA())</f>
        <v>#N/A</v>
      </c>
      <c r="BF54" s="44" t="str">
        <f ca="1">IFERROR(IF(AND(ISNUMBER($BC$54),$BC$54&lt;=95),INDEX('2.Distances'!$C$2:$C$9218,$BC$53*96+$BC$54+ 1) +$BF$53," ")," ")</f>
        <v xml:space="preserve"> </v>
      </c>
      <c r="BG54" s="43" t="str">
        <f ca="1">IFERROR(IF(ISNUMBER($BC$54),INDEX('1.Locations'!$J$2:$J$97,$BC$54 + 1) +$BG$53," ")," ")</f>
        <v xml:space="preserve"> </v>
      </c>
      <c r="BH54" s="43" t="str">
        <f ca="1">IFERROR(IF(ISNUMBER($BC$54),INDEX('1.Locations'!$K$2:$K$97,$BC$54 + 1) +$BH$53," ")," ")</f>
        <v xml:space="preserve"> </v>
      </c>
      <c r="BI54" s="45" t="str">
        <f ca="1">IFERROR(IF(AND(ISNUMBER($BC$54),$BC$54&lt;=95),INDEX('2.Distances'!$D$2:$D$9218,$BC$53*96+$BC$54+ 1) +$BI$53," ")," ")</f>
        <v xml:space="preserve"> </v>
      </c>
      <c r="BJ54" s="46" t="str">
        <f ca="1">IFERROR(IF(AND(ISNUMBER($BC$54),$BC$54&lt;=95),INDEX('2.Distances'!$D$2:$D$9218,$BC$53*96+$BC$54+ 1) +$BK$53," ")," ")</f>
        <v xml:space="preserve"> </v>
      </c>
      <c r="BK54" s="46" t="str">
        <f ca="1">IFERROR(IF(ISNUMBER($BJ$54),INDEX('1.Locations'!$I$2:$I$97,$BC$54 + 1) + MAX($BJ$54,INDEX('1.Locations'!$F$2:$F$97,$BC$54 + 1))," ")," ")</f>
        <v xml:space="preserve"> </v>
      </c>
      <c r="BL54" s="45" t="str">
        <f ca="1">IFERROR($BL$53 + INDEX('2.Distances'!$D$2:$D$9218,$BC$53*96+$BC$54+ 1) + INDEX('1.Locations'!$I$2:$I$97,$BC$54 + 1)," ")</f>
        <v xml:space="preserve"> </v>
      </c>
      <c r="BN54" s="24">
        <v>49</v>
      </c>
      <c r="BO54" s="25"/>
      <c r="BP54" s="43" t="str">
        <f ca="1">IFERROR(MATCH(INDIRECT("$BO$54"),'1.Locations'!$B$2:$B$97, 0) - 1," ")</f>
        <v xml:space="preserve"> </v>
      </c>
      <c r="BQ54" s="43" t="e">
        <f ca="1">IFERROR(IF(ISNUMBER($BP$54),INDEX('1.Locations'!$D$2:$D$97,$BP$54 + 1),NA()),NA())</f>
        <v>#N/A</v>
      </c>
      <c r="BR54" s="43" t="e">
        <f ca="1">IFERROR(IF(ISNUMBER($BP$54),INDEX('1.Locations'!$E$2:$E$97,$BP$54 + 1),NA()),NA())</f>
        <v>#N/A</v>
      </c>
      <c r="BS54" s="44" t="str">
        <f ca="1">IFERROR(IF(AND(ISNUMBER($BP$54),$BP$54&lt;=95),INDEX('2.Distances'!$C$2:$C$9218,$BP$53*96+$BP$54+ 1) +$BS$53," ")," ")</f>
        <v xml:space="preserve"> </v>
      </c>
      <c r="BT54" s="43" t="str">
        <f ca="1">IFERROR(IF(ISNUMBER($BP$54),INDEX('1.Locations'!$J$2:$J$97,$BP$54 + 1) +$BT$53," ")," ")</f>
        <v xml:space="preserve"> </v>
      </c>
      <c r="BU54" s="43" t="str">
        <f ca="1">IFERROR(IF(ISNUMBER($BP$54),INDEX('1.Locations'!$K$2:$K$97,$BP$54 + 1) +$BU$53," ")," ")</f>
        <v xml:space="preserve"> </v>
      </c>
      <c r="BV54" s="45" t="str">
        <f ca="1">IFERROR(IF(AND(ISNUMBER($BP$54),$BP$54&lt;=95),INDEX('2.Distances'!$D$2:$D$9218,$BP$53*96+$BP$54+ 1) +$BV$53," ")," ")</f>
        <v xml:space="preserve"> </v>
      </c>
      <c r="BW54" s="46" t="str">
        <f ca="1">IFERROR(IF(AND(ISNUMBER($BP$54),$BP$54&lt;=95),INDEX('2.Distances'!$D$2:$D$9218,$BP$53*96+$BP$54+ 1) +$BX$53," ")," ")</f>
        <v xml:space="preserve"> </v>
      </c>
      <c r="BX54" s="46" t="str">
        <f ca="1">IFERROR(IF(ISNUMBER($BW$54),INDEX('1.Locations'!$I$2:$I$97,$BP$54 + 1) + MAX($BW$54,INDEX('1.Locations'!$F$2:$F$97,$BP$54 + 1))," ")," ")</f>
        <v xml:space="preserve"> </v>
      </c>
      <c r="BY54" s="45" t="str">
        <f ca="1">IFERROR($BY$53 + INDEX('2.Distances'!$D$2:$D$9218,$BP$53*96+$BP$54+ 1) + INDEX('1.Locations'!$I$2:$I$97,$BP$54 + 1)," ")</f>
        <v xml:space="preserve"> </v>
      </c>
      <c r="CA54" s="24">
        <v>49</v>
      </c>
      <c r="CB54" s="25"/>
      <c r="CC54" s="43" t="str">
        <f ca="1">IFERROR(MATCH(INDIRECT("$CB$54"),'1.Locations'!$B$2:$B$97, 0) - 1," ")</f>
        <v xml:space="preserve"> </v>
      </c>
      <c r="CD54" s="43" t="e">
        <f ca="1">IFERROR(IF(ISNUMBER($CC$54),INDEX('1.Locations'!$D$2:$D$97,$CC$54 + 1),NA()),NA())</f>
        <v>#N/A</v>
      </c>
      <c r="CE54" s="43" t="e">
        <f ca="1">IFERROR(IF(ISNUMBER($CC$54),INDEX('1.Locations'!$E$2:$E$97,$CC$54 + 1),NA()),NA())</f>
        <v>#N/A</v>
      </c>
      <c r="CF54" s="44" t="str">
        <f ca="1">IFERROR(IF(AND(ISNUMBER($CC$54),$CC$54&lt;=95),INDEX('2.Distances'!$C$2:$C$9218,$CC$53*96+$CC$54+ 1) +$CF$53," ")," ")</f>
        <v xml:space="preserve"> </v>
      </c>
      <c r="CG54" s="43" t="str">
        <f ca="1">IFERROR(IF(ISNUMBER($CC$54),INDEX('1.Locations'!$J$2:$J$97,$CC$54 + 1) +$CG$53," ")," ")</f>
        <v xml:space="preserve"> </v>
      </c>
      <c r="CH54" s="43" t="str">
        <f ca="1">IFERROR(IF(ISNUMBER($CC$54),INDEX('1.Locations'!$K$2:$K$97,$CC$54 + 1) +$CH$53," ")," ")</f>
        <v xml:space="preserve"> </v>
      </c>
      <c r="CI54" s="45" t="str">
        <f ca="1">IFERROR(IF(AND(ISNUMBER($CC$54),$CC$54&lt;=95),INDEX('2.Distances'!$D$2:$D$9218,$CC$53*96+$CC$54+ 1) +$CI$53," ")," ")</f>
        <v xml:space="preserve"> </v>
      </c>
      <c r="CJ54" s="46" t="str">
        <f ca="1">IFERROR(IF(AND(ISNUMBER($CC$54),$CC$54&lt;=95),INDEX('2.Distances'!$D$2:$D$9218,$CC$53*96+$CC$54+ 1) +$CK$53," ")," ")</f>
        <v xml:space="preserve"> </v>
      </c>
      <c r="CK54" s="46" t="str">
        <f ca="1">IFERROR(IF(ISNUMBER($CJ$54),INDEX('1.Locations'!$I$2:$I$97,$CC$54 + 1) + MAX($CJ$54,INDEX('1.Locations'!$F$2:$F$97,$CC$54 + 1))," ")," ")</f>
        <v xml:space="preserve"> </v>
      </c>
      <c r="CL54" s="45" t="str">
        <f ca="1">IFERROR($CL$53 + INDEX('2.Distances'!$D$2:$D$9218,$CC$53*96+$CC$54+ 1) + INDEX('1.Locations'!$I$2:$I$97,$CC$54 + 1)," ")</f>
        <v xml:space="preserve"> </v>
      </c>
    </row>
    <row r="55" spans="1:90" x14ac:dyDescent="0.25">
      <c r="A55" s="24">
        <v>50</v>
      </c>
      <c r="B55" s="25"/>
      <c r="C55" s="43" t="str">
        <f ca="1">IFERROR(MATCH(INDIRECT("$B$55"),'1.Locations'!$B$2:$B$97, 0) - 1," ")</f>
        <v xml:space="preserve"> </v>
      </c>
      <c r="D55" s="43" t="e">
        <f ca="1">IFERROR(IF(ISNUMBER($C$55),INDEX('1.Locations'!$D$2:$D$97,$C$55 + 1),NA()),NA())</f>
        <v>#N/A</v>
      </c>
      <c r="E55" s="43" t="e">
        <f ca="1">IFERROR(IF(ISNUMBER($C$55),INDEX('1.Locations'!$E$2:$E$97,$C$55 + 1),NA()),NA())</f>
        <v>#N/A</v>
      </c>
      <c r="F55" s="44" t="str">
        <f ca="1">IFERROR(IF(AND(ISNUMBER($C$55),$C$55&lt;=95),INDEX('2.Distances'!$C$2:$C$9218,$C$54*96+$C$55+ 1) +$F$54," ")," ")</f>
        <v xml:space="preserve"> </v>
      </c>
      <c r="G55" s="43" t="str">
        <f ca="1">IFERROR(IF(ISNUMBER($C$55),INDEX('1.Locations'!$J$2:$J$97,$C$55 + 1) +$G$54," ")," ")</f>
        <v xml:space="preserve"> </v>
      </c>
      <c r="H55" s="43" t="str">
        <f ca="1">IFERROR(IF(ISNUMBER($C$55),INDEX('1.Locations'!$K$2:$K$97,$C$55 + 1) +$H$54," ")," ")</f>
        <v xml:space="preserve"> </v>
      </c>
      <c r="I55" s="45" t="str">
        <f ca="1">IFERROR(IF(AND(ISNUMBER($C$55),$C$55&lt;=95),INDEX('2.Distances'!$D$2:$D$9218,$C$54*96+$C$55+ 1) +$I$54," ")," ")</f>
        <v xml:space="preserve"> </v>
      </c>
      <c r="J55" s="46" t="str">
        <f ca="1">IFERROR(IF(AND(ISNUMBER($C$55),$C$55&lt;=95),INDEX('2.Distances'!$D$2:$D$9218,$C$54*96+$C$55+ 1) +$K$54," ")," ")</f>
        <v xml:space="preserve"> </v>
      </c>
      <c r="K55" s="46" t="str">
        <f ca="1">IFERROR(IF(ISNUMBER($J$55),INDEX('1.Locations'!$I$2:$I$97,$C$55 + 1) + MAX($J$55,INDEX('1.Locations'!$F$2:$F$97,$C$55 + 1))," ")," ")</f>
        <v xml:space="preserve"> </v>
      </c>
      <c r="L55" s="45" t="str">
        <f ca="1">IFERROR($L$54 + INDEX('2.Distances'!$D$2:$D$9218,$C$54*96+$C$55+ 1) + INDEX('1.Locations'!$I$2:$I$97,$C$55 + 1)," ")</f>
        <v xml:space="preserve"> </v>
      </c>
      <c r="N55" s="24">
        <v>50</v>
      </c>
      <c r="O55" s="25"/>
      <c r="P55" s="43" t="str">
        <f ca="1">IFERROR(MATCH(INDIRECT("$O$55"),'1.Locations'!$B$2:$B$97, 0) - 1," ")</f>
        <v xml:space="preserve"> </v>
      </c>
      <c r="Q55" s="43" t="e">
        <f ca="1">IFERROR(IF(ISNUMBER($P$55),INDEX('1.Locations'!$D$2:$D$97,$P$55 + 1),NA()),NA())</f>
        <v>#N/A</v>
      </c>
      <c r="R55" s="43" t="e">
        <f ca="1">IFERROR(IF(ISNUMBER($P$55),INDEX('1.Locations'!$E$2:$E$97,$P$55 + 1),NA()),NA())</f>
        <v>#N/A</v>
      </c>
      <c r="S55" s="44" t="str">
        <f ca="1">IFERROR(IF(AND(ISNUMBER($P$55),$P$55&lt;=95),INDEX('2.Distances'!$C$2:$C$9218,$P$54*96+$P$55+ 1) +$S$54," ")," ")</f>
        <v xml:space="preserve"> </v>
      </c>
      <c r="T55" s="43" t="str">
        <f ca="1">IFERROR(IF(ISNUMBER($P$55),INDEX('1.Locations'!$J$2:$J$97,$P$55 + 1) +$T$54," ")," ")</f>
        <v xml:space="preserve"> </v>
      </c>
      <c r="U55" s="43" t="str">
        <f ca="1">IFERROR(IF(ISNUMBER($P$55),INDEX('1.Locations'!$K$2:$K$97,$P$55 + 1) +$U$54," ")," ")</f>
        <v xml:space="preserve"> </v>
      </c>
      <c r="V55" s="45" t="str">
        <f ca="1">IFERROR(IF(AND(ISNUMBER($P$55),$P$55&lt;=95),INDEX('2.Distances'!$D$2:$D$9218,$P$54*96+$P$55+ 1) +$V$54," ")," ")</f>
        <v xml:space="preserve"> </v>
      </c>
      <c r="W55" s="46" t="str">
        <f ca="1">IFERROR(IF(AND(ISNUMBER($P$55),$P$55&lt;=95),INDEX('2.Distances'!$D$2:$D$9218,$P$54*96+$P$55+ 1) +$X$54," ")," ")</f>
        <v xml:space="preserve"> </v>
      </c>
      <c r="X55" s="46" t="str">
        <f ca="1">IFERROR(IF(ISNUMBER($W$55),INDEX('1.Locations'!$I$2:$I$97,$P$55 + 1) + MAX($W$55,INDEX('1.Locations'!$F$2:$F$97,$P$55 + 1))," ")," ")</f>
        <v xml:space="preserve"> </v>
      </c>
      <c r="Y55" s="45" t="str">
        <f ca="1">IFERROR($Y$54 + INDEX('2.Distances'!$D$2:$D$9218,$P$54*96+$P$55+ 1) + INDEX('1.Locations'!$I$2:$I$97,$P$55 + 1)," ")</f>
        <v xml:space="preserve"> </v>
      </c>
      <c r="AA55" s="24">
        <v>50</v>
      </c>
      <c r="AB55" s="25"/>
      <c r="AC55" s="43" t="str">
        <f ca="1">IFERROR(MATCH(INDIRECT("$AB$55"),'1.Locations'!$B$2:$B$97, 0) - 1," ")</f>
        <v xml:space="preserve"> </v>
      </c>
      <c r="AD55" s="43" t="e">
        <f ca="1">IFERROR(IF(ISNUMBER($AC$55),INDEX('1.Locations'!$D$2:$D$97,$AC$55 + 1),NA()),NA())</f>
        <v>#N/A</v>
      </c>
      <c r="AE55" s="43" t="e">
        <f ca="1">IFERROR(IF(ISNUMBER($AC$55),INDEX('1.Locations'!$E$2:$E$97,$AC$55 + 1),NA()),NA())</f>
        <v>#N/A</v>
      </c>
      <c r="AF55" s="44" t="str">
        <f ca="1">IFERROR(IF(AND(ISNUMBER($AC$55),$AC$55&lt;=95),INDEX('2.Distances'!$C$2:$C$9218,$AC$54*96+$AC$55+ 1) +$AF$54," ")," ")</f>
        <v xml:space="preserve"> </v>
      </c>
      <c r="AG55" s="43" t="str">
        <f ca="1">IFERROR(IF(ISNUMBER($AC$55),INDEX('1.Locations'!$J$2:$J$97,$AC$55 + 1) +$AG$54," ")," ")</f>
        <v xml:space="preserve"> </v>
      </c>
      <c r="AH55" s="43" t="str">
        <f ca="1">IFERROR(IF(ISNUMBER($AC$55),INDEX('1.Locations'!$K$2:$K$97,$AC$55 + 1) +$AH$54," ")," ")</f>
        <v xml:space="preserve"> </v>
      </c>
      <c r="AI55" s="45" t="str">
        <f ca="1">IFERROR(IF(AND(ISNUMBER($AC$55),$AC$55&lt;=95),INDEX('2.Distances'!$D$2:$D$9218,$AC$54*96+$AC$55+ 1) +$AI$54," ")," ")</f>
        <v xml:space="preserve"> </v>
      </c>
      <c r="AJ55" s="46" t="str">
        <f ca="1">IFERROR(IF(AND(ISNUMBER($AC$55),$AC$55&lt;=95),INDEX('2.Distances'!$D$2:$D$9218,$AC$54*96+$AC$55+ 1) +$AK$54," ")," ")</f>
        <v xml:space="preserve"> </v>
      </c>
      <c r="AK55" s="46" t="str">
        <f ca="1">IFERROR(IF(ISNUMBER($AJ$55),INDEX('1.Locations'!$I$2:$I$97,$AC$55 + 1) + MAX($AJ$55,INDEX('1.Locations'!$F$2:$F$97,$AC$55 + 1))," ")," ")</f>
        <v xml:space="preserve"> </v>
      </c>
      <c r="AL55" s="45" t="str">
        <f ca="1">IFERROR($AL$54 + INDEX('2.Distances'!$D$2:$D$9218,$AC$54*96+$AC$55+ 1) + INDEX('1.Locations'!$I$2:$I$97,$AC$55 + 1)," ")</f>
        <v xml:space="preserve"> </v>
      </c>
      <c r="AN55" s="24">
        <v>50</v>
      </c>
      <c r="AO55" s="25"/>
      <c r="AP55" s="43" t="str">
        <f ca="1">IFERROR(MATCH(INDIRECT("$AO$55"),'1.Locations'!$B$2:$B$97, 0) - 1," ")</f>
        <v xml:space="preserve"> </v>
      </c>
      <c r="AQ55" s="43" t="e">
        <f ca="1">IFERROR(IF(ISNUMBER($AP$55),INDEX('1.Locations'!$D$2:$D$97,$AP$55 + 1),NA()),NA())</f>
        <v>#N/A</v>
      </c>
      <c r="AR55" s="43" t="e">
        <f ca="1">IFERROR(IF(ISNUMBER($AP$55),INDEX('1.Locations'!$E$2:$E$97,$AP$55 + 1),NA()),NA())</f>
        <v>#N/A</v>
      </c>
      <c r="AS55" s="44" t="str">
        <f ca="1">IFERROR(IF(AND(ISNUMBER($AP$55),$AP$55&lt;=95),INDEX('2.Distances'!$C$2:$C$9218,$AP$54*96+$AP$55+ 1) +$AS$54," ")," ")</f>
        <v xml:space="preserve"> </v>
      </c>
      <c r="AT55" s="43" t="str">
        <f ca="1">IFERROR(IF(ISNUMBER($AP$55),INDEX('1.Locations'!$J$2:$J$97,$AP$55 + 1) +$AT$54," ")," ")</f>
        <v xml:space="preserve"> </v>
      </c>
      <c r="AU55" s="43" t="str">
        <f ca="1">IFERROR(IF(ISNUMBER($AP$55),INDEX('1.Locations'!$K$2:$K$97,$AP$55 + 1) +$AU$54," ")," ")</f>
        <v xml:space="preserve"> </v>
      </c>
      <c r="AV55" s="45" t="str">
        <f ca="1">IFERROR(IF(AND(ISNUMBER($AP$55),$AP$55&lt;=95),INDEX('2.Distances'!$D$2:$D$9218,$AP$54*96+$AP$55+ 1) +$AV$54," ")," ")</f>
        <v xml:space="preserve"> </v>
      </c>
      <c r="AW55" s="46" t="str">
        <f ca="1">IFERROR(IF(AND(ISNUMBER($AP$55),$AP$55&lt;=95),INDEX('2.Distances'!$D$2:$D$9218,$AP$54*96+$AP$55+ 1) +$AX$54," ")," ")</f>
        <v xml:space="preserve"> </v>
      </c>
      <c r="AX55" s="46" t="str">
        <f ca="1">IFERROR(IF(ISNUMBER($AW$55),INDEX('1.Locations'!$I$2:$I$97,$AP$55 + 1) + MAX($AW$55,INDEX('1.Locations'!$F$2:$F$97,$AP$55 + 1))," ")," ")</f>
        <v xml:space="preserve"> </v>
      </c>
      <c r="AY55" s="45" t="str">
        <f ca="1">IFERROR($AY$54 + INDEX('2.Distances'!$D$2:$D$9218,$AP$54*96+$AP$55+ 1) + INDEX('1.Locations'!$I$2:$I$97,$AP$55 + 1)," ")</f>
        <v xml:space="preserve"> </v>
      </c>
      <c r="BA55" s="24">
        <v>50</v>
      </c>
      <c r="BB55" s="25"/>
      <c r="BC55" s="43" t="str">
        <f ca="1">IFERROR(MATCH(INDIRECT("$BB$55"),'1.Locations'!$B$2:$B$97, 0) - 1," ")</f>
        <v xml:space="preserve"> </v>
      </c>
      <c r="BD55" s="43" t="e">
        <f ca="1">IFERROR(IF(ISNUMBER($BC$55),INDEX('1.Locations'!$D$2:$D$97,$BC$55 + 1),NA()),NA())</f>
        <v>#N/A</v>
      </c>
      <c r="BE55" s="43" t="e">
        <f ca="1">IFERROR(IF(ISNUMBER($BC$55),INDEX('1.Locations'!$E$2:$E$97,$BC$55 + 1),NA()),NA())</f>
        <v>#N/A</v>
      </c>
      <c r="BF55" s="44" t="str">
        <f ca="1">IFERROR(IF(AND(ISNUMBER($BC$55),$BC$55&lt;=95),INDEX('2.Distances'!$C$2:$C$9218,$BC$54*96+$BC$55+ 1) +$BF$54," ")," ")</f>
        <v xml:space="preserve"> </v>
      </c>
      <c r="BG55" s="43" t="str">
        <f ca="1">IFERROR(IF(ISNUMBER($BC$55),INDEX('1.Locations'!$J$2:$J$97,$BC$55 + 1) +$BG$54," ")," ")</f>
        <v xml:space="preserve"> </v>
      </c>
      <c r="BH55" s="43" t="str">
        <f ca="1">IFERROR(IF(ISNUMBER($BC$55),INDEX('1.Locations'!$K$2:$K$97,$BC$55 + 1) +$BH$54," ")," ")</f>
        <v xml:space="preserve"> </v>
      </c>
      <c r="BI55" s="45" t="str">
        <f ca="1">IFERROR(IF(AND(ISNUMBER($BC$55),$BC$55&lt;=95),INDEX('2.Distances'!$D$2:$D$9218,$BC$54*96+$BC$55+ 1) +$BI$54," ")," ")</f>
        <v xml:space="preserve"> </v>
      </c>
      <c r="BJ55" s="46" t="str">
        <f ca="1">IFERROR(IF(AND(ISNUMBER($BC$55),$BC$55&lt;=95),INDEX('2.Distances'!$D$2:$D$9218,$BC$54*96+$BC$55+ 1) +$BK$54," ")," ")</f>
        <v xml:space="preserve"> </v>
      </c>
      <c r="BK55" s="46" t="str">
        <f ca="1">IFERROR(IF(ISNUMBER($BJ$55),INDEX('1.Locations'!$I$2:$I$97,$BC$55 + 1) + MAX($BJ$55,INDEX('1.Locations'!$F$2:$F$97,$BC$55 + 1))," ")," ")</f>
        <v xml:space="preserve"> </v>
      </c>
      <c r="BL55" s="45" t="str">
        <f ca="1">IFERROR($BL$54 + INDEX('2.Distances'!$D$2:$D$9218,$BC$54*96+$BC$55+ 1) + INDEX('1.Locations'!$I$2:$I$97,$BC$55 + 1)," ")</f>
        <v xml:space="preserve"> </v>
      </c>
      <c r="BN55" s="24">
        <v>50</v>
      </c>
      <c r="BO55" s="25"/>
      <c r="BP55" s="43" t="str">
        <f ca="1">IFERROR(MATCH(INDIRECT("$BO$55"),'1.Locations'!$B$2:$B$97, 0) - 1," ")</f>
        <v xml:space="preserve"> </v>
      </c>
      <c r="BQ55" s="43" t="e">
        <f ca="1">IFERROR(IF(ISNUMBER($BP$55),INDEX('1.Locations'!$D$2:$D$97,$BP$55 + 1),NA()),NA())</f>
        <v>#N/A</v>
      </c>
      <c r="BR55" s="43" t="e">
        <f ca="1">IFERROR(IF(ISNUMBER($BP$55),INDEX('1.Locations'!$E$2:$E$97,$BP$55 + 1),NA()),NA())</f>
        <v>#N/A</v>
      </c>
      <c r="BS55" s="44" t="str">
        <f ca="1">IFERROR(IF(AND(ISNUMBER($BP$55),$BP$55&lt;=95),INDEX('2.Distances'!$C$2:$C$9218,$BP$54*96+$BP$55+ 1) +$BS$54," ")," ")</f>
        <v xml:space="preserve"> </v>
      </c>
      <c r="BT55" s="43" t="str">
        <f ca="1">IFERROR(IF(ISNUMBER($BP$55),INDEX('1.Locations'!$J$2:$J$97,$BP$55 + 1) +$BT$54," ")," ")</f>
        <v xml:space="preserve"> </v>
      </c>
      <c r="BU55" s="43" t="str">
        <f ca="1">IFERROR(IF(ISNUMBER($BP$55),INDEX('1.Locations'!$K$2:$K$97,$BP$55 + 1) +$BU$54," ")," ")</f>
        <v xml:space="preserve"> </v>
      </c>
      <c r="BV55" s="45" t="str">
        <f ca="1">IFERROR(IF(AND(ISNUMBER($BP$55),$BP$55&lt;=95),INDEX('2.Distances'!$D$2:$D$9218,$BP$54*96+$BP$55+ 1) +$BV$54," ")," ")</f>
        <v xml:space="preserve"> </v>
      </c>
      <c r="BW55" s="46" t="str">
        <f ca="1">IFERROR(IF(AND(ISNUMBER($BP$55),$BP$55&lt;=95),INDEX('2.Distances'!$D$2:$D$9218,$BP$54*96+$BP$55+ 1) +$BX$54," ")," ")</f>
        <v xml:space="preserve"> </v>
      </c>
      <c r="BX55" s="46" t="str">
        <f ca="1">IFERROR(IF(ISNUMBER($BW$55),INDEX('1.Locations'!$I$2:$I$97,$BP$55 + 1) + MAX($BW$55,INDEX('1.Locations'!$F$2:$F$97,$BP$55 + 1))," ")," ")</f>
        <v xml:space="preserve"> </v>
      </c>
      <c r="BY55" s="45" t="str">
        <f ca="1">IFERROR($BY$54 + INDEX('2.Distances'!$D$2:$D$9218,$BP$54*96+$BP$55+ 1) + INDEX('1.Locations'!$I$2:$I$97,$BP$55 + 1)," ")</f>
        <v xml:space="preserve"> </v>
      </c>
      <c r="CA55" s="24">
        <v>50</v>
      </c>
      <c r="CB55" s="25"/>
      <c r="CC55" s="43" t="str">
        <f ca="1">IFERROR(MATCH(INDIRECT("$CB$55"),'1.Locations'!$B$2:$B$97, 0) - 1," ")</f>
        <v xml:space="preserve"> </v>
      </c>
      <c r="CD55" s="43" t="e">
        <f ca="1">IFERROR(IF(ISNUMBER($CC$55),INDEX('1.Locations'!$D$2:$D$97,$CC$55 + 1),NA()),NA())</f>
        <v>#N/A</v>
      </c>
      <c r="CE55" s="43" t="e">
        <f ca="1">IFERROR(IF(ISNUMBER($CC$55),INDEX('1.Locations'!$E$2:$E$97,$CC$55 + 1),NA()),NA())</f>
        <v>#N/A</v>
      </c>
      <c r="CF55" s="44" t="str">
        <f ca="1">IFERROR(IF(AND(ISNUMBER($CC$55),$CC$55&lt;=95),INDEX('2.Distances'!$C$2:$C$9218,$CC$54*96+$CC$55+ 1) +$CF$54," ")," ")</f>
        <v xml:space="preserve"> </v>
      </c>
      <c r="CG55" s="43" t="str">
        <f ca="1">IFERROR(IF(ISNUMBER($CC$55),INDEX('1.Locations'!$J$2:$J$97,$CC$55 + 1) +$CG$54," ")," ")</f>
        <v xml:space="preserve"> </v>
      </c>
      <c r="CH55" s="43" t="str">
        <f ca="1">IFERROR(IF(ISNUMBER($CC$55),INDEX('1.Locations'!$K$2:$K$97,$CC$55 + 1) +$CH$54," ")," ")</f>
        <v xml:space="preserve"> </v>
      </c>
      <c r="CI55" s="45" t="str">
        <f ca="1">IFERROR(IF(AND(ISNUMBER($CC$55),$CC$55&lt;=95),INDEX('2.Distances'!$D$2:$D$9218,$CC$54*96+$CC$55+ 1) +$CI$54," ")," ")</f>
        <v xml:space="preserve"> </v>
      </c>
      <c r="CJ55" s="46" t="str">
        <f ca="1">IFERROR(IF(AND(ISNUMBER($CC$55),$CC$55&lt;=95),INDEX('2.Distances'!$D$2:$D$9218,$CC$54*96+$CC$55+ 1) +$CK$54," ")," ")</f>
        <v xml:space="preserve"> </v>
      </c>
      <c r="CK55" s="46" t="str">
        <f ca="1">IFERROR(IF(ISNUMBER($CJ$55),INDEX('1.Locations'!$I$2:$I$97,$CC$55 + 1) + MAX($CJ$55,INDEX('1.Locations'!$F$2:$F$97,$CC$55 + 1))," ")," ")</f>
        <v xml:space="preserve"> </v>
      </c>
      <c r="CL55" s="45" t="str">
        <f ca="1">IFERROR($CL$54 + INDEX('2.Distances'!$D$2:$D$9218,$CC$54*96+$CC$55+ 1) + INDEX('1.Locations'!$I$2:$I$97,$CC$55 + 1)," ")</f>
        <v xml:space="preserve"> </v>
      </c>
    </row>
    <row r="56" spans="1:90" x14ac:dyDescent="0.25">
      <c r="A56" s="24">
        <v>51</v>
      </c>
      <c r="B56" s="25"/>
      <c r="C56" s="43" t="str">
        <f ca="1">IFERROR(MATCH(INDIRECT("$B$56"),'1.Locations'!$B$2:$B$97, 0) - 1," ")</f>
        <v xml:space="preserve"> </v>
      </c>
      <c r="D56" s="43" t="e">
        <f ca="1">IFERROR(IF(ISNUMBER($C$56),INDEX('1.Locations'!$D$2:$D$97,$C$56 + 1),NA()),NA())</f>
        <v>#N/A</v>
      </c>
      <c r="E56" s="43" t="e">
        <f ca="1">IFERROR(IF(ISNUMBER($C$56),INDEX('1.Locations'!$E$2:$E$97,$C$56 + 1),NA()),NA())</f>
        <v>#N/A</v>
      </c>
      <c r="F56" s="44" t="str">
        <f ca="1">IFERROR(IF(AND(ISNUMBER($C$56),$C$56&lt;=95),INDEX('2.Distances'!$C$2:$C$9218,$C$55*96+$C$56+ 1) +$F$55," ")," ")</f>
        <v xml:space="preserve"> </v>
      </c>
      <c r="G56" s="43" t="str">
        <f ca="1">IFERROR(IF(ISNUMBER($C$56),INDEX('1.Locations'!$J$2:$J$97,$C$56 + 1) +$G$55," ")," ")</f>
        <v xml:space="preserve"> </v>
      </c>
      <c r="H56" s="43" t="str">
        <f ca="1">IFERROR(IF(ISNUMBER($C$56),INDEX('1.Locations'!$K$2:$K$97,$C$56 + 1) +$H$55," ")," ")</f>
        <v xml:space="preserve"> </v>
      </c>
      <c r="I56" s="45" t="str">
        <f ca="1">IFERROR(IF(AND(ISNUMBER($C$56),$C$56&lt;=95),INDEX('2.Distances'!$D$2:$D$9218,$C$55*96+$C$56+ 1) +$I$55," ")," ")</f>
        <v xml:space="preserve"> </v>
      </c>
      <c r="J56" s="46" t="str">
        <f ca="1">IFERROR(IF(AND(ISNUMBER($C$56),$C$56&lt;=95),INDEX('2.Distances'!$D$2:$D$9218,$C$55*96+$C$56+ 1) +$K$55," ")," ")</f>
        <v xml:space="preserve"> </v>
      </c>
      <c r="K56" s="46" t="str">
        <f ca="1">IFERROR(IF(ISNUMBER($J$56),INDEX('1.Locations'!$I$2:$I$97,$C$56 + 1) + MAX($J$56,INDEX('1.Locations'!$F$2:$F$97,$C$56 + 1))," ")," ")</f>
        <v xml:space="preserve"> </v>
      </c>
      <c r="L56" s="45" t="str">
        <f ca="1">IFERROR($L$55 + INDEX('2.Distances'!$D$2:$D$9218,$C$55*96+$C$56+ 1) + INDEX('1.Locations'!$I$2:$I$97,$C$56 + 1)," ")</f>
        <v xml:space="preserve"> </v>
      </c>
      <c r="N56" s="24">
        <v>51</v>
      </c>
      <c r="O56" s="25"/>
      <c r="P56" s="43" t="str">
        <f ca="1">IFERROR(MATCH(INDIRECT("$O$56"),'1.Locations'!$B$2:$B$97, 0) - 1," ")</f>
        <v xml:space="preserve"> </v>
      </c>
      <c r="Q56" s="43" t="e">
        <f ca="1">IFERROR(IF(ISNUMBER($P$56),INDEX('1.Locations'!$D$2:$D$97,$P$56 + 1),NA()),NA())</f>
        <v>#N/A</v>
      </c>
      <c r="R56" s="43" t="e">
        <f ca="1">IFERROR(IF(ISNUMBER($P$56),INDEX('1.Locations'!$E$2:$E$97,$P$56 + 1),NA()),NA())</f>
        <v>#N/A</v>
      </c>
      <c r="S56" s="44" t="str">
        <f ca="1">IFERROR(IF(AND(ISNUMBER($P$56),$P$56&lt;=95),INDEX('2.Distances'!$C$2:$C$9218,$P$55*96+$P$56+ 1) +$S$55," ")," ")</f>
        <v xml:space="preserve"> </v>
      </c>
      <c r="T56" s="43" t="str">
        <f ca="1">IFERROR(IF(ISNUMBER($P$56),INDEX('1.Locations'!$J$2:$J$97,$P$56 + 1) +$T$55," ")," ")</f>
        <v xml:space="preserve"> </v>
      </c>
      <c r="U56" s="43" t="str">
        <f ca="1">IFERROR(IF(ISNUMBER($P$56),INDEX('1.Locations'!$K$2:$K$97,$P$56 + 1) +$U$55," ")," ")</f>
        <v xml:space="preserve"> </v>
      </c>
      <c r="V56" s="45" t="str">
        <f ca="1">IFERROR(IF(AND(ISNUMBER($P$56),$P$56&lt;=95),INDEX('2.Distances'!$D$2:$D$9218,$P$55*96+$P$56+ 1) +$V$55," ")," ")</f>
        <v xml:space="preserve"> </v>
      </c>
      <c r="W56" s="46" t="str">
        <f ca="1">IFERROR(IF(AND(ISNUMBER($P$56),$P$56&lt;=95),INDEX('2.Distances'!$D$2:$D$9218,$P$55*96+$P$56+ 1) +$X$55," ")," ")</f>
        <v xml:space="preserve"> </v>
      </c>
      <c r="X56" s="46" t="str">
        <f ca="1">IFERROR(IF(ISNUMBER($W$56),INDEX('1.Locations'!$I$2:$I$97,$P$56 + 1) + MAX($W$56,INDEX('1.Locations'!$F$2:$F$97,$P$56 + 1))," ")," ")</f>
        <v xml:space="preserve"> </v>
      </c>
      <c r="Y56" s="45" t="str">
        <f ca="1">IFERROR($Y$55 + INDEX('2.Distances'!$D$2:$D$9218,$P$55*96+$P$56+ 1) + INDEX('1.Locations'!$I$2:$I$97,$P$56 + 1)," ")</f>
        <v xml:space="preserve"> </v>
      </c>
      <c r="AA56" s="24">
        <v>51</v>
      </c>
      <c r="AB56" s="25"/>
      <c r="AC56" s="43" t="str">
        <f ca="1">IFERROR(MATCH(INDIRECT("$AB$56"),'1.Locations'!$B$2:$B$97, 0) - 1," ")</f>
        <v xml:space="preserve"> </v>
      </c>
      <c r="AD56" s="43" t="e">
        <f ca="1">IFERROR(IF(ISNUMBER($AC$56),INDEX('1.Locations'!$D$2:$D$97,$AC$56 + 1),NA()),NA())</f>
        <v>#N/A</v>
      </c>
      <c r="AE56" s="43" t="e">
        <f ca="1">IFERROR(IF(ISNUMBER($AC$56),INDEX('1.Locations'!$E$2:$E$97,$AC$56 + 1),NA()),NA())</f>
        <v>#N/A</v>
      </c>
      <c r="AF56" s="44" t="str">
        <f ca="1">IFERROR(IF(AND(ISNUMBER($AC$56),$AC$56&lt;=95),INDEX('2.Distances'!$C$2:$C$9218,$AC$55*96+$AC$56+ 1) +$AF$55," ")," ")</f>
        <v xml:space="preserve"> </v>
      </c>
      <c r="AG56" s="43" t="str">
        <f ca="1">IFERROR(IF(ISNUMBER($AC$56),INDEX('1.Locations'!$J$2:$J$97,$AC$56 + 1) +$AG$55," ")," ")</f>
        <v xml:space="preserve"> </v>
      </c>
      <c r="AH56" s="43" t="str">
        <f ca="1">IFERROR(IF(ISNUMBER($AC$56),INDEX('1.Locations'!$K$2:$K$97,$AC$56 + 1) +$AH$55," ")," ")</f>
        <v xml:space="preserve"> </v>
      </c>
      <c r="AI56" s="45" t="str">
        <f ca="1">IFERROR(IF(AND(ISNUMBER($AC$56),$AC$56&lt;=95),INDEX('2.Distances'!$D$2:$D$9218,$AC$55*96+$AC$56+ 1) +$AI$55," ")," ")</f>
        <v xml:space="preserve"> </v>
      </c>
      <c r="AJ56" s="46" t="str">
        <f ca="1">IFERROR(IF(AND(ISNUMBER($AC$56),$AC$56&lt;=95),INDEX('2.Distances'!$D$2:$D$9218,$AC$55*96+$AC$56+ 1) +$AK$55," ")," ")</f>
        <v xml:space="preserve"> </v>
      </c>
      <c r="AK56" s="46" t="str">
        <f ca="1">IFERROR(IF(ISNUMBER($AJ$56),INDEX('1.Locations'!$I$2:$I$97,$AC$56 + 1) + MAX($AJ$56,INDEX('1.Locations'!$F$2:$F$97,$AC$56 + 1))," ")," ")</f>
        <v xml:space="preserve"> </v>
      </c>
      <c r="AL56" s="45" t="str">
        <f ca="1">IFERROR($AL$55 + INDEX('2.Distances'!$D$2:$D$9218,$AC$55*96+$AC$56+ 1) + INDEX('1.Locations'!$I$2:$I$97,$AC$56 + 1)," ")</f>
        <v xml:space="preserve"> </v>
      </c>
      <c r="AN56" s="24">
        <v>51</v>
      </c>
      <c r="AO56" s="25"/>
      <c r="AP56" s="43" t="str">
        <f ca="1">IFERROR(MATCH(INDIRECT("$AO$56"),'1.Locations'!$B$2:$B$97, 0) - 1," ")</f>
        <v xml:space="preserve"> </v>
      </c>
      <c r="AQ56" s="43" t="e">
        <f ca="1">IFERROR(IF(ISNUMBER($AP$56),INDEX('1.Locations'!$D$2:$D$97,$AP$56 + 1),NA()),NA())</f>
        <v>#N/A</v>
      </c>
      <c r="AR56" s="43" t="e">
        <f ca="1">IFERROR(IF(ISNUMBER($AP$56),INDEX('1.Locations'!$E$2:$E$97,$AP$56 + 1),NA()),NA())</f>
        <v>#N/A</v>
      </c>
      <c r="AS56" s="44" t="str">
        <f ca="1">IFERROR(IF(AND(ISNUMBER($AP$56),$AP$56&lt;=95),INDEX('2.Distances'!$C$2:$C$9218,$AP$55*96+$AP$56+ 1) +$AS$55," ")," ")</f>
        <v xml:space="preserve"> </v>
      </c>
      <c r="AT56" s="43" t="str">
        <f ca="1">IFERROR(IF(ISNUMBER($AP$56),INDEX('1.Locations'!$J$2:$J$97,$AP$56 + 1) +$AT$55," ")," ")</f>
        <v xml:space="preserve"> </v>
      </c>
      <c r="AU56" s="43" t="str">
        <f ca="1">IFERROR(IF(ISNUMBER($AP$56),INDEX('1.Locations'!$K$2:$K$97,$AP$56 + 1) +$AU$55," ")," ")</f>
        <v xml:space="preserve"> </v>
      </c>
      <c r="AV56" s="45" t="str">
        <f ca="1">IFERROR(IF(AND(ISNUMBER($AP$56),$AP$56&lt;=95),INDEX('2.Distances'!$D$2:$D$9218,$AP$55*96+$AP$56+ 1) +$AV$55," ")," ")</f>
        <v xml:space="preserve"> </v>
      </c>
      <c r="AW56" s="46" t="str">
        <f ca="1">IFERROR(IF(AND(ISNUMBER($AP$56),$AP$56&lt;=95),INDEX('2.Distances'!$D$2:$D$9218,$AP$55*96+$AP$56+ 1) +$AX$55," ")," ")</f>
        <v xml:space="preserve"> </v>
      </c>
      <c r="AX56" s="46" t="str">
        <f ca="1">IFERROR(IF(ISNUMBER($AW$56),INDEX('1.Locations'!$I$2:$I$97,$AP$56 + 1) + MAX($AW$56,INDEX('1.Locations'!$F$2:$F$97,$AP$56 + 1))," ")," ")</f>
        <v xml:space="preserve"> </v>
      </c>
      <c r="AY56" s="45" t="str">
        <f ca="1">IFERROR($AY$55 + INDEX('2.Distances'!$D$2:$D$9218,$AP$55*96+$AP$56+ 1) + INDEX('1.Locations'!$I$2:$I$97,$AP$56 + 1)," ")</f>
        <v xml:space="preserve"> </v>
      </c>
      <c r="BA56" s="24">
        <v>51</v>
      </c>
      <c r="BB56" s="25"/>
      <c r="BC56" s="43" t="str">
        <f ca="1">IFERROR(MATCH(INDIRECT("$BB$56"),'1.Locations'!$B$2:$B$97, 0) - 1," ")</f>
        <v xml:space="preserve"> </v>
      </c>
      <c r="BD56" s="43" t="e">
        <f ca="1">IFERROR(IF(ISNUMBER($BC$56),INDEX('1.Locations'!$D$2:$D$97,$BC$56 + 1),NA()),NA())</f>
        <v>#N/A</v>
      </c>
      <c r="BE56" s="43" t="e">
        <f ca="1">IFERROR(IF(ISNUMBER($BC$56),INDEX('1.Locations'!$E$2:$E$97,$BC$56 + 1),NA()),NA())</f>
        <v>#N/A</v>
      </c>
      <c r="BF56" s="44" t="str">
        <f ca="1">IFERROR(IF(AND(ISNUMBER($BC$56),$BC$56&lt;=95),INDEX('2.Distances'!$C$2:$C$9218,$BC$55*96+$BC$56+ 1) +$BF$55," ")," ")</f>
        <v xml:space="preserve"> </v>
      </c>
      <c r="BG56" s="43" t="str">
        <f ca="1">IFERROR(IF(ISNUMBER($BC$56),INDEX('1.Locations'!$J$2:$J$97,$BC$56 + 1) +$BG$55," ")," ")</f>
        <v xml:space="preserve"> </v>
      </c>
      <c r="BH56" s="43" t="str">
        <f ca="1">IFERROR(IF(ISNUMBER($BC$56),INDEX('1.Locations'!$K$2:$K$97,$BC$56 + 1) +$BH$55," ")," ")</f>
        <v xml:space="preserve"> </v>
      </c>
      <c r="BI56" s="45" t="str">
        <f ca="1">IFERROR(IF(AND(ISNUMBER($BC$56),$BC$56&lt;=95),INDEX('2.Distances'!$D$2:$D$9218,$BC$55*96+$BC$56+ 1) +$BI$55," ")," ")</f>
        <v xml:space="preserve"> </v>
      </c>
      <c r="BJ56" s="46" t="str">
        <f ca="1">IFERROR(IF(AND(ISNUMBER($BC$56),$BC$56&lt;=95),INDEX('2.Distances'!$D$2:$D$9218,$BC$55*96+$BC$56+ 1) +$BK$55," ")," ")</f>
        <v xml:space="preserve"> </v>
      </c>
      <c r="BK56" s="46" t="str">
        <f ca="1">IFERROR(IF(ISNUMBER($BJ$56),INDEX('1.Locations'!$I$2:$I$97,$BC$56 + 1) + MAX($BJ$56,INDEX('1.Locations'!$F$2:$F$97,$BC$56 + 1))," ")," ")</f>
        <v xml:space="preserve"> </v>
      </c>
      <c r="BL56" s="45" t="str">
        <f ca="1">IFERROR($BL$55 + INDEX('2.Distances'!$D$2:$D$9218,$BC$55*96+$BC$56+ 1) + INDEX('1.Locations'!$I$2:$I$97,$BC$56 + 1)," ")</f>
        <v xml:space="preserve"> </v>
      </c>
      <c r="BN56" s="24">
        <v>51</v>
      </c>
      <c r="BO56" s="25"/>
      <c r="BP56" s="43" t="str">
        <f ca="1">IFERROR(MATCH(INDIRECT("$BO$56"),'1.Locations'!$B$2:$B$97, 0) - 1," ")</f>
        <v xml:space="preserve"> </v>
      </c>
      <c r="BQ56" s="43" t="e">
        <f ca="1">IFERROR(IF(ISNUMBER($BP$56),INDEX('1.Locations'!$D$2:$D$97,$BP$56 + 1),NA()),NA())</f>
        <v>#N/A</v>
      </c>
      <c r="BR56" s="43" t="e">
        <f ca="1">IFERROR(IF(ISNUMBER($BP$56),INDEX('1.Locations'!$E$2:$E$97,$BP$56 + 1),NA()),NA())</f>
        <v>#N/A</v>
      </c>
      <c r="BS56" s="44" t="str">
        <f ca="1">IFERROR(IF(AND(ISNUMBER($BP$56),$BP$56&lt;=95),INDEX('2.Distances'!$C$2:$C$9218,$BP$55*96+$BP$56+ 1) +$BS$55," ")," ")</f>
        <v xml:space="preserve"> </v>
      </c>
      <c r="BT56" s="43" t="str">
        <f ca="1">IFERROR(IF(ISNUMBER($BP$56),INDEX('1.Locations'!$J$2:$J$97,$BP$56 + 1) +$BT$55," ")," ")</f>
        <v xml:space="preserve"> </v>
      </c>
      <c r="BU56" s="43" t="str">
        <f ca="1">IFERROR(IF(ISNUMBER($BP$56),INDEX('1.Locations'!$K$2:$K$97,$BP$56 + 1) +$BU$55," ")," ")</f>
        <v xml:space="preserve"> </v>
      </c>
      <c r="BV56" s="45" t="str">
        <f ca="1">IFERROR(IF(AND(ISNUMBER($BP$56),$BP$56&lt;=95),INDEX('2.Distances'!$D$2:$D$9218,$BP$55*96+$BP$56+ 1) +$BV$55," ")," ")</f>
        <v xml:space="preserve"> </v>
      </c>
      <c r="BW56" s="46" t="str">
        <f ca="1">IFERROR(IF(AND(ISNUMBER($BP$56),$BP$56&lt;=95),INDEX('2.Distances'!$D$2:$D$9218,$BP$55*96+$BP$56+ 1) +$BX$55," ")," ")</f>
        <v xml:space="preserve"> </v>
      </c>
      <c r="BX56" s="46" t="str">
        <f ca="1">IFERROR(IF(ISNUMBER($BW$56),INDEX('1.Locations'!$I$2:$I$97,$BP$56 + 1) + MAX($BW$56,INDEX('1.Locations'!$F$2:$F$97,$BP$56 + 1))," ")," ")</f>
        <v xml:space="preserve"> </v>
      </c>
      <c r="BY56" s="45" t="str">
        <f ca="1">IFERROR($BY$55 + INDEX('2.Distances'!$D$2:$D$9218,$BP$55*96+$BP$56+ 1) + INDEX('1.Locations'!$I$2:$I$97,$BP$56 + 1)," ")</f>
        <v xml:space="preserve"> </v>
      </c>
      <c r="CA56" s="24">
        <v>51</v>
      </c>
      <c r="CB56" s="25"/>
      <c r="CC56" s="43" t="str">
        <f ca="1">IFERROR(MATCH(INDIRECT("$CB$56"),'1.Locations'!$B$2:$B$97, 0) - 1," ")</f>
        <v xml:space="preserve"> </v>
      </c>
      <c r="CD56" s="43" t="e">
        <f ca="1">IFERROR(IF(ISNUMBER($CC$56),INDEX('1.Locations'!$D$2:$D$97,$CC$56 + 1),NA()),NA())</f>
        <v>#N/A</v>
      </c>
      <c r="CE56" s="43" t="e">
        <f ca="1">IFERROR(IF(ISNUMBER($CC$56),INDEX('1.Locations'!$E$2:$E$97,$CC$56 + 1),NA()),NA())</f>
        <v>#N/A</v>
      </c>
      <c r="CF56" s="44" t="str">
        <f ca="1">IFERROR(IF(AND(ISNUMBER($CC$56),$CC$56&lt;=95),INDEX('2.Distances'!$C$2:$C$9218,$CC$55*96+$CC$56+ 1) +$CF$55," ")," ")</f>
        <v xml:space="preserve"> </v>
      </c>
      <c r="CG56" s="43" t="str">
        <f ca="1">IFERROR(IF(ISNUMBER($CC$56),INDEX('1.Locations'!$J$2:$J$97,$CC$56 + 1) +$CG$55," ")," ")</f>
        <v xml:space="preserve"> </v>
      </c>
      <c r="CH56" s="43" t="str">
        <f ca="1">IFERROR(IF(ISNUMBER($CC$56),INDEX('1.Locations'!$K$2:$K$97,$CC$56 + 1) +$CH$55," ")," ")</f>
        <v xml:space="preserve"> </v>
      </c>
      <c r="CI56" s="45" t="str">
        <f ca="1">IFERROR(IF(AND(ISNUMBER($CC$56),$CC$56&lt;=95),INDEX('2.Distances'!$D$2:$D$9218,$CC$55*96+$CC$56+ 1) +$CI$55," ")," ")</f>
        <v xml:space="preserve"> </v>
      </c>
      <c r="CJ56" s="46" t="str">
        <f ca="1">IFERROR(IF(AND(ISNUMBER($CC$56),$CC$56&lt;=95),INDEX('2.Distances'!$D$2:$D$9218,$CC$55*96+$CC$56+ 1) +$CK$55," ")," ")</f>
        <v xml:space="preserve"> </v>
      </c>
      <c r="CK56" s="46" t="str">
        <f ca="1">IFERROR(IF(ISNUMBER($CJ$56),INDEX('1.Locations'!$I$2:$I$97,$CC$56 + 1) + MAX($CJ$56,INDEX('1.Locations'!$F$2:$F$97,$CC$56 + 1))," ")," ")</f>
        <v xml:space="preserve"> </v>
      </c>
      <c r="CL56" s="45" t="str">
        <f ca="1">IFERROR($CL$55 + INDEX('2.Distances'!$D$2:$D$9218,$CC$55*96+$CC$56+ 1) + INDEX('1.Locations'!$I$2:$I$97,$CC$56 + 1)," ")</f>
        <v xml:space="preserve"> </v>
      </c>
    </row>
    <row r="57" spans="1:90" x14ac:dyDescent="0.25">
      <c r="A57" s="24">
        <v>52</v>
      </c>
      <c r="B57" s="25"/>
      <c r="C57" s="43" t="str">
        <f ca="1">IFERROR(MATCH(INDIRECT("$B$57"),'1.Locations'!$B$2:$B$97, 0) - 1," ")</f>
        <v xml:space="preserve"> </v>
      </c>
      <c r="D57" s="43" t="e">
        <f ca="1">IFERROR(IF(ISNUMBER($C$57),INDEX('1.Locations'!$D$2:$D$97,$C$57 + 1),NA()),NA())</f>
        <v>#N/A</v>
      </c>
      <c r="E57" s="43" t="e">
        <f ca="1">IFERROR(IF(ISNUMBER($C$57),INDEX('1.Locations'!$E$2:$E$97,$C$57 + 1),NA()),NA())</f>
        <v>#N/A</v>
      </c>
      <c r="F57" s="44" t="str">
        <f ca="1">IFERROR(IF(AND(ISNUMBER($C$57),$C$57&lt;=95),INDEX('2.Distances'!$C$2:$C$9218,$C$56*96+$C$57+ 1) +$F$56," ")," ")</f>
        <v xml:space="preserve"> </v>
      </c>
      <c r="G57" s="43" t="str">
        <f ca="1">IFERROR(IF(ISNUMBER($C$57),INDEX('1.Locations'!$J$2:$J$97,$C$57 + 1) +$G$56," ")," ")</f>
        <v xml:space="preserve"> </v>
      </c>
      <c r="H57" s="43" t="str">
        <f ca="1">IFERROR(IF(ISNUMBER($C$57),INDEX('1.Locations'!$K$2:$K$97,$C$57 + 1) +$H$56," ")," ")</f>
        <v xml:space="preserve"> </v>
      </c>
      <c r="I57" s="45" t="str">
        <f ca="1">IFERROR(IF(AND(ISNUMBER($C$57),$C$57&lt;=95),INDEX('2.Distances'!$D$2:$D$9218,$C$56*96+$C$57+ 1) +$I$56," ")," ")</f>
        <v xml:space="preserve"> </v>
      </c>
      <c r="J57" s="46" t="str">
        <f ca="1">IFERROR(IF(AND(ISNUMBER($C$57),$C$57&lt;=95),INDEX('2.Distances'!$D$2:$D$9218,$C$56*96+$C$57+ 1) +$K$56," ")," ")</f>
        <v xml:space="preserve"> </v>
      </c>
      <c r="K57" s="46" t="str">
        <f ca="1">IFERROR(IF(ISNUMBER($J$57),INDEX('1.Locations'!$I$2:$I$97,$C$57 + 1) + MAX($J$57,INDEX('1.Locations'!$F$2:$F$97,$C$57 + 1))," ")," ")</f>
        <v xml:space="preserve"> </v>
      </c>
      <c r="L57" s="45" t="str">
        <f ca="1">IFERROR($L$56 + INDEX('2.Distances'!$D$2:$D$9218,$C$56*96+$C$57+ 1) + INDEX('1.Locations'!$I$2:$I$97,$C$57 + 1)," ")</f>
        <v xml:space="preserve"> </v>
      </c>
      <c r="N57" s="24">
        <v>52</v>
      </c>
      <c r="O57" s="25"/>
      <c r="P57" s="43" t="str">
        <f ca="1">IFERROR(MATCH(INDIRECT("$O$57"),'1.Locations'!$B$2:$B$97, 0) - 1," ")</f>
        <v xml:space="preserve"> </v>
      </c>
      <c r="Q57" s="43" t="e">
        <f ca="1">IFERROR(IF(ISNUMBER($P$57),INDEX('1.Locations'!$D$2:$D$97,$P$57 + 1),NA()),NA())</f>
        <v>#N/A</v>
      </c>
      <c r="R57" s="43" t="e">
        <f ca="1">IFERROR(IF(ISNUMBER($P$57),INDEX('1.Locations'!$E$2:$E$97,$P$57 + 1),NA()),NA())</f>
        <v>#N/A</v>
      </c>
      <c r="S57" s="44" t="str">
        <f ca="1">IFERROR(IF(AND(ISNUMBER($P$57),$P$57&lt;=95),INDEX('2.Distances'!$C$2:$C$9218,$P$56*96+$P$57+ 1) +$S$56," ")," ")</f>
        <v xml:space="preserve"> </v>
      </c>
      <c r="T57" s="43" t="str">
        <f ca="1">IFERROR(IF(ISNUMBER($P$57),INDEX('1.Locations'!$J$2:$J$97,$P$57 + 1) +$T$56," ")," ")</f>
        <v xml:space="preserve"> </v>
      </c>
      <c r="U57" s="43" t="str">
        <f ca="1">IFERROR(IF(ISNUMBER($P$57),INDEX('1.Locations'!$K$2:$K$97,$P$57 + 1) +$U$56," ")," ")</f>
        <v xml:space="preserve"> </v>
      </c>
      <c r="V57" s="45" t="str">
        <f ca="1">IFERROR(IF(AND(ISNUMBER($P$57),$P$57&lt;=95),INDEX('2.Distances'!$D$2:$D$9218,$P$56*96+$P$57+ 1) +$V$56," ")," ")</f>
        <v xml:space="preserve"> </v>
      </c>
      <c r="W57" s="46" t="str">
        <f ca="1">IFERROR(IF(AND(ISNUMBER($P$57),$P$57&lt;=95),INDEX('2.Distances'!$D$2:$D$9218,$P$56*96+$P$57+ 1) +$X$56," ")," ")</f>
        <v xml:space="preserve"> </v>
      </c>
      <c r="X57" s="46" t="str">
        <f ca="1">IFERROR(IF(ISNUMBER($W$57),INDEX('1.Locations'!$I$2:$I$97,$P$57 + 1) + MAX($W$57,INDEX('1.Locations'!$F$2:$F$97,$P$57 + 1))," ")," ")</f>
        <v xml:space="preserve"> </v>
      </c>
      <c r="Y57" s="45" t="str">
        <f ca="1">IFERROR($Y$56 + INDEX('2.Distances'!$D$2:$D$9218,$P$56*96+$P$57+ 1) + INDEX('1.Locations'!$I$2:$I$97,$P$57 + 1)," ")</f>
        <v xml:space="preserve"> </v>
      </c>
      <c r="AA57" s="24">
        <v>52</v>
      </c>
      <c r="AB57" s="25"/>
      <c r="AC57" s="43" t="str">
        <f ca="1">IFERROR(MATCH(INDIRECT("$AB$57"),'1.Locations'!$B$2:$B$97, 0) - 1," ")</f>
        <v xml:space="preserve"> </v>
      </c>
      <c r="AD57" s="43" t="e">
        <f ca="1">IFERROR(IF(ISNUMBER($AC$57),INDEX('1.Locations'!$D$2:$D$97,$AC$57 + 1),NA()),NA())</f>
        <v>#N/A</v>
      </c>
      <c r="AE57" s="43" t="e">
        <f ca="1">IFERROR(IF(ISNUMBER($AC$57),INDEX('1.Locations'!$E$2:$E$97,$AC$57 + 1),NA()),NA())</f>
        <v>#N/A</v>
      </c>
      <c r="AF57" s="44" t="str">
        <f ca="1">IFERROR(IF(AND(ISNUMBER($AC$57),$AC$57&lt;=95),INDEX('2.Distances'!$C$2:$C$9218,$AC$56*96+$AC$57+ 1) +$AF$56," ")," ")</f>
        <v xml:space="preserve"> </v>
      </c>
      <c r="AG57" s="43" t="str">
        <f ca="1">IFERROR(IF(ISNUMBER($AC$57),INDEX('1.Locations'!$J$2:$J$97,$AC$57 + 1) +$AG$56," ")," ")</f>
        <v xml:space="preserve"> </v>
      </c>
      <c r="AH57" s="43" t="str">
        <f ca="1">IFERROR(IF(ISNUMBER($AC$57),INDEX('1.Locations'!$K$2:$K$97,$AC$57 + 1) +$AH$56," ")," ")</f>
        <v xml:space="preserve"> </v>
      </c>
      <c r="AI57" s="45" t="str">
        <f ca="1">IFERROR(IF(AND(ISNUMBER($AC$57),$AC$57&lt;=95),INDEX('2.Distances'!$D$2:$D$9218,$AC$56*96+$AC$57+ 1) +$AI$56," ")," ")</f>
        <v xml:space="preserve"> </v>
      </c>
      <c r="AJ57" s="46" t="str">
        <f ca="1">IFERROR(IF(AND(ISNUMBER($AC$57),$AC$57&lt;=95),INDEX('2.Distances'!$D$2:$D$9218,$AC$56*96+$AC$57+ 1) +$AK$56," ")," ")</f>
        <v xml:space="preserve"> </v>
      </c>
      <c r="AK57" s="46" t="str">
        <f ca="1">IFERROR(IF(ISNUMBER($AJ$57),INDEX('1.Locations'!$I$2:$I$97,$AC$57 + 1) + MAX($AJ$57,INDEX('1.Locations'!$F$2:$F$97,$AC$57 + 1))," ")," ")</f>
        <v xml:space="preserve"> </v>
      </c>
      <c r="AL57" s="45" t="str">
        <f ca="1">IFERROR($AL$56 + INDEX('2.Distances'!$D$2:$D$9218,$AC$56*96+$AC$57+ 1) + INDEX('1.Locations'!$I$2:$I$97,$AC$57 + 1)," ")</f>
        <v xml:space="preserve"> </v>
      </c>
      <c r="AN57" s="24">
        <v>52</v>
      </c>
      <c r="AO57" s="25"/>
      <c r="AP57" s="43" t="str">
        <f ca="1">IFERROR(MATCH(INDIRECT("$AO$57"),'1.Locations'!$B$2:$B$97, 0) - 1," ")</f>
        <v xml:space="preserve"> </v>
      </c>
      <c r="AQ57" s="43" t="e">
        <f ca="1">IFERROR(IF(ISNUMBER($AP$57),INDEX('1.Locations'!$D$2:$D$97,$AP$57 + 1),NA()),NA())</f>
        <v>#N/A</v>
      </c>
      <c r="AR57" s="43" t="e">
        <f ca="1">IFERROR(IF(ISNUMBER($AP$57),INDEX('1.Locations'!$E$2:$E$97,$AP$57 + 1),NA()),NA())</f>
        <v>#N/A</v>
      </c>
      <c r="AS57" s="44" t="str">
        <f ca="1">IFERROR(IF(AND(ISNUMBER($AP$57),$AP$57&lt;=95),INDEX('2.Distances'!$C$2:$C$9218,$AP$56*96+$AP$57+ 1) +$AS$56," ")," ")</f>
        <v xml:space="preserve"> </v>
      </c>
      <c r="AT57" s="43" t="str">
        <f ca="1">IFERROR(IF(ISNUMBER($AP$57),INDEX('1.Locations'!$J$2:$J$97,$AP$57 + 1) +$AT$56," ")," ")</f>
        <v xml:space="preserve"> </v>
      </c>
      <c r="AU57" s="43" t="str">
        <f ca="1">IFERROR(IF(ISNUMBER($AP$57),INDEX('1.Locations'!$K$2:$K$97,$AP$57 + 1) +$AU$56," ")," ")</f>
        <v xml:space="preserve"> </v>
      </c>
      <c r="AV57" s="45" t="str">
        <f ca="1">IFERROR(IF(AND(ISNUMBER($AP$57),$AP$57&lt;=95),INDEX('2.Distances'!$D$2:$D$9218,$AP$56*96+$AP$57+ 1) +$AV$56," ")," ")</f>
        <v xml:space="preserve"> </v>
      </c>
      <c r="AW57" s="46" t="str">
        <f ca="1">IFERROR(IF(AND(ISNUMBER($AP$57),$AP$57&lt;=95),INDEX('2.Distances'!$D$2:$D$9218,$AP$56*96+$AP$57+ 1) +$AX$56," ")," ")</f>
        <v xml:space="preserve"> </v>
      </c>
      <c r="AX57" s="46" t="str">
        <f ca="1">IFERROR(IF(ISNUMBER($AW$57),INDEX('1.Locations'!$I$2:$I$97,$AP$57 + 1) + MAX($AW$57,INDEX('1.Locations'!$F$2:$F$97,$AP$57 + 1))," ")," ")</f>
        <v xml:space="preserve"> </v>
      </c>
      <c r="AY57" s="45" t="str">
        <f ca="1">IFERROR($AY$56 + INDEX('2.Distances'!$D$2:$D$9218,$AP$56*96+$AP$57+ 1) + INDEX('1.Locations'!$I$2:$I$97,$AP$57 + 1)," ")</f>
        <v xml:space="preserve"> </v>
      </c>
      <c r="BA57" s="24">
        <v>52</v>
      </c>
      <c r="BB57" s="25"/>
      <c r="BC57" s="43" t="str">
        <f ca="1">IFERROR(MATCH(INDIRECT("$BB$57"),'1.Locations'!$B$2:$B$97, 0) - 1," ")</f>
        <v xml:space="preserve"> </v>
      </c>
      <c r="BD57" s="43" t="e">
        <f ca="1">IFERROR(IF(ISNUMBER($BC$57),INDEX('1.Locations'!$D$2:$D$97,$BC$57 + 1),NA()),NA())</f>
        <v>#N/A</v>
      </c>
      <c r="BE57" s="43" t="e">
        <f ca="1">IFERROR(IF(ISNUMBER($BC$57),INDEX('1.Locations'!$E$2:$E$97,$BC$57 + 1),NA()),NA())</f>
        <v>#N/A</v>
      </c>
      <c r="BF57" s="44" t="str">
        <f ca="1">IFERROR(IF(AND(ISNUMBER($BC$57),$BC$57&lt;=95),INDEX('2.Distances'!$C$2:$C$9218,$BC$56*96+$BC$57+ 1) +$BF$56," ")," ")</f>
        <v xml:space="preserve"> </v>
      </c>
      <c r="BG57" s="43" t="str">
        <f ca="1">IFERROR(IF(ISNUMBER($BC$57),INDEX('1.Locations'!$J$2:$J$97,$BC$57 + 1) +$BG$56," ")," ")</f>
        <v xml:space="preserve"> </v>
      </c>
      <c r="BH57" s="43" t="str">
        <f ca="1">IFERROR(IF(ISNUMBER($BC$57),INDEX('1.Locations'!$K$2:$K$97,$BC$57 + 1) +$BH$56," ")," ")</f>
        <v xml:space="preserve"> </v>
      </c>
      <c r="BI57" s="45" t="str">
        <f ca="1">IFERROR(IF(AND(ISNUMBER($BC$57),$BC$57&lt;=95),INDEX('2.Distances'!$D$2:$D$9218,$BC$56*96+$BC$57+ 1) +$BI$56," ")," ")</f>
        <v xml:space="preserve"> </v>
      </c>
      <c r="BJ57" s="46" t="str">
        <f ca="1">IFERROR(IF(AND(ISNUMBER($BC$57),$BC$57&lt;=95),INDEX('2.Distances'!$D$2:$D$9218,$BC$56*96+$BC$57+ 1) +$BK$56," ")," ")</f>
        <v xml:space="preserve"> </v>
      </c>
      <c r="BK57" s="46" t="str">
        <f ca="1">IFERROR(IF(ISNUMBER($BJ$57),INDEX('1.Locations'!$I$2:$I$97,$BC$57 + 1) + MAX($BJ$57,INDEX('1.Locations'!$F$2:$F$97,$BC$57 + 1))," ")," ")</f>
        <v xml:space="preserve"> </v>
      </c>
      <c r="BL57" s="45" t="str">
        <f ca="1">IFERROR($BL$56 + INDEX('2.Distances'!$D$2:$D$9218,$BC$56*96+$BC$57+ 1) + INDEX('1.Locations'!$I$2:$I$97,$BC$57 + 1)," ")</f>
        <v xml:space="preserve"> </v>
      </c>
      <c r="BN57" s="24">
        <v>52</v>
      </c>
      <c r="BO57" s="25"/>
      <c r="BP57" s="43" t="str">
        <f ca="1">IFERROR(MATCH(INDIRECT("$BO$57"),'1.Locations'!$B$2:$B$97, 0) - 1," ")</f>
        <v xml:space="preserve"> </v>
      </c>
      <c r="BQ57" s="43" t="e">
        <f ca="1">IFERROR(IF(ISNUMBER($BP$57),INDEX('1.Locations'!$D$2:$D$97,$BP$57 + 1),NA()),NA())</f>
        <v>#N/A</v>
      </c>
      <c r="BR57" s="43" t="e">
        <f ca="1">IFERROR(IF(ISNUMBER($BP$57),INDEX('1.Locations'!$E$2:$E$97,$BP$57 + 1),NA()),NA())</f>
        <v>#N/A</v>
      </c>
      <c r="BS57" s="44" t="str">
        <f ca="1">IFERROR(IF(AND(ISNUMBER($BP$57),$BP$57&lt;=95),INDEX('2.Distances'!$C$2:$C$9218,$BP$56*96+$BP$57+ 1) +$BS$56," ")," ")</f>
        <v xml:space="preserve"> </v>
      </c>
      <c r="BT57" s="43" t="str">
        <f ca="1">IFERROR(IF(ISNUMBER($BP$57),INDEX('1.Locations'!$J$2:$J$97,$BP$57 + 1) +$BT$56," ")," ")</f>
        <v xml:space="preserve"> </v>
      </c>
      <c r="BU57" s="43" t="str">
        <f ca="1">IFERROR(IF(ISNUMBER($BP$57),INDEX('1.Locations'!$K$2:$K$97,$BP$57 + 1) +$BU$56," ")," ")</f>
        <v xml:space="preserve"> </v>
      </c>
      <c r="BV57" s="45" t="str">
        <f ca="1">IFERROR(IF(AND(ISNUMBER($BP$57),$BP$57&lt;=95),INDEX('2.Distances'!$D$2:$D$9218,$BP$56*96+$BP$57+ 1) +$BV$56," ")," ")</f>
        <v xml:space="preserve"> </v>
      </c>
      <c r="BW57" s="46" t="str">
        <f ca="1">IFERROR(IF(AND(ISNUMBER($BP$57),$BP$57&lt;=95),INDEX('2.Distances'!$D$2:$D$9218,$BP$56*96+$BP$57+ 1) +$BX$56," ")," ")</f>
        <v xml:space="preserve"> </v>
      </c>
      <c r="BX57" s="46" t="str">
        <f ca="1">IFERROR(IF(ISNUMBER($BW$57),INDEX('1.Locations'!$I$2:$I$97,$BP$57 + 1) + MAX($BW$57,INDEX('1.Locations'!$F$2:$F$97,$BP$57 + 1))," ")," ")</f>
        <v xml:space="preserve"> </v>
      </c>
      <c r="BY57" s="45" t="str">
        <f ca="1">IFERROR($BY$56 + INDEX('2.Distances'!$D$2:$D$9218,$BP$56*96+$BP$57+ 1) + INDEX('1.Locations'!$I$2:$I$97,$BP$57 + 1)," ")</f>
        <v xml:space="preserve"> </v>
      </c>
      <c r="CA57" s="24">
        <v>52</v>
      </c>
      <c r="CB57" s="25"/>
      <c r="CC57" s="43" t="str">
        <f ca="1">IFERROR(MATCH(INDIRECT("$CB$57"),'1.Locations'!$B$2:$B$97, 0) - 1," ")</f>
        <v xml:space="preserve"> </v>
      </c>
      <c r="CD57" s="43" t="e">
        <f ca="1">IFERROR(IF(ISNUMBER($CC$57),INDEX('1.Locations'!$D$2:$D$97,$CC$57 + 1),NA()),NA())</f>
        <v>#N/A</v>
      </c>
      <c r="CE57" s="43" t="e">
        <f ca="1">IFERROR(IF(ISNUMBER($CC$57),INDEX('1.Locations'!$E$2:$E$97,$CC$57 + 1),NA()),NA())</f>
        <v>#N/A</v>
      </c>
      <c r="CF57" s="44" t="str">
        <f ca="1">IFERROR(IF(AND(ISNUMBER($CC$57),$CC$57&lt;=95),INDEX('2.Distances'!$C$2:$C$9218,$CC$56*96+$CC$57+ 1) +$CF$56," ")," ")</f>
        <v xml:space="preserve"> </v>
      </c>
      <c r="CG57" s="43" t="str">
        <f ca="1">IFERROR(IF(ISNUMBER($CC$57),INDEX('1.Locations'!$J$2:$J$97,$CC$57 + 1) +$CG$56," ")," ")</f>
        <v xml:space="preserve"> </v>
      </c>
      <c r="CH57" s="43" t="str">
        <f ca="1">IFERROR(IF(ISNUMBER($CC$57),INDEX('1.Locations'!$K$2:$K$97,$CC$57 + 1) +$CH$56," ")," ")</f>
        <v xml:space="preserve"> </v>
      </c>
      <c r="CI57" s="45" t="str">
        <f ca="1">IFERROR(IF(AND(ISNUMBER($CC$57),$CC$57&lt;=95),INDEX('2.Distances'!$D$2:$D$9218,$CC$56*96+$CC$57+ 1) +$CI$56," ")," ")</f>
        <v xml:space="preserve"> </v>
      </c>
      <c r="CJ57" s="46" t="str">
        <f ca="1">IFERROR(IF(AND(ISNUMBER($CC$57),$CC$57&lt;=95),INDEX('2.Distances'!$D$2:$D$9218,$CC$56*96+$CC$57+ 1) +$CK$56," ")," ")</f>
        <v xml:space="preserve"> </v>
      </c>
      <c r="CK57" s="46" t="str">
        <f ca="1">IFERROR(IF(ISNUMBER($CJ$57),INDEX('1.Locations'!$I$2:$I$97,$CC$57 + 1) + MAX($CJ$57,INDEX('1.Locations'!$F$2:$F$97,$CC$57 + 1))," ")," ")</f>
        <v xml:space="preserve"> </v>
      </c>
      <c r="CL57" s="45" t="str">
        <f ca="1">IFERROR($CL$56 + INDEX('2.Distances'!$D$2:$D$9218,$CC$56*96+$CC$57+ 1) + INDEX('1.Locations'!$I$2:$I$97,$CC$57 + 1)," ")</f>
        <v xml:space="preserve"> </v>
      </c>
    </row>
    <row r="58" spans="1:90" x14ac:dyDescent="0.25">
      <c r="A58" s="24">
        <v>53</v>
      </c>
      <c r="B58" s="25"/>
      <c r="C58" s="43" t="str">
        <f ca="1">IFERROR(MATCH(INDIRECT("$B$58"),'1.Locations'!$B$2:$B$97, 0) - 1," ")</f>
        <v xml:space="preserve"> </v>
      </c>
      <c r="D58" s="43" t="e">
        <f ca="1">IFERROR(IF(ISNUMBER($C$58),INDEX('1.Locations'!$D$2:$D$97,$C$58 + 1),NA()),NA())</f>
        <v>#N/A</v>
      </c>
      <c r="E58" s="43" t="e">
        <f ca="1">IFERROR(IF(ISNUMBER($C$58),INDEX('1.Locations'!$E$2:$E$97,$C$58 + 1),NA()),NA())</f>
        <v>#N/A</v>
      </c>
      <c r="F58" s="44" t="str">
        <f ca="1">IFERROR(IF(AND(ISNUMBER($C$58),$C$58&lt;=95),INDEX('2.Distances'!$C$2:$C$9218,$C$57*96+$C$58+ 1) +$F$57," ")," ")</f>
        <v xml:space="preserve"> </v>
      </c>
      <c r="G58" s="43" t="str">
        <f ca="1">IFERROR(IF(ISNUMBER($C$58),INDEX('1.Locations'!$J$2:$J$97,$C$58 + 1) +$G$57," ")," ")</f>
        <v xml:space="preserve"> </v>
      </c>
      <c r="H58" s="43" t="str">
        <f ca="1">IFERROR(IF(ISNUMBER($C$58),INDEX('1.Locations'!$K$2:$K$97,$C$58 + 1) +$H$57," ")," ")</f>
        <v xml:space="preserve"> </v>
      </c>
      <c r="I58" s="45" t="str">
        <f ca="1">IFERROR(IF(AND(ISNUMBER($C$58),$C$58&lt;=95),INDEX('2.Distances'!$D$2:$D$9218,$C$57*96+$C$58+ 1) +$I$57," ")," ")</f>
        <v xml:space="preserve"> </v>
      </c>
      <c r="J58" s="46" t="str">
        <f ca="1">IFERROR(IF(AND(ISNUMBER($C$58),$C$58&lt;=95),INDEX('2.Distances'!$D$2:$D$9218,$C$57*96+$C$58+ 1) +$K$57," ")," ")</f>
        <v xml:space="preserve"> </v>
      </c>
      <c r="K58" s="46" t="str">
        <f ca="1">IFERROR(IF(ISNUMBER($J$58),INDEX('1.Locations'!$I$2:$I$97,$C$58 + 1) + MAX($J$58,INDEX('1.Locations'!$F$2:$F$97,$C$58 + 1))," ")," ")</f>
        <v xml:space="preserve"> </v>
      </c>
      <c r="L58" s="45" t="str">
        <f ca="1">IFERROR($L$57 + INDEX('2.Distances'!$D$2:$D$9218,$C$57*96+$C$58+ 1) + INDEX('1.Locations'!$I$2:$I$97,$C$58 + 1)," ")</f>
        <v xml:space="preserve"> </v>
      </c>
      <c r="N58" s="24">
        <v>53</v>
      </c>
      <c r="O58" s="25"/>
      <c r="P58" s="43" t="str">
        <f ca="1">IFERROR(MATCH(INDIRECT("$O$58"),'1.Locations'!$B$2:$B$97, 0) - 1," ")</f>
        <v xml:space="preserve"> </v>
      </c>
      <c r="Q58" s="43" t="e">
        <f ca="1">IFERROR(IF(ISNUMBER($P$58),INDEX('1.Locations'!$D$2:$D$97,$P$58 + 1),NA()),NA())</f>
        <v>#N/A</v>
      </c>
      <c r="R58" s="43" t="e">
        <f ca="1">IFERROR(IF(ISNUMBER($P$58),INDEX('1.Locations'!$E$2:$E$97,$P$58 + 1),NA()),NA())</f>
        <v>#N/A</v>
      </c>
      <c r="S58" s="44" t="str">
        <f ca="1">IFERROR(IF(AND(ISNUMBER($P$58),$P$58&lt;=95),INDEX('2.Distances'!$C$2:$C$9218,$P$57*96+$P$58+ 1) +$S$57," ")," ")</f>
        <v xml:space="preserve"> </v>
      </c>
      <c r="T58" s="43" t="str">
        <f ca="1">IFERROR(IF(ISNUMBER($P$58),INDEX('1.Locations'!$J$2:$J$97,$P$58 + 1) +$T$57," ")," ")</f>
        <v xml:space="preserve"> </v>
      </c>
      <c r="U58" s="43" t="str">
        <f ca="1">IFERROR(IF(ISNUMBER($P$58),INDEX('1.Locations'!$K$2:$K$97,$P$58 + 1) +$U$57," ")," ")</f>
        <v xml:space="preserve"> </v>
      </c>
      <c r="V58" s="45" t="str">
        <f ca="1">IFERROR(IF(AND(ISNUMBER($P$58),$P$58&lt;=95),INDEX('2.Distances'!$D$2:$D$9218,$P$57*96+$P$58+ 1) +$V$57," ")," ")</f>
        <v xml:space="preserve"> </v>
      </c>
      <c r="W58" s="46" t="str">
        <f ca="1">IFERROR(IF(AND(ISNUMBER($P$58),$P$58&lt;=95),INDEX('2.Distances'!$D$2:$D$9218,$P$57*96+$P$58+ 1) +$X$57," ")," ")</f>
        <v xml:space="preserve"> </v>
      </c>
      <c r="X58" s="46" t="str">
        <f ca="1">IFERROR(IF(ISNUMBER($W$58),INDEX('1.Locations'!$I$2:$I$97,$P$58 + 1) + MAX($W$58,INDEX('1.Locations'!$F$2:$F$97,$P$58 + 1))," ")," ")</f>
        <v xml:space="preserve"> </v>
      </c>
      <c r="Y58" s="45" t="str">
        <f ca="1">IFERROR($Y$57 + INDEX('2.Distances'!$D$2:$D$9218,$P$57*96+$P$58+ 1) + INDEX('1.Locations'!$I$2:$I$97,$P$58 + 1)," ")</f>
        <v xml:space="preserve"> </v>
      </c>
      <c r="AA58" s="24">
        <v>53</v>
      </c>
      <c r="AB58" s="25"/>
      <c r="AC58" s="43" t="str">
        <f ca="1">IFERROR(MATCH(INDIRECT("$AB$58"),'1.Locations'!$B$2:$B$97, 0) - 1," ")</f>
        <v xml:space="preserve"> </v>
      </c>
      <c r="AD58" s="43" t="e">
        <f ca="1">IFERROR(IF(ISNUMBER($AC$58),INDEX('1.Locations'!$D$2:$D$97,$AC$58 + 1),NA()),NA())</f>
        <v>#N/A</v>
      </c>
      <c r="AE58" s="43" t="e">
        <f ca="1">IFERROR(IF(ISNUMBER($AC$58),INDEX('1.Locations'!$E$2:$E$97,$AC$58 + 1),NA()),NA())</f>
        <v>#N/A</v>
      </c>
      <c r="AF58" s="44" t="str">
        <f ca="1">IFERROR(IF(AND(ISNUMBER($AC$58),$AC$58&lt;=95),INDEX('2.Distances'!$C$2:$C$9218,$AC$57*96+$AC$58+ 1) +$AF$57," ")," ")</f>
        <v xml:space="preserve"> </v>
      </c>
      <c r="AG58" s="43" t="str">
        <f ca="1">IFERROR(IF(ISNUMBER($AC$58),INDEX('1.Locations'!$J$2:$J$97,$AC$58 + 1) +$AG$57," ")," ")</f>
        <v xml:space="preserve"> </v>
      </c>
      <c r="AH58" s="43" t="str">
        <f ca="1">IFERROR(IF(ISNUMBER($AC$58),INDEX('1.Locations'!$K$2:$K$97,$AC$58 + 1) +$AH$57," ")," ")</f>
        <v xml:space="preserve"> </v>
      </c>
      <c r="AI58" s="45" t="str">
        <f ca="1">IFERROR(IF(AND(ISNUMBER($AC$58),$AC$58&lt;=95),INDEX('2.Distances'!$D$2:$D$9218,$AC$57*96+$AC$58+ 1) +$AI$57," ")," ")</f>
        <v xml:space="preserve"> </v>
      </c>
      <c r="AJ58" s="46" t="str">
        <f ca="1">IFERROR(IF(AND(ISNUMBER($AC$58),$AC$58&lt;=95),INDEX('2.Distances'!$D$2:$D$9218,$AC$57*96+$AC$58+ 1) +$AK$57," ")," ")</f>
        <v xml:space="preserve"> </v>
      </c>
      <c r="AK58" s="46" t="str">
        <f ca="1">IFERROR(IF(ISNUMBER($AJ$58),INDEX('1.Locations'!$I$2:$I$97,$AC$58 + 1) + MAX($AJ$58,INDEX('1.Locations'!$F$2:$F$97,$AC$58 + 1))," ")," ")</f>
        <v xml:space="preserve"> </v>
      </c>
      <c r="AL58" s="45" t="str">
        <f ca="1">IFERROR($AL$57 + INDEX('2.Distances'!$D$2:$D$9218,$AC$57*96+$AC$58+ 1) + INDEX('1.Locations'!$I$2:$I$97,$AC$58 + 1)," ")</f>
        <v xml:space="preserve"> </v>
      </c>
      <c r="AN58" s="24">
        <v>53</v>
      </c>
      <c r="AO58" s="25"/>
      <c r="AP58" s="43" t="str">
        <f ca="1">IFERROR(MATCH(INDIRECT("$AO$58"),'1.Locations'!$B$2:$B$97, 0) - 1," ")</f>
        <v xml:space="preserve"> </v>
      </c>
      <c r="AQ58" s="43" t="e">
        <f ca="1">IFERROR(IF(ISNUMBER($AP$58),INDEX('1.Locations'!$D$2:$D$97,$AP$58 + 1),NA()),NA())</f>
        <v>#N/A</v>
      </c>
      <c r="AR58" s="43" t="e">
        <f ca="1">IFERROR(IF(ISNUMBER($AP$58),INDEX('1.Locations'!$E$2:$E$97,$AP$58 + 1),NA()),NA())</f>
        <v>#N/A</v>
      </c>
      <c r="AS58" s="44" t="str">
        <f ca="1">IFERROR(IF(AND(ISNUMBER($AP$58),$AP$58&lt;=95),INDEX('2.Distances'!$C$2:$C$9218,$AP$57*96+$AP$58+ 1) +$AS$57," ")," ")</f>
        <v xml:space="preserve"> </v>
      </c>
      <c r="AT58" s="43" t="str">
        <f ca="1">IFERROR(IF(ISNUMBER($AP$58),INDEX('1.Locations'!$J$2:$J$97,$AP$58 + 1) +$AT$57," ")," ")</f>
        <v xml:space="preserve"> </v>
      </c>
      <c r="AU58" s="43" t="str">
        <f ca="1">IFERROR(IF(ISNUMBER($AP$58),INDEX('1.Locations'!$K$2:$K$97,$AP$58 + 1) +$AU$57," ")," ")</f>
        <v xml:space="preserve"> </v>
      </c>
      <c r="AV58" s="45" t="str">
        <f ca="1">IFERROR(IF(AND(ISNUMBER($AP$58),$AP$58&lt;=95),INDEX('2.Distances'!$D$2:$D$9218,$AP$57*96+$AP$58+ 1) +$AV$57," ")," ")</f>
        <v xml:space="preserve"> </v>
      </c>
      <c r="AW58" s="46" t="str">
        <f ca="1">IFERROR(IF(AND(ISNUMBER($AP$58),$AP$58&lt;=95),INDEX('2.Distances'!$D$2:$D$9218,$AP$57*96+$AP$58+ 1) +$AX$57," ")," ")</f>
        <v xml:space="preserve"> </v>
      </c>
      <c r="AX58" s="46" t="str">
        <f ca="1">IFERROR(IF(ISNUMBER($AW$58),INDEX('1.Locations'!$I$2:$I$97,$AP$58 + 1) + MAX($AW$58,INDEX('1.Locations'!$F$2:$F$97,$AP$58 + 1))," ")," ")</f>
        <v xml:space="preserve"> </v>
      </c>
      <c r="AY58" s="45" t="str">
        <f ca="1">IFERROR($AY$57 + INDEX('2.Distances'!$D$2:$D$9218,$AP$57*96+$AP$58+ 1) + INDEX('1.Locations'!$I$2:$I$97,$AP$58 + 1)," ")</f>
        <v xml:space="preserve"> </v>
      </c>
      <c r="BA58" s="24">
        <v>53</v>
      </c>
      <c r="BB58" s="25"/>
      <c r="BC58" s="43" t="str">
        <f ca="1">IFERROR(MATCH(INDIRECT("$BB$58"),'1.Locations'!$B$2:$B$97, 0) - 1," ")</f>
        <v xml:space="preserve"> </v>
      </c>
      <c r="BD58" s="43" t="e">
        <f ca="1">IFERROR(IF(ISNUMBER($BC$58),INDEX('1.Locations'!$D$2:$D$97,$BC$58 + 1),NA()),NA())</f>
        <v>#N/A</v>
      </c>
      <c r="BE58" s="43" t="e">
        <f ca="1">IFERROR(IF(ISNUMBER($BC$58),INDEX('1.Locations'!$E$2:$E$97,$BC$58 + 1),NA()),NA())</f>
        <v>#N/A</v>
      </c>
      <c r="BF58" s="44" t="str">
        <f ca="1">IFERROR(IF(AND(ISNUMBER($BC$58),$BC$58&lt;=95),INDEX('2.Distances'!$C$2:$C$9218,$BC$57*96+$BC$58+ 1) +$BF$57," ")," ")</f>
        <v xml:space="preserve"> </v>
      </c>
      <c r="BG58" s="43" t="str">
        <f ca="1">IFERROR(IF(ISNUMBER($BC$58),INDEX('1.Locations'!$J$2:$J$97,$BC$58 + 1) +$BG$57," ")," ")</f>
        <v xml:space="preserve"> </v>
      </c>
      <c r="BH58" s="43" t="str">
        <f ca="1">IFERROR(IF(ISNUMBER($BC$58),INDEX('1.Locations'!$K$2:$K$97,$BC$58 + 1) +$BH$57," ")," ")</f>
        <v xml:space="preserve"> </v>
      </c>
      <c r="BI58" s="45" t="str">
        <f ca="1">IFERROR(IF(AND(ISNUMBER($BC$58),$BC$58&lt;=95),INDEX('2.Distances'!$D$2:$D$9218,$BC$57*96+$BC$58+ 1) +$BI$57," ")," ")</f>
        <v xml:space="preserve"> </v>
      </c>
      <c r="BJ58" s="46" t="str">
        <f ca="1">IFERROR(IF(AND(ISNUMBER($BC$58),$BC$58&lt;=95),INDEX('2.Distances'!$D$2:$D$9218,$BC$57*96+$BC$58+ 1) +$BK$57," ")," ")</f>
        <v xml:space="preserve"> </v>
      </c>
      <c r="BK58" s="46" t="str">
        <f ca="1">IFERROR(IF(ISNUMBER($BJ$58),INDEX('1.Locations'!$I$2:$I$97,$BC$58 + 1) + MAX($BJ$58,INDEX('1.Locations'!$F$2:$F$97,$BC$58 + 1))," ")," ")</f>
        <v xml:space="preserve"> </v>
      </c>
      <c r="BL58" s="45" t="str">
        <f ca="1">IFERROR($BL$57 + INDEX('2.Distances'!$D$2:$D$9218,$BC$57*96+$BC$58+ 1) + INDEX('1.Locations'!$I$2:$I$97,$BC$58 + 1)," ")</f>
        <v xml:space="preserve"> </v>
      </c>
      <c r="BN58" s="24">
        <v>53</v>
      </c>
      <c r="BO58" s="25"/>
      <c r="BP58" s="43" t="str">
        <f ca="1">IFERROR(MATCH(INDIRECT("$BO$58"),'1.Locations'!$B$2:$B$97, 0) - 1," ")</f>
        <v xml:space="preserve"> </v>
      </c>
      <c r="BQ58" s="43" t="e">
        <f ca="1">IFERROR(IF(ISNUMBER($BP$58),INDEX('1.Locations'!$D$2:$D$97,$BP$58 + 1),NA()),NA())</f>
        <v>#N/A</v>
      </c>
      <c r="BR58" s="43" t="e">
        <f ca="1">IFERROR(IF(ISNUMBER($BP$58),INDEX('1.Locations'!$E$2:$E$97,$BP$58 + 1),NA()),NA())</f>
        <v>#N/A</v>
      </c>
      <c r="BS58" s="44" t="str">
        <f ca="1">IFERROR(IF(AND(ISNUMBER($BP$58),$BP$58&lt;=95),INDEX('2.Distances'!$C$2:$C$9218,$BP$57*96+$BP$58+ 1) +$BS$57," ")," ")</f>
        <v xml:space="preserve"> </v>
      </c>
      <c r="BT58" s="43" t="str">
        <f ca="1">IFERROR(IF(ISNUMBER($BP$58),INDEX('1.Locations'!$J$2:$J$97,$BP$58 + 1) +$BT$57," ")," ")</f>
        <v xml:space="preserve"> </v>
      </c>
      <c r="BU58" s="43" t="str">
        <f ca="1">IFERROR(IF(ISNUMBER($BP$58),INDEX('1.Locations'!$K$2:$K$97,$BP$58 + 1) +$BU$57," ")," ")</f>
        <v xml:space="preserve"> </v>
      </c>
      <c r="BV58" s="45" t="str">
        <f ca="1">IFERROR(IF(AND(ISNUMBER($BP$58),$BP$58&lt;=95),INDEX('2.Distances'!$D$2:$D$9218,$BP$57*96+$BP$58+ 1) +$BV$57," ")," ")</f>
        <v xml:space="preserve"> </v>
      </c>
      <c r="BW58" s="46" t="str">
        <f ca="1">IFERROR(IF(AND(ISNUMBER($BP$58),$BP$58&lt;=95),INDEX('2.Distances'!$D$2:$D$9218,$BP$57*96+$BP$58+ 1) +$BX$57," ")," ")</f>
        <v xml:space="preserve"> </v>
      </c>
      <c r="BX58" s="46" t="str">
        <f ca="1">IFERROR(IF(ISNUMBER($BW$58),INDEX('1.Locations'!$I$2:$I$97,$BP$58 + 1) + MAX($BW$58,INDEX('1.Locations'!$F$2:$F$97,$BP$58 + 1))," ")," ")</f>
        <v xml:space="preserve"> </v>
      </c>
      <c r="BY58" s="45" t="str">
        <f ca="1">IFERROR($BY$57 + INDEX('2.Distances'!$D$2:$D$9218,$BP$57*96+$BP$58+ 1) + INDEX('1.Locations'!$I$2:$I$97,$BP$58 + 1)," ")</f>
        <v xml:space="preserve"> </v>
      </c>
      <c r="CA58" s="24">
        <v>53</v>
      </c>
      <c r="CB58" s="25"/>
      <c r="CC58" s="43" t="str">
        <f ca="1">IFERROR(MATCH(INDIRECT("$CB$58"),'1.Locations'!$B$2:$B$97, 0) - 1," ")</f>
        <v xml:space="preserve"> </v>
      </c>
      <c r="CD58" s="43" t="e">
        <f ca="1">IFERROR(IF(ISNUMBER($CC$58),INDEX('1.Locations'!$D$2:$D$97,$CC$58 + 1),NA()),NA())</f>
        <v>#N/A</v>
      </c>
      <c r="CE58" s="43" t="e">
        <f ca="1">IFERROR(IF(ISNUMBER($CC$58),INDEX('1.Locations'!$E$2:$E$97,$CC$58 + 1),NA()),NA())</f>
        <v>#N/A</v>
      </c>
      <c r="CF58" s="44" t="str">
        <f ca="1">IFERROR(IF(AND(ISNUMBER($CC$58),$CC$58&lt;=95),INDEX('2.Distances'!$C$2:$C$9218,$CC$57*96+$CC$58+ 1) +$CF$57," ")," ")</f>
        <v xml:space="preserve"> </v>
      </c>
      <c r="CG58" s="43" t="str">
        <f ca="1">IFERROR(IF(ISNUMBER($CC$58),INDEX('1.Locations'!$J$2:$J$97,$CC$58 + 1) +$CG$57," ")," ")</f>
        <v xml:space="preserve"> </v>
      </c>
      <c r="CH58" s="43" t="str">
        <f ca="1">IFERROR(IF(ISNUMBER($CC$58),INDEX('1.Locations'!$K$2:$K$97,$CC$58 + 1) +$CH$57," ")," ")</f>
        <v xml:space="preserve"> </v>
      </c>
      <c r="CI58" s="45" t="str">
        <f ca="1">IFERROR(IF(AND(ISNUMBER($CC$58),$CC$58&lt;=95),INDEX('2.Distances'!$D$2:$D$9218,$CC$57*96+$CC$58+ 1) +$CI$57," ")," ")</f>
        <v xml:space="preserve"> </v>
      </c>
      <c r="CJ58" s="46" t="str">
        <f ca="1">IFERROR(IF(AND(ISNUMBER($CC$58),$CC$58&lt;=95),INDEX('2.Distances'!$D$2:$D$9218,$CC$57*96+$CC$58+ 1) +$CK$57," ")," ")</f>
        <v xml:space="preserve"> </v>
      </c>
      <c r="CK58" s="46" t="str">
        <f ca="1">IFERROR(IF(ISNUMBER($CJ$58),INDEX('1.Locations'!$I$2:$I$97,$CC$58 + 1) + MAX($CJ$58,INDEX('1.Locations'!$F$2:$F$97,$CC$58 + 1))," ")," ")</f>
        <v xml:space="preserve"> </v>
      </c>
      <c r="CL58" s="45" t="str">
        <f ca="1">IFERROR($CL$57 + INDEX('2.Distances'!$D$2:$D$9218,$CC$57*96+$CC$58+ 1) + INDEX('1.Locations'!$I$2:$I$97,$CC$58 + 1)," ")</f>
        <v xml:space="preserve"> </v>
      </c>
    </row>
    <row r="59" spans="1:90" x14ac:dyDescent="0.25">
      <c r="A59" s="24">
        <v>54</v>
      </c>
      <c r="B59" s="25"/>
      <c r="C59" s="43" t="str">
        <f ca="1">IFERROR(MATCH(INDIRECT("$B$59"),'1.Locations'!$B$2:$B$97, 0) - 1," ")</f>
        <v xml:space="preserve"> </v>
      </c>
      <c r="D59" s="43" t="e">
        <f ca="1">IFERROR(IF(ISNUMBER($C$59),INDEX('1.Locations'!$D$2:$D$97,$C$59 + 1),NA()),NA())</f>
        <v>#N/A</v>
      </c>
      <c r="E59" s="43" t="e">
        <f ca="1">IFERROR(IF(ISNUMBER($C$59),INDEX('1.Locations'!$E$2:$E$97,$C$59 + 1),NA()),NA())</f>
        <v>#N/A</v>
      </c>
      <c r="F59" s="44" t="str">
        <f ca="1">IFERROR(IF(AND(ISNUMBER($C$59),$C$59&lt;=95),INDEX('2.Distances'!$C$2:$C$9218,$C$58*96+$C$59+ 1) +$F$58," ")," ")</f>
        <v xml:space="preserve"> </v>
      </c>
      <c r="G59" s="43" t="str">
        <f ca="1">IFERROR(IF(ISNUMBER($C$59),INDEX('1.Locations'!$J$2:$J$97,$C$59 + 1) +$G$58," ")," ")</f>
        <v xml:space="preserve"> </v>
      </c>
      <c r="H59" s="43" t="str">
        <f ca="1">IFERROR(IF(ISNUMBER($C$59),INDEX('1.Locations'!$K$2:$K$97,$C$59 + 1) +$H$58," ")," ")</f>
        <v xml:space="preserve"> </v>
      </c>
      <c r="I59" s="45" t="str">
        <f ca="1">IFERROR(IF(AND(ISNUMBER($C$59),$C$59&lt;=95),INDEX('2.Distances'!$D$2:$D$9218,$C$58*96+$C$59+ 1) +$I$58," ")," ")</f>
        <v xml:space="preserve"> </v>
      </c>
      <c r="J59" s="46" t="str">
        <f ca="1">IFERROR(IF(AND(ISNUMBER($C$59),$C$59&lt;=95),INDEX('2.Distances'!$D$2:$D$9218,$C$58*96+$C$59+ 1) +$K$58," ")," ")</f>
        <v xml:space="preserve"> </v>
      </c>
      <c r="K59" s="46" t="str">
        <f ca="1">IFERROR(IF(ISNUMBER($J$59),INDEX('1.Locations'!$I$2:$I$97,$C$59 + 1) + MAX($J$59,INDEX('1.Locations'!$F$2:$F$97,$C$59 + 1))," ")," ")</f>
        <v xml:space="preserve"> </v>
      </c>
      <c r="L59" s="45" t="str">
        <f ca="1">IFERROR($L$58 + INDEX('2.Distances'!$D$2:$D$9218,$C$58*96+$C$59+ 1) + INDEX('1.Locations'!$I$2:$I$97,$C$59 + 1)," ")</f>
        <v xml:space="preserve"> </v>
      </c>
      <c r="N59" s="24">
        <v>54</v>
      </c>
      <c r="O59" s="25"/>
      <c r="P59" s="43" t="str">
        <f ca="1">IFERROR(MATCH(INDIRECT("$O$59"),'1.Locations'!$B$2:$B$97, 0) - 1," ")</f>
        <v xml:space="preserve"> </v>
      </c>
      <c r="Q59" s="43" t="e">
        <f ca="1">IFERROR(IF(ISNUMBER($P$59),INDEX('1.Locations'!$D$2:$D$97,$P$59 + 1),NA()),NA())</f>
        <v>#N/A</v>
      </c>
      <c r="R59" s="43" t="e">
        <f ca="1">IFERROR(IF(ISNUMBER($P$59),INDEX('1.Locations'!$E$2:$E$97,$P$59 + 1),NA()),NA())</f>
        <v>#N/A</v>
      </c>
      <c r="S59" s="44" t="str">
        <f ca="1">IFERROR(IF(AND(ISNUMBER($P$59),$P$59&lt;=95),INDEX('2.Distances'!$C$2:$C$9218,$P$58*96+$P$59+ 1) +$S$58," ")," ")</f>
        <v xml:space="preserve"> </v>
      </c>
      <c r="T59" s="43" t="str">
        <f ca="1">IFERROR(IF(ISNUMBER($P$59),INDEX('1.Locations'!$J$2:$J$97,$P$59 + 1) +$T$58," ")," ")</f>
        <v xml:space="preserve"> </v>
      </c>
      <c r="U59" s="43" t="str">
        <f ca="1">IFERROR(IF(ISNUMBER($P$59),INDEX('1.Locations'!$K$2:$K$97,$P$59 + 1) +$U$58," ")," ")</f>
        <v xml:space="preserve"> </v>
      </c>
      <c r="V59" s="45" t="str">
        <f ca="1">IFERROR(IF(AND(ISNUMBER($P$59),$P$59&lt;=95),INDEX('2.Distances'!$D$2:$D$9218,$P$58*96+$P$59+ 1) +$V$58," ")," ")</f>
        <v xml:space="preserve"> </v>
      </c>
      <c r="W59" s="46" t="str">
        <f ca="1">IFERROR(IF(AND(ISNUMBER($P$59),$P$59&lt;=95),INDEX('2.Distances'!$D$2:$D$9218,$P$58*96+$P$59+ 1) +$X$58," ")," ")</f>
        <v xml:space="preserve"> </v>
      </c>
      <c r="X59" s="46" t="str">
        <f ca="1">IFERROR(IF(ISNUMBER($W$59),INDEX('1.Locations'!$I$2:$I$97,$P$59 + 1) + MAX($W$59,INDEX('1.Locations'!$F$2:$F$97,$P$59 + 1))," ")," ")</f>
        <v xml:space="preserve"> </v>
      </c>
      <c r="Y59" s="45" t="str">
        <f ca="1">IFERROR($Y$58 + INDEX('2.Distances'!$D$2:$D$9218,$P$58*96+$P$59+ 1) + INDEX('1.Locations'!$I$2:$I$97,$P$59 + 1)," ")</f>
        <v xml:space="preserve"> </v>
      </c>
      <c r="AA59" s="24">
        <v>54</v>
      </c>
      <c r="AB59" s="25"/>
      <c r="AC59" s="43" t="str">
        <f ca="1">IFERROR(MATCH(INDIRECT("$AB$59"),'1.Locations'!$B$2:$B$97, 0) - 1," ")</f>
        <v xml:space="preserve"> </v>
      </c>
      <c r="AD59" s="43" t="e">
        <f ca="1">IFERROR(IF(ISNUMBER($AC$59),INDEX('1.Locations'!$D$2:$D$97,$AC$59 + 1),NA()),NA())</f>
        <v>#N/A</v>
      </c>
      <c r="AE59" s="43" t="e">
        <f ca="1">IFERROR(IF(ISNUMBER($AC$59),INDEX('1.Locations'!$E$2:$E$97,$AC$59 + 1),NA()),NA())</f>
        <v>#N/A</v>
      </c>
      <c r="AF59" s="44" t="str">
        <f ca="1">IFERROR(IF(AND(ISNUMBER($AC$59),$AC$59&lt;=95),INDEX('2.Distances'!$C$2:$C$9218,$AC$58*96+$AC$59+ 1) +$AF$58," ")," ")</f>
        <v xml:space="preserve"> </v>
      </c>
      <c r="AG59" s="43" t="str">
        <f ca="1">IFERROR(IF(ISNUMBER($AC$59),INDEX('1.Locations'!$J$2:$J$97,$AC$59 + 1) +$AG$58," ")," ")</f>
        <v xml:space="preserve"> </v>
      </c>
      <c r="AH59" s="43" t="str">
        <f ca="1">IFERROR(IF(ISNUMBER($AC$59),INDEX('1.Locations'!$K$2:$K$97,$AC$59 + 1) +$AH$58," ")," ")</f>
        <v xml:space="preserve"> </v>
      </c>
      <c r="AI59" s="45" t="str">
        <f ca="1">IFERROR(IF(AND(ISNUMBER($AC$59),$AC$59&lt;=95),INDEX('2.Distances'!$D$2:$D$9218,$AC$58*96+$AC$59+ 1) +$AI$58," ")," ")</f>
        <v xml:space="preserve"> </v>
      </c>
      <c r="AJ59" s="46" t="str">
        <f ca="1">IFERROR(IF(AND(ISNUMBER($AC$59),$AC$59&lt;=95),INDEX('2.Distances'!$D$2:$D$9218,$AC$58*96+$AC$59+ 1) +$AK$58," ")," ")</f>
        <v xml:space="preserve"> </v>
      </c>
      <c r="AK59" s="46" t="str">
        <f ca="1">IFERROR(IF(ISNUMBER($AJ$59),INDEX('1.Locations'!$I$2:$I$97,$AC$59 + 1) + MAX($AJ$59,INDEX('1.Locations'!$F$2:$F$97,$AC$59 + 1))," ")," ")</f>
        <v xml:space="preserve"> </v>
      </c>
      <c r="AL59" s="45" t="str">
        <f ca="1">IFERROR($AL$58 + INDEX('2.Distances'!$D$2:$D$9218,$AC$58*96+$AC$59+ 1) + INDEX('1.Locations'!$I$2:$I$97,$AC$59 + 1)," ")</f>
        <v xml:space="preserve"> </v>
      </c>
      <c r="AN59" s="24">
        <v>54</v>
      </c>
      <c r="AO59" s="25"/>
      <c r="AP59" s="43" t="str">
        <f ca="1">IFERROR(MATCH(INDIRECT("$AO$59"),'1.Locations'!$B$2:$B$97, 0) - 1," ")</f>
        <v xml:space="preserve"> </v>
      </c>
      <c r="AQ59" s="43" t="e">
        <f ca="1">IFERROR(IF(ISNUMBER($AP$59),INDEX('1.Locations'!$D$2:$D$97,$AP$59 + 1),NA()),NA())</f>
        <v>#N/A</v>
      </c>
      <c r="AR59" s="43" t="e">
        <f ca="1">IFERROR(IF(ISNUMBER($AP$59),INDEX('1.Locations'!$E$2:$E$97,$AP$59 + 1),NA()),NA())</f>
        <v>#N/A</v>
      </c>
      <c r="AS59" s="44" t="str">
        <f ca="1">IFERROR(IF(AND(ISNUMBER($AP$59),$AP$59&lt;=95),INDEX('2.Distances'!$C$2:$C$9218,$AP$58*96+$AP$59+ 1) +$AS$58," ")," ")</f>
        <v xml:space="preserve"> </v>
      </c>
      <c r="AT59" s="43" t="str">
        <f ca="1">IFERROR(IF(ISNUMBER($AP$59),INDEX('1.Locations'!$J$2:$J$97,$AP$59 + 1) +$AT$58," ")," ")</f>
        <v xml:space="preserve"> </v>
      </c>
      <c r="AU59" s="43" t="str">
        <f ca="1">IFERROR(IF(ISNUMBER($AP$59),INDEX('1.Locations'!$K$2:$K$97,$AP$59 + 1) +$AU$58," ")," ")</f>
        <v xml:space="preserve"> </v>
      </c>
      <c r="AV59" s="45" t="str">
        <f ca="1">IFERROR(IF(AND(ISNUMBER($AP$59),$AP$59&lt;=95),INDEX('2.Distances'!$D$2:$D$9218,$AP$58*96+$AP$59+ 1) +$AV$58," ")," ")</f>
        <v xml:space="preserve"> </v>
      </c>
      <c r="AW59" s="46" t="str">
        <f ca="1">IFERROR(IF(AND(ISNUMBER($AP$59),$AP$59&lt;=95),INDEX('2.Distances'!$D$2:$D$9218,$AP$58*96+$AP$59+ 1) +$AX$58," ")," ")</f>
        <v xml:space="preserve"> </v>
      </c>
      <c r="AX59" s="46" t="str">
        <f ca="1">IFERROR(IF(ISNUMBER($AW$59),INDEX('1.Locations'!$I$2:$I$97,$AP$59 + 1) + MAX($AW$59,INDEX('1.Locations'!$F$2:$F$97,$AP$59 + 1))," ")," ")</f>
        <v xml:space="preserve"> </v>
      </c>
      <c r="AY59" s="45" t="str">
        <f ca="1">IFERROR($AY$58 + INDEX('2.Distances'!$D$2:$D$9218,$AP$58*96+$AP$59+ 1) + INDEX('1.Locations'!$I$2:$I$97,$AP$59 + 1)," ")</f>
        <v xml:space="preserve"> </v>
      </c>
      <c r="BA59" s="24">
        <v>54</v>
      </c>
      <c r="BB59" s="25"/>
      <c r="BC59" s="43" t="str">
        <f ca="1">IFERROR(MATCH(INDIRECT("$BB$59"),'1.Locations'!$B$2:$B$97, 0) - 1," ")</f>
        <v xml:space="preserve"> </v>
      </c>
      <c r="BD59" s="43" t="e">
        <f ca="1">IFERROR(IF(ISNUMBER($BC$59),INDEX('1.Locations'!$D$2:$D$97,$BC$59 + 1),NA()),NA())</f>
        <v>#N/A</v>
      </c>
      <c r="BE59" s="43" t="e">
        <f ca="1">IFERROR(IF(ISNUMBER($BC$59),INDEX('1.Locations'!$E$2:$E$97,$BC$59 + 1),NA()),NA())</f>
        <v>#N/A</v>
      </c>
      <c r="BF59" s="44" t="str">
        <f ca="1">IFERROR(IF(AND(ISNUMBER($BC$59),$BC$59&lt;=95),INDEX('2.Distances'!$C$2:$C$9218,$BC$58*96+$BC$59+ 1) +$BF$58," ")," ")</f>
        <v xml:space="preserve"> </v>
      </c>
      <c r="BG59" s="43" t="str">
        <f ca="1">IFERROR(IF(ISNUMBER($BC$59),INDEX('1.Locations'!$J$2:$J$97,$BC$59 + 1) +$BG$58," ")," ")</f>
        <v xml:space="preserve"> </v>
      </c>
      <c r="BH59" s="43" t="str">
        <f ca="1">IFERROR(IF(ISNUMBER($BC$59),INDEX('1.Locations'!$K$2:$K$97,$BC$59 + 1) +$BH$58," ")," ")</f>
        <v xml:space="preserve"> </v>
      </c>
      <c r="BI59" s="45" t="str">
        <f ca="1">IFERROR(IF(AND(ISNUMBER($BC$59),$BC$59&lt;=95),INDEX('2.Distances'!$D$2:$D$9218,$BC$58*96+$BC$59+ 1) +$BI$58," ")," ")</f>
        <v xml:space="preserve"> </v>
      </c>
      <c r="BJ59" s="46" t="str">
        <f ca="1">IFERROR(IF(AND(ISNUMBER($BC$59),$BC$59&lt;=95),INDEX('2.Distances'!$D$2:$D$9218,$BC$58*96+$BC$59+ 1) +$BK$58," ")," ")</f>
        <v xml:space="preserve"> </v>
      </c>
      <c r="BK59" s="46" t="str">
        <f ca="1">IFERROR(IF(ISNUMBER($BJ$59),INDEX('1.Locations'!$I$2:$I$97,$BC$59 + 1) + MAX($BJ$59,INDEX('1.Locations'!$F$2:$F$97,$BC$59 + 1))," ")," ")</f>
        <v xml:space="preserve"> </v>
      </c>
      <c r="BL59" s="45" t="str">
        <f ca="1">IFERROR($BL$58 + INDEX('2.Distances'!$D$2:$D$9218,$BC$58*96+$BC$59+ 1) + INDEX('1.Locations'!$I$2:$I$97,$BC$59 + 1)," ")</f>
        <v xml:space="preserve"> </v>
      </c>
      <c r="BN59" s="24">
        <v>54</v>
      </c>
      <c r="BO59" s="25"/>
      <c r="BP59" s="43" t="str">
        <f ca="1">IFERROR(MATCH(INDIRECT("$BO$59"),'1.Locations'!$B$2:$B$97, 0) - 1," ")</f>
        <v xml:space="preserve"> </v>
      </c>
      <c r="BQ59" s="43" t="e">
        <f ca="1">IFERROR(IF(ISNUMBER($BP$59),INDEX('1.Locations'!$D$2:$D$97,$BP$59 + 1),NA()),NA())</f>
        <v>#N/A</v>
      </c>
      <c r="BR59" s="43" t="e">
        <f ca="1">IFERROR(IF(ISNUMBER($BP$59),INDEX('1.Locations'!$E$2:$E$97,$BP$59 + 1),NA()),NA())</f>
        <v>#N/A</v>
      </c>
      <c r="BS59" s="44" t="str">
        <f ca="1">IFERROR(IF(AND(ISNUMBER($BP$59),$BP$59&lt;=95),INDEX('2.Distances'!$C$2:$C$9218,$BP$58*96+$BP$59+ 1) +$BS$58," ")," ")</f>
        <v xml:space="preserve"> </v>
      </c>
      <c r="BT59" s="43" t="str">
        <f ca="1">IFERROR(IF(ISNUMBER($BP$59),INDEX('1.Locations'!$J$2:$J$97,$BP$59 + 1) +$BT$58," ")," ")</f>
        <v xml:space="preserve"> </v>
      </c>
      <c r="BU59" s="43" t="str">
        <f ca="1">IFERROR(IF(ISNUMBER($BP$59),INDEX('1.Locations'!$K$2:$K$97,$BP$59 + 1) +$BU$58," ")," ")</f>
        <v xml:space="preserve"> </v>
      </c>
      <c r="BV59" s="45" t="str">
        <f ca="1">IFERROR(IF(AND(ISNUMBER($BP$59),$BP$59&lt;=95),INDEX('2.Distances'!$D$2:$D$9218,$BP$58*96+$BP$59+ 1) +$BV$58," ")," ")</f>
        <v xml:space="preserve"> </v>
      </c>
      <c r="BW59" s="46" t="str">
        <f ca="1">IFERROR(IF(AND(ISNUMBER($BP$59),$BP$59&lt;=95),INDEX('2.Distances'!$D$2:$D$9218,$BP$58*96+$BP$59+ 1) +$BX$58," ")," ")</f>
        <v xml:space="preserve"> </v>
      </c>
      <c r="BX59" s="46" t="str">
        <f ca="1">IFERROR(IF(ISNUMBER($BW$59),INDEX('1.Locations'!$I$2:$I$97,$BP$59 + 1) + MAX($BW$59,INDEX('1.Locations'!$F$2:$F$97,$BP$59 + 1))," ")," ")</f>
        <v xml:space="preserve"> </v>
      </c>
      <c r="BY59" s="45" t="str">
        <f ca="1">IFERROR($BY$58 + INDEX('2.Distances'!$D$2:$D$9218,$BP$58*96+$BP$59+ 1) + INDEX('1.Locations'!$I$2:$I$97,$BP$59 + 1)," ")</f>
        <v xml:space="preserve"> </v>
      </c>
      <c r="CA59" s="24">
        <v>54</v>
      </c>
      <c r="CB59" s="25"/>
      <c r="CC59" s="43" t="str">
        <f ca="1">IFERROR(MATCH(INDIRECT("$CB$59"),'1.Locations'!$B$2:$B$97, 0) - 1," ")</f>
        <v xml:space="preserve"> </v>
      </c>
      <c r="CD59" s="43" t="e">
        <f ca="1">IFERROR(IF(ISNUMBER($CC$59),INDEX('1.Locations'!$D$2:$D$97,$CC$59 + 1),NA()),NA())</f>
        <v>#N/A</v>
      </c>
      <c r="CE59" s="43" t="e">
        <f ca="1">IFERROR(IF(ISNUMBER($CC$59),INDEX('1.Locations'!$E$2:$E$97,$CC$59 + 1),NA()),NA())</f>
        <v>#N/A</v>
      </c>
      <c r="CF59" s="44" t="str">
        <f ca="1">IFERROR(IF(AND(ISNUMBER($CC$59),$CC$59&lt;=95),INDEX('2.Distances'!$C$2:$C$9218,$CC$58*96+$CC$59+ 1) +$CF$58," ")," ")</f>
        <v xml:space="preserve"> </v>
      </c>
      <c r="CG59" s="43" t="str">
        <f ca="1">IFERROR(IF(ISNUMBER($CC$59),INDEX('1.Locations'!$J$2:$J$97,$CC$59 + 1) +$CG$58," ")," ")</f>
        <v xml:space="preserve"> </v>
      </c>
      <c r="CH59" s="43" t="str">
        <f ca="1">IFERROR(IF(ISNUMBER($CC$59),INDEX('1.Locations'!$K$2:$K$97,$CC$59 + 1) +$CH$58," ")," ")</f>
        <v xml:space="preserve"> </v>
      </c>
      <c r="CI59" s="45" t="str">
        <f ca="1">IFERROR(IF(AND(ISNUMBER($CC$59),$CC$59&lt;=95),INDEX('2.Distances'!$D$2:$D$9218,$CC$58*96+$CC$59+ 1) +$CI$58," ")," ")</f>
        <v xml:space="preserve"> </v>
      </c>
      <c r="CJ59" s="46" t="str">
        <f ca="1">IFERROR(IF(AND(ISNUMBER($CC$59),$CC$59&lt;=95),INDEX('2.Distances'!$D$2:$D$9218,$CC$58*96+$CC$59+ 1) +$CK$58," ")," ")</f>
        <v xml:space="preserve"> </v>
      </c>
      <c r="CK59" s="46" t="str">
        <f ca="1">IFERROR(IF(ISNUMBER($CJ$59),INDEX('1.Locations'!$I$2:$I$97,$CC$59 + 1) + MAX($CJ$59,INDEX('1.Locations'!$F$2:$F$97,$CC$59 + 1))," ")," ")</f>
        <v xml:space="preserve"> </v>
      </c>
      <c r="CL59" s="45" t="str">
        <f ca="1">IFERROR($CL$58 + INDEX('2.Distances'!$D$2:$D$9218,$CC$58*96+$CC$59+ 1) + INDEX('1.Locations'!$I$2:$I$97,$CC$59 + 1)," ")</f>
        <v xml:space="preserve"> </v>
      </c>
    </row>
    <row r="60" spans="1:90" x14ac:dyDescent="0.25">
      <c r="A60" s="24">
        <v>55</v>
      </c>
      <c r="B60" s="25"/>
      <c r="C60" s="43" t="str">
        <f ca="1">IFERROR(MATCH(INDIRECT("$B$60"),'1.Locations'!$B$2:$B$97, 0) - 1," ")</f>
        <v xml:space="preserve"> </v>
      </c>
      <c r="D60" s="43" t="e">
        <f ca="1">IFERROR(IF(ISNUMBER($C$60),INDEX('1.Locations'!$D$2:$D$97,$C$60 + 1),NA()),NA())</f>
        <v>#N/A</v>
      </c>
      <c r="E60" s="43" t="e">
        <f ca="1">IFERROR(IF(ISNUMBER($C$60),INDEX('1.Locations'!$E$2:$E$97,$C$60 + 1),NA()),NA())</f>
        <v>#N/A</v>
      </c>
      <c r="F60" s="44" t="str">
        <f ca="1">IFERROR(IF(AND(ISNUMBER($C$60),$C$60&lt;=95),INDEX('2.Distances'!$C$2:$C$9218,$C$59*96+$C$60+ 1) +$F$59," ")," ")</f>
        <v xml:space="preserve"> </v>
      </c>
      <c r="G60" s="43" t="str">
        <f ca="1">IFERROR(IF(ISNUMBER($C$60),INDEX('1.Locations'!$J$2:$J$97,$C$60 + 1) +$G$59," ")," ")</f>
        <v xml:space="preserve"> </v>
      </c>
      <c r="H60" s="43" t="str">
        <f ca="1">IFERROR(IF(ISNUMBER($C$60),INDEX('1.Locations'!$K$2:$K$97,$C$60 + 1) +$H$59," ")," ")</f>
        <v xml:space="preserve"> </v>
      </c>
      <c r="I60" s="45" t="str">
        <f ca="1">IFERROR(IF(AND(ISNUMBER($C$60),$C$60&lt;=95),INDEX('2.Distances'!$D$2:$D$9218,$C$59*96+$C$60+ 1) +$I$59," ")," ")</f>
        <v xml:space="preserve"> </v>
      </c>
      <c r="J60" s="46" t="str">
        <f ca="1">IFERROR(IF(AND(ISNUMBER($C$60),$C$60&lt;=95),INDEX('2.Distances'!$D$2:$D$9218,$C$59*96+$C$60+ 1) +$K$59," ")," ")</f>
        <v xml:space="preserve"> </v>
      </c>
      <c r="K60" s="46" t="str">
        <f ca="1">IFERROR(IF(ISNUMBER($J$60),INDEX('1.Locations'!$I$2:$I$97,$C$60 + 1) + MAX($J$60,INDEX('1.Locations'!$F$2:$F$97,$C$60 + 1))," ")," ")</f>
        <v xml:space="preserve"> </v>
      </c>
      <c r="L60" s="45" t="str">
        <f ca="1">IFERROR($L$59 + INDEX('2.Distances'!$D$2:$D$9218,$C$59*96+$C$60+ 1) + INDEX('1.Locations'!$I$2:$I$97,$C$60 + 1)," ")</f>
        <v xml:space="preserve"> </v>
      </c>
      <c r="N60" s="24">
        <v>55</v>
      </c>
      <c r="O60" s="25"/>
      <c r="P60" s="43" t="str">
        <f ca="1">IFERROR(MATCH(INDIRECT("$O$60"),'1.Locations'!$B$2:$B$97, 0) - 1," ")</f>
        <v xml:space="preserve"> </v>
      </c>
      <c r="Q60" s="43" t="e">
        <f ca="1">IFERROR(IF(ISNUMBER($P$60),INDEX('1.Locations'!$D$2:$D$97,$P$60 + 1),NA()),NA())</f>
        <v>#N/A</v>
      </c>
      <c r="R60" s="43" t="e">
        <f ca="1">IFERROR(IF(ISNUMBER($P$60),INDEX('1.Locations'!$E$2:$E$97,$P$60 + 1),NA()),NA())</f>
        <v>#N/A</v>
      </c>
      <c r="S60" s="44" t="str">
        <f ca="1">IFERROR(IF(AND(ISNUMBER($P$60),$P$60&lt;=95),INDEX('2.Distances'!$C$2:$C$9218,$P$59*96+$P$60+ 1) +$S$59," ")," ")</f>
        <v xml:space="preserve"> </v>
      </c>
      <c r="T60" s="43" t="str">
        <f ca="1">IFERROR(IF(ISNUMBER($P$60),INDEX('1.Locations'!$J$2:$J$97,$P$60 + 1) +$T$59," ")," ")</f>
        <v xml:space="preserve"> </v>
      </c>
      <c r="U60" s="43" t="str">
        <f ca="1">IFERROR(IF(ISNUMBER($P$60),INDEX('1.Locations'!$K$2:$K$97,$P$60 + 1) +$U$59," ")," ")</f>
        <v xml:space="preserve"> </v>
      </c>
      <c r="V60" s="45" t="str">
        <f ca="1">IFERROR(IF(AND(ISNUMBER($P$60),$P$60&lt;=95),INDEX('2.Distances'!$D$2:$D$9218,$P$59*96+$P$60+ 1) +$V$59," ")," ")</f>
        <v xml:space="preserve"> </v>
      </c>
      <c r="W60" s="46" t="str">
        <f ca="1">IFERROR(IF(AND(ISNUMBER($P$60),$P$60&lt;=95),INDEX('2.Distances'!$D$2:$D$9218,$P$59*96+$P$60+ 1) +$X$59," ")," ")</f>
        <v xml:space="preserve"> </v>
      </c>
      <c r="X60" s="46" t="str">
        <f ca="1">IFERROR(IF(ISNUMBER($W$60),INDEX('1.Locations'!$I$2:$I$97,$P$60 + 1) + MAX($W$60,INDEX('1.Locations'!$F$2:$F$97,$P$60 + 1))," ")," ")</f>
        <v xml:space="preserve"> </v>
      </c>
      <c r="Y60" s="45" t="str">
        <f ca="1">IFERROR($Y$59 + INDEX('2.Distances'!$D$2:$D$9218,$P$59*96+$P$60+ 1) + INDEX('1.Locations'!$I$2:$I$97,$P$60 + 1)," ")</f>
        <v xml:space="preserve"> </v>
      </c>
      <c r="AA60" s="24">
        <v>55</v>
      </c>
      <c r="AB60" s="25"/>
      <c r="AC60" s="43" t="str">
        <f ca="1">IFERROR(MATCH(INDIRECT("$AB$60"),'1.Locations'!$B$2:$B$97, 0) - 1," ")</f>
        <v xml:space="preserve"> </v>
      </c>
      <c r="AD60" s="43" t="e">
        <f ca="1">IFERROR(IF(ISNUMBER($AC$60),INDEX('1.Locations'!$D$2:$D$97,$AC$60 + 1),NA()),NA())</f>
        <v>#N/A</v>
      </c>
      <c r="AE60" s="43" t="e">
        <f ca="1">IFERROR(IF(ISNUMBER($AC$60),INDEX('1.Locations'!$E$2:$E$97,$AC$60 + 1),NA()),NA())</f>
        <v>#N/A</v>
      </c>
      <c r="AF60" s="44" t="str">
        <f ca="1">IFERROR(IF(AND(ISNUMBER($AC$60),$AC$60&lt;=95),INDEX('2.Distances'!$C$2:$C$9218,$AC$59*96+$AC$60+ 1) +$AF$59," ")," ")</f>
        <v xml:space="preserve"> </v>
      </c>
      <c r="AG60" s="43" t="str">
        <f ca="1">IFERROR(IF(ISNUMBER($AC$60),INDEX('1.Locations'!$J$2:$J$97,$AC$60 + 1) +$AG$59," ")," ")</f>
        <v xml:space="preserve"> </v>
      </c>
      <c r="AH60" s="43" t="str">
        <f ca="1">IFERROR(IF(ISNUMBER($AC$60),INDEX('1.Locations'!$K$2:$K$97,$AC$60 + 1) +$AH$59," ")," ")</f>
        <v xml:space="preserve"> </v>
      </c>
      <c r="AI60" s="45" t="str">
        <f ca="1">IFERROR(IF(AND(ISNUMBER($AC$60),$AC$60&lt;=95),INDEX('2.Distances'!$D$2:$D$9218,$AC$59*96+$AC$60+ 1) +$AI$59," ")," ")</f>
        <v xml:space="preserve"> </v>
      </c>
      <c r="AJ60" s="46" t="str">
        <f ca="1">IFERROR(IF(AND(ISNUMBER($AC$60),$AC$60&lt;=95),INDEX('2.Distances'!$D$2:$D$9218,$AC$59*96+$AC$60+ 1) +$AK$59," ")," ")</f>
        <v xml:space="preserve"> </v>
      </c>
      <c r="AK60" s="46" t="str">
        <f ca="1">IFERROR(IF(ISNUMBER($AJ$60),INDEX('1.Locations'!$I$2:$I$97,$AC$60 + 1) + MAX($AJ$60,INDEX('1.Locations'!$F$2:$F$97,$AC$60 + 1))," ")," ")</f>
        <v xml:space="preserve"> </v>
      </c>
      <c r="AL60" s="45" t="str">
        <f ca="1">IFERROR($AL$59 + INDEX('2.Distances'!$D$2:$D$9218,$AC$59*96+$AC$60+ 1) + INDEX('1.Locations'!$I$2:$I$97,$AC$60 + 1)," ")</f>
        <v xml:space="preserve"> </v>
      </c>
      <c r="AN60" s="24">
        <v>55</v>
      </c>
      <c r="AO60" s="25"/>
      <c r="AP60" s="43" t="str">
        <f ca="1">IFERROR(MATCH(INDIRECT("$AO$60"),'1.Locations'!$B$2:$B$97, 0) - 1," ")</f>
        <v xml:space="preserve"> </v>
      </c>
      <c r="AQ60" s="43" t="e">
        <f ca="1">IFERROR(IF(ISNUMBER($AP$60),INDEX('1.Locations'!$D$2:$D$97,$AP$60 + 1),NA()),NA())</f>
        <v>#N/A</v>
      </c>
      <c r="AR60" s="43" t="e">
        <f ca="1">IFERROR(IF(ISNUMBER($AP$60),INDEX('1.Locations'!$E$2:$E$97,$AP$60 + 1),NA()),NA())</f>
        <v>#N/A</v>
      </c>
      <c r="AS60" s="44" t="str">
        <f ca="1">IFERROR(IF(AND(ISNUMBER($AP$60),$AP$60&lt;=95),INDEX('2.Distances'!$C$2:$C$9218,$AP$59*96+$AP$60+ 1) +$AS$59," ")," ")</f>
        <v xml:space="preserve"> </v>
      </c>
      <c r="AT60" s="43" t="str">
        <f ca="1">IFERROR(IF(ISNUMBER($AP$60),INDEX('1.Locations'!$J$2:$J$97,$AP$60 + 1) +$AT$59," ")," ")</f>
        <v xml:space="preserve"> </v>
      </c>
      <c r="AU60" s="43" t="str">
        <f ca="1">IFERROR(IF(ISNUMBER($AP$60),INDEX('1.Locations'!$K$2:$K$97,$AP$60 + 1) +$AU$59," ")," ")</f>
        <v xml:space="preserve"> </v>
      </c>
      <c r="AV60" s="45" t="str">
        <f ca="1">IFERROR(IF(AND(ISNUMBER($AP$60),$AP$60&lt;=95),INDEX('2.Distances'!$D$2:$D$9218,$AP$59*96+$AP$60+ 1) +$AV$59," ")," ")</f>
        <v xml:space="preserve"> </v>
      </c>
      <c r="AW60" s="46" t="str">
        <f ca="1">IFERROR(IF(AND(ISNUMBER($AP$60),$AP$60&lt;=95),INDEX('2.Distances'!$D$2:$D$9218,$AP$59*96+$AP$60+ 1) +$AX$59," ")," ")</f>
        <v xml:space="preserve"> </v>
      </c>
      <c r="AX60" s="46" t="str">
        <f ca="1">IFERROR(IF(ISNUMBER($AW$60),INDEX('1.Locations'!$I$2:$I$97,$AP$60 + 1) + MAX($AW$60,INDEX('1.Locations'!$F$2:$F$97,$AP$60 + 1))," ")," ")</f>
        <v xml:space="preserve"> </v>
      </c>
      <c r="AY60" s="45" t="str">
        <f ca="1">IFERROR($AY$59 + INDEX('2.Distances'!$D$2:$D$9218,$AP$59*96+$AP$60+ 1) + INDEX('1.Locations'!$I$2:$I$97,$AP$60 + 1)," ")</f>
        <v xml:space="preserve"> </v>
      </c>
      <c r="BA60" s="24">
        <v>55</v>
      </c>
      <c r="BB60" s="25"/>
      <c r="BC60" s="43" t="str">
        <f ca="1">IFERROR(MATCH(INDIRECT("$BB$60"),'1.Locations'!$B$2:$B$97, 0) - 1," ")</f>
        <v xml:space="preserve"> </v>
      </c>
      <c r="BD60" s="43" t="e">
        <f ca="1">IFERROR(IF(ISNUMBER($BC$60),INDEX('1.Locations'!$D$2:$D$97,$BC$60 + 1),NA()),NA())</f>
        <v>#N/A</v>
      </c>
      <c r="BE60" s="43" t="e">
        <f ca="1">IFERROR(IF(ISNUMBER($BC$60),INDEX('1.Locations'!$E$2:$E$97,$BC$60 + 1),NA()),NA())</f>
        <v>#N/A</v>
      </c>
      <c r="BF60" s="44" t="str">
        <f ca="1">IFERROR(IF(AND(ISNUMBER($BC$60),$BC$60&lt;=95),INDEX('2.Distances'!$C$2:$C$9218,$BC$59*96+$BC$60+ 1) +$BF$59," ")," ")</f>
        <v xml:space="preserve"> </v>
      </c>
      <c r="BG60" s="43" t="str">
        <f ca="1">IFERROR(IF(ISNUMBER($BC$60),INDEX('1.Locations'!$J$2:$J$97,$BC$60 + 1) +$BG$59," ")," ")</f>
        <v xml:space="preserve"> </v>
      </c>
      <c r="BH60" s="43" t="str">
        <f ca="1">IFERROR(IF(ISNUMBER($BC$60),INDEX('1.Locations'!$K$2:$K$97,$BC$60 + 1) +$BH$59," ")," ")</f>
        <v xml:space="preserve"> </v>
      </c>
      <c r="BI60" s="45" t="str">
        <f ca="1">IFERROR(IF(AND(ISNUMBER($BC$60),$BC$60&lt;=95),INDEX('2.Distances'!$D$2:$D$9218,$BC$59*96+$BC$60+ 1) +$BI$59," ")," ")</f>
        <v xml:space="preserve"> </v>
      </c>
      <c r="BJ60" s="46" t="str">
        <f ca="1">IFERROR(IF(AND(ISNUMBER($BC$60),$BC$60&lt;=95),INDEX('2.Distances'!$D$2:$D$9218,$BC$59*96+$BC$60+ 1) +$BK$59," ")," ")</f>
        <v xml:space="preserve"> </v>
      </c>
      <c r="BK60" s="46" t="str">
        <f ca="1">IFERROR(IF(ISNUMBER($BJ$60),INDEX('1.Locations'!$I$2:$I$97,$BC$60 + 1) + MAX($BJ$60,INDEX('1.Locations'!$F$2:$F$97,$BC$60 + 1))," ")," ")</f>
        <v xml:space="preserve"> </v>
      </c>
      <c r="BL60" s="45" t="str">
        <f ca="1">IFERROR($BL$59 + INDEX('2.Distances'!$D$2:$D$9218,$BC$59*96+$BC$60+ 1) + INDEX('1.Locations'!$I$2:$I$97,$BC$60 + 1)," ")</f>
        <v xml:space="preserve"> </v>
      </c>
      <c r="BN60" s="24">
        <v>55</v>
      </c>
      <c r="BO60" s="25"/>
      <c r="BP60" s="43" t="str">
        <f ca="1">IFERROR(MATCH(INDIRECT("$BO$60"),'1.Locations'!$B$2:$B$97, 0) - 1," ")</f>
        <v xml:space="preserve"> </v>
      </c>
      <c r="BQ60" s="43" t="e">
        <f ca="1">IFERROR(IF(ISNUMBER($BP$60),INDEX('1.Locations'!$D$2:$D$97,$BP$60 + 1),NA()),NA())</f>
        <v>#N/A</v>
      </c>
      <c r="BR60" s="43" t="e">
        <f ca="1">IFERROR(IF(ISNUMBER($BP$60),INDEX('1.Locations'!$E$2:$E$97,$BP$60 + 1),NA()),NA())</f>
        <v>#N/A</v>
      </c>
      <c r="BS60" s="44" t="str">
        <f ca="1">IFERROR(IF(AND(ISNUMBER($BP$60),$BP$60&lt;=95),INDEX('2.Distances'!$C$2:$C$9218,$BP$59*96+$BP$60+ 1) +$BS$59," ")," ")</f>
        <v xml:space="preserve"> </v>
      </c>
      <c r="BT60" s="43" t="str">
        <f ca="1">IFERROR(IF(ISNUMBER($BP$60),INDEX('1.Locations'!$J$2:$J$97,$BP$60 + 1) +$BT$59," ")," ")</f>
        <v xml:space="preserve"> </v>
      </c>
      <c r="BU60" s="43" t="str">
        <f ca="1">IFERROR(IF(ISNUMBER($BP$60),INDEX('1.Locations'!$K$2:$K$97,$BP$60 + 1) +$BU$59," ")," ")</f>
        <v xml:space="preserve"> </v>
      </c>
      <c r="BV60" s="45" t="str">
        <f ca="1">IFERROR(IF(AND(ISNUMBER($BP$60),$BP$60&lt;=95),INDEX('2.Distances'!$D$2:$D$9218,$BP$59*96+$BP$60+ 1) +$BV$59," ")," ")</f>
        <v xml:space="preserve"> </v>
      </c>
      <c r="BW60" s="46" t="str">
        <f ca="1">IFERROR(IF(AND(ISNUMBER($BP$60),$BP$60&lt;=95),INDEX('2.Distances'!$D$2:$D$9218,$BP$59*96+$BP$60+ 1) +$BX$59," ")," ")</f>
        <v xml:space="preserve"> </v>
      </c>
      <c r="BX60" s="46" t="str">
        <f ca="1">IFERROR(IF(ISNUMBER($BW$60),INDEX('1.Locations'!$I$2:$I$97,$BP$60 + 1) + MAX($BW$60,INDEX('1.Locations'!$F$2:$F$97,$BP$60 + 1))," ")," ")</f>
        <v xml:space="preserve"> </v>
      </c>
      <c r="BY60" s="45" t="str">
        <f ca="1">IFERROR($BY$59 + INDEX('2.Distances'!$D$2:$D$9218,$BP$59*96+$BP$60+ 1) + INDEX('1.Locations'!$I$2:$I$97,$BP$60 + 1)," ")</f>
        <v xml:space="preserve"> </v>
      </c>
      <c r="CA60" s="24">
        <v>55</v>
      </c>
      <c r="CB60" s="25"/>
      <c r="CC60" s="43" t="str">
        <f ca="1">IFERROR(MATCH(INDIRECT("$CB$60"),'1.Locations'!$B$2:$B$97, 0) - 1," ")</f>
        <v xml:space="preserve"> </v>
      </c>
      <c r="CD60" s="43" t="e">
        <f ca="1">IFERROR(IF(ISNUMBER($CC$60),INDEX('1.Locations'!$D$2:$D$97,$CC$60 + 1),NA()),NA())</f>
        <v>#N/A</v>
      </c>
      <c r="CE60" s="43" t="e">
        <f ca="1">IFERROR(IF(ISNUMBER($CC$60),INDEX('1.Locations'!$E$2:$E$97,$CC$60 + 1),NA()),NA())</f>
        <v>#N/A</v>
      </c>
      <c r="CF60" s="44" t="str">
        <f ca="1">IFERROR(IF(AND(ISNUMBER($CC$60),$CC$60&lt;=95),INDEX('2.Distances'!$C$2:$C$9218,$CC$59*96+$CC$60+ 1) +$CF$59," ")," ")</f>
        <v xml:space="preserve"> </v>
      </c>
      <c r="CG60" s="43" t="str">
        <f ca="1">IFERROR(IF(ISNUMBER($CC$60),INDEX('1.Locations'!$J$2:$J$97,$CC$60 + 1) +$CG$59," ")," ")</f>
        <v xml:space="preserve"> </v>
      </c>
      <c r="CH60" s="43" t="str">
        <f ca="1">IFERROR(IF(ISNUMBER($CC$60),INDEX('1.Locations'!$K$2:$K$97,$CC$60 + 1) +$CH$59," ")," ")</f>
        <v xml:space="preserve"> </v>
      </c>
      <c r="CI60" s="45" t="str">
        <f ca="1">IFERROR(IF(AND(ISNUMBER($CC$60),$CC$60&lt;=95),INDEX('2.Distances'!$D$2:$D$9218,$CC$59*96+$CC$60+ 1) +$CI$59," ")," ")</f>
        <v xml:space="preserve"> </v>
      </c>
      <c r="CJ60" s="46" t="str">
        <f ca="1">IFERROR(IF(AND(ISNUMBER($CC$60),$CC$60&lt;=95),INDEX('2.Distances'!$D$2:$D$9218,$CC$59*96+$CC$60+ 1) +$CK$59," ")," ")</f>
        <v xml:space="preserve"> </v>
      </c>
      <c r="CK60" s="46" t="str">
        <f ca="1">IFERROR(IF(ISNUMBER($CJ$60),INDEX('1.Locations'!$I$2:$I$97,$CC$60 + 1) + MAX($CJ$60,INDEX('1.Locations'!$F$2:$F$97,$CC$60 + 1))," ")," ")</f>
        <v xml:space="preserve"> </v>
      </c>
      <c r="CL60" s="45" t="str">
        <f ca="1">IFERROR($CL$59 + INDEX('2.Distances'!$D$2:$D$9218,$CC$59*96+$CC$60+ 1) + INDEX('1.Locations'!$I$2:$I$97,$CC$60 + 1)," ")</f>
        <v xml:space="preserve"> </v>
      </c>
    </row>
    <row r="61" spans="1:90" x14ac:dyDescent="0.25">
      <c r="A61" s="24">
        <v>56</v>
      </c>
      <c r="B61" s="25"/>
      <c r="C61" s="43" t="str">
        <f ca="1">IFERROR(MATCH(INDIRECT("$B$61"),'1.Locations'!$B$2:$B$97, 0) - 1," ")</f>
        <v xml:space="preserve"> </v>
      </c>
      <c r="D61" s="43" t="e">
        <f ca="1">IFERROR(IF(ISNUMBER($C$61),INDEX('1.Locations'!$D$2:$D$97,$C$61 + 1),NA()),NA())</f>
        <v>#N/A</v>
      </c>
      <c r="E61" s="43" t="e">
        <f ca="1">IFERROR(IF(ISNUMBER($C$61),INDEX('1.Locations'!$E$2:$E$97,$C$61 + 1),NA()),NA())</f>
        <v>#N/A</v>
      </c>
      <c r="F61" s="44" t="str">
        <f ca="1">IFERROR(IF(AND(ISNUMBER($C$61),$C$61&lt;=95),INDEX('2.Distances'!$C$2:$C$9218,$C$60*96+$C$61+ 1) +$F$60," ")," ")</f>
        <v xml:space="preserve"> </v>
      </c>
      <c r="G61" s="43" t="str">
        <f ca="1">IFERROR(IF(ISNUMBER($C$61),INDEX('1.Locations'!$J$2:$J$97,$C$61 + 1) +$G$60," ")," ")</f>
        <v xml:space="preserve"> </v>
      </c>
      <c r="H61" s="43" t="str">
        <f ca="1">IFERROR(IF(ISNUMBER($C$61),INDEX('1.Locations'!$K$2:$K$97,$C$61 + 1) +$H$60," ")," ")</f>
        <v xml:space="preserve"> </v>
      </c>
      <c r="I61" s="45" t="str">
        <f ca="1">IFERROR(IF(AND(ISNUMBER($C$61),$C$61&lt;=95),INDEX('2.Distances'!$D$2:$D$9218,$C$60*96+$C$61+ 1) +$I$60," ")," ")</f>
        <v xml:space="preserve"> </v>
      </c>
      <c r="J61" s="46" t="str">
        <f ca="1">IFERROR(IF(AND(ISNUMBER($C$61),$C$61&lt;=95),INDEX('2.Distances'!$D$2:$D$9218,$C$60*96+$C$61+ 1) +$K$60," ")," ")</f>
        <v xml:space="preserve"> </v>
      </c>
      <c r="K61" s="46" t="str">
        <f ca="1">IFERROR(IF(ISNUMBER($J$61),INDEX('1.Locations'!$I$2:$I$97,$C$61 + 1) + MAX($J$61,INDEX('1.Locations'!$F$2:$F$97,$C$61 + 1))," ")," ")</f>
        <v xml:space="preserve"> </v>
      </c>
      <c r="L61" s="45" t="str">
        <f ca="1">IFERROR($L$60 + INDEX('2.Distances'!$D$2:$D$9218,$C$60*96+$C$61+ 1) + INDEX('1.Locations'!$I$2:$I$97,$C$61 + 1)," ")</f>
        <v xml:space="preserve"> </v>
      </c>
      <c r="N61" s="24">
        <v>56</v>
      </c>
      <c r="O61" s="25"/>
      <c r="P61" s="43" t="str">
        <f ca="1">IFERROR(MATCH(INDIRECT("$O$61"),'1.Locations'!$B$2:$B$97, 0) - 1," ")</f>
        <v xml:space="preserve"> </v>
      </c>
      <c r="Q61" s="43" t="e">
        <f ca="1">IFERROR(IF(ISNUMBER($P$61),INDEX('1.Locations'!$D$2:$D$97,$P$61 + 1),NA()),NA())</f>
        <v>#N/A</v>
      </c>
      <c r="R61" s="43" t="e">
        <f ca="1">IFERROR(IF(ISNUMBER($P$61),INDEX('1.Locations'!$E$2:$E$97,$P$61 + 1),NA()),NA())</f>
        <v>#N/A</v>
      </c>
      <c r="S61" s="44" t="str">
        <f ca="1">IFERROR(IF(AND(ISNUMBER($P$61),$P$61&lt;=95),INDEX('2.Distances'!$C$2:$C$9218,$P$60*96+$P$61+ 1) +$S$60," ")," ")</f>
        <v xml:space="preserve"> </v>
      </c>
      <c r="T61" s="43" t="str">
        <f ca="1">IFERROR(IF(ISNUMBER($P$61),INDEX('1.Locations'!$J$2:$J$97,$P$61 + 1) +$T$60," ")," ")</f>
        <v xml:space="preserve"> </v>
      </c>
      <c r="U61" s="43" t="str">
        <f ca="1">IFERROR(IF(ISNUMBER($P$61),INDEX('1.Locations'!$K$2:$K$97,$P$61 + 1) +$U$60," ")," ")</f>
        <v xml:space="preserve"> </v>
      </c>
      <c r="V61" s="45" t="str">
        <f ca="1">IFERROR(IF(AND(ISNUMBER($P$61),$P$61&lt;=95),INDEX('2.Distances'!$D$2:$D$9218,$P$60*96+$P$61+ 1) +$V$60," ")," ")</f>
        <v xml:space="preserve"> </v>
      </c>
      <c r="W61" s="46" t="str">
        <f ca="1">IFERROR(IF(AND(ISNUMBER($P$61),$P$61&lt;=95),INDEX('2.Distances'!$D$2:$D$9218,$P$60*96+$P$61+ 1) +$X$60," ")," ")</f>
        <v xml:space="preserve"> </v>
      </c>
      <c r="X61" s="46" t="str">
        <f ca="1">IFERROR(IF(ISNUMBER($W$61),INDEX('1.Locations'!$I$2:$I$97,$P$61 + 1) + MAX($W$61,INDEX('1.Locations'!$F$2:$F$97,$P$61 + 1))," ")," ")</f>
        <v xml:space="preserve"> </v>
      </c>
      <c r="Y61" s="45" t="str">
        <f ca="1">IFERROR($Y$60 + INDEX('2.Distances'!$D$2:$D$9218,$P$60*96+$P$61+ 1) + INDEX('1.Locations'!$I$2:$I$97,$P$61 + 1)," ")</f>
        <v xml:space="preserve"> </v>
      </c>
      <c r="AA61" s="24">
        <v>56</v>
      </c>
      <c r="AB61" s="25"/>
      <c r="AC61" s="43" t="str">
        <f ca="1">IFERROR(MATCH(INDIRECT("$AB$61"),'1.Locations'!$B$2:$B$97, 0) - 1," ")</f>
        <v xml:space="preserve"> </v>
      </c>
      <c r="AD61" s="43" t="e">
        <f ca="1">IFERROR(IF(ISNUMBER($AC$61),INDEX('1.Locations'!$D$2:$D$97,$AC$61 + 1),NA()),NA())</f>
        <v>#N/A</v>
      </c>
      <c r="AE61" s="43" t="e">
        <f ca="1">IFERROR(IF(ISNUMBER($AC$61),INDEX('1.Locations'!$E$2:$E$97,$AC$61 + 1),NA()),NA())</f>
        <v>#N/A</v>
      </c>
      <c r="AF61" s="44" t="str">
        <f ca="1">IFERROR(IF(AND(ISNUMBER($AC$61),$AC$61&lt;=95),INDEX('2.Distances'!$C$2:$C$9218,$AC$60*96+$AC$61+ 1) +$AF$60," ")," ")</f>
        <v xml:space="preserve"> </v>
      </c>
      <c r="AG61" s="43" t="str">
        <f ca="1">IFERROR(IF(ISNUMBER($AC$61),INDEX('1.Locations'!$J$2:$J$97,$AC$61 + 1) +$AG$60," ")," ")</f>
        <v xml:space="preserve"> </v>
      </c>
      <c r="AH61" s="43" t="str">
        <f ca="1">IFERROR(IF(ISNUMBER($AC$61),INDEX('1.Locations'!$K$2:$K$97,$AC$61 + 1) +$AH$60," ")," ")</f>
        <v xml:space="preserve"> </v>
      </c>
      <c r="AI61" s="45" t="str">
        <f ca="1">IFERROR(IF(AND(ISNUMBER($AC$61),$AC$61&lt;=95),INDEX('2.Distances'!$D$2:$D$9218,$AC$60*96+$AC$61+ 1) +$AI$60," ")," ")</f>
        <v xml:space="preserve"> </v>
      </c>
      <c r="AJ61" s="46" t="str">
        <f ca="1">IFERROR(IF(AND(ISNUMBER($AC$61),$AC$61&lt;=95),INDEX('2.Distances'!$D$2:$D$9218,$AC$60*96+$AC$61+ 1) +$AK$60," ")," ")</f>
        <v xml:space="preserve"> </v>
      </c>
      <c r="AK61" s="46" t="str">
        <f ca="1">IFERROR(IF(ISNUMBER($AJ$61),INDEX('1.Locations'!$I$2:$I$97,$AC$61 + 1) + MAX($AJ$61,INDEX('1.Locations'!$F$2:$F$97,$AC$61 + 1))," ")," ")</f>
        <v xml:space="preserve"> </v>
      </c>
      <c r="AL61" s="45" t="str">
        <f ca="1">IFERROR($AL$60 + INDEX('2.Distances'!$D$2:$D$9218,$AC$60*96+$AC$61+ 1) + INDEX('1.Locations'!$I$2:$I$97,$AC$61 + 1)," ")</f>
        <v xml:space="preserve"> </v>
      </c>
      <c r="AN61" s="24">
        <v>56</v>
      </c>
      <c r="AO61" s="25"/>
      <c r="AP61" s="43" t="str">
        <f ca="1">IFERROR(MATCH(INDIRECT("$AO$61"),'1.Locations'!$B$2:$B$97, 0) - 1," ")</f>
        <v xml:space="preserve"> </v>
      </c>
      <c r="AQ61" s="43" t="e">
        <f ca="1">IFERROR(IF(ISNUMBER($AP$61),INDEX('1.Locations'!$D$2:$D$97,$AP$61 + 1),NA()),NA())</f>
        <v>#N/A</v>
      </c>
      <c r="AR61" s="43" t="e">
        <f ca="1">IFERROR(IF(ISNUMBER($AP$61),INDEX('1.Locations'!$E$2:$E$97,$AP$61 + 1),NA()),NA())</f>
        <v>#N/A</v>
      </c>
      <c r="AS61" s="44" t="str">
        <f ca="1">IFERROR(IF(AND(ISNUMBER($AP$61),$AP$61&lt;=95),INDEX('2.Distances'!$C$2:$C$9218,$AP$60*96+$AP$61+ 1) +$AS$60," ")," ")</f>
        <v xml:space="preserve"> </v>
      </c>
      <c r="AT61" s="43" t="str">
        <f ca="1">IFERROR(IF(ISNUMBER($AP$61),INDEX('1.Locations'!$J$2:$J$97,$AP$61 + 1) +$AT$60," ")," ")</f>
        <v xml:space="preserve"> </v>
      </c>
      <c r="AU61" s="43" t="str">
        <f ca="1">IFERROR(IF(ISNUMBER($AP$61),INDEX('1.Locations'!$K$2:$K$97,$AP$61 + 1) +$AU$60," ")," ")</f>
        <v xml:space="preserve"> </v>
      </c>
      <c r="AV61" s="45" t="str">
        <f ca="1">IFERROR(IF(AND(ISNUMBER($AP$61),$AP$61&lt;=95),INDEX('2.Distances'!$D$2:$D$9218,$AP$60*96+$AP$61+ 1) +$AV$60," ")," ")</f>
        <v xml:space="preserve"> </v>
      </c>
      <c r="AW61" s="46" t="str">
        <f ca="1">IFERROR(IF(AND(ISNUMBER($AP$61),$AP$61&lt;=95),INDEX('2.Distances'!$D$2:$D$9218,$AP$60*96+$AP$61+ 1) +$AX$60," ")," ")</f>
        <v xml:space="preserve"> </v>
      </c>
      <c r="AX61" s="46" t="str">
        <f ca="1">IFERROR(IF(ISNUMBER($AW$61),INDEX('1.Locations'!$I$2:$I$97,$AP$61 + 1) + MAX($AW$61,INDEX('1.Locations'!$F$2:$F$97,$AP$61 + 1))," ")," ")</f>
        <v xml:space="preserve"> </v>
      </c>
      <c r="AY61" s="45" t="str">
        <f ca="1">IFERROR($AY$60 + INDEX('2.Distances'!$D$2:$D$9218,$AP$60*96+$AP$61+ 1) + INDEX('1.Locations'!$I$2:$I$97,$AP$61 + 1)," ")</f>
        <v xml:space="preserve"> </v>
      </c>
      <c r="BA61" s="24">
        <v>56</v>
      </c>
      <c r="BB61" s="25"/>
      <c r="BC61" s="43" t="str">
        <f ca="1">IFERROR(MATCH(INDIRECT("$BB$61"),'1.Locations'!$B$2:$B$97, 0) - 1," ")</f>
        <v xml:space="preserve"> </v>
      </c>
      <c r="BD61" s="43" t="e">
        <f ca="1">IFERROR(IF(ISNUMBER($BC$61),INDEX('1.Locations'!$D$2:$D$97,$BC$61 + 1),NA()),NA())</f>
        <v>#N/A</v>
      </c>
      <c r="BE61" s="43" t="e">
        <f ca="1">IFERROR(IF(ISNUMBER($BC$61),INDEX('1.Locations'!$E$2:$E$97,$BC$61 + 1),NA()),NA())</f>
        <v>#N/A</v>
      </c>
      <c r="BF61" s="44" t="str">
        <f ca="1">IFERROR(IF(AND(ISNUMBER($BC$61),$BC$61&lt;=95),INDEX('2.Distances'!$C$2:$C$9218,$BC$60*96+$BC$61+ 1) +$BF$60," ")," ")</f>
        <v xml:space="preserve"> </v>
      </c>
      <c r="BG61" s="43" t="str">
        <f ca="1">IFERROR(IF(ISNUMBER($BC$61),INDEX('1.Locations'!$J$2:$J$97,$BC$61 + 1) +$BG$60," ")," ")</f>
        <v xml:space="preserve"> </v>
      </c>
      <c r="BH61" s="43" t="str">
        <f ca="1">IFERROR(IF(ISNUMBER($BC$61),INDEX('1.Locations'!$K$2:$K$97,$BC$61 + 1) +$BH$60," ")," ")</f>
        <v xml:space="preserve"> </v>
      </c>
      <c r="BI61" s="45" t="str">
        <f ca="1">IFERROR(IF(AND(ISNUMBER($BC$61),$BC$61&lt;=95),INDEX('2.Distances'!$D$2:$D$9218,$BC$60*96+$BC$61+ 1) +$BI$60," ")," ")</f>
        <v xml:space="preserve"> </v>
      </c>
      <c r="BJ61" s="46" t="str">
        <f ca="1">IFERROR(IF(AND(ISNUMBER($BC$61),$BC$61&lt;=95),INDEX('2.Distances'!$D$2:$D$9218,$BC$60*96+$BC$61+ 1) +$BK$60," ")," ")</f>
        <v xml:space="preserve"> </v>
      </c>
      <c r="BK61" s="46" t="str">
        <f ca="1">IFERROR(IF(ISNUMBER($BJ$61),INDEX('1.Locations'!$I$2:$I$97,$BC$61 + 1) + MAX($BJ$61,INDEX('1.Locations'!$F$2:$F$97,$BC$61 + 1))," ")," ")</f>
        <v xml:space="preserve"> </v>
      </c>
      <c r="BL61" s="45" t="str">
        <f ca="1">IFERROR($BL$60 + INDEX('2.Distances'!$D$2:$D$9218,$BC$60*96+$BC$61+ 1) + INDEX('1.Locations'!$I$2:$I$97,$BC$61 + 1)," ")</f>
        <v xml:space="preserve"> </v>
      </c>
      <c r="BN61" s="24">
        <v>56</v>
      </c>
      <c r="BO61" s="25"/>
      <c r="BP61" s="43" t="str">
        <f ca="1">IFERROR(MATCH(INDIRECT("$BO$61"),'1.Locations'!$B$2:$B$97, 0) - 1," ")</f>
        <v xml:space="preserve"> </v>
      </c>
      <c r="BQ61" s="43" t="e">
        <f ca="1">IFERROR(IF(ISNUMBER($BP$61),INDEX('1.Locations'!$D$2:$D$97,$BP$61 + 1),NA()),NA())</f>
        <v>#N/A</v>
      </c>
      <c r="BR61" s="43" t="e">
        <f ca="1">IFERROR(IF(ISNUMBER($BP$61),INDEX('1.Locations'!$E$2:$E$97,$BP$61 + 1),NA()),NA())</f>
        <v>#N/A</v>
      </c>
      <c r="BS61" s="44" t="str">
        <f ca="1">IFERROR(IF(AND(ISNUMBER($BP$61),$BP$61&lt;=95),INDEX('2.Distances'!$C$2:$C$9218,$BP$60*96+$BP$61+ 1) +$BS$60," ")," ")</f>
        <v xml:space="preserve"> </v>
      </c>
      <c r="BT61" s="43" t="str">
        <f ca="1">IFERROR(IF(ISNUMBER($BP$61),INDEX('1.Locations'!$J$2:$J$97,$BP$61 + 1) +$BT$60," ")," ")</f>
        <v xml:space="preserve"> </v>
      </c>
      <c r="BU61" s="43" t="str">
        <f ca="1">IFERROR(IF(ISNUMBER($BP$61),INDEX('1.Locations'!$K$2:$K$97,$BP$61 + 1) +$BU$60," ")," ")</f>
        <v xml:space="preserve"> </v>
      </c>
      <c r="BV61" s="45" t="str">
        <f ca="1">IFERROR(IF(AND(ISNUMBER($BP$61),$BP$61&lt;=95),INDEX('2.Distances'!$D$2:$D$9218,$BP$60*96+$BP$61+ 1) +$BV$60," ")," ")</f>
        <v xml:space="preserve"> </v>
      </c>
      <c r="BW61" s="46" t="str">
        <f ca="1">IFERROR(IF(AND(ISNUMBER($BP$61),$BP$61&lt;=95),INDEX('2.Distances'!$D$2:$D$9218,$BP$60*96+$BP$61+ 1) +$BX$60," ")," ")</f>
        <v xml:space="preserve"> </v>
      </c>
      <c r="BX61" s="46" t="str">
        <f ca="1">IFERROR(IF(ISNUMBER($BW$61),INDEX('1.Locations'!$I$2:$I$97,$BP$61 + 1) + MAX($BW$61,INDEX('1.Locations'!$F$2:$F$97,$BP$61 + 1))," ")," ")</f>
        <v xml:space="preserve"> </v>
      </c>
      <c r="BY61" s="45" t="str">
        <f ca="1">IFERROR($BY$60 + INDEX('2.Distances'!$D$2:$D$9218,$BP$60*96+$BP$61+ 1) + INDEX('1.Locations'!$I$2:$I$97,$BP$61 + 1)," ")</f>
        <v xml:space="preserve"> </v>
      </c>
      <c r="CA61" s="24">
        <v>56</v>
      </c>
      <c r="CB61" s="25"/>
      <c r="CC61" s="43" t="str">
        <f ca="1">IFERROR(MATCH(INDIRECT("$CB$61"),'1.Locations'!$B$2:$B$97, 0) - 1," ")</f>
        <v xml:space="preserve"> </v>
      </c>
      <c r="CD61" s="43" t="e">
        <f ca="1">IFERROR(IF(ISNUMBER($CC$61),INDEX('1.Locations'!$D$2:$D$97,$CC$61 + 1),NA()),NA())</f>
        <v>#N/A</v>
      </c>
      <c r="CE61" s="43" t="e">
        <f ca="1">IFERROR(IF(ISNUMBER($CC$61),INDEX('1.Locations'!$E$2:$E$97,$CC$61 + 1),NA()),NA())</f>
        <v>#N/A</v>
      </c>
      <c r="CF61" s="44" t="str">
        <f ca="1">IFERROR(IF(AND(ISNUMBER($CC$61),$CC$61&lt;=95),INDEX('2.Distances'!$C$2:$C$9218,$CC$60*96+$CC$61+ 1) +$CF$60," ")," ")</f>
        <v xml:space="preserve"> </v>
      </c>
      <c r="CG61" s="43" t="str">
        <f ca="1">IFERROR(IF(ISNUMBER($CC$61),INDEX('1.Locations'!$J$2:$J$97,$CC$61 + 1) +$CG$60," ")," ")</f>
        <v xml:space="preserve"> </v>
      </c>
      <c r="CH61" s="43" t="str">
        <f ca="1">IFERROR(IF(ISNUMBER($CC$61),INDEX('1.Locations'!$K$2:$K$97,$CC$61 + 1) +$CH$60," ")," ")</f>
        <v xml:space="preserve"> </v>
      </c>
      <c r="CI61" s="45" t="str">
        <f ca="1">IFERROR(IF(AND(ISNUMBER($CC$61),$CC$61&lt;=95),INDEX('2.Distances'!$D$2:$D$9218,$CC$60*96+$CC$61+ 1) +$CI$60," ")," ")</f>
        <v xml:space="preserve"> </v>
      </c>
      <c r="CJ61" s="46" t="str">
        <f ca="1">IFERROR(IF(AND(ISNUMBER($CC$61),$CC$61&lt;=95),INDEX('2.Distances'!$D$2:$D$9218,$CC$60*96+$CC$61+ 1) +$CK$60," ")," ")</f>
        <v xml:space="preserve"> </v>
      </c>
      <c r="CK61" s="46" t="str">
        <f ca="1">IFERROR(IF(ISNUMBER($CJ$61),INDEX('1.Locations'!$I$2:$I$97,$CC$61 + 1) + MAX($CJ$61,INDEX('1.Locations'!$F$2:$F$97,$CC$61 + 1))," ")," ")</f>
        <v xml:space="preserve"> </v>
      </c>
      <c r="CL61" s="45" t="str">
        <f ca="1">IFERROR($CL$60 + INDEX('2.Distances'!$D$2:$D$9218,$CC$60*96+$CC$61+ 1) + INDEX('1.Locations'!$I$2:$I$97,$CC$61 + 1)," ")</f>
        <v xml:space="preserve"> </v>
      </c>
    </row>
    <row r="62" spans="1:90" x14ac:dyDescent="0.25">
      <c r="A62" s="24">
        <v>57</v>
      </c>
      <c r="B62" s="25"/>
      <c r="C62" s="43" t="str">
        <f ca="1">IFERROR(MATCH(INDIRECT("$B$62"),'1.Locations'!$B$2:$B$97, 0) - 1," ")</f>
        <v xml:space="preserve"> </v>
      </c>
      <c r="D62" s="43" t="e">
        <f ca="1">IFERROR(IF(ISNUMBER($C$62),INDEX('1.Locations'!$D$2:$D$97,$C$62 + 1),NA()),NA())</f>
        <v>#N/A</v>
      </c>
      <c r="E62" s="43" t="e">
        <f ca="1">IFERROR(IF(ISNUMBER($C$62),INDEX('1.Locations'!$E$2:$E$97,$C$62 + 1),NA()),NA())</f>
        <v>#N/A</v>
      </c>
      <c r="F62" s="44" t="str">
        <f ca="1">IFERROR(IF(AND(ISNUMBER($C$62),$C$62&lt;=95),INDEX('2.Distances'!$C$2:$C$9218,$C$61*96+$C$62+ 1) +$F$61," ")," ")</f>
        <v xml:space="preserve"> </v>
      </c>
      <c r="G62" s="43" t="str">
        <f ca="1">IFERROR(IF(ISNUMBER($C$62),INDEX('1.Locations'!$J$2:$J$97,$C$62 + 1) +$G$61," ")," ")</f>
        <v xml:space="preserve"> </v>
      </c>
      <c r="H62" s="43" t="str">
        <f ca="1">IFERROR(IF(ISNUMBER($C$62),INDEX('1.Locations'!$K$2:$K$97,$C$62 + 1) +$H$61," ")," ")</f>
        <v xml:space="preserve"> </v>
      </c>
      <c r="I62" s="45" t="str">
        <f ca="1">IFERROR(IF(AND(ISNUMBER($C$62),$C$62&lt;=95),INDEX('2.Distances'!$D$2:$D$9218,$C$61*96+$C$62+ 1) +$I$61," ")," ")</f>
        <v xml:space="preserve"> </v>
      </c>
      <c r="J62" s="46" t="str">
        <f ca="1">IFERROR(IF(AND(ISNUMBER($C$62),$C$62&lt;=95),INDEX('2.Distances'!$D$2:$D$9218,$C$61*96+$C$62+ 1) +$K$61," ")," ")</f>
        <v xml:space="preserve"> </v>
      </c>
      <c r="K62" s="46" t="str">
        <f ca="1">IFERROR(IF(ISNUMBER($J$62),INDEX('1.Locations'!$I$2:$I$97,$C$62 + 1) + MAX($J$62,INDEX('1.Locations'!$F$2:$F$97,$C$62 + 1))," ")," ")</f>
        <v xml:space="preserve"> </v>
      </c>
      <c r="L62" s="45" t="str">
        <f ca="1">IFERROR($L$61 + INDEX('2.Distances'!$D$2:$D$9218,$C$61*96+$C$62+ 1) + INDEX('1.Locations'!$I$2:$I$97,$C$62 + 1)," ")</f>
        <v xml:space="preserve"> </v>
      </c>
      <c r="N62" s="24">
        <v>57</v>
      </c>
      <c r="O62" s="25"/>
      <c r="P62" s="43" t="str">
        <f ca="1">IFERROR(MATCH(INDIRECT("$O$62"),'1.Locations'!$B$2:$B$97, 0) - 1," ")</f>
        <v xml:space="preserve"> </v>
      </c>
      <c r="Q62" s="43" t="e">
        <f ca="1">IFERROR(IF(ISNUMBER($P$62),INDEX('1.Locations'!$D$2:$D$97,$P$62 + 1),NA()),NA())</f>
        <v>#N/A</v>
      </c>
      <c r="R62" s="43" t="e">
        <f ca="1">IFERROR(IF(ISNUMBER($P$62),INDEX('1.Locations'!$E$2:$E$97,$P$62 + 1),NA()),NA())</f>
        <v>#N/A</v>
      </c>
      <c r="S62" s="44" t="str">
        <f ca="1">IFERROR(IF(AND(ISNUMBER($P$62),$P$62&lt;=95),INDEX('2.Distances'!$C$2:$C$9218,$P$61*96+$P$62+ 1) +$S$61," ")," ")</f>
        <v xml:space="preserve"> </v>
      </c>
      <c r="T62" s="43" t="str">
        <f ca="1">IFERROR(IF(ISNUMBER($P$62),INDEX('1.Locations'!$J$2:$J$97,$P$62 + 1) +$T$61," ")," ")</f>
        <v xml:space="preserve"> </v>
      </c>
      <c r="U62" s="43" t="str">
        <f ca="1">IFERROR(IF(ISNUMBER($P$62),INDEX('1.Locations'!$K$2:$K$97,$P$62 + 1) +$U$61," ")," ")</f>
        <v xml:space="preserve"> </v>
      </c>
      <c r="V62" s="45" t="str">
        <f ca="1">IFERROR(IF(AND(ISNUMBER($P$62),$P$62&lt;=95),INDEX('2.Distances'!$D$2:$D$9218,$P$61*96+$P$62+ 1) +$V$61," ")," ")</f>
        <v xml:space="preserve"> </v>
      </c>
      <c r="W62" s="46" t="str">
        <f ca="1">IFERROR(IF(AND(ISNUMBER($P$62),$P$62&lt;=95),INDEX('2.Distances'!$D$2:$D$9218,$P$61*96+$P$62+ 1) +$X$61," ")," ")</f>
        <v xml:space="preserve"> </v>
      </c>
      <c r="X62" s="46" t="str">
        <f ca="1">IFERROR(IF(ISNUMBER($W$62),INDEX('1.Locations'!$I$2:$I$97,$P$62 + 1) + MAX($W$62,INDEX('1.Locations'!$F$2:$F$97,$P$62 + 1))," ")," ")</f>
        <v xml:space="preserve"> </v>
      </c>
      <c r="Y62" s="45" t="str">
        <f ca="1">IFERROR($Y$61 + INDEX('2.Distances'!$D$2:$D$9218,$P$61*96+$P$62+ 1) + INDEX('1.Locations'!$I$2:$I$97,$P$62 + 1)," ")</f>
        <v xml:space="preserve"> </v>
      </c>
      <c r="AA62" s="24">
        <v>57</v>
      </c>
      <c r="AB62" s="25"/>
      <c r="AC62" s="43" t="str">
        <f ca="1">IFERROR(MATCH(INDIRECT("$AB$62"),'1.Locations'!$B$2:$B$97, 0) - 1," ")</f>
        <v xml:space="preserve"> </v>
      </c>
      <c r="AD62" s="43" t="e">
        <f ca="1">IFERROR(IF(ISNUMBER($AC$62),INDEX('1.Locations'!$D$2:$D$97,$AC$62 + 1),NA()),NA())</f>
        <v>#N/A</v>
      </c>
      <c r="AE62" s="43" t="e">
        <f ca="1">IFERROR(IF(ISNUMBER($AC$62),INDEX('1.Locations'!$E$2:$E$97,$AC$62 + 1),NA()),NA())</f>
        <v>#N/A</v>
      </c>
      <c r="AF62" s="44" t="str">
        <f ca="1">IFERROR(IF(AND(ISNUMBER($AC$62),$AC$62&lt;=95),INDEX('2.Distances'!$C$2:$C$9218,$AC$61*96+$AC$62+ 1) +$AF$61," ")," ")</f>
        <v xml:space="preserve"> </v>
      </c>
      <c r="AG62" s="43" t="str">
        <f ca="1">IFERROR(IF(ISNUMBER($AC$62),INDEX('1.Locations'!$J$2:$J$97,$AC$62 + 1) +$AG$61," ")," ")</f>
        <v xml:space="preserve"> </v>
      </c>
      <c r="AH62" s="43" t="str">
        <f ca="1">IFERROR(IF(ISNUMBER($AC$62),INDEX('1.Locations'!$K$2:$K$97,$AC$62 + 1) +$AH$61," ")," ")</f>
        <v xml:space="preserve"> </v>
      </c>
      <c r="AI62" s="45" t="str">
        <f ca="1">IFERROR(IF(AND(ISNUMBER($AC$62),$AC$62&lt;=95),INDEX('2.Distances'!$D$2:$D$9218,$AC$61*96+$AC$62+ 1) +$AI$61," ")," ")</f>
        <v xml:space="preserve"> </v>
      </c>
      <c r="AJ62" s="46" t="str">
        <f ca="1">IFERROR(IF(AND(ISNUMBER($AC$62),$AC$62&lt;=95),INDEX('2.Distances'!$D$2:$D$9218,$AC$61*96+$AC$62+ 1) +$AK$61," ")," ")</f>
        <v xml:space="preserve"> </v>
      </c>
      <c r="AK62" s="46" t="str">
        <f ca="1">IFERROR(IF(ISNUMBER($AJ$62),INDEX('1.Locations'!$I$2:$I$97,$AC$62 + 1) + MAX($AJ$62,INDEX('1.Locations'!$F$2:$F$97,$AC$62 + 1))," ")," ")</f>
        <v xml:space="preserve"> </v>
      </c>
      <c r="AL62" s="45" t="str">
        <f ca="1">IFERROR($AL$61 + INDEX('2.Distances'!$D$2:$D$9218,$AC$61*96+$AC$62+ 1) + INDEX('1.Locations'!$I$2:$I$97,$AC$62 + 1)," ")</f>
        <v xml:space="preserve"> </v>
      </c>
      <c r="AN62" s="24">
        <v>57</v>
      </c>
      <c r="AO62" s="25"/>
      <c r="AP62" s="43" t="str">
        <f ca="1">IFERROR(MATCH(INDIRECT("$AO$62"),'1.Locations'!$B$2:$B$97, 0) - 1," ")</f>
        <v xml:space="preserve"> </v>
      </c>
      <c r="AQ62" s="43" t="e">
        <f ca="1">IFERROR(IF(ISNUMBER($AP$62),INDEX('1.Locations'!$D$2:$D$97,$AP$62 + 1),NA()),NA())</f>
        <v>#N/A</v>
      </c>
      <c r="AR62" s="43" t="e">
        <f ca="1">IFERROR(IF(ISNUMBER($AP$62),INDEX('1.Locations'!$E$2:$E$97,$AP$62 + 1),NA()),NA())</f>
        <v>#N/A</v>
      </c>
      <c r="AS62" s="44" t="str">
        <f ca="1">IFERROR(IF(AND(ISNUMBER($AP$62),$AP$62&lt;=95),INDEX('2.Distances'!$C$2:$C$9218,$AP$61*96+$AP$62+ 1) +$AS$61," ")," ")</f>
        <v xml:space="preserve"> </v>
      </c>
      <c r="AT62" s="43" t="str">
        <f ca="1">IFERROR(IF(ISNUMBER($AP$62),INDEX('1.Locations'!$J$2:$J$97,$AP$62 + 1) +$AT$61," ")," ")</f>
        <v xml:space="preserve"> </v>
      </c>
      <c r="AU62" s="43" t="str">
        <f ca="1">IFERROR(IF(ISNUMBER($AP$62),INDEX('1.Locations'!$K$2:$K$97,$AP$62 + 1) +$AU$61," ")," ")</f>
        <v xml:space="preserve"> </v>
      </c>
      <c r="AV62" s="45" t="str">
        <f ca="1">IFERROR(IF(AND(ISNUMBER($AP$62),$AP$62&lt;=95),INDEX('2.Distances'!$D$2:$D$9218,$AP$61*96+$AP$62+ 1) +$AV$61," ")," ")</f>
        <v xml:space="preserve"> </v>
      </c>
      <c r="AW62" s="46" t="str">
        <f ca="1">IFERROR(IF(AND(ISNUMBER($AP$62),$AP$62&lt;=95),INDEX('2.Distances'!$D$2:$D$9218,$AP$61*96+$AP$62+ 1) +$AX$61," ")," ")</f>
        <v xml:space="preserve"> </v>
      </c>
      <c r="AX62" s="46" t="str">
        <f ca="1">IFERROR(IF(ISNUMBER($AW$62),INDEX('1.Locations'!$I$2:$I$97,$AP$62 + 1) + MAX($AW$62,INDEX('1.Locations'!$F$2:$F$97,$AP$62 + 1))," ")," ")</f>
        <v xml:space="preserve"> </v>
      </c>
      <c r="AY62" s="45" t="str">
        <f ca="1">IFERROR($AY$61 + INDEX('2.Distances'!$D$2:$D$9218,$AP$61*96+$AP$62+ 1) + INDEX('1.Locations'!$I$2:$I$97,$AP$62 + 1)," ")</f>
        <v xml:space="preserve"> </v>
      </c>
      <c r="BA62" s="24">
        <v>57</v>
      </c>
      <c r="BB62" s="25"/>
      <c r="BC62" s="43" t="str">
        <f ca="1">IFERROR(MATCH(INDIRECT("$BB$62"),'1.Locations'!$B$2:$B$97, 0) - 1," ")</f>
        <v xml:space="preserve"> </v>
      </c>
      <c r="BD62" s="43" t="e">
        <f ca="1">IFERROR(IF(ISNUMBER($BC$62),INDEX('1.Locations'!$D$2:$D$97,$BC$62 + 1),NA()),NA())</f>
        <v>#N/A</v>
      </c>
      <c r="BE62" s="43" t="e">
        <f ca="1">IFERROR(IF(ISNUMBER($BC$62),INDEX('1.Locations'!$E$2:$E$97,$BC$62 + 1),NA()),NA())</f>
        <v>#N/A</v>
      </c>
      <c r="BF62" s="44" t="str">
        <f ca="1">IFERROR(IF(AND(ISNUMBER($BC$62),$BC$62&lt;=95),INDEX('2.Distances'!$C$2:$C$9218,$BC$61*96+$BC$62+ 1) +$BF$61," ")," ")</f>
        <v xml:space="preserve"> </v>
      </c>
      <c r="BG62" s="43" t="str">
        <f ca="1">IFERROR(IF(ISNUMBER($BC$62),INDEX('1.Locations'!$J$2:$J$97,$BC$62 + 1) +$BG$61," ")," ")</f>
        <v xml:space="preserve"> </v>
      </c>
      <c r="BH62" s="43" t="str">
        <f ca="1">IFERROR(IF(ISNUMBER($BC$62),INDEX('1.Locations'!$K$2:$K$97,$BC$62 + 1) +$BH$61," ")," ")</f>
        <v xml:space="preserve"> </v>
      </c>
      <c r="BI62" s="45" t="str">
        <f ca="1">IFERROR(IF(AND(ISNUMBER($BC$62),$BC$62&lt;=95),INDEX('2.Distances'!$D$2:$D$9218,$BC$61*96+$BC$62+ 1) +$BI$61," ")," ")</f>
        <v xml:space="preserve"> </v>
      </c>
      <c r="BJ62" s="46" t="str">
        <f ca="1">IFERROR(IF(AND(ISNUMBER($BC$62),$BC$62&lt;=95),INDEX('2.Distances'!$D$2:$D$9218,$BC$61*96+$BC$62+ 1) +$BK$61," ")," ")</f>
        <v xml:space="preserve"> </v>
      </c>
      <c r="BK62" s="46" t="str">
        <f ca="1">IFERROR(IF(ISNUMBER($BJ$62),INDEX('1.Locations'!$I$2:$I$97,$BC$62 + 1) + MAX($BJ$62,INDEX('1.Locations'!$F$2:$F$97,$BC$62 + 1))," ")," ")</f>
        <v xml:space="preserve"> </v>
      </c>
      <c r="BL62" s="45" t="str">
        <f ca="1">IFERROR($BL$61 + INDEX('2.Distances'!$D$2:$D$9218,$BC$61*96+$BC$62+ 1) + INDEX('1.Locations'!$I$2:$I$97,$BC$62 + 1)," ")</f>
        <v xml:space="preserve"> </v>
      </c>
      <c r="BN62" s="24">
        <v>57</v>
      </c>
      <c r="BO62" s="25"/>
      <c r="BP62" s="43" t="str">
        <f ca="1">IFERROR(MATCH(INDIRECT("$BO$62"),'1.Locations'!$B$2:$B$97, 0) - 1," ")</f>
        <v xml:space="preserve"> </v>
      </c>
      <c r="BQ62" s="43" t="e">
        <f ca="1">IFERROR(IF(ISNUMBER($BP$62),INDEX('1.Locations'!$D$2:$D$97,$BP$62 + 1),NA()),NA())</f>
        <v>#N/A</v>
      </c>
      <c r="BR62" s="43" t="e">
        <f ca="1">IFERROR(IF(ISNUMBER($BP$62),INDEX('1.Locations'!$E$2:$E$97,$BP$62 + 1),NA()),NA())</f>
        <v>#N/A</v>
      </c>
      <c r="BS62" s="44" t="str">
        <f ca="1">IFERROR(IF(AND(ISNUMBER($BP$62),$BP$62&lt;=95),INDEX('2.Distances'!$C$2:$C$9218,$BP$61*96+$BP$62+ 1) +$BS$61," ")," ")</f>
        <v xml:space="preserve"> </v>
      </c>
      <c r="BT62" s="43" t="str">
        <f ca="1">IFERROR(IF(ISNUMBER($BP$62),INDEX('1.Locations'!$J$2:$J$97,$BP$62 + 1) +$BT$61," ")," ")</f>
        <v xml:space="preserve"> </v>
      </c>
      <c r="BU62" s="43" t="str">
        <f ca="1">IFERROR(IF(ISNUMBER($BP$62),INDEX('1.Locations'!$K$2:$K$97,$BP$62 + 1) +$BU$61," ")," ")</f>
        <v xml:space="preserve"> </v>
      </c>
      <c r="BV62" s="45" t="str">
        <f ca="1">IFERROR(IF(AND(ISNUMBER($BP$62),$BP$62&lt;=95),INDEX('2.Distances'!$D$2:$D$9218,$BP$61*96+$BP$62+ 1) +$BV$61," ")," ")</f>
        <v xml:space="preserve"> </v>
      </c>
      <c r="BW62" s="46" t="str">
        <f ca="1">IFERROR(IF(AND(ISNUMBER($BP$62),$BP$62&lt;=95),INDEX('2.Distances'!$D$2:$D$9218,$BP$61*96+$BP$62+ 1) +$BX$61," ")," ")</f>
        <v xml:space="preserve"> </v>
      </c>
      <c r="BX62" s="46" t="str">
        <f ca="1">IFERROR(IF(ISNUMBER($BW$62),INDEX('1.Locations'!$I$2:$I$97,$BP$62 + 1) + MAX($BW$62,INDEX('1.Locations'!$F$2:$F$97,$BP$62 + 1))," ")," ")</f>
        <v xml:space="preserve"> </v>
      </c>
      <c r="BY62" s="45" t="str">
        <f ca="1">IFERROR($BY$61 + INDEX('2.Distances'!$D$2:$D$9218,$BP$61*96+$BP$62+ 1) + INDEX('1.Locations'!$I$2:$I$97,$BP$62 + 1)," ")</f>
        <v xml:space="preserve"> </v>
      </c>
      <c r="CA62" s="24">
        <v>57</v>
      </c>
      <c r="CB62" s="25"/>
      <c r="CC62" s="43" t="str">
        <f ca="1">IFERROR(MATCH(INDIRECT("$CB$62"),'1.Locations'!$B$2:$B$97, 0) - 1," ")</f>
        <v xml:space="preserve"> </v>
      </c>
      <c r="CD62" s="43" t="e">
        <f ca="1">IFERROR(IF(ISNUMBER($CC$62),INDEX('1.Locations'!$D$2:$D$97,$CC$62 + 1),NA()),NA())</f>
        <v>#N/A</v>
      </c>
      <c r="CE62" s="43" t="e">
        <f ca="1">IFERROR(IF(ISNUMBER($CC$62),INDEX('1.Locations'!$E$2:$E$97,$CC$62 + 1),NA()),NA())</f>
        <v>#N/A</v>
      </c>
      <c r="CF62" s="44" t="str">
        <f ca="1">IFERROR(IF(AND(ISNUMBER($CC$62),$CC$62&lt;=95),INDEX('2.Distances'!$C$2:$C$9218,$CC$61*96+$CC$62+ 1) +$CF$61," ")," ")</f>
        <v xml:space="preserve"> </v>
      </c>
      <c r="CG62" s="43" t="str">
        <f ca="1">IFERROR(IF(ISNUMBER($CC$62),INDEX('1.Locations'!$J$2:$J$97,$CC$62 + 1) +$CG$61," ")," ")</f>
        <v xml:space="preserve"> </v>
      </c>
      <c r="CH62" s="43" t="str">
        <f ca="1">IFERROR(IF(ISNUMBER($CC$62),INDEX('1.Locations'!$K$2:$K$97,$CC$62 + 1) +$CH$61," ")," ")</f>
        <v xml:space="preserve"> </v>
      </c>
      <c r="CI62" s="45" t="str">
        <f ca="1">IFERROR(IF(AND(ISNUMBER($CC$62),$CC$62&lt;=95),INDEX('2.Distances'!$D$2:$D$9218,$CC$61*96+$CC$62+ 1) +$CI$61," ")," ")</f>
        <v xml:space="preserve"> </v>
      </c>
      <c r="CJ62" s="46" t="str">
        <f ca="1">IFERROR(IF(AND(ISNUMBER($CC$62),$CC$62&lt;=95),INDEX('2.Distances'!$D$2:$D$9218,$CC$61*96+$CC$62+ 1) +$CK$61," ")," ")</f>
        <v xml:space="preserve"> </v>
      </c>
      <c r="CK62" s="46" t="str">
        <f ca="1">IFERROR(IF(ISNUMBER($CJ$62),INDEX('1.Locations'!$I$2:$I$97,$CC$62 + 1) + MAX($CJ$62,INDEX('1.Locations'!$F$2:$F$97,$CC$62 + 1))," ")," ")</f>
        <v xml:space="preserve"> </v>
      </c>
      <c r="CL62" s="45" t="str">
        <f ca="1">IFERROR($CL$61 + INDEX('2.Distances'!$D$2:$D$9218,$CC$61*96+$CC$62+ 1) + INDEX('1.Locations'!$I$2:$I$97,$CC$62 + 1)," ")</f>
        <v xml:space="preserve"> </v>
      </c>
    </row>
    <row r="63" spans="1:90" x14ac:dyDescent="0.25">
      <c r="A63" s="24">
        <v>58</v>
      </c>
      <c r="B63" s="25"/>
      <c r="C63" s="43" t="str">
        <f ca="1">IFERROR(MATCH(INDIRECT("$B$63"),'1.Locations'!$B$2:$B$97, 0) - 1," ")</f>
        <v xml:space="preserve"> </v>
      </c>
      <c r="D63" s="43" t="e">
        <f ca="1">IFERROR(IF(ISNUMBER($C$63),INDEX('1.Locations'!$D$2:$D$97,$C$63 + 1),NA()),NA())</f>
        <v>#N/A</v>
      </c>
      <c r="E63" s="43" t="e">
        <f ca="1">IFERROR(IF(ISNUMBER($C$63),INDEX('1.Locations'!$E$2:$E$97,$C$63 + 1),NA()),NA())</f>
        <v>#N/A</v>
      </c>
      <c r="F63" s="44" t="str">
        <f ca="1">IFERROR(IF(AND(ISNUMBER($C$63),$C$63&lt;=95),INDEX('2.Distances'!$C$2:$C$9218,$C$62*96+$C$63+ 1) +$F$62," ")," ")</f>
        <v xml:space="preserve"> </v>
      </c>
      <c r="G63" s="43" t="str">
        <f ca="1">IFERROR(IF(ISNUMBER($C$63),INDEX('1.Locations'!$J$2:$J$97,$C$63 + 1) +$G$62," ")," ")</f>
        <v xml:space="preserve"> </v>
      </c>
      <c r="H63" s="43" t="str">
        <f ca="1">IFERROR(IF(ISNUMBER($C$63),INDEX('1.Locations'!$K$2:$K$97,$C$63 + 1) +$H$62," ")," ")</f>
        <v xml:space="preserve"> </v>
      </c>
      <c r="I63" s="45" t="str">
        <f ca="1">IFERROR(IF(AND(ISNUMBER($C$63),$C$63&lt;=95),INDEX('2.Distances'!$D$2:$D$9218,$C$62*96+$C$63+ 1) +$I$62," ")," ")</f>
        <v xml:space="preserve"> </v>
      </c>
      <c r="J63" s="46" t="str">
        <f ca="1">IFERROR(IF(AND(ISNUMBER($C$63),$C$63&lt;=95),INDEX('2.Distances'!$D$2:$D$9218,$C$62*96+$C$63+ 1) +$K$62," ")," ")</f>
        <v xml:space="preserve"> </v>
      </c>
      <c r="K63" s="46" t="str">
        <f ca="1">IFERROR(IF(ISNUMBER($J$63),INDEX('1.Locations'!$I$2:$I$97,$C$63 + 1) + MAX($J$63,INDEX('1.Locations'!$F$2:$F$97,$C$63 + 1))," ")," ")</f>
        <v xml:space="preserve"> </v>
      </c>
      <c r="L63" s="45" t="str">
        <f ca="1">IFERROR($L$62 + INDEX('2.Distances'!$D$2:$D$9218,$C$62*96+$C$63+ 1) + INDEX('1.Locations'!$I$2:$I$97,$C$63 + 1)," ")</f>
        <v xml:space="preserve"> </v>
      </c>
      <c r="N63" s="24">
        <v>58</v>
      </c>
      <c r="O63" s="25"/>
      <c r="P63" s="43" t="str">
        <f ca="1">IFERROR(MATCH(INDIRECT("$O$63"),'1.Locations'!$B$2:$B$97, 0) - 1," ")</f>
        <v xml:space="preserve"> </v>
      </c>
      <c r="Q63" s="43" t="e">
        <f ca="1">IFERROR(IF(ISNUMBER($P$63),INDEX('1.Locations'!$D$2:$D$97,$P$63 + 1),NA()),NA())</f>
        <v>#N/A</v>
      </c>
      <c r="R63" s="43" t="e">
        <f ca="1">IFERROR(IF(ISNUMBER($P$63),INDEX('1.Locations'!$E$2:$E$97,$P$63 + 1),NA()),NA())</f>
        <v>#N/A</v>
      </c>
      <c r="S63" s="44" t="str">
        <f ca="1">IFERROR(IF(AND(ISNUMBER($P$63),$P$63&lt;=95),INDEX('2.Distances'!$C$2:$C$9218,$P$62*96+$P$63+ 1) +$S$62," ")," ")</f>
        <v xml:space="preserve"> </v>
      </c>
      <c r="T63" s="43" t="str">
        <f ca="1">IFERROR(IF(ISNUMBER($P$63),INDEX('1.Locations'!$J$2:$J$97,$P$63 + 1) +$T$62," ")," ")</f>
        <v xml:space="preserve"> </v>
      </c>
      <c r="U63" s="43" t="str">
        <f ca="1">IFERROR(IF(ISNUMBER($P$63),INDEX('1.Locations'!$K$2:$K$97,$P$63 + 1) +$U$62," ")," ")</f>
        <v xml:space="preserve"> </v>
      </c>
      <c r="V63" s="45" t="str">
        <f ca="1">IFERROR(IF(AND(ISNUMBER($P$63),$P$63&lt;=95),INDEX('2.Distances'!$D$2:$D$9218,$P$62*96+$P$63+ 1) +$V$62," ")," ")</f>
        <v xml:space="preserve"> </v>
      </c>
      <c r="W63" s="46" t="str">
        <f ca="1">IFERROR(IF(AND(ISNUMBER($P$63),$P$63&lt;=95),INDEX('2.Distances'!$D$2:$D$9218,$P$62*96+$P$63+ 1) +$X$62," ")," ")</f>
        <v xml:space="preserve"> </v>
      </c>
      <c r="X63" s="46" t="str">
        <f ca="1">IFERROR(IF(ISNUMBER($W$63),INDEX('1.Locations'!$I$2:$I$97,$P$63 + 1) + MAX($W$63,INDEX('1.Locations'!$F$2:$F$97,$P$63 + 1))," ")," ")</f>
        <v xml:space="preserve"> </v>
      </c>
      <c r="Y63" s="45" t="str">
        <f ca="1">IFERROR($Y$62 + INDEX('2.Distances'!$D$2:$D$9218,$P$62*96+$P$63+ 1) + INDEX('1.Locations'!$I$2:$I$97,$P$63 + 1)," ")</f>
        <v xml:space="preserve"> </v>
      </c>
      <c r="AA63" s="24">
        <v>58</v>
      </c>
      <c r="AB63" s="25"/>
      <c r="AC63" s="43" t="str">
        <f ca="1">IFERROR(MATCH(INDIRECT("$AB$63"),'1.Locations'!$B$2:$B$97, 0) - 1," ")</f>
        <v xml:space="preserve"> </v>
      </c>
      <c r="AD63" s="43" t="e">
        <f ca="1">IFERROR(IF(ISNUMBER($AC$63),INDEX('1.Locations'!$D$2:$D$97,$AC$63 + 1),NA()),NA())</f>
        <v>#N/A</v>
      </c>
      <c r="AE63" s="43" t="e">
        <f ca="1">IFERROR(IF(ISNUMBER($AC$63),INDEX('1.Locations'!$E$2:$E$97,$AC$63 + 1),NA()),NA())</f>
        <v>#N/A</v>
      </c>
      <c r="AF63" s="44" t="str">
        <f ca="1">IFERROR(IF(AND(ISNUMBER($AC$63),$AC$63&lt;=95),INDEX('2.Distances'!$C$2:$C$9218,$AC$62*96+$AC$63+ 1) +$AF$62," ")," ")</f>
        <v xml:space="preserve"> </v>
      </c>
      <c r="AG63" s="43" t="str">
        <f ca="1">IFERROR(IF(ISNUMBER($AC$63),INDEX('1.Locations'!$J$2:$J$97,$AC$63 + 1) +$AG$62," ")," ")</f>
        <v xml:space="preserve"> </v>
      </c>
      <c r="AH63" s="43" t="str">
        <f ca="1">IFERROR(IF(ISNUMBER($AC$63),INDEX('1.Locations'!$K$2:$K$97,$AC$63 + 1) +$AH$62," ")," ")</f>
        <v xml:space="preserve"> </v>
      </c>
      <c r="AI63" s="45" t="str">
        <f ca="1">IFERROR(IF(AND(ISNUMBER($AC$63),$AC$63&lt;=95),INDEX('2.Distances'!$D$2:$D$9218,$AC$62*96+$AC$63+ 1) +$AI$62," ")," ")</f>
        <v xml:space="preserve"> </v>
      </c>
      <c r="AJ63" s="46" t="str">
        <f ca="1">IFERROR(IF(AND(ISNUMBER($AC$63),$AC$63&lt;=95),INDEX('2.Distances'!$D$2:$D$9218,$AC$62*96+$AC$63+ 1) +$AK$62," ")," ")</f>
        <v xml:space="preserve"> </v>
      </c>
      <c r="AK63" s="46" t="str">
        <f ca="1">IFERROR(IF(ISNUMBER($AJ$63),INDEX('1.Locations'!$I$2:$I$97,$AC$63 + 1) + MAX($AJ$63,INDEX('1.Locations'!$F$2:$F$97,$AC$63 + 1))," ")," ")</f>
        <v xml:space="preserve"> </v>
      </c>
      <c r="AL63" s="45" t="str">
        <f ca="1">IFERROR($AL$62 + INDEX('2.Distances'!$D$2:$D$9218,$AC$62*96+$AC$63+ 1) + INDEX('1.Locations'!$I$2:$I$97,$AC$63 + 1)," ")</f>
        <v xml:space="preserve"> </v>
      </c>
      <c r="AN63" s="24">
        <v>58</v>
      </c>
      <c r="AO63" s="25"/>
      <c r="AP63" s="43" t="str">
        <f ca="1">IFERROR(MATCH(INDIRECT("$AO$63"),'1.Locations'!$B$2:$B$97, 0) - 1," ")</f>
        <v xml:space="preserve"> </v>
      </c>
      <c r="AQ63" s="43" t="e">
        <f ca="1">IFERROR(IF(ISNUMBER($AP$63),INDEX('1.Locations'!$D$2:$D$97,$AP$63 + 1),NA()),NA())</f>
        <v>#N/A</v>
      </c>
      <c r="AR63" s="43" t="e">
        <f ca="1">IFERROR(IF(ISNUMBER($AP$63),INDEX('1.Locations'!$E$2:$E$97,$AP$63 + 1),NA()),NA())</f>
        <v>#N/A</v>
      </c>
      <c r="AS63" s="44" t="str">
        <f ca="1">IFERROR(IF(AND(ISNUMBER($AP$63),$AP$63&lt;=95),INDEX('2.Distances'!$C$2:$C$9218,$AP$62*96+$AP$63+ 1) +$AS$62," ")," ")</f>
        <v xml:space="preserve"> </v>
      </c>
      <c r="AT63" s="43" t="str">
        <f ca="1">IFERROR(IF(ISNUMBER($AP$63),INDEX('1.Locations'!$J$2:$J$97,$AP$63 + 1) +$AT$62," ")," ")</f>
        <v xml:space="preserve"> </v>
      </c>
      <c r="AU63" s="43" t="str">
        <f ca="1">IFERROR(IF(ISNUMBER($AP$63),INDEX('1.Locations'!$K$2:$K$97,$AP$63 + 1) +$AU$62," ")," ")</f>
        <v xml:space="preserve"> </v>
      </c>
      <c r="AV63" s="45" t="str">
        <f ca="1">IFERROR(IF(AND(ISNUMBER($AP$63),$AP$63&lt;=95),INDEX('2.Distances'!$D$2:$D$9218,$AP$62*96+$AP$63+ 1) +$AV$62," ")," ")</f>
        <v xml:space="preserve"> </v>
      </c>
      <c r="AW63" s="46" t="str">
        <f ca="1">IFERROR(IF(AND(ISNUMBER($AP$63),$AP$63&lt;=95),INDEX('2.Distances'!$D$2:$D$9218,$AP$62*96+$AP$63+ 1) +$AX$62," ")," ")</f>
        <v xml:space="preserve"> </v>
      </c>
      <c r="AX63" s="46" t="str">
        <f ca="1">IFERROR(IF(ISNUMBER($AW$63),INDEX('1.Locations'!$I$2:$I$97,$AP$63 + 1) + MAX($AW$63,INDEX('1.Locations'!$F$2:$F$97,$AP$63 + 1))," ")," ")</f>
        <v xml:space="preserve"> </v>
      </c>
      <c r="AY63" s="45" t="str">
        <f ca="1">IFERROR($AY$62 + INDEX('2.Distances'!$D$2:$D$9218,$AP$62*96+$AP$63+ 1) + INDEX('1.Locations'!$I$2:$I$97,$AP$63 + 1)," ")</f>
        <v xml:space="preserve"> </v>
      </c>
      <c r="BA63" s="24">
        <v>58</v>
      </c>
      <c r="BB63" s="25"/>
      <c r="BC63" s="43" t="str">
        <f ca="1">IFERROR(MATCH(INDIRECT("$BB$63"),'1.Locations'!$B$2:$B$97, 0) - 1," ")</f>
        <v xml:space="preserve"> </v>
      </c>
      <c r="BD63" s="43" t="e">
        <f ca="1">IFERROR(IF(ISNUMBER($BC$63),INDEX('1.Locations'!$D$2:$D$97,$BC$63 + 1),NA()),NA())</f>
        <v>#N/A</v>
      </c>
      <c r="BE63" s="43" t="e">
        <f ca="1">IFERROR(IF(ISNUMBER($BC$63),INDEX('1.Locations'!$E$2:$E$97,$BC$63 + 1),NA()),NA())</f>
        <v>#N/A</v>
      </c>
      <c r="BF63" s="44" t="str">
        <f ca="1">IFERROR(IF(AND(ISNUMBER($BC$63),$BC$63&lt;=95),INDEX('2.Distances'!$C$2:$C$9218,$BC$62*96+$BC$63+ 1) +$BF$62," ")," ")</f>
        <v xml:space="preserve"> </v>
      </c>
      <c r="BG63" s="43" t="str">
        <f ca="1">IFERROR(IF(ISNUMBER($BC$63),INDEX('1.Locations'!$J$2:$J$97,$BC$63 + 1) +$BG$62," ")," ")</f>
        <v xml:space="preserve"> </v>
      </c>
      <c r="BH63" s="43" t="str">
        <f ca="1">IFERROR(IF(ISNUMBER($BC$63),INDEX('1.Locations'!$K$2:$K$97,$BC$63 + 1) +$BH$62," ")," ")</f>
        <v xml:space="preserve"> </v>
      </c>
      <c r="BI63" s="45" t="str">
        <f ca="1">IFERROR(IF(AND(ISNUMBER($BC$63),$BC$63&lt;=95),INDEX('2.Distances'!$D$2:$D$9218,$BC$62*96+$BC$63+ 1) +$BI$62," ")," ")</f>
        <v xml:space="preserve"> </v>
      </c>
      <c r="BJ63" s="46" t="str">
        <f ca="1">IFERROR(IF(AND(ISNUMBER($BC$63),$BC$63&lt;=95),INDEX('2.Distances'!$D$2:$D$9218,$BC$62*96+$BC$63+ 1) +$BK$62," ")," ")</f>
        <v xml:space="preserve"> </v>
      </c>
      <c r="BK63" s="46" t="str">
        <f ca="1">IFERROR(IF(ISNUMBER($BJ$63),INDEX('1.Locations'!$I$2:$I$97,$BC$63 + 1) + MAX($BJ$63,INDEX('1.Locations'!$F$2:$F$97,$BC$63 + 1))," ")," ")</f>
        <v xml:space="preserve"> </v>
      </c>
      <c r="BL63" s="45" t="str">
        <f ca="1">IFERROR($BL$62 + INDEX('2.Distances'!$D$2:$D$9218,$BC$62*96+$BC$63+ 1) + INDEX('1.Locations'!$I$2:$I$97,$BC$63 + 1)," ")</f>
        <v xml:space="preserve"> </v>
      </c>
      <c r="BN63" s="24">
        <v>58</v>
      </c>
      <c r="BO63" s="25"/>
      <c r="BP63" s="43" t="str">
        <f ca="1">IFERROR(MATCH(INDIRECT("$BO$63"),'1.Locations'!$B$2:$B$97, 0) - 1," ")</f>
        <v xml:space="preserve"> </v>
      </c>
      <c r="BQ63" s="43" t="e">
        <f ca="1">IFERROR(IF(ISNUMBER($BP$63),INDEX('1.Locations'!$D$2:$D$97,$BP$63 + 1),NA()),NA())</f>
        <v>#N/A</v>
      </c>
      <c r="BR63" s="43" t="e">
        <f ca="1">IFERROR(IF(ISNUMBER($BP$63),INDEX('1.Locations'!$E$2:$E$97,$BP$63 + 1),NA()),NA())</f>
        <v>#N/A</v>
      </c>
      <c r="BS63" s="44" t="str">
        <f ca="1">IFERROR(IF(AND(ISNUMBER($BP$63),$BP$63&lt;=95),INDEX('2.Distances'!$C$2:$C$9218,$BP$62*96+$BP$63+ 1) +$BS$62," ")," ")</f>
        <v xml:space="preserve"> </v>
      </c>
      <c r="BT63" s="43" t="str">
        <f ca="1">IFERROR(IF(ISNUMBER($BP$63),INDEX('1.Locations'!$J$2:$J$97,$BP$63 + 1) +$BT$62," ")," ")</f>
        <v xml:space="preserve"> </v>
      </c>
      <c r="BU63" s="43" t="str">
        <f ca="1">IFERROR(IF(ISNUMBER($BP$63),INDEX('1.Locations'!$K$2:$K$97,$BP$63 + 1) +$BU$62," ")," ")</f>
        <v xml:space="preserve"> </v>
      </c>
      <c r="BV63" s="45" t="str">
        <f ca="1">IFERROR(IF(AND(ISNUMBER($BP$63),$BP$63&lt;=95),INDEX('2.Distances'!$D$2:$D$9218,$BP$62*96+$BP$63+ 1) +$BV$62," ")," ")</f>
        <v xml:space="preserve"> </v>
      </c>
      <c r="BW63" s="46" t="str">
        <f ca="1">IFERROR(IF(AND(ISNUMBER($BP$63),$BP$63&lt;=95),INDEX('2.Distances'!$D$2:$D$9218,$BP$62*96+$BP$63+ 1) +$BX$62," ")," ")</f>
        <v xml:space="preserve"> </v>
      </c>
      <c r="BX63" s="46" t="str">
        <f ca="1">IFERROR(IF(ISNUMBER($BW$63),INDEX('1.Locations'!$I$2:$I$97,$BP$63 + 1) + MAX($BW$63,INDEX('1.Locations'!$F$2:$F$97,$BP$63 + 1))," ")," ")</f>
        <v xml:space="preserve"> </v>
      </c>
      <c r="BY63" s="45" t="str">
        <f ca="1">IFERROR($BY$62 + INDEX('2.Distances'!$D$2:$D$9218,$BP$62*96+$BP$63+ 1) + INDEX('1.Locations'!$I$2:$I$97,$BP$63 + 1)," ")</f>
        <v xml:space="preserve"> </v>
      </c>
      <c r="CA63" s="24">
        <v>58</v>
      </c>
      <c r="CB63" s="25"/>
      <c r="CC63" s="43" t="str">
        <f ca="1">IFERROR(MATCH(INDIRECT("$CB$63"),'1.Locations'!$B$2:$B$97, 0) - 1," ")</f>
        <v xml:space="preserve"> </v>
      </c>
      <c r="CD63" s="43" t="e">
        <f ca="1">IFERROR(IF(ISNUMBER($CC$63),INDEX('1.Locations'!$D$2:$D$97,$CC$63 + 1),NA()),NA())</f>
        <v>#N/A</v>
      </c>
      <c r="CE63" s="43" t="e">
        <f ca="1">IFERROR(IF(ISNUMBER($CC$63),INDEX('1.Locations'!$E$2:$E$97,$CC$63 + 1),NA()),NA())</f>
        <v>#N/A</v>
      </c>
      <c r="CF63" s="44" t="str">
        <f ca="1">IFERROR(IF(AND(ISNUMBER($CC$63),$CC$63&lt;=95),INDEX('2.Distances'!$C$2:$C$9218,$CC$62*96+$CC$63+ 1) +$CF$62," ")," ")</f>
        <v xml:space="preserve"> </v>
      </c>
      <c r="CG63" s="43" t="str">
        <f ca="1">IFERROR(IF(ISNUMBER($CC$63),INDEX('1.Locations'!$J$2:$J$97,$CC$63 + 1) +$CG$62," ")," ")</f>
        <v xml:space="preserve"> </v>
      </c>
      <c r="CH63" s="43" t="str">
        <f ca="1">IFERROR(IF(ISNUMBER($CC$63),INDEX('1.Locations'!$K$2:$K$97,$CC$63 + 1) +$CH$62," ")," ")</f>
        <v xml:space="preserve"> </v>
      </c>
      <c r="CI63" s="45" t="str">
        <f ca="1">IFERROR(IF(AND(ISNUMBER($CC$63),$CC$63&lt;=95),INDEX('2.Distances'!$D$2:$D$9218,$CC$62*96+$CC$63+ 1) +$CI$62," ")," ")</f>
        <v xml:space="preserve"> </v>
      </c>
      <c r="CJ63" s="46" t="str">
        <f ca="1">IFERROR(IF(AND(ISNUMBER($CC$63),$CC$63&lt;=95),INDEX('2.Distances'!$D$2:$D$9218,$CC$62*96+$CC$63+ 1) +$CK$62," ")," ")</f>
        <v xml:space="preserve"> </v>
      </c>
      <c r="CK63" s="46" t="str">
        <f ca="1">IFERROR(IF(ISNUMBER($CJ$63),INDEX('1.Locations'!$I$2:$I$97,$CC$63 + 1) + MAX($CJ$63,INDEX('1.Locations'!$F$2:$F$97,$CC$63 + 1))," ")," ")</f>
        <v xml:space="preserve"> </v>
      </c>
      <c r="CL63" s="45" t="str">
        <f ca="1">IFERROR($CL$62 + INDEX('2.Distances'!$D$2:$D$9218,$CC$62*96+$CC$63+ 1) + INDEX('1.Locations'!$I$2:$I$97,$CC$63 + 1)," ")</f>
        <v xml:space="preserve"> </v>
      </c>
    </row>
    <row r="64" spans="1:90" x14ac:dyDescent="0.25">
      <c r="A64" s="24">
        <v>59</v>
      </c>
      <c r="B64" s="25"/>
      <c r="C64" s="43" t="str">
        <f ca="1">IFERROR(MATCH(INDIRECT("$B$64"),'1.Locations'!$B$2:$B$97, 0) - 1," ")</f>
        <v xml:space="preserve"> </v>
      </c>
      <c r="D64" s="43" t="e">
        <f ca="1">IFERROR(IF(ISNUMBER($C$64),INDEX('1.Locations'!$D$2:$D$97,$C$64 + 1),NA()),NA())</f>
        <v>#N/A</v>
      </c>
      <c r="E64" s="43" t="e">
        <f ca="1">IFERROR(IF(ISNUMBER($C$64),INDEX('1.Locations'!$E$2:$E$97,$C$64 + 1),NA()),NA())</f>
        <v>#N/A</v>
      </c>
      <c r="F64" s="44" t="str">
        <f ca="1">IFERROR(IF(AND(ISNUMBER($C$64),$C$64&lt;=95),INDEX('2.Distances'!$C$2:$C$9218,$C$63*96+$C$64+ 1) +$F$63," ")," ")</f>
        <v xml:space="preserve"> </v>
      </c>
      <c r="G64" s="43" t="str">
        <f ca="1">IFERROR(IF(ISNUMBER($C$64),INDEX('1.Locations'!$J$2:$J$97,$C$64 + 1) +$G$63," ")," ")</f>
        <v xml:space="preserve"> </v>
      </c>
      <c r="H64" s="43" t="str">
        <f ca="1">IFERROR(IF(ISNUMBER($C$64),INDEX('1.Locations'!$K$2:$K$97,$C$64 + 1) +$H$63," ")," ")</f>
        <v xml:space="preserve"> </v>
      </c>
      <c r="I64" s="45" t="str">
        <f ca="1">IFERROR(IF(AND(ISNUMBER($C$64),$C$64&lt;=95),INDEX('2.Distances'!$D$2:$D$9218,$C$63*96+$C$64+ 1) +$I$63," ")," ")</f>
        <v xml:space="preserve"> </v>
      </c>
      <c r="J64" s="46" t="str">
        <f ca="1">IFERROR(IF(AND(ISNUMBER($C$64),$C$64&lt;=95),INDEX('2.Distances'!$D$2:$D$9218,$C$63*96+$C$64+ 1) +$K$63," ")," ")</f>
        <v xml:space="preserve"> </v>
      </c>
      <c r="K64" s="46" t="str">
        <f ca="1">IFERROR(IF(ISNUMBER($J$64),INDEX('1.Locations'!$I$2:$I$97,$C$64 + 1) + MAX($J$64,INDEX('1.Locations'!$F$2:$F$97,$C$64 + 1))," ")," ")</f>
        <v xml:space="preserve"> </v>
      </c>
      <c r="L64" s="45" t="str">
        <f ca="1">IFERROR($L$63 + INDEX('2.Distances'!$D$2:$D$9218,$C$63*96+$C$64+ 1) + INDEX('1.Locations'!$I$2:$I$97,$C$64 + 1)," ")</f>
        <v xml:space="preserve"> </v>
      </c>
      <c r="N64" s="24">
        <v>59</v>
      </c>
      <c r="O64" s="25"/>
      <c r="P64" s="43" t="str">
        <f ca="1">IFERROR(MATCH(INDIRECT("$O$64"),'1.Locations'!$B$2:$B$97, 0) - 1," ")</f>
        <v xml:space="preserve"> </v>
      </c>
      <c r="Q64" s="43" t="e">
        <f ca="1">IFERROR(IF(ISNUMBER($P$64),INDEX('1.Locations'!$D$2:$D$97,$P$64 + 1),NA()),NA())</f>
        <v>#N/A</v>
      </c>
      <c r="R64" s="43" t="e">
        <f ca="1">IFERROR(IF(ISNUMBER($P$64),INDEX('1.Locations'!$E$2:$E$97,$P$64 + 1),NA()),NA())</f>
        <v>#N/A</v>
      </c>
      <c r="S64" s="44" t="str">
        <f ca="1">IFERROR(IF(AND(ISNUMBER($P$64),$P$64&lt;=95),INDEX('2.Distances'!$C$2:$C$9218,$P$63*96+$P$64+ 1) +$S$63," ")," ")</f>
        <v xml:space="preserve"> </v>
      </c>
      <c r="T64" s="43" t="str">
        <f ca="1">IFERROR(IF(ISNUMBER($P$64),INDEX('1.Locations'!$J$2:$J$97,$P$64 + 1) +$T$63," ")," ")</f>
        <v xml:space="preserve"> </v>
      </c>
      <c r="U64" s="43" t="str">
        <f ca="1">IFERROR(IF(ISNUMBER($P$64),INDEX('1.Locations'!$K$2:$K$97,$P$64 + 1) +$U$63," ")," ")</f>
        <v xml:space="preserve"> </v>
      </c>
      <c r="V64" s="45" t="str">
        <f ca="1">IFERROR(IF(AND(ISNUMBER($P$64),$P$64&lt;=95),INDEX('2.Distances'!$D$2:$D$9218,$P$63*96+$P$64+ 1) +$V$63," ")," ")</f>
        <v xml:space="preserve"> </v>
      </c>
      <c r="W64" s="46" t="str">
        <f ca="1">IFERROR(IF(AND(ISNUMBER($P$64),$P$64&lt;=95),INDEX('2.Distances'!$D$2:$D$9218,$P$63*96+$P$64+ 1) +$X$63," ")," ")</f>
        <v xml:space="preserve"> </v>
      </c>
      <c r="X64" s="46" t="str">
        <f ca="1">IFERROR(IF(ISNUMBER($W$64),INDEX('1.Locations'!$I$2:$I$97,$P$64 + 1) + MAX($W$64,INDEX('1.Locations'!$F$2:$F$97,$P$64 + 1))," ")," ")</f>
        <v xml:space="preserve"> </v>
      </c>
      <c r="Y64" s="45" t="str">
        <f ca="1">IFERROR($Y$63 + INDEX('2.Distances'!$D$2:$D$9218,$P$63*96+$P$64+ 1) + INDEX('1.Locations'!$I$2:$I$97,$P$64 + 1)," ")</f>
        <v xml:space="preserve"> </v>
      </c>
      <c r="AA64" s="24">
        <v>59</v>
      </c>
      <c r="AB64" s="25"/>
      <c r="AC64" s="43" t="str">
        <f ca="1">IFERROR(MATCH(INDIRECT("$AB$64"),'1.Locations'!$B$2:$B$97, 0) - 1," ")</f>
        <v xml:space="preserve"> </v>
      </c>
      <c r="AD64" s="43" t="e">
        <f ca="1">IFERROR(IF(ISNUMBER($AC$64),INDEX('1.Locations'!$D$2:$D$97,$AC$64 + 1),NA()),NA())</f>
        <v>#N/A</v>
      </c>
      <c r="AE64" s="43" t="e">
        <f ca="1">IFERROR(IF(ISNUMBER($AC$64),INDEX('1.Locations'!$E$2:$E$97,$AC$64 + 1),NA()),NA())</f>
        <v>#N/A</v>
      </c>
      <c r="AF64" s="44" t="str">
        <f ca="1">IFERROR(IF(AND(ISNUMBER($AC$64),$AC$64&lt;=95),INDEX('2.Distances'!$C$2:$C$9218,$AC$63*96+$AC$64+ 1) +$AF$63," ")," ")</f>
        <v xml:space="preserve"> </v>
      </c>
      <c r="AG64" s="43" t="str">
        <f ca="1">IFERROR(IF(ISNUMBER($AC$64),INDEX('1.Locations'!$J$2:$J$97,$AC$64 + 1) +$AG$63," ")," ")</f>
        <v xml:space="preserve"> </v>
      </c>
      <c r="AH64" s="43" t="str">
        <f ca="1">IFERROR(IF(ISNUMBER($AC$64),INDEX('1.Locations'!$K$2:$K$97,$AC$64 + 1) +$AH$63," ")," ")</f>
        <v xml:space="preserve"> </v>
      </c>
      <c r="AI64" s="45" t="str">
        <f ca="1">IFERROR(IF(AND(ISNUMBER($AC$64),$AC$64&lt;=95),INDEX('2.Distances'!$D$2:$D$9218,$AC$63*96+$AC$64+ 1) +$AI$63," ")," ")</f>
        <v xml:space="preserve"> </v>
      </c>
      <c r="AJ64" s="46" t="str">
        <f ca="1">IFERROR(IF(AND(ISNUMBER($AC$64),$AC$64&lt;=95),INDEX('2.Distances'!$D$2:$D$9218,$AC$63*96+$AC$64+ 1) +$AK$63," ")," ")</f>
        <v xml:space="preserve"> </v>
      </c>
      <c r="AK64" s="46" t="str">
        <f ca="1">IFERROR(IF(ISNUMBER($AJ$64),INDEX('1.Locations'!$I$2:$I$97,$AC$64 + 1) + MAX($AJ$64,INDEX('1.Locations'!$F$2:$F$97,$AC$64 + 1))," ")," ")</f>
        <v xml:space="preserve"> </v>
      </c>
      <c r="AL64" s="45" t="str">
        <f ca="1">IFERROR($AL$63 + INDEX('2.Distances'!$D$2:$D$9218,$AC$63*96+$AC$64+ 1) + INDEX('1.Locations'!$I$2:$I$97,$AC$64 + 1)," ")</f>
        <v xml:space="preserve"> </v>
      </c>
      <c r="AN64" s="24">
        <v>59</v>
      </c>
      <c r="AO64" s="25"/>
      <c r="AP64" s="43" t="str">
        <f ca="1">IFERROR(MATCH(INDIRECT("$AO$64"),'1.Locations'!$B$2:$B$97, 0) - 1," ")</f>
        <v xml:space="preserve"> </v>
      </c>
      <c r="AQ64" s="43" t="e">
        <f ca="1">IFERROR(IF(ISNUMBER($AP$64),INDEX('1.Locations'!$D$2:$D$97,$AP$64 + 1),NA()),NA())</f>
        <v>#N/A</v>
      </c>
      <c r="AR64" s="43" t="e">
        <f ca="1">IFERROR(IF(ISNUMBER($AP$64),INDEX('1.Locations'!$E$2:$E$97,$AP$64 + 1),NA()),NA())</f>
        <v>#N/A</v>
      </c>
      <c r="AS64" s="44" t="str">
        <f ca="1">IFERROR(IF(AND(ISNUMBER($AP$64),$AP$64&lt;=95),INDEX('2.Distances'!$C$2:$C$9218,$AP$63*96+$AP$64+ 1) +$AS$63," ")," ")</f>
        <v xml:space="preserve"> </v>
      </c>
      <c r="AT64" s="43" t="str">
        <f ca="1">IFERROR(IF(ISNUMBER($AP$64),INDEX('1.Locations'!$J$2:$J$97,$AP$64 + 1) +$AT$63," ")," ")</f>
        <v xml:space="preserve"> </v>
      </c>
      <c r="AU64" s="43" t="str">
        <f ca="1">IFERROR(IF(ISNUMBER($AP$64),INDEX('1.Locations'!$K$2:$K$97,$AP$64 + 1) +$AU$63," ")," ")</f>
        <v xml:space="preserve"> </v>
      </c>
      <c r="AV64" s="45" t="str">
        <f ca="1">IFERROR(IF(AND(ISNUMBER($AP$64),$AP$64&lt;=95),INDEX('2.Distances'!$D$2:$D$9218,$AP$63*96+$AP$64+ 1) +$AV$63," ")," ")</f>
        <v xml:space="preserve"> </v>
      </c>
      <c r="AW64" s="46" t="str">
        <f ca="1">IFERROR(IF(AND(ISNUMBER($AP$64),$AP$64&lt;=95),INDEX('2.Distances'!$D$2:$D$9218,$AP$63*96+$AP$64+ 1) +$AX$63," ")," ")</f>
        <v xml:space="preserve"> </v>
      </c>
      <c r="AX64" s="46" t="str">
        <f ca="1">IFERROR(IF(ISNUMBER($AW$64),INDEX('1.Locations'!$I$2:$I$97,$AP$64 + 1) + MAX($AW$64,INDEX('1.Locations'!$F$2:$F$97,$AP$64 + 1))," ")," ")</f>
        <v xml:space="preserve"> </v>
      </c>
      <c r="AY64" s="45" t="str">
        <f ca="1">IFERROR($AY$63 + INDEX('2.Distances'!$D$2:$D$9218,$AP$63*96+$AP$64+ 1) + INDEX('1.Locations'!$I$2:$I$97,$AP$64 + 1)," ")</f>
        <v xml:space="preserve"> </v>
      </c>
      <c r="BA64" s="24">
        <v>59</v>
      </c>
      <c r="BB64" s="25"/>
      <c r="BC64" s="43" t="str">
        <f ca="1">IFERROR(MATCH(INDIRECT("$BB$64"),'1.Locations'!$B$2:$B$97, 0) - 1," ")</f>
        <v xml:space="preserve"> </v>
      </c>
      <c r="BD64" s="43" t="e">
        <f ca="1">IFERROR(IF(ISNUMBER($BC$64),INDEX('1.Locations'!$D$2:$D$97,$BC$64 + 1),NA()),NA())</f>
        <v>#N/A</v>
      </c>
      <c r="BE64" s="43" t="e">
        <f ca="1">IFERROR(IF(ISNUMBER($BC$64),INDEX('1.Locations'!$E$2:$E$97,$BC$64 + 1),NA()),NA())</f>
        <v>#N/A</v>
      </c>
      <c r="BF64" s="44" t="str">
        <f ca="1">IFERROR(IF(AND(ISNUMBER($BC$64),$BC$64&lt;=95),INDEX('2.Distances'!$C$2:$C$9218,$BC$63*96+$BC$64+ 1) +$BF$63," ")," ")</f>
        <v xml:space="preserve"> </v>
      </c>
      <c r="BG64" s="43" t="str">
        <f ca="1">IFERROR(IF(ISNUMBER($BC$64),INDEX('1.Locations'!$J$2:$J$97,$BC$64 + 1) +$BG$63," ")," ")</f>
        <v xml:space="preserve"> </v>
      </c>
      <c r="BH64" s="43" t="str">
        <f ca="1">IFERROR(IF(ISNUMBER($BC$64),INDEX('1.Locations'!$K$2:$K$97,$BC$64 + 1) +$BH$63," ")," ")</f>
        <v xml:space="preserve"> </v>
      </c>
      <c r="BI64" s="45" t="str">
        <f ca="1">IFERROR(IF(AND(ISNUMBER($BC$64),$BC$64&lt;=95),INDEX('2.Distances'!$D$2:$D$9218,$BC$63*96+$BC$64+ 1) +$BI$63," ")," ")</f>
        <v xml:space="preserve"> </v>
      </c>
      <c r="BJ64" s="46" t="str">
        <f ca="1">IFERROR(IF(AND(ISNUMBER($BC$64),$BC$64&lt;=95),INDEX('2.Distances'!$D$2:$D$9218,$BC$63*96+$BC$64+ 1) +$BK$63," ")," ")</f>
        <v xml:space="preserve"> </v>
      </c>
      <c r="BK64" s="46" t="str">
        <f ca="1">IFERROR(IF(ISNUMBER($BJ$64),INDEX('1.Locations'!$I$2:$I$97,$BC$64 + 1) + MAX($BJ$64,INDEX('1.Locations'!$F$2:$F$97,$BC$64 + 1))," ")," ")</f>
        <v xml:space="preserve"> </v>
      </c>
      <c r="BL64" s="45" t="str">
        <f ca="1">IFERROR($BL$63 + INDEX('2.Distances'!$D$2:$D$9218,$BC$63*96+$BC$64+ 1) + INDEX('1.Locations'!$I$2:$I$97,$BC$64 + 1)," ")</f>
        <v xml:space="preserve"> </v>
      </c>
      <c r="BN64" s="24">
        <v>59</v>
      </c>
      <c r="BO64" s="25"/>
      <c r="BP64" s="43" t="str">
        <f ca="1">IFERROR(MATCH(INDIRECT("$BO$64"),'1.Locations'!$B$2:$B$97, 0) - 1," ")</f>
        <v xml:space="preserve"> </v>
      </c>
      <c r="BQ64" s="43" t="e">
        <f ca="1">IFERROR(IF(ISNUMBER($BP$64),INDEX('1.Locations'!$D$2:$D$97,$BP$64 + 1),NA()),NA())</f>
        <v>#N/A</v>
      </c>
      <c r="BR64" s="43" t="e">
        <f ca="1">IFERROR(IF(ISNUMBER($BP$64),INDEX('1.Locations'!$E$2:$E$97,$BP$64 + 1),NA()),NA())</f>
        <v>#N/A</v>
      </c>
      <c r="BS64" s="44" t="str">
        <f ca="1">IFERROR(IF(AND(ISNUMBER($BP$64),$BP$64&lt;=95),INDEX('2.Distances'!$C$2:$C$9218,$BP$63*96+$BP$64+ 1) +$BS$63," ")," ")</f>
        <v xml:space="preserve"> </v>
      </c>
      <c r="BT64" s="43" t="str">
        <f ca="1">IFERROR(IF(ISNUMBER($BP$64),INDEX('1.Locations'!$J$2:$J$97,$BP$64 + 1) +$BT$63," ")," ")</f>
        <v xml:space="preserve"> </v>
      </c>
      <c r="BU64" s="43" t="str">
        <f ca="1">IFERROR(IF(ISNUMBER($BP$64),INDEX('1.Locations'!$K$2:$K$97,$BP$64 + 1) +$BU$63," ")," ")</f>
        <v xml:space="preserve"> </v>
      </c>
      <c r="BV64" s="45" t="str">
        <f ca="1">IFERROR(IF(AND(ISNUMBER($BP$64),$BP$64&lt;=95),INDEX('2.Distances'!$D$2:$D$9218,$BP$63*96+$BP$64+ 1) +$BV$63," ")," ")</f>
        <v xml:space="preserve"> </v>
      </c>
      <c r="BW64" s="46" t="str">
        <f ca="1">IFERROR(IF(AND(ISNUMBER($BP$64),$BP$64&lt;=95),INDEX('2.Distances'!$D$2:$D$9218,$BP$63*96+$BP$64+ 1) +$BX$63," ")," ")</f>
        <v xml:space="preserve"> </v>
      </c>
      <c r="BX64" s="46" t="str">
        <f ca="1">IFERROR(IF(ISNUMBER($BW$64),INDEX('1.Locations'!$I$2:$I$97,$BP$64 + 1) + MAX($BW$64,INDEX('1.Locations'!$F$2:$F$97,$BP$64 + 1))," ")," ")</f>
        <v xml:space="preserve"> </v>
      </c>
      <c r="BY64" s="45" t="str">
        <f ca="1">IFERROR($BY$63 + INDEX('2.Distances'!$D$2:$D$9218,$BP$63*96+$BP$64+ 1) + INDEX('1.Locations'!$I$2:$I$97,$BP$64 + 1)," ")</f>
        <v xml:space="preserve"> </v>
      </c>
      <c r="CA64" s="24">
        <v>59</v>
      </c>
      <c r="CB64" s="25"/>
      <c r="CC64" s="43" t="str">
        <f ca="1">IFERROR(MATCH(INDIRECT("$CB$64"),'1.Locations'!$B$2:$B$97, 0) - 1," ")</f>
        <v xml:space="preserve"> </v>
      </c>
      <c r="CD64" s="43" t="e">
        <f ca="1">IFERROR(IF(ISNUMBER($CC$64),INDEX('1.Locations'!$D$2:$D$97,$CC$64 + 1),NA()),NA())</f>
        <v>#N/A</v>
      </c>
      <c r="CE64" s="43" t="e">
        <f ca="1">IFERROR(IF(ISNUMBER($CC$64),INDEX('1.Locations'!$E$2:$E$97,$CC$64 + 1),NA()),NA())</f>
        <v>#N/A</v>
      </c>
      <c r="CF64" s="44" t="str">
        <f ca="1">IFERROR(IF(AND(ISNUMBER($CC$64),$CC$64&lt;=95),INDEX('2.Distances'!$C$2:$C$9218,$CC$63*96+$CC$64+ 1) +$CF$63," ")," ")</f>
        <v xml:space="preserve"> </v>
      </c>
      <c r="CG64" s="43" t="str">
        <f ca="1">IFERROR(IF(ISNUMBER($CC$64),INDEX('1.Locations'!$J$2:$J$97,$CC$64 + 1) +$CG$63," ")," ")</f>
        <v xml:space="preserve"> </v>
      </c>
      <c r="CH64" s="43" t="str">
        <f ca="1">IFERROR(IF(ISNUMBER($CC$64),INDEX('1.Locations'!$K$2:$K$97,$CC$64 + 1) +$CH$63," ")," ")</f>
        <v xml:space="preserve"> </v>
      </c>
      <c r="CI64" s="45" t="str">
        <f ca="1">IFERROR(IF(AND(ISNUMBER($CC$64),$CC$64&lt;=95),INDEX('2.Distances'!$D$2:$D$9218,$CC$63*96+$CC$64+ 1) +$CI$63," ")," ")</f>
        <v xml:space="preserve"> </v>
      </c>
      <c r="CJ64" s="46" t="str">
        <f ca="1">IFERROR(IF(AND(ISNUMBER($CC$64),$CC$64&lt;=95),INDEX('2.Distances'!$D$2:$D$9218,$CC$63*96+$CC$64+ 1) +$CK$63," ")," ")</f>
        <v xml:space="preserve"> </v>
      </c>
      <c r="CK64" s="46" t="str">
        <f ca="1">IFERROR(IF(ISNUMBER($CJ$64),INDEX('1.Locations'!$I$2:$I$97,$CC$64 + 1) + MAX($CJ$64,INDEX('1.Locations'!$F$2:$F$97,$CC$64 + 1))," ")," ")</f>
        <v xml:space="preserve"> </v>
      </c>
      <c r="CL64" s="45" t="str">
        <f ca="1">IFERROR($CL$63 + INDEX('2.Distances'!$D$2:$D$9218,$CC$63*96+$CC$64+ 1) + INDEX('1.Locations'!$I$2:$I$97,$CC$64 + 1)," ")</f>
        <v xml:space="preserve"> </v>
      </c>
    </row>
    <row r="65" spans="1:90" x14ac:dyDescent="0.25">
      <c r="A65" s="24">
        <v>60</v>
      </c>
      <c r="B65" s="25"/>
      <c r="C65" s="43" t="str">
        <f ca="1">IFERROR(MATCH(INDIRECT("$B$65"),'1.Locations'!$B$2:$B$97, 0) - 1," ")</f>
        <v xml:space="preserve"> </v>
      </c>
      <c r="D65" s="43" t="e">
        <f ca="1">IFERROR(IF(ISNUMBER($C$65),INDEX('1.Locations'!$D$2:$D$97,$C$65 + 1),NA()),NA())</f>
        <v>#N/A</v>
      </c>
      <c r="E65" s="43" t="e">
        <f ca="1">IFERROR(IF(ISNUMBER($C$65),INDEX('1.Locations'!$E$2:$E$97,$C$65 + 1),NA()),NA())</f>
        <v>#N/A</v>
      </c>
      <c r="F65" s="44" t="str">
        <f ca="1">IFERROR(IF(AND(ISNUMBER($C$65),$C$65&lt;=95),INDEX('2.Distances'!$C$2:$C$9218,$C$64*96+$C$65+ 1) +$F$64," ")," ")</f>
        <v xml:space="preserve"> </v>
      </c>
      <c r="G65" s="43" t="str">
        <f ca="1">IFERROR(IF(ISNUMBER($C$65),INDEX('1.Locations'!$J$2:$J$97,$C$65 + 1) +$G$64," ")," ")</f>
        <v xml:space="preserve"> </v>
      </c>
      <c r="H65" s="43" t="str">
        <f ca="1">IFERROR(IF(ISNUMBER($C$65),INDEX('1.Locations'!$K$2:$K$97,$C$65 + 1) +$H$64," ")," ")</f>
        <v xml:space="preserve"> </v>
      </c>
      <c r="I65" s="45" t="str">
        <f ca="1">IFERROR(IF(AND(ISNUMBER($C$65),$C$65&lt;=95),INDEX('2.Distances'!$D$2:$D$9218,$C$64*96+$C$65+ 1) +$I$64," ")," ")</f>
        <v xml:space="preserve"> </v>
      </c>
      <c r="J65" s="46" t="str">
        <f ca="1">IFERROR(IF(AND(ISNUMBER($C$65),$C$65&lt;=95),INDEX('2.Distances'!$D$2:$D$9218,$C$64*96+$C$65+ 1) +$K$64," ")," ")</f>
        <v xml:space="preserve"> </v>
      </c>
      <c r="K65" s="46" t="str">
        <f ca="1">IFERROR(IF(ISNUMBER($J$65),INDEX('1.Locations'!$I$2:$I$97,$C$65 + 1) + MAX($J$65,INDEX('1.Locations'!$F$2:$F$97,$C$65 + 1))," ")," ")</f>
        <v xml:space="preserve"> </v>
      </c>
      <c r="L65" s="45" t="str">
        <f ca="1">IFERROR($L$64 + INDEX('2.Distances'!$D$2:$D$9218,$C$64*96+$C$65+ 1) + INDEX('1.Locations'!$I$2:$I$97,$C$65 + 1)," ")</f>
        <v xml:space="preserve"> </v>
      </c>
      <c r="N65" s="24">
        <v>60</v>
      </c>
      <c r="O65" s="25"/>
      <c r="P65" s="43" t="str">
        <f ca="1">IFERROR(MATCH(INDIRECT("$O$65"),'1.Locations'!$B$2:$B$97, 0) - 1," ")</f>
        <v xml:space="preserve"> </v>
      </c>
      <c r="Q65" s="43" t="e">
        <f ca="1">IFERROR(IF(ISNUMBER($P$65),INDEX('1.Locations'!$D$2:$D$97,$P$65 + 1),NA()),NA())</f>
        <v>#N/A</v>
      </c>
      <c r="R65" s="43" t="e">
        <f ca="1">IFERROR(IF(ISNUMBER($P$65),INDEX('1.Locations'!$E$2:$E$97,$P$65 + 1),NA()),NA())</f>
        <v>#N/A</v>
      </c>
      <c r="S65" s="44" t="str">
        <f ca="1">IFERROR(IF(AND(ISNUMBER($P$65),$P$65&lt;=95),INDEX('2.Distances'!$C$2:$C$9218,$P$64*96+$P$65+ 1) +$S$64," ")," ")</f>
        <v xml:space="preserve"> </v>
      </c>
      <c r="T65" s="43" t="str">
        <f ca="1">IFERROR(IF(ISNUMBER($P$65),INDEX('1.Locations'!$J$2:$J$97,$P$65 + 1) +$T$64," ")," ")</f>
        <v xml:space="preserve"> </v>
      </c>
      <c r="U65" s="43" t="str">
        <f ca="1">IFERROR(IF(ISNUMBER($P$65),INDEX('1.Locations'!$K$2:$K$97,$P$65 + 1) +$U$64," ")," ")</f>
        <v xml:space="preserve"> </v>
      </c>
      <c r="V65" s="45" t="str">
        <f ca="1">IFERROR(IF(AND(ISNUMBER($P$65),$P$65&lt;=95),INDEX('2.Distances'!$D$2:$D$9218,$P$64*96+$P$65+ 1) +$V$64," ")," ")</f>
        <v xml:space="preserve"> </v>
      </c>
      <c r="W65" s="46" t="str">
        <f ca="1">IFERROR(IF(AND(ISNUMBER($P$65),$P$65&lt;=95),INDEX('2.Distances'!$D$2:$D$9218,$P$64*96+$P$65+ 1) +$X$64," ")," ")</f>
        <v xml:space="preserve"> </v>
      </c>
      <c r="X65" s="46" t="str">
        <f ca="1">IFERROR(IF(ISNUMBER($W$65),INDEX('1.Locations'!$I$2:$I$97,$P$65 + 1) + MAX($W$65,INDEX('1.Locations'!$F$2:$F$97,$P$65 + 1))," ")," ")</f>
        <v xml:space="preserve"> </v>
      </c>
      <c r="Y65" s="45" t="str">
        <f ca="1">IFERROR($Y$64 + INDEX('2.Distances'!$D$2:$D$9218,$P$64*96+$P$65+ 1) + INDEX('1.Locations'!$I$2:$I$97,$P$65 + 1)," ")</f>
        <v xml:space="preserve"> </v>
      </c>
      <c r="AA65" s="24">
        <v>60</v>
      </c>
      <c r="AB65" s="25"/>
      <c r="AC65" s="43" t="str">
        <f ca="1">IFERROR(MATCH(INDIRECT("$AB$65"),'1.Locations'!$B$2:$B$97, 0) - 1," ")</f>
        <v xml:space="preserve"> </v>
      </c>
      <c r="AD65" s="43" t="e">
        <f ca="1">IFERROR(IF(ISNUMBER($AC$65),INDEX('1.Locations'!$D$2:$D$97,$AC$65 + 1),NA()),NA())</f>
        <v>#N/A</v>
      </c>
      <c r="AE65" s="43" t="e">
        <f ca="1">IFERROR(IF(ISNUMBER($AC$65),INDEX('1.Locations'!$E$2:$E$97,$AC$65 + 1),NA()),NA())</f>
        <v>#N/A</v>
      </c>
      <c r="AF65" s="44" t="str">
        <f ca="1">IFERROR(IF(AND(ISNUMBER($AC$65),$AC$65&lt;=95),INDEX('2.Distances'!$C$2:$C$9218,$AC$64*96+$AC$65+ 1) +$AF$64," ")," ")</f>
        <v xml:space="preserve"> </v>
      </c>
      <c r="AG65" s="43" t="str">
        <f ca="1">IFERROR(IF(ISNUMBER($AC$65),INDEX('1.Locations'!$J$2:$J$97,$AC$65 + 1) +$AG$64," ")," ")</f>
        <v xml:space="preserve"> </v>
      </c>
      <c r="AH65" s="43" t="str">
        <f ca="1">IFERROR(IF(ISNUMBER($AC$65),INDEX('1.Locations'!$K$2:$K$97,$AC$65 + 1) +$AH$64," ")," ")</f>
        <v xml:space="preserve"> </v>
      </c>
      <c r="AI65" s="45" t="str">
        <f ca="1">IFERROR(IF(AND(ISNUMBER($AC$65),$AC$65&lt;=95),INDEX('2.Distances'!$D$2:$D$9218,$AC$64*96+$AC$65+ 1) +$AI$64," ")," ")</f>
        <v xml:space="preserve"> </v>
      </c>
      <c r="AJ65" s="46" t="str">
        <f ca="1">IFERROR(IF(AND(ISNUMBER($AC$65),$AC$65&lt;=95),INDEX('2.Distances'!$D$2:$D$9218,$AC$64*96+$AC$65+ 1) +$AK$64," ")," ")</f>
        <v xml:space="preserve"> </v>
      </c>
      <c r="AK65" s="46" t="str">
        <f ca="1">IFERROR(IF(ISNUMBER($AJ$65),INDEX('1.Locations'!$I$2:$I$97,$AC$65 + 1) + MAX($AJ$65,INDEX('1.Locations'!$F$2:$F$97,$AC$65 + 1))," ")," ")</f>
        <v xml:space="preserve"> </v>
      </c>
      <c r="AL65" s="45" t="str">
        <f ca="1">IFERROR($AL$64 + INDEX('2.Distances'!$D$2:$D$9218,$AC$64*96+$AC$65+ 1) + INDEX('1.Locations'!$I$2:$I$97,$AC$65 + 1)," ")</f>
        <v xml:space="preserve"> </v>
      </c>
      <c r="AN65" s="24">
        <v>60</v>
      </c>
      <c r="AO65" s="25"/>
      <c r="AP65" s="43" t="str">
        <f ca="1">IFERROR(MATCH(INDIRECT("$AO$65"),'1.Locations'!$B$2:$B$97, 0) - 1," ")</f>
        <v xml:space="preserve"> </v>
      </c>
      <c r="AQ65" s="43" t="e">
        <f ca="1">IFERROR(IF(ISNUMBER($AP$65),INDEX('1.Locations'!$D$2:$D$97,$AP$65 + 1),NA()),NA())</f>
        <v>#N/A</v>
      </c>
      <c r="AR65" s="43" t="e">
        <f ca="1">IFERROR(IF(ISNUMBER($AP$65),INDEX('1.Locations'!$E$2:$E$97,$AP$65 + 1),NA()),NA())</f>
        <v>#N/A</v>
      </c>
      <c r="AS65" s="44" t="str">
        <f ca="1">IFERROR(IF(AND(ISNUMBER($AP$65),$AP$65&lt;=95),INDEX('2.Distances'!$C$2:$C$9218,$AP$64*96+$AP$65+ 1) +$AS$64," ")," ")</f>
        <v xml:space="preserve"> </v>
      </c>
      <c r="AT65" s="43" t="str">
        <f ca="1">IFERROR(IF(ISNUMBER($AP$65),INDEX('1.Locations'!$J$2:$J$97,$AP$65 + 1) +$AT$64," ")," ")</f>
        <v xml:space="preserve"> </v>
      </c>
      <c r="AU65" s="43" t="str">
        <f ca="1">IFERROR(IF(ISNUMBER($AP$65),INDEX('1.Locations'!$K$2:$K$97,$AP$65 + 1) +$AU$64," ")," ")</f>
        <v xml:space="preserve"> </v>
      </c>
      <c r="AV65" s="45" t="str">
        <f ca="1">IFERROR(IF(AND(ISNUMBER($AP$65),$AP$65&lt;=95),INDEX('2.Distances'!$D$2:$D$9218,$AP$64*96+$AP$65+ 1) +$AV$64," ")," ")</f>
        <v xml:space="preserve"> </v>
      </c>
      <c r="AW65" s="46" t="str">
        <f ca="1">IFERROR(IF(AND(ISNUMBER($AP$65),$AP$65&lt;=95),INDEX('2.Distances'!$D$2:$D$9218,$AP$64*96+$AP$65+ 1) +$AX$64," ")," ")</f>
        <v xml:space="preserve"> </v>
      </c>
      <c r="AX65" s="46" t="str">
        <f ca="1">IFERROR(IF(ISNUMBER($AW$65),INDEX('1.Locations'!$I$2:$I$97,$AP$65 + 1) + MAX($AW$65,INDEX('1.Locations'!$F$2:$F$97,$AP$65 + 1))," ")," ")</f>
        <v xml:space="preserve"> </v>
      </c>
      <c r="AY65" s="45" t="str">
        <f ca="1">IFERROR($AY$64 + INDEX('2.Distances'!$D$2:$D$9218,$AP$64*96+$AP$65+ 1) + INDEX('1.Locations'!$I$2:$I$97,$AP$65 + 1)," ")</f>
        <v xml:space="preserve"> </v>
      </c>
      <c r="BA65" s="24">
        <v>60</v>
      </c>
      <c r="BB65" s="25"/>
      <c r="BC65" s="43" t="str">
        <f ca="1">IFERROR(MATCH(INDIRECT("$BB$65"),'1.Locations'!$B$2:$B$97, 0) - 1," ")</f>
        <v xml:space="preserve"> </v>
      </c>
      <c r="BD65" s="43" t="e">
        <f ca="1">IFERROR(IF(ISNUMBER($BC$65),INDEX('1.Locations'!$D$2:$D$97,$BC$65 + 1),NA()),NA())</f>
        <v>#N/A</v>
      </c>
      <c r="BE65" s="43" t="e">
        <f ca="1">IFERROR(IF(ISNUMBER($BC$65),INDEX('1.Locations'!$E$2:$E$97,$BC$65 + 1),NA()),NA())</f>
        <v>#N/A</v>
      </c>
      <c r="BF65" s="44" t="str">
        <f ca="1">IFERROR(IF(AND(ISNUMBER($BC$65),$BC$65&lt;=95),INDEX('2.Distances'!$C$2:$C$9218,$BC$64*96+$BC$65+ 1) +$BF$64," ")," ")</f>
        <v xml:space="preserve"> </v>
      </c>
      <c r="BG65" s="43" t="str">
        <f ca="1">IFERROR(IF(ISNUMBER($BC$65),INDEX('1.Locations'!$J$2:$J$97,$BC$65 + 1) +$BG$64," ")," ")</f>
        <v xml:space="preserve"> </v>
      </c>
      <c r="BH65" s="43" t="str">
        <f ca="1">IFERROR(IF(ISNUMBER($BC$65),INDEX('1.Locations'!$K$2:$K$97,$BC$65 + 1) +$BH$64," ")," ")</f>
        <v xml:space="preserve"> </v>
      </c>
      <c r="BI65" s="45" t="str">
        <f ca="1">IFERROR(IF(AND(ISNUMBER($BC$65),$BC$65&lt;=95),INDEX('2.Distances'!$D$2:$D$9218,$BC$64*96+$BC$65+ 1) +$BI$64," ")," ")</f>
        <v xml:space="preserve"> </v>
      </c>
      <c r="BJ65" s="46" t="str">
        <f ca="1">IFERROR(IF(AND(ISNUMBER($BC$65),$BC$65&lt;=95),INDEX('2.Distances'!$D$2:$D$9218,$BC$64*96+$BC$65+ 1) +$BK$64," ")," ")</f>
        <v xml:space="preserve"> </v>
      </c>
      <c r="BK65" s="46" t="str">
        <f ca="1">IFERROR(IF(ISNUMBER($BJ$65),INDEX('1.Locations'!$I$2:$I$97,$BC$65 + 1) + MAX($BJ$65,INDEX('1.Locations'!$F$2:$F$97,$BC$65 + 1))," ")," ")</f>
        <v xml:space="preserve"> </v>
      </c>
      <c r="BL65" s="45" t="str">
        <f ca="1">IFERROR($BL$64 + INDEX('2.Distances'!$D$2:$D$9218,$BC$64*96+$BC$65+ 1) + INDEX('1.Locations'!$I$2:$I$97,$BC$65 + 1)," ")</f>
        <v xml:space="preserve"> </v>
      </c>
      <c r="BN65" s="24">
        <v>60</v>
      </c>
      <c r="BO65" s="25"/>
      <c r="BP65" s="43" t="str">
        <f ca="1">IFERROR(MATCH(INDIRECT("$BO$65"),'1.Locations'!$B$2:$B$97, 0) - 1," ")</f>
        <v xml:space="preserve"> </v>
      </c>
      <c r="BQ65" s="43" t="e">
        <f ca="1">IFERROR(IF(ISNUMBER($BP$65),INDEX('1.Locations'!$D$2:$D$97,$BP$65 + 1),NA()),NA())</f>
        <v>#N/A</v>
      </c>
      <c r="BR65" s="43" t="e">
        <f ca="1">IFERROR(IF(ISNUMBER($BP$65),INDEX('1.Locations'!$E$2:$E$97,$BP$65 + 1),NA()),NA())</f>
        <v>#N/A</v>
      </c>
      <c r="BS65" s="44" t="str">
        <f ca="1">IFERROR(IF(AND(ISNUMBER($BP$65),$BP$65&lt;=95),INDEX('2.Distances'!$C$2:$C$9218,$BP$64*96+$BP$65+ 1) +$BS$64," ")," ")</f>
        <v xml:space="preserve"> </v>
      </c>
      <c r="BT65" s="43" t="str">
        <f ca="1">IFERROR(IF(ISNUMBER($BP$65),INDEX('1.Locations'!$J$2:$J$97,$BP$65 + 1) +$BT$64," ")," ")</f>
        <v xml:space="preserve"> </v>
      </c>
      <c r="BU65" s="43" t="str">
        <f ca="1">IFERROR(IF(ISNUMBER($BP$65),INDEX('1.Locations'!$K$2:$K$97,$BP$65 + 1) +$BU$64," ")," ")</f>
        <v xml:space="preserve"> </v>
      </c>
      <c r="BV65" s="45" t="str">
        <f ca="1">IFERROR(IF(AND(ISNUMBER($BP$65),$BP$65&lt;=95),INDEX('2.Distances'!$D$2:$D$9218,$BP$64*96+$BP$65+ 1) +$BV$64," ")," ")</f>
        <v xml:space="preserve"> </v>
      </c>
      <c r="BW65" s="46" t="str">
        <f ca="1">IFERROR(IF(AND(ISNUMBER($BP$65),$BP$65&lt;=95),INDEX('2.Distances'!$D$2:$D$9218,$BP$64*96+$BP$65+ 1) +$BX$64," ")," ")</f>
        <v xml:space="preserve"> </v>
      </c>
      <c r="BX65" s="46" t="str">
        <f ca="1">IFERROR(IF(ISNUMBER($BW$65),INDEX('1.Locations'!$I$2:$I$97,$BP$65 + 1) + MAX($BW$65,INDEX('1.Locations'!$F$2:$F$97,$BP$65 + 1))," ")," ")</f>
        <v xml:space="preserve"> </v>
      </c>
      <c r="BY65" s="45" t="str">
        <f ca="1">IFERROR($BY$64 + INDEX('2.Distances'!$D$2:$D$9218,$BP$64*96+$BP$65+ 1) + INDEX('1.Locations'!$I$2:$I$97,$BP$65 + 1)," ")</f>
        <v xml:space="preserve"> </v>
      </c>
      <c r="CA65" s="24">
        <v>60</v>
      </c>
      <c r="CB65" s="25"/>
      <c r="CC65" s="43" t="str">
        <f ca="1">IFERROR(MATCH(INDIRECT("$CB$65"),'1.Locations'!$B$2:$B$97, 0) - 1," ")</f>
        <v xml:space="preserve"> </v>
      </c>
      <c r="CD65" s="43" t="e">
        <f ca="1">IFERROR(IF(ISNUMBER($CC$65),INDEX('1.Locations'!$D$2:$D$97,$CC$65 + 1),NA()),NA())</f>
        <v>#N/A</v>
      </c>
      <c r="CE65" s="43" t="e">
        <f ca="1">IFERROR(IF(ISNUMBER($CC$65),INDEX('1.Locations'!$E$2:$E$97,$CC$65 + 1),NA()),NA())</f>
        <v>#N/A</v>
      </c>
      <c r="CF65" s="44" t="str">
        <f ca="1">IFERROR(IF(AND(ISNUMBER($CC$65),$CC$65&lt;=95),INDEX('2.Distances'!$C$2:$C$9218,$CC$64*96+$CC$65+ 1) +$CF$64," ")," ")</f>
        <v xml:space="preserve"> </v>
      </c>
      <c r="CG65" s="43" t="str">
        <f ca="1">IFERROR(IF(ISNUMBER($CC$65),INDEX('1.Locations'!$J$2:$J$97,$CC$65 + 1) +$CG$64," ")," ")</f>
        <v xml:space="preserve"> </v>
      </c>
      <c r="CH65" s="43" t="str">
        <f ca="1">IFERROR(IF(ISNUMBER($CC$65),INDEX('1.Locations'!$K$2:$K$97,$CC$65 + 1) +$CH$64," ")," ")</f>
        <v xml:space="preserve"> </v>
      </c>
      <c r="CI65" s="45" t="str">
        <f ca="1">IFERROR(IF(AND(ISNUMBER($CC$65),$CC$65&lt;=95),INDEX('2.Distances'!$D$2:$D$9218,$CC$64*96+$CC$65+ 1) +$CI$64," ")," ")</f>
        <v xml:space="preserve"> </v>
      </c>
      <c r="CJ65" s="46" t="str">
        <f ca="1">IFERROR(IF(AND(ISNUMBER($CC$65),$CC$65&lt;=95),INDEX('2.Distances'!$D$2:$D$9218,$CC$64*96+$CC$65+ 1) +$CK$64," ")," ")</f>
        <v xml:space="preserve"> </v>
      </c>
      <c r="CK65" s="46" t="str">
        <f ca="1">IFERROR(IF(ISNUMBER($CJ$65),INDEX('1.Locations'!$I$2:$I$97,$CC$65 + 1) + MAX($CJ$65,INDEX('1.Locations'!$F$2:$F$97,$CC$65 + 1))," ")," ")</f>
        <v xml:space="preserve"> </v>
      </c>
      <c r="CL65" s="45" t="str">
        <f ca="1">IFERROR($CL$64 + INDEX('2.Distances'!$D$2:$D$9218,$CC$64*96+$CC$65+ 1) + INDEX('1.Locations'!$I$2:$I$97,$CC$65 + 1)," ")</f>
        <v xml:space="preserve"> </v>
      </c>
    </row>
    <row r="66" spans="1:90" x14ac:dyDescent="0.25">
      <c r="A66" s="24">
        <v>61</v>
      </c>
      <c r="B66" s="25"/>
      <c r="C66" s="43" t="str">
        <f ca="1">IFERROR(MATCH(INDIRECT("$B$66"),'1.Locations'!$B$2:$B$97, 0) - 1," ")</f>
        <v xml:space="preserve"> </v>
      </c>
      <c r="D66" s="43" t="e">
        <f ca="1">IFERROR(IF(ISNUMBER($C$66),INDEX('1.Locations'!$D$2:$D$97,$C$66 + 1),NA()),NA())</f>
        <v>#N/A</v>
      </c>
      <c r="E66" s="43" t="e">
        <f ca="1">IFERROR(IF(ISNUMBER($C$66),INDEX('1.Locations'!$E$2:$E$97,$C$66 + 1),NA()),NA())</f>
        <v>#N/A</v>
      </c>
      <c r="F66" s="44" t="str">
        <f ca="1">IFERROR(IF(AND(ISNUMBER($C$66),$C$66&lt;=95),INDEX('2.Distances'!$C$2:$C$9218,$C$65*96+$C$66+ 1) +$F$65," ")," ")</f>
        <v xml:space="preserve"> </v>
      </c>
      <c r="G66" s="43" t="str">
        <f ca="1">IFERROR(IF(ISNUMBER($C$66),INDEX('1.Locations'!$J$2:$J$97,$C$66 + 1) +$G$65," ")," ")</f>
        <v xml:space="preserve"> </v>
      </c>
      <c r="H66" s="43" t="str">
        <f ca="1">IFERROR(IF(ISNUMBER($C$66),INDEX('1.Locations'!$K$2:$K$97,$C$66 + 1) +$H$65," ")," ")</f>
        <v xml:space="preserve"> </v>
      </c>
      <c r="I66" s="45" t="str">
        <f ca="1">IFERROR(IF(AND(ISNUMBER($C$66),$C$66&lt;=95),INDEX('2.Distances'!$D$2:$D$9218,$C$65*96+$C$66+ 1) +$I$65," ")," ")</f>
        <v xml:space="preserve"> </v>
      </c>
      <c r="J66" s="46" t="str">
        <f ca="1">IFERROR(IF(AND(ISNUMBER($C$66),$C$66&lt;=95),INDEX('2.Distances'!$D$2:$D$9218,$C$65*96+$C$66+ 1) +$K$65," ")," ")</f>
        <v xml:space="preserve"> </v>
      </c>
      <c r="K66" s="46" t="str">
        <f ca="1">IFERROR(IF(ISNUMBER($J$66),INDEX('1.Locations'!$I$2:$I$97,$C$66 + 1) + MAX($J$66,INDEX('1.Locations'!$F$2:$F$97,$C$66 + 1))," ")," ")</f>
        <v xml:space="preserve"> </v>
      </c>
      <c r="L66" s="45" t="str">
        <f ca="1">IFERROR($L$65 + INDEX('2.Distances'!$D$2:$D$9218,$C$65*96+$C$66+ 1) + INDEX('1.Locations'!$I$2:$I$97,$C$66 + 1)," ")</f>
        <v xml:space="preserve"> </v>
      </c>
      <c r="N66" s="24">
        <v>61</v>
      </c>
      <c r="O66" s="25"/>
      <c r="P66" s="43" t="str">
        <f ca="1">IFERROR(MATCH(INDIRECT("$O$66"),'1.Locations'!$B$2:$B$97, 0) - 1," ")</f>
        <v xml:space="preserve"> </v>
      </c>
      <c r="Q66" s="43" t="e">
        <f ca="1">IFERROR(IF(ISNUMBER($P$66),INDEX('1.Locations'!$D$2:$D$97,$P$66 + 1),NA()),NA())</f>
        <v>#N/A</v>
      </c>
      <c r="R66" s="43" t="e">
        <f ca="1">IFERROR(IF(ISNUMBER($P$66),INDEX('1.Locations'!$E$2:$E$97,$P$66 + 1),NA()),NA())</f>
        <v>#N/A</v>
      </c>
      <c r="S66" s="44" t="str">
        <f ca="1">IFERROR(IF(AND(ISNUMBER($P$66),$P$66&lt;=95),INDEX('2.Distances'!$C$2:$C$9218,$P$65*96+$P$66+ 1) +$S$65," ")," ")</f>
        <v xml:space="preserve"> </v>
      </c>
      <c r="T66" s="43" t="str">
        <f ca="1">IFERROR(IF(ISNUMBER($P$66),INDEX('1.Locations'!$J$2:$J$97,$P$66 + 1) +$T$65," ")," ")</f>
        <v xml:space="preserve"> </v>
      </c>
      <c r="U66" s="43" t="str">
        <f ca="1">IFERROR(IF(ISNUMBER($P$66),INDEX('1.Locations'!$K$2:$K$97,$P$66 + 1) +$U$65," ")," ")</f>
        <v xml:space="preserve"> </v>
      </c>
      <c r="V66" s="45" t="str">
        <f ca="1">IFERROR(IF(AND(ISNUMBER($P$66),$P$66&lt;=95),INDEX('2.Distances'!$D$2:$D$9218,$P$65*96+$P$66+ 1) +$V$65," ")," ")</f>
        <v xml:space="preserve"> </v>
      </c>
      <c r="W66" s="46" t="str">
        <f ca="1">IFERROR(IF(AND(ISNUMBER($P$66),$P$66&lt;=95),INDEX('2.Distances'!$D$2:$D$9218,$P$65*96+$P$66+ 1) +$X$65," ")," ")</f>
        <v xml:space="preserve"> </v>
      </c>
      <c r="X66" s="46" t="str">
        <f ca="1">IFERROR(IF(ISNUMBER($W$66),INDEX('1.Locations'!$I$2:$I$97,$P$66 + 1) + MAX($W$66,INDEX('1.Locations'!$F$2:$F$97,$P$66 + 1))," ")," ")</f>
        <v xml:space="preserve"> </v>
      </c>
      <c r="Y66" s="45" t="str">
        <f ca="1">IFERROR($Y$65 + INDEX('2.Distances'!$D$2:$D$9218,$P$65*96+$P$66+ 1) + INDEX('1.Locations'!$I$2:$I$97,$P$66 + 1)," ")</f>
        <v xml:space="preserve"> </v>
      </c>
      <c r="AA66" s="24">
        <v>61</v>
      </c>
      <c r="AB66" s="25"/>
      <c r="AC66" s="43" t="str">
        <f ca="1">IFERROR(MATCH(INDIRECT("$AB$66"),'1.Locations'!$B$2:$B$97, 0) - 1," ")</f>
        <v xml:space="preserve"> </v>
      </c>
      <c r="AD66" s="43" t="e">
        <f ca="1">IFERROR(IF(ISNUMBER($AC$66),INDEX('1.Locations'!$D$2:$D$97,$AC$66 + 1),NA()),NA())</f>
        <v>#N/A</v>
      </c>
      <c r="AE66" s="43" t="e">
        <f ca="1">IFERROR(IF(ISNUMBER($AC$66),INDEX('1.Locations'!$E$2:$E$97,$AC$66 + 1),NA()),NA())</f>
        <v>#N/A</v>
      </c>
      <c r="AF66" s="44" t="str">
        <f ca="1">IFERROR(IF(AND(ISNUMBER($AC$66),$AC$66&lt;=95),INDEX('2.Distances'!$C$2:$C$9218,$AC$65*96+$AC$66+ 1) +$AF$65," ")," ")</f>
        <v xml:space="preserve"> </v>
      </c>
      <c r="AG66" s="43" t="str">
        <f ca="1">IFERROR(IF(ISNUMBER($AC$66),INDEX('1.Locations'!$J$2:$J$97,$AC$66 + 1) +$AG$65," ")," ")</f>
        <v xml:space="preserve"> </v>
      </c>
      <c r="AH66" s="43" t="str">
        <f ca="1">IFERROR(IF(ISNUMBER($AC$66),INDEX('1.Locations'!$K$2:$K$97,$AC$66 + 1) +$AH$65," ")," ")</f>
        <v xml:space="preserve"> </v>
      </c>
      <c r="AI66" s="45" t="str">
        <f ca="1">IFERROR(IF(AND(ISNUMBER($AC$66),$AC$66&lt;=95),INDEX('2.Distances'!$D$2:$D$9218,$AC$65*96+$AC$66+ 1) +$AI$65," ")," ")</f>
        <v xml:space="preserve"> </v>
      </c>
      <c r="AJ66" s="46" t="str">
        <f ca="1">IFERROR(IF(AND(ISNUMBER($AC$66),$AC$66&lt;=95),INDEX('2.Distances'!$D$2:$D$9218,$AC$65*96+$AC$66+ 1) +$AK$65," ")," ")</f>
        <v xml:space="preserve"> </v>
      </c>
      <c r="AK66" s="46" t="str">
        <f ca="1">IFERROR(IF(ISNUMBER($AJ$66),INDEX('1.Locations'!$I$2:$I$97,$AC$66 + 1) + MAX($AJ$66,INDEX('1.Locations'!$F$2:$F$97,$AC$66 + 1))," ")," ")</f>
        <v xml:space="preserve"> </v>
      </c>
      <c r="AL66" s="45" t="str">
        <f ca="1">IFERROR($AL$65 + INDEX('2.Distances'!$D$2:$D$9218,$AC$65*96+$AC$66+ 1) + INDEX('1.Locations'!$I$2:$I$97,$AC$66 + 1)," ")</f>
        <v xml:space="preserve"> </v>
      </c>
      <c r="AN66" s="24">
        <v>61</v>
      </c>
      <c r="AO66" s="25"/>
      <c r="AP66" s="43" t="str">
        <f ca="1">IFERROR(MATCH(INDIRECT("$AO$66"),'1.Locations'!$B$2:$B$97, 0) - 1," ")</f>
        <v xml:space="preserve"> </v>
      </c>
      <c r="AQ66" s="43" t="e">
        <f ca="1">IFERROR(IF(ISNUMBER($AP$66),INDEX('1.Locations'!$D$2:$D$97,$AP$66 + 1),NA()),NA())</f>
        <v>#N/A</v>
      </c>
      <c r="AR66" s="43" t="e">
        <f ca="1">IFERROR(IF(ISNUMBER($AP$66),INDEX('1.Locations'!$E$2:$E$97,$AP$66 + 1),NA()),NA())</f>
        <v>#N/A</v>
      </c>
      <c r="AS66" s="44" t="str">
        <f ca="1">IFERROR(IF(AND(ISNUMBER($AP$66),$AP$66&lt;=95),INDEX('2.Distances'!$C$2:$C$9218,$AP$65*96+$AP$66+ 1) +$AS$65," ")," ")</f>
        <v xml:space="preserve"> </v>
      </c>
      <c r="AT66" s="43" t="str">
        <f ca="1">IFERROR(IF(ISNUMBER($AP$66),INDEX('1.Locations'!$J$2:$J$97,$AP$66 + 1) +$AT$65," ")," ")</f>
        <v xml:space="preserve"> </v>
      </c>
      <c r="AU66" s="43" t="str">
        <f ca="1">IFERROR(IF(ISNUMBER($AP$66),INDEX('1.Locations'!$K$2:$K$97,$AP$66 + 1) +$AU$65," ")," ")</f>
        <v xml:space="preserve"> </v>
      </c>
      <c r="AV66" s="45" t="str">
        <f ca="1">IFERROR(IF(AND(ISNUMBER($AP$66),$AP$66&lt;=95),INDEX('2.Distances'!$D$2:$D$9218,$AP$65*96+$AP$66+ 1) +$AV$65," ")," ")</f>
        <v xml:space="preserve"> </v>
      </c>
      <c r="AW66" s="46" t="str">
        <f ca="1">IFERROR(IF(AND(ISNUMBER($AP$66),$AP$66&lt;=95),INDEX('2.Distances'!$D$2:$D$9218,$AP$65*96+$AP$66+ 1) +$AX$65," ")," ")</f>
        <v xml:space="preserve"> </v>
      </c>
      <c r="AX66" s="46" t="str">
        <f ca="1">IFERROR(IF(ISNUMBER($AW$66),INDEX('1.Locations'!$I$2:$I$97,$AP$66 + 1) + MAX($AW$66,INDEX('1.Locations'!$F$2:$F$97,$AP$66 + 1))," ")," ")</f>
        <v xml:space="preserve"> </v>
      </c>
      <c r="AY66" s="45" t="str">
        <f ca="1">IFERROR($AY$65 + INDEX('2.Distances'!$D$2:$D$9218,$AP$65*96+$AP$66+ 1) + INDEX('1.Locations'!$I$2:$I$97,$AP$66 + 1)," ")</f>
        <v xml:space="preserve"> </v>
      </c>
      <c r="BA66" s="24">
        <v>61</v>
      </c>
      <c r="BB66" s="25"/>
      <c r="BC66" s="43" t="str">
        <f ca="1">IFERROR(MATCH(INDIRECT("$BB$66"),'1.Locations'!$B$2:$B$97, 0) - 1," ")</f>
        <v xml:space="preserve"> </v>
      </c>
      <c r="BD66" s="43" t="e">
        <f ca="1">IFERROR(IF(ISNUMBER($BC$66),INDEX('1.Locations'!$D$2:$D$97,$BC$66 + 1),NA()),NA())</f>
        <v>#N/A</v>
      </c>
      <c r="BE66" s="43" t="e">
        <f ca="1">IFERROR(IF(ISNUMBER($BC$66),INDEX('1.Locations'!$E$2:$E$97,$BC$66 + 1),NA()),NA())</f>
        <v>#N/A</v>
      </c>
      <c r="BF66" s="44" t="str">
        <f ca="1">IFERROR(IF(AND(ISNUMBER($BC$66),$BC$66&lt;=95),INDEX('2.Distances'!$C$2:$C$9218,$BC$65*96+$BC$66+ 1) +$BF$65," ")," ")</f>
        <v xml:space="preserve"> </v>
      </c>
      <c r="BG66" s="43" t="str">
        <f ca="1">IFERROR(IF(ISNUMBER($BC$66),INDEX('1.Locations'!$J$2:$J$97,$BC$66 + 1) +$BG$65," ")," ")</f>
        <v xml:space="preserve"> </v>
      </c>
      <c r="BH66" s="43" t="str">
        <f ca="1">IFERROR(IF(ISNUMBER($BC$66),INDEX('1.Locations'!$K$2:$K$97,$BC$66 + 1) +$BH$65," ")," ")</f>
        <v xml:space="preserve"> </v>
      </c>
      <c r="BI66" s="45" t="str">
        <f ca="1">IFERROR(IF(AND(ISNUMBER($BC$66),$BC$66&lt;=95),INDEX('2.Distances'!$D$2:$D$9218,$BC$65*96+$BC$66+ 1) +$BI$65," ")," ")</f>
        <v xml:space="preserve"> </v>
      </c>
      <c r="BJ66" s="46" t="str">
        <f ca="1">IFERROR(IF(AND(ISNUMBER($BC$66),$BC$66&lt;=95),INDEX('2.Distances'!$D$2:$D$9218,$BC$65*96+$BC$66+ 1) +$BK$65," ")," ")</f>
        <v xml:space="preserve"> </v>
      </c>
      <c r="BK66" s="46" t="str">
        <f ca="1">IFERROR(IF(ISNUMBER($BJ$66),INDEX('1.Locations'!$I$2:$I$97,$BC$66 + 1) + MAX($BJ$66,INDEX('1.Locations'!$F$2:$F$97,$BC$66 + 1))," ")," ")</f>
        <v xml:space="preserve"> </v>
      </c>
      <c r="BL66" s="45" t="str">
        <f ca="1">IFERROR($BL$65 + INDEX('2.Distances'!$D$2:$D$9218,$BC$65*96+$BC$66+ 1) + INDEX('1.Locations'!$I$2:$I$97,$BC$66 + 1)," ")</f>
        <v xml:space="preserve"> </v>
      </c>
      <c r="BN66" s="24">
        <v>61</v>
      </c>
      <c r="BO66" s="25"/>
      <c r="BP66" s="43" t="str">
        <f ca="1">IFERROR(MATCH(INDIRECT("$BO$66"),'1.Locations'!$B$2:$B$97, 0) - 1," ")</f>
        <v xml:space="preserve"> </v>
      </c>
      <c r="BQ66" s="43" t="e">
        <f ca="1">IFERROR(IF(ISNUMBER($BP$66),INDEX('1.Locations'!$D$2:$D$97,$BP$66 + 1),NA()),NA())</f>
        <v>#N/A</v>
      </c>
      <c r="BR66" s="43" t="e">
        <f ca="1">IFERROR(IF(ISNUMBER($BP$66),INDEX('1.Locations'!$E$2:$E$97,$BP$66 + 1),NA()),NA())</f>
        <v>#N/A</v>
      </c>
      <c r="BS66" s="44" t="str">
        <f ca="1">IFERROR(IF(AND(ISNUMBER($BP$66),$BP$66&lt;=95),INDEX('2.Distances'!$C$2:$C$9218,$BP$65*96+$BP$66+ 1) +$BS$65," ")," ")</f>
        <v xml:space="preserve"> </v>
      </c>
      <c r="BT66" s="43" t="str">
        <f ca="1">IFERROR(IF(ISNUMBER($BP$66),INDEX('1.Locations'!$J$2:$J$97,$BP$66 + 1) +$BT$65," ")," ")</f>
        <v xml:space="preserve"> </v>
      </c>
      <c r="BU66" s="43" t="str">
        <f ca="1">IFERROR(IF(ISNUMBER($BP$66),INDEX('1.Locations'!$K$2:$K$97,$BP$66 + 1) +$BU$65," ")," ")</f>
        <v xml:space="preserve"> </v>
      </c>
      <c r="BV66" s="45" t="str">
        <f ca="1">IFERROR(IF(AND(ISNUMBER($BP$66),$BP$66&lt;=95),INDEX('2.Distances'!$D$2:$D$9218,$BP$65*96+$BP$66+ 1) +$BV$65," ")," ")</f>
        <v xml:space="preserve"> </v>
      </c>
      <c r="BW66" s="46" t="str">
        <f ca="1">IFERROR(IF(AND(ISNUMBER($BP$66),$BP$66&lt;=95),INDEX('2.Distances'!$D$2:$D$9218,$BP$65*96+$BP$66+ 1) +$BX$65," ")," ")</f>
        <v xml:space="preserve"> </v>
      </c>
      <c r="BX66" s="46" t="str">
        <f ca="1">IFERROR(IF(ISNUMBER($BW$66),INDEX('1.Locations'!$I$2:$I$97,$BP$66 + 1) + MAX($BW$66,INDEX('1.Locations'!$F$2:$F$97,$BP$66 + 1))," ")," ")</f>
        <v xml:space="preserve"> </v>
      </c>
      <c r="BY66" s="45" t="str">
        <f ca="1">IFERROR($BY$65 + INDEX('2.Distances'!$D$2:$D$9218,$BP$65*96+$BP$66+ 1) + INDEX('1.Locations'!$I$2:$I$97,$BP$66 + 1)," ")</f>
        <v xml:space="preserve"> </v>
      </c>
      <c r="CA66" s="24">
        <v>61</v>
      </c>
      <c r="CB66" s="25"/>
      <c r="CC66" s="43" t="str">
        <f ca="1">IFERROR(MATCH(INDIRECT("$CB$66"),'1.Locations'!$B$2:$B$97, 0) - 1," ")</f>
        <v xml:space="preserve"> </v>
      </c>
      <c r="CD66" s="43" t="e">
        <f ca="1">IFERROR(IF(ISNUMBER($CC$66),INDEX('1.Locations'!$D$2:$D$97,$CC$66 + 1),NA()),NA())</f>
        <v>#N/A</v>
      </c>
      <c r="CE66" s="43" t="e">
        <f ca="1">IFERROR(IF(ISNUMBER($CC$66),INDEX('1.Locations'!$E$2:$E$97,$CC$66 + 1),NA()),NA())</f>
        <v>#N/A</v>
      </c>
      <c r="CF66" s="44" t="str">
        <f ca="1">IFERROR(IF(AND(ISNUMBER($CC$66),$CC$66&lt;=95),INDEX('2.Distances'!$C$2:$C$9218,$CC$65*96+$CC$66+ 1) +$CF$65," ")," ")</f>
        <v xml:space="preserve"> </v>
      </c>
      <c r="CG66" s="43" t="str">
        <f ca="1">IFERROR(IF(ISNUMBER($CC$66),INDEX('1.Locations'!$J$2:$J$97,$CC$66 + 1) +$CG$65," ")," ")</f>
        <v xml:space="preserve"> </v>
      </c>
      <c r="CH66" s="43" t="str">
        <f ca="1">IFERROR(IF(ISNUMBER($CC$66),INDEX('1.Locations'!$K$2:$K$97,$CC$66 + 1) +$CH$65," ")," ")</f>
        <v xml:space="preserve"> </v>
      </c>
      <c r="CI66" s="45" t="str">
        <f ca="1">IFERROR(IF(AND(ISNUMBER($CC$66),$CC$66&lt;=95),INDEX('2.Distances'!$D$2:$D$9218,$CC$65*96+$CC$66+ 1) +$CI$65," ")," ")</f>
        <v xml:space="preserve"> </v>
      </c>
      <c r="CJ66" s="46" t="str">
        <f ca="1">IFERROR(IF(AND(ISNUMBER($CC$66),$CC$66&lt;=95),INDEX('2.Distances'!$D$2:$D$9218,$CC$65*96+$CC$66+ 1) +$CK$65," ")," ")</f>
        <v xml:space="preserve"> </v>
      </c>
      <c r="CK66" s="46" t="str">
        <f ca="1">IFERROR(IF(ISNUMBER($CJ$66),INDEX('1.Locations'!$I$2:$I$97,$CC$66 + 1) + MAX($CJ$66,INDEX('1.Locations'!$F$2:$F$97,$CC$66 + 1))," ")," ")</f>
        <v xml:space="preserve"> </v>
      </c>
      <c r="CL66" s="45" t="str">
        <f ca="1">IFERROR($CL$65 + INDEX('2.Distances'!$D$2:$D$9218,$CC$65*96+$CC$66+ 1) + INDEX('1.Locations'!$I$2:$I$97,$CC$66 + 1)," ")</f>
        <v xml:space="preserve"> </v>
      </c>
    </row>
    <row r="67" spans="1:90" x14ac:dyDescent="0.25">
      <c r="A67" s="24">
        <v>62</v>
      </c>
      <c r="B67" s="25"/>
      <c r="C67" s="43" t="str">
        <f ca="1">IFERROR(MATCH(INDIRECT("$B$67"),'1.Locations'!$B$2:$B$97, 0) - 1," ")</f>
        <v xml:space="preserve"> </v>
      </c>
      <c r="D67" s="43" t="e">
        <f ca="1">IFERROR(IF(ISNUMBER($C$67),INDEX('1.Locations'!$D$2:$D$97,$C$67 + 1),NA()),NA())</f>
        <v>#N/A</v>
      </c>
      <c r="E67" s="43" t="e">
        <f ca="1">IFERROR(IF(ISNUMBER($C$67),INDEX('1.Locations'!$E$2:$E$97,$C$67 + 1),NA()),NA())</f>
        <v>#N/A</v>
      </c>
      <c r="F67" s="44" t="str">
        <f ca="1">IFERROR(IF(AND(ISNUMBER($C$67),$C$67&lt;=95),INDEX('2.Distances'!$C$2:$C$9218,$C$66*96+$C$67+ 1) +$F$66," ")," ")</f>
        <v xml:space="preserve"> </v>
      </c>
      <c r="G67" s="43" t="str">
        <f ca="1">IFERROR(IF(ISNUMBER($C$67),INDEX('1.Locations'!$J$2:$J$97,$C$67 + 1) +$G$66," ")," ")</f>
        <v xml:space="preserve"> </v>
      </c>
      <c r="H67" s="43" t="str">
        <f ca="1">IFERROR(IF(ISNUMBER($C$67),INDEX('1.Locations'!$K$2:$K$97,$C$67 + 1) +$H$66," ")," ")</f>
        <v xml:space="preserve"> </v>
      </c>
      <c r="I67" s="45" t="str">
        <f ca="1">IFERROR(IF(AND(ISNUMBER($C$67),$C$67&lt;=95),INDEX('2.Distances'!$D$2:$D$9218,$C$66*96+$C$67+ 1) +$I$66," ")," ")</f>
        <v xml:space="preserve"> </v>
      </c>
      <c r="J67" s="46" t="str">
        <f ca="1">IFERROR(IF(AND(ISNUMBER($C$67),$C$67&lt;=95),INDEX('2.Distances'!$D$2:$D$9218,$C$66*96+$C$67+ 1) +$K$66," ")," ")</f>
        <v xml:space="preserve"> </v>
      </c>
      <c r="K67" s="46" t="str">
        <f ca="1">IFERROR(IF(ISNUMBER($J$67),INDEX('1.Locations'!$I$2:$I$97,$C$67 + 1) + MAX($J$67,INDEX('1.Locations'!$F$2:$F$97,$C$67 + 1))," ")," ")</f>
        <v xml:space="preserve"> </v>
      </c>
      <c r="L67" s="45" t="str">
        <f ca="1">IFERROR($L$66 + INDEX('2.Distances'!$D$2:$D$9218,$C$66*96+$C$67+ 1) + INDEX('1.Locations'!$I$2:$I$97,$C$67 + 1)," ")</f>
        <v xml:space="preserve"> </v>
      </c>
      <c r="N67" s="24">
        <v>62</v>
      </c>
      <c r="O67" s="25"/>
      <c r="P67" s="43" t="str">
        <f ca="1">IFERROR(MATCH(INDIRECT("$O$67"),'1.Locations'!$B$2:$B$97, 0) - 1," ")</f>
        <v xml:space="preserve"> </v>
      </c>
      <c r="Q67" s="43" t="e">
        <f ca="1">IFERROR(IF(ISNUMBER($P$67),INDEX('1.Locations'!$D$2:$D$97,$P$67 + 1),NA()),NA())</f>
        <v>#N/A</v>
      </c>
      <c r="R67" s="43" t="e">
        <f ca="1">IFERROR(IF(ISNUMBER($P$67),INDEX('1.Locations'!$E$2:$E$97,$P$67 + 1),NA()),NA())</f>
        <v>#N/A</v>
      </c>
      <c r="S67" s="44" t="str">
        <f ca="1">IFERROR(IF(AND(ISNUMBER($P$67),$P$67&lt;=95),INDEX('2.Distances'!$C$2:$C$9218,$P$66*96+$P$67+ 1) +$S$66," ")," ")</f>
        <v xml:space="preserve"> </v>
      </c>
      <c r="T67" s="43" t="str">
        <f ca="1">IFERROR(IF(ISNUMBER($P$67),INDEX('1.Locations'!$J$2:$J$97,$P$67 + 1) +$T$66," ")," ")</f>
        <v xml:space="preserve"> </v>
      </c>
      <c r="U67" s="43" t="str">
        <f ca="1">IFERROR(IF(ISNUMBER($P$67),INDEX('1.Locations'!$K$2:$K$97,$P$67 + 1) +$U$66," ")," ")</f>
        <v xml:space="preserve"> </v>
      </c>
      <c r="V67" s="45" t="str">
        <f ca="1">IFERROR(IF(AND(ISNUMBER($P$67),$P$67&lt;=95),INDEX('2.Distances'!$D$2:$D$9218,$P$66*96+$P$67+ 1) +$V$66," ")," ")</f>
        <v xml:space="preserve"> </v>
      </c>
      <c r="W67" s="46" t="str">
        <f ca="1">IFERROR(IF(AND(ISNUMBER($P$67),$P$67&lt;=95),INDEX('2.Distances'!$D$2:$D$9218,$P$66*96+$P$67+ 1) +$X$66," ")," ")</f>
        <v xml:space="preserve"> </v>
      </c>
      <c r="X67" s="46" t="str">
        <f ca="1">IFERROR(IF(ISNUMBER($W$67),INDEX('1.Locations'!$I$2:$I$97,$P$67 + 1) + MAX($W$67,INDEX('1.Locations'!$F$2:$F$97,$P$67 + 1))," ")," ")</f>
        <v xml:space="preserve"> </v>
      </c>
      <c r="Y67" s="45" t="str">
        <f ca="1">IFERROR($Y$66 + INDEX('2.Distances'!$D$2:$D$9218,$P$66*96+$P$67+ 1) + INDEX('1.Locations'!$I$2:$I$97,$P$67 + 1)," ")</f>
        <v xml:space="preserve"> </v>
      </c>
      <c r="AA67" s="24">
        <v>62</v>
      </c>
      <c r="AB67" s="25"/>
      <c r="AC67" s="43" t="str">
        <f ca="1">IFERROR(MATCH(INDIRECT("$AB$67"),'1.Locations'!$B$2:$B$97, 0) - 1," ")</f>
        <v xml:space="preserve"> </v>
      </c>
      <c r="AD67" s="43" t="e">
        <f ca="1">IFERROR(IF(ISNUMBER($AC$67),INDEX('1.Locations'!$D$2:$D$97,$AC$67 + 1),NA()),NA())</f>
        <v>#N/A</v>
      </c>
      <c r="AE67" s="43" t="e">
        <f ca="1">IFERROR(IF(ISNUMBER($AC$67),INDEX('1.Locations'!$E$2:$E$97,$AC$67 + 1),NA()),NA())</f>
        <v>#N/A</v>
      </c>
      <c r="AF67" s="44" t="str">
        <f ca="1">IFERROR(IF(AND(ISNUMBER($AC$67),$AC$67&lt;=95),INDEX('2.Distances'!$C$2:$C$9218,$AC$66*96+$AC$67+ 1) +$AF$66," ")," ")</f>
        <v xml:space="preserve"> </v>
      </c>
      <c r="AG67" s="43" t="str">
        <f ca="1">IFERROR(IF(ISNUMBER($AC$67),INDEX('1.Locations'!$J$2:$J$97,$AC$67 + 1) +$AG$66," ")," ")</f>
        <v xml:space="preserve"> </v>
      </c>
      <c r="AH67" s="43" t="str">
        <f ca="1">IFERROR(IF(ISNUMBER($AC$67),INDEX('1.Locations'!$K$2:$K$97,$AC$67 + 1) +$AH$66," ")," ")</f>
        <v xml:space="preserve"> </v>
      </c>
      <c r="AI67" s="45" t="str">
        <f ca="1">IFERROR(IF(AND(ISNUMBER($AC$67),$AC$67&lt;=95),INDEX('2.Distances'!$D$2:$D$9218,$AC$66*96+$AC$67+ 1) +$AI$66," ")," ")</f>
        <v xml:space="preserve"> </v>
      </c>
      <c r="AJ67" s="46" t="str">
        <f ca="1">IFERROR(IF(AND(ISNUMBER($AC$67),$AC$67&lt;=95),INDEX('2.Distances'!$D$2:$D$9218,$AC$66*96+$AC$67+ 1) +$AK$66," ")," ")</f>
        <v xml:space="preserve"> </v>
      </c>
      <c r="AK67" s="46" t="str">
        <f ca="1">IFERROR(IF(ISNUMBER($AJ$67),INDEX('1.Locations'!$I$2:$I$97,$AC$67 + 1) + MAX($AJ$67,INDEX('1.Locations'!$F$2:$F$97,$AC$67 + 1))," ")," ")</f>
        <v xml:space="preserve"> </v>
      </c>
      <c r="AL67" s="45" t="str">
        <f ca="1">IFERROR($AL$66 + INDEX('2.Distances'!$D$2:$D$9218,$AC$66*96+$AC$67+ 1) + INDEX('1.Locations'!$I$2:$I$97,$AC$67 + 1)," ")</f>
        <v xml:space="preserve"> </v>
      </c>
      <c r="AN67" s="24">
        <v>62</v>
      </c>
      <c r="AO67" s="25"/>
      <c r="AP67" s="43" t="str">
        <f ca="1">IFERROR(MATCH(INDIRECT("$AO$67"),'1.Locations'!$B$2:$B$97, 0) - 1," ")</f>
        <v xml:space="preserve"> </v>
      </c>
      <c r="AQ67" s="43" t="e">
        <f ca="1">IFERROR(IF(ISNUMBER($AP$67),INDEX('1.Locations'!$D$2:$D$97,$AP$67 + 1),NA()),NA())</f>
        <v>#N/A</v>
      </c>
      <c r="AR67" s="43" t="e">
        <f ca="1">IFERROR(IF(ISNUMBER($AP$67),INDEX('1.Locations'!$E$2:$E$97,$AP$67 + 1),NA()),NA())</f>
        <v>#N/A</v>
      </c>
      <c r="AS67" s="44" t="str">
        <f ca="1">IFERROR(IF(AND(ISNUMBER($AP$67),$AP$67&lt;=95),INDEX('2.Distances'!$C$2:$C$9218,$AP$66*96+$AP$67+ 1) +$AS$66," ")," ")</f>
        <v xml:space="preserve"> </v>
      </c>
      <c r="AT67" s="43" t="str">
        <f ca="1">IFERROR(IF(ISNUMBER($AP$67),INDEX('1.Locations'!$J$2:$J$97,$AP$67 + 1) +$AT$66," ")," ")</f>
        <v xml:space="preserve"> </v>
      </c>
      <c r="AU67" s="43" t="str">
        <f ca="1">IFERROR(IF(ISNUMBER($AP$67),INDEX('1.Locations'!$K$2:$K$97,$AP$67 + 1) +$AU$66," ")," ")</f>
        <v xml:space="preserve"> </v>
      </c>
      <c r="AV67" s="45" t="str">
        <f ca="1">IFERROR(IF(AND(ISNUMBER($AP$67),$AP$67&lt;=95),INDEX('2.Distances'!$D$2:$D$9218,$AP$66*96+$AP$67+ 1) +$AV$66," ")," ")</f>
        <v xml:space="preserve"> </v>
      </c>
      <c r="AW67" s="46" t="str">
        <f ca="1">IFERROR(IF(AND(ISNUMBER($AP$67),$AP$67&lt;=95),INDEX('2.Distances'!$D$2:$D$9218,$AP$66*96+$AP$67+ 1) +$AX$66," ")," ")</f>
        <v xml:space="preserve"> </v>
      </c>
      <c r="AX67" s="46" t="str">
        <f ca="1">IFERROR(IF(ISNUMBER($AW$67),INDEX('1.Locations'!$I$2:$I$97,$AP$67 + 1) + MAX($AW$67,INDEX('1.Locations'!$F$2:$F$97,$AP$67 + 1))," ")," ")</f>
        <v xml:space="preserve"> </v>
      </c>
      <c r="AY67" s="45" t="str">
        <f ca="1">IFERROR($AY$66 + INDEX('2.Distances'!$D$2:$D$9218,$AP$66*96+$AP$67+ 1) + INDEX('1.Locations'!$I$2:$I$97,$AP$67 + 1)," ")</f>
        <v xml:space="preserve"> </v>
      </c>
      <c r="BA67" s="24">
        <v>62</v>
      </c>
      <c r="BB67" s="25"/>
      <c r="BC67" s="43" t="str">
        <f ca="1">IFERROR(MATCH(INDIRECT("$BB$67"),'1.Locations'!$B$2:$B$97, 0) - 1," ")</f>
        <v xml:space="preserve"> </v>
      </c>
      <c r="BD67" s="43" t="e">
        <f ca="1">IFERROR(IF(ISNUMBER($BC$67),INDEX('1.Locations'!$D$2:$D$97,$BC$67 + 1),NA()),NA())</f>
        <v>#N/A</v>
      </c>
      <c r="BE67" s="43" t="e">
        <f ca="1">IFERROR(IF(ISNUMBER($BC$67),INDEX('1.Locations'!$E$2:$E$97,$BC$67 + 1),NA()),NA())</f>
        <v>#N/A</v>
      </c>
      <c r="BF67" s="44" t="str">
        <f ca="1">IFERROR(IF(AND(ISNUMBER($BC$67),$BC$67&lt;=95),INDEX('2.Distances'!$C$2:$C$9218,$BC$66*96+$BC$67+ 1) +$BF$66," ")," ")</f>
        <v xml:space="preserve"> </v>
      </c>
      <c r="BG67" s="43" t="str">
        <f ca="1">IFERROR(IF(ISNUMBER($BC$67),INDEX('1.Locations'!$J$2:$J$97,$BC$67 + 1) +$BG$66," ")," ")</f>
        <v xml:space="preserve"> </v>
      </c>
      <c r="BH67" s="43" t="str">
        <f ca="1">IFERROR(IF(ISNUMBER($BC$67),INDEX('1.Locations'!$K$2:$K$97,$BC$67 + 1) +$BH$66," ")," ")</f>
        <v xml:space="preserve"> </v>
      </c>
      <c r="BI67" s="45" t="str">
        <f ca="1">IFERROR(IF(AND(ISNUMBER($BC$67),$BC$67&lt;=95),INDEX('2.Distances'!$D$2:$D$9218,$BC$66*96+$BC$67+ 1) +$BI$66," ")," ")</f>
        <v xml:space="preserve"> </v>
      </c>
      <c r="BJ67" s="46" t="str">
        <f ca="1">IFERROR(IF(AND(ISNUMBER($BC$67),$BC$67&lt;=95),INDEX('2.Distances'!$D$2:$D$9218,$BC$66*96+$BC$67+ 1) +$BK$66," ")," ")</f>
        <v xml:space="preserve"> </v>
      </c>
      <c r="BK67" s="46" t="str">
        <f ca="1">IFERROR(IF(ISNUMBER($BJ$67),INDEX('1.Locations'!$I$2:$I$97,$BC$67 + 1) + MAX($BJ$67,INDEX('1.Locations'!$F$2:$F$97,$BC$67 + 1))," ")," ")</f>
        <v xml:space="preserve"> </v>
      </c>
      <c r="BL67" s="45" t="str">
        <f ca="1">IFERROR($BL$66 + INDEX('2.Distances'!$D$2:$D$9218,$BC$66*96+$BC$67+ 1) + INDEX('1.Locations'!$I$2:$I$97,$BC$67 + 1)," ")</f>
        <v xml:space="preserve"> </v>
      </c>
      <c r="BN67" s="24">
        <v>62</v>
      </c>
      <c r="BO67" s="25"/>
      <c r="BP67" s="43" t="str">
        <f ca="1">IFERROR(MATCH(INDIRECT("$BO$67"),'1.Locations'!$B$2:$B$97, 0) - 1," ")</f>
        <v xml:space="preserve"> </v>
      </c>
      <c r="BQ67" s="43" t="e">
        <f ca="1">IFERROR(IF(ISNUMBER($BP$67),INDEX('1.Locations'!$D$2:$D$97,$BP$67 + 1),NA()),NA())</f>
        <v>#N/A</v>
      </c>
      <c r="BR67" s="43" t="e">
        <f ca="1">IFERROR(IF(ISNUMBER($BP$67),INDEX('1.Locations'!$E$2:$E$97,$BP$67 + 1),NA()),NA())</f>
        <v>#N/A</v>
      </c>
      <c r="BS67" s="44" t="str">
        <f ca="1">IFERROR(IF(AND(ISNUMBER($BP$67),$BP$67&lt;=95),INDEX('2.Distances'!$C$2:$C$9218,$BP$66*96+$BP$67+ 1) +$BS$66," ")," ")</f>
        <v xml:space="preserve"> </v>
      </c>
      <c r="BT67" s="43" t="str">
        <f ca="1">IFERROR(IF(ISNUMBER($BP$67),INDEX('1.Locations'!$J$2:$J$97,$BP$67 + 1) +$BT$66," ")," ")</f>
        <v xml:space="preserve"> </v>
      </c>
      <c r="BU67" s="43" t="str">
        <f ca="1">IFERROR(IF(ISNUMBER($BP$67),INDEX('1.Locations'!$K$2:$K$97,$BP$67 + 1) +$BU$66," ")," ")</f>
        <v xml:space="preserve"> </v>
      </c>
      <c r="BV67" s="45" t="str">
        <f ca="1">IFERROR(IF(AND(ISNUMBER($BP$67),$BP$67&lt;=95),INDEX('2.Distances'!$D$2:$D$9218,$BP$66*96+$BP$67+ 1) +$BV$66," ")," ")</f>
        <v xml:space="preserve"> </v>
      </c>
      <c r="BW67" s="46" t="str">
        <f ca="1">IFERROR(IF(AND(ISNUMBER($BP$67),$BP$67&lt;=95),INDEX('2.Distances'!$D$2:$D$9218,$BP$66*96+$BP$67+ 1) +$BX$66," ")," ")</f>
        <v xml:space="preserve"> </v>
      </c>
      <c r="BX67" s="46" t="str">
        <f ca="1">IFERROR(IF(ISNUMBER($BW$67),INDEX('1.Locations'!$I$2:$I$97,$BP$67 + 1) + MAX($BW$67,INDEX('1.Locations'!$F$2:$F$97,$BP$67 + 1))," ")," ")</f>
        <v xml:space="preserve"> </v>
      </c>
      <c r="BY67" s="45" t="str">
        <f ca="1">IFERROR($BY$66 + INDEX('2.Distances'!$D$2:$D$9218,$BP$66*96+$BP$67+ 1) + INDEX('1.Locations'!$I$2:$I$97,$BP$67 + 1)," ")</f>
        <v xml:space="preserve"> </v>
      </c>
      <c r="CA67" s="24">
        <v>62</v>
      </c>
      <c r="CB67" s="25"/>
      <c r="CC67" s="43" t="str">
        <f ca="1">IFERROR(MATCH(INDIRECT("$CB$67"),'1.Locations'!$B$2:$B$97, 0) - 1," ")</f>
        <v xml:space="preserve"> </v>
      </c>
      <c r="CD67" s="43" t="e">
        <f ca="1">IFERROR(IF(ISNUMBER($CC$67),INDEX('1.Locations'!$D$2:$D$97,$CC$67 + 1),NA()),NA())</f>
        <v>#N/A</v>
      </c>
      <c r="CE67" s="43" t="e">
        <f ca="1">IFERROR(IF(ISNUMBER($CC$67),INDEX('1.Locations'!$E$2:$E$97,$CC$67 + 1),NA()),NA())</f>
        <v>#N/A</v>
      </c>
      <c r="CF67" s="44" t="str">
        <f ca="1">IFERROR(IF(AND(ISNUMBER($CC$67),$CC$67&lt;=95),INDEX('2.Distances'!$C$2:$C$9218,$CC$66*96+$CC$67+ 1) +$CF$66," ")," ")</f>
        <v xml:space="preserve"> </v>
      </c>
      <c r="CG67" s="43" t="str">
        <f ca="1">IFERROR(IF(ISNUMBER($CC$67),INDEX('1.Locations'!$J$2:$J$97,$CC$67 + 1) +$CG$66," ")," ")</f>
        <v xml:space="preserve"> </v>
      </c>
      <c r="CH67" s="43" t="str">
        <f ca="1">IFERROR(IF(ISNUMBER($CC$67),INDEX('1.Locations'!$K$2:$K$97,$CC$67 + 1) +$CH$66," ")," ")</f>
        <v xml:space="preserve"> </v>
      </c>
      <c r="CI67" s="45" t="str">
        <f ca="1">IFERROR(IF(AND(ISNUMBER($CC$67),$CC$67&lt;=95),INDEX('2.Distances'!$D$2:$D$9218,$CC$66*96+$CC$67+ 1) +$CI$66," ")," ")</f>
        <v xml:space="preserve"> </v>
      </c>
      <c r="CJ67" s="46" t="str">
        <f ca="1">IFERROR(IF(AND(ISNUMBER($CC$67),$CC$67&lt;=95),INDEX('2.Distances'!$D$2:$D$9218,$CC$66*96+$CC$67+ 1) +$CK$66," ")," ")</f>
        <v xml:space="preserve"> </v>
      </c>
      <c r="CK67" s="46" t="str">
        <f ca="1">IFERROR(IF(ISNUMBER($CJ$67),INDEX('1.Locations'!$I$2:$I$97,$CC$67 + 1) + MAX($CJ$67,INDEX('1.Locations'!$F$2:$F$97,$CC$67 + 1))," ")," ")</f>
        <v xml:space="preserve"> </v>
      </c>
      <c r="CL67" s="45" t="str">
        <f ca="1">IFERROR($CL$66 + INDEX('2.Distances'!$D$2:$D$9218,$CC$66*96+$CC$67+ 1) + INDEX('1.Locations'!$I$2:$I$97,$CC$67 + 1)," ")</f>
        <v xml:space="preserve"> </v>
      </c>
    </row>
    <row r="68" spans="1:90" x14ac:dyDescent="0.25">
      <c r="A68" s="24">
        <v>63</v>
      </c>
      <c r="B68" s="25"/>
      <c r="C68" s="43" t="str">
        <f ca="1">IFERROR(MATCH(INDIRECT("$B$68"),'1.Locations'!$B$2:$B$97, 0) - 1," ")</f>
        <v xml:space="preserve"> </v>
      </c>
      <c r="D68" s="43" t="e">
        <f ca="1">IFERROR(IF(ISNUMBER($C$68),INDEX('1.Locations'!$D$2:$D$97,$C$68 + 1),NA()),NA())</f>
        <v>#N/A</v>
      </c>
      <c r="E68" s="43" t="e">
        <f ca="1">IFERROR(IF(ISNUMBER($C$68),INDEX('1.Locations'!$E$2:$E$97,$C$68 + 1),NA()),NA())</f>
        <v>#N/A</v>
      </c>
      <c r="F68" s="44" t="str">
        <f ca="1">IFERROR(IF(AND(ISNUMBER($C$68),$C$68&lt;=95),INDEX('2.Distances'!$C$2:$C$9218,$C$67*96+$C$68+ 1) +$F$67," ")," ")</f>
        <v xml:space="preserve"> </v>
      </c>
      <c r="G68" s="43" t="str">
        <f ca="1">IFERROR(IF(ISNUMBER($C$68),INDEX('1.Locations'!$J$2:$J$97,$C$68 + 1) +$G$67," ")," ")</f>
        <v xml:space="preserve"> </v>
      </c>
      <c r="H68" s="43" t="str">
        <f ca="1">IFERROR(IF(ISNUMBER($C$68),INDEX('1.Locations'!$K$2:$K$97,$C$68 + 1) +$H$67," ")," ")</f>
        <v xml:space="preserve"> </v>
      </c>
      <c r="I68" s="45" t="str">
        <f ca="1">IFERROR(IF(AND(ISNUMBER($C$68),$C$68&lt;=95),INDEX('2.Distances'!$D$2:$D$9218,$C$67*96+$C$68+ 1) +$I$67," ")," ")</f>
        <v xml:space="preserve"> </v>
      </c>
      <c r="J68" s="46" t="str">
        <f ca="1">IFERROR(IF(AND(ISNUMBER($C$68),$C$68&lt;=95),INDEX('2.Distances'!$D$2:$D$9218,$C$67*96+$C$68+ 1) +$K$67," ")," ")</f>
        <v xml:space="preserve"> </v>
      </c>
      <c r="K68" s="46" t="str">
        <f ca="1">IFERROR(IF(ISNUMBER($J$68),INDEX('1.Locations'!$I$2:$I$97,$C$68 + 1) + MAX($J$68,INDEX('1.Locations'!$F$2:$F$97,$C$68 + 1))," ")," ")</f>
        <v xml:space="preserve"> </v>
      </c>
      <c r="L68" s="45" t="str">
        <f ca="1">IFERROR($L$67 + INDEX('2.Distances'!$D$2:$D$9218,$C$67*96+$C$68+ 1) + INDEX('1.Locations'!$I$2:$I$97,$C$68 + 1)," ")</f>
        <v xml:space="preserve"> </v>
      </c>
      <c r="N68" s="24">
        <v>63</v>
      </c>
      <c r="O68" s="25"/>
      <c r="P68" s="43" t="str">
        <f ca="1">IFERROR(MATCH(INDIRECT("$O$68"),'1.Locations'!$B$2:$B$97, 0) - 1," ")</f>
        <v xml:space="preserve"> </v>
      </c>
      <c r="Q68" s="43" t="e">
        <f ca="1">IFERROR(IF(ISNUMBER($P$68),INDEX('1.Locations'!$D$2:$D$97,$P$68 + 1),NA()),NA())</f>
        <v>#N/A</v>
      </c>
      <c r="R68" s="43" t="e">
        <f ca="1">IFERROR(IF(ISNUMBER($P$68),INDEX('1.Locations'!$E$2:$E$97,$P$68 + 1),NA()),NA())</f>
        <v>#N/A</v>
      </c>
      <c r="S68" s="44" t="str">
        <f ca="1">IFERROR(IF(AND(ISNUMBER($P$68),$P$68&lt;=95),INDEX('2.Distances'!$C$2:$C$9218,$P$67*96+$P$68+ 1) +$S$67," ")," ")</f>
        <v xml:space="preserve"> </v>
      </c>
      <c r="T68" s="43" t="str">
        <f ca="1">IFERROR(IF(ISNUMBER($P$68),INDEX('1.Locations'!$J$2:$J$97,$P$68 + 1) +$T$67," ")," ")</f>
        <v xml:space="preserve"> </v>
      </c>
      <c r="U68" s="43" t="str">
        <f ca="1">IFERROR(IF(ISNUMBER($P$68),INDEX('1.Locations'!$K$2:$K$97,$P$68 + 1) +$U$67," ")," ")</f>
        <v xml:space="preserve"> </v>
      </c>
      <c r="V68" s="45" t="str">
        <f ca="1">IFERROR(IF(AND(ISNUMBER($P$68),$P$68&lt;=95),INDEX('2.Distances'!$D$2:$D$9218,$P$67*96+$P$68+ 1) +$V$67," ")," ")</f>
        <v xml:space="preserve"> </v>
      </c>
      <c r="W68" s="46" t="str">
        <f ca="1">IFERROR(IF(AND(ISNUMBER($P$68),$P$68&lt;=95),INDEX('2.Distances'!$D$2:$D$9218,$P$67*96+$P$68+ 1) +$X$67," ")," ")</f>
        <v xml:space="preserve"> </v>
      </c>
      <c r="X68" s="46" t="str">
        <f ca="1">IFERROR(IF(ISNUMBER($W$68),INDEX('1.Locations'!$I$2:$I$97,$P$68 + 1) + MAX($W$68,INDEX('1.Locations'!$F$2:$F$97,$P$68 + 1))," ")," ")</f>
        <v xml:space="preserve"> </v>
      </c>
      <c r="Y68" s="45" t="str">
        <f ca="1">IFERROR($Y$67 + INDEX('2.Distances'!$D$2:$D$9218,$P$67*96+$P$68+ 1) + INDEX('1.Locations'!$I$2:$I$97,$P$68 + 1)," ")</f>
        <v xml:space="preserve"> </v>
      </c>
      <c r="AA68" s="24">
        <v>63</v>
      </c>
      <c r="AB68" s="25"/>
      <c r="AC68" s="43" t="str">
        <f ca="1">IFERROR(MATCH(INDIRECT("$AB$68"),'1.Locations'!$B$2:$B$97, 0) - 1," ")</f>
        <v xml:space="preserve"> </v>
      </c>
      <c r="AD68" s="43" t="e">
        <f ca="1">IFERROR(IF(ISNUMBER($AC$68),INDEX('1.Locations'!$D$2:$D$97,$AC$68 + 1),NA()),NA())</f>
        <v>#N/A</v>
      </c>
      <c r="AE68" s="43" t="e">
        <f ca="1">IFERROR(IF(ISNUMBER($AC$68),INDEX('1.Locations'!$E$2:$E$97,$AC$68 + 1),NA()),NA())</f>
        <v>#N/A</v>
      </c>
      <c r="AF68" s="44" t="str">
        <f ca="1">IFERROR(IF(AND(ISNUMBER($AC$68),$AC$68&lt;=95),INDEX('2.Distances'!$C$2:$C$9218,$AC$67*96+$AC$68+ 1) +$AF$67," ")," ")</f>
        <v xml:space="preserve"> </v>
      </c>
      <c r="AG68" s="43" t="str">
        <f ca="1">IFERROR(IF(ISNUMBER($AC$68),INDEX('1.Locations'!$J$2:$J$97,$AC$68 + 1) +$AG$67," ")," ")</f>
        <v xml:space="preserve"> </v>
      </c>
      <c r="AH68" s="43" t="str">
        <f ca="1">IFERROR(IF(ISNUMBER($AC$68),INDEX('1.Locations'!$K$2:$K$97,$AC$68 + 1) +$AH$67," ")," ")</f>
        <v xml:space="preserve"> </v>
      </c>
      <c r="AI68" s="45" t="str">
        <f ca="1">IFERROR(IF(AND(ISNUMBER($AC$68),$AC$68&lt;=95),INDEX('2.Distances'!$D$2:$D$9218,$AC$67*96+$AC$68+ 1) +$AI$67," ")," ")</f>
        <v xml:space="preserve"> </v>
      </c>
      <c r="AJ68" s="46" t="str">
        <f ca="1">IFERROR(IF(AND(ISNUMBER($AC$68),$AC$68&lt;=95),INDEX('2.Distances'!$D$2:$D$9218,$AC$67*96+$AC$68+ 1) +$AK$67," ")," ")</f>
        <v xml:space="preserve"> </v>
      </c>
      <c r="AK68" s="46" t="str">
        <f ca="1">IFERROR(IF(ISNUMBER($AJ$68),INDEX('1.Locations'!$I$2:$I$97,$AC$68 + 1) + MAX($AJ$68,INDEX('1.Locations'!$F$2:$F$97,$AC$68 + 1))," ")," ")</f>
        <v xml:space="preserve"> </v>
      </c>
      <c r="AL68" s="45" t="str">
        <f ca="1">IFERROR($AL$67 + INDEX('2.Distances'!$D$2:$D$9218,$AC$67*96+$AC$68+ 1) + INDEX('1.Locations'!$I$2:$I$97,$AC$68 + 1)," ")</f>
        <v xml:space="preserve"> </v>
      </c>
      <c r="AN68" s="24">
        <v>63</v>
      </c>
      <c r="AO68" s="25"/>
      <c r="AP68" s="43" t="str">
        <f ca="1">IFERROR(MATCH(INDIRECT("$AO$68"),'1.Locations'!$B$2:$B$97, 0) - 1," ")</f>
        <v xml:space="preserve"> </v>
      </c>
      <c r="AQ68" s="43" t="e">
        <f ca="1">IFERROR(IF(ISNUMBER($AP$68),INDEX('1.Locations'!$D$2:$D$97,$AP$68 + 1),NA()),NA())</f>
        <v>#N/A</v>
      </c>
      <c r="AR68" s="43" t="e">
        <f ca="1">IFERROR(IF(ISNUMBER($AP$68),INDEX('1.Locations'!$E$2:$E$97,$AP$68 + 1),NA()),NA())</f>
        <v>#N/A</v>
      </c>
      <c r="AS68" s="44" t="str">
        <f ca="1">IFERROR(IF(AND(ISNUMBER($AP$68),$AP$68&lt;=95),INDEX('2.Distances'!$C$2:$C$9218,$AP$67*96+$AP$68+ 1) +$AS$67," ")," ")</f>
        <v xml:space="preserve"> </v>
      </c>
      <c r="AT68" s="43" t="str">
        <f ca="1">IFERROR(IF(ISNUMBER($AP$68),INDEX('1.Locations'!$J$2:$J$97,$AP$68 + 1) +$AT$67," ")," ")</f>
        <v xml:space="preserve"> </v>
      </c>
      <c r="AU68" s="43" t="str">
        <f ca="1">IFERROR(IF(ISNUMBER($AP$68),INDEX('1.Locations'!$K$2:$K$97,$AP$68 + 1) +$AU$67," ")," ")</f>
        <v xml:space="preserve"> </v>
      </c>
      <c r="AV68" s="45" t="str">
        <f ca="1">IFERROR(IF(AND(ISNUMBER($AP$68),$AP$68&lt;=95),INDEX('2.Distances'!$D$2:$D$9218,$AP$67*96+$AP$68+ 1) +$AV$67," ")," ")</f>
        <v xml:space="preserve"> </v>
      </c>
      <c r="AW68" s="46" t="str">
        <f ca="1">IFERROR(IF(AND(ISNUMBER($AP$68),$AP$68&lt;=95),INDEX('2.Distances'!$D$2:$D$9218,$AP$67*96+$AP$68+ 1) +$AX$67," ")," ")</f>
        <v xml:space="preserve"> </v>
      </c>
      <c r="AX68" s="46" t="str">
        <f ca="1">IFERROR(IF(ISNUMBER($AW$68),INDEX('1.Locations'!$I$2:$I$97,$AP$68 + 1) + MAX($AW$68,INDEX('1.Locations'!$F$2:$F$97,$AP$68 + 1))," ")," ")</f>
        <v xml:space="preserve"> </v>
      </c>
      <c r="AY68" s="45" t="str">
        <f ca="1">IFERROR($AY$67 + INDEX('2.Distances'!$D$2:$D$9218,$AP$67*96+$AP$68+ 1) + INDEX('1.Locations'!$I$2:$I$97,$AP$68 + 1)," ")</f>
        <v xml:space="preserve"> </v>
      </c>
      <c r="BA68" s="24">
        <v>63</v>
      </c>
      <c r="BB68" s="25"/>
      <c r="BC68" s="43" t="str">
        <f ca="1">IFERROR(MATCH(INDIRECT("$BB$68"),'1.Locations'!$B$2:$B$97, 0) - 1," ")</f>
        <v xml:space="preserve"> </v>
      </c>
      <c r="BD68" s="43" t="e">
        <f ca="1">IFERROR(IF(ISNUMBER($BC$68),INDEX('1.Locations'!$D$2:$D$97,$BC$68 + 1),NA()),NA())</f>
        <v>#N/A</v>
      </c>
      <c r="BE68" s="43" t="e">
        <f ca="1">IFERROR(IF(ISNUMBER($BC$68),INDEX('1.Locations'!$E$2:$E$97,$BC$68 + 1),NA()),NA())</f>
        <v>#N/A</v>
      </c>
      <c r="BF68" s="44" t="str">
        <f ca="1">IFERROR(IF(AND(ISNUMBER($BC$68),$BC$68&lt;=95),INDEX('2.Distances'!$C$2:$C$9218,$BC$67*96+$BC$68+ 1) +$BF$67," ")," ")</f>
        <v xml:space="preserve"> </v>
      </c>
      <c r="BG68" s="43" t="str">
        <f ca="1">IFERROR(IF(ISNUMBER($BC$68),INDEX('1.Locations'!$J$2:$J$97,$BC$68 + 1) +$BG$67," ")," ")</f>
        <v xml:space="preserve"> </v>
      </c>
      <c r="BH68" s="43" t="str">
        <f ca="1">IFERROR(IF(ISNUMBER($BC$68),INDEX('1.Locations'!$K$2:$K$97,$BC$68 + 1) +$BH$67," ")," ")</f>
        <v xml:space="preserve"> </v>
      </c>
      <c r="BI68" s="45" t="str">
        <f ca="1">IFERROR(IF(AND(ISNUMBER($BC$68),$BC$68&lt;=95),INDEX('2.Distances'!$D$2:$D$9218,$BC$67*96+$BC$68+ 1) +$BI$67," ")," ")</f>
        <v xml:space="preserve"> </v>
      </c>
      <c r="BJ68" s="46" t="str">
        <f ca="1">IFERROR(IF(AND(ISNUMBER($BC$68),$BC$68&lt;=95),INDEX('2.Distances'!$D$2:$D$9218,$BC$67*96+$BC$68+ 1) +$BK$67," ")," ")</f>
        <v xml:space="preserve"> </v>
      </c>
      <c r="BK68" s="46" t="str">
        <f ca="1">IFERROR(IF(ISNUMBER($BJ$68),INDEX('1.Locations'!$I$2:$I$97,$BC$68 + 1) + MAX($BJ$68,INDEX('1.Locations'!$F$2:$F$97,$BC$68 + 1))," ")," ")</f>
        <v xml:space="preserve"> </v>
      </c>
      <c r="BL68" s="45" t="str">
        <f ca="1">IFERROR($BL$67 + INDEX('2.Distances'!$D$2:$D$9218,$BC$67*96+$BC$68+ 1) + INDEX('1.Locations'!$I$2:$I$97,$BC$68 + 1)," ")</f>
        <v xml:space="preserve"> </v>
      </c>
      <c r="BN68" s="24">
        <v>63</v>
      </c>
      <c r="BO68" s="25"/>
      <c r="BP68" s="43" t="str">
        <f ca="1">IFERROR(MATCH(INDIRECT("$BO$68"),'1.Locations'!$B$2:$B$97, 0) - 1," ")</f>
        <v xml:space="preserve"> </v>
      </c>
      <c r="BQ68" s="43" t="e">
        <f ca="1">IFERROR(IF(ISNUMBER($BP$68),INDEX('1.Locations'!$D$2:$D$97,$BP$68 + 1),NA()),NA())</f>
        <v>#N/A</v>
      </c>
      <c r="BR68" s="43" t="e">
        <f ca="1">IFERROR(IF(ISNUMBER($BP$68),INDEX('1.Locations'!$E$2:$E$97,$BP$68 + 1),NA()),NA())</f>
        <v>#N/A</v>
      </c>
      <c r="BS68" s="44" t="str">
        <f ca="1">IFERROR(IF(AND(ISNUMBER($BP$68),$BP$68&lt;=95),INDEX('2.Distances'!$C$2:$C$9218,$BP$67*96+$BP$68+ 1) +$BS$67," ")," ")</f>
        <v xml:space="preserve"> </v>
      </c>
      <c r="BT68" s="43" t="str">
        <f ca="1">IFERROR(IF(ISNUMBER($BP$68),INDEX('1.Locations'!$J$2:$J$97,$BP$68 + 1) +$BT$67," ")," ")</f>
        <v xml:space="preserve"> </v>
      </c>
      <c r="BU68" s="43" t="str">
        <f ca="1">IFERROR(IF(ISNUMBER($BP$68),INDEX('1.Locations'!$K$2:$K$97,$BP$68 + 1) +$BU$67," ")," ")</f>
        <v xml:space="preserve"> </v>
      </c>
      <c r="BV68" s="45" t="str">
        <f ca="1">IFERROR(IF(AND(ISNUMBER($BP$68),$BP$68&lt;=95),INDEX('2.Distances'!$D$2:$D$9218,$BP$67*96+$BP$68+ 1) +$BV$67," ")," ")</f>
        <v xml:space="preserve"> </v>
      </c>
      <c r="BW68" s="46" t="str">
        <f ca="1">IFERROR(IF(AND(ISNUMBER($BP$68),$BP$68&lt;=95),INDEX('2.Distances'!$D$2:$D$9218,$BP$67*96+$BP$68+ 1) +$BX$67," ")," ")</f>
        <v xml:space="preserve"> </v>
      </c>
      <c r="BX68" s="46" t="str">
        <f ca="1">IFERROR(IF(ISNUMBER($BW$68),INDEX('1.Locations'!$I$2:$I$97,$BP$68 + 1) + MAX($BW$68,INDEX('1.Locations'!$F$2:$F$97,$BP$68 + 1))," ")," ")</f>
        <v xml:space="preserve"> </v>
      </c>
      <c r="BY68" s="45" t="str">
        <f ca="1">IFERROR($BY$67 + INDEX('2.Distances'!$D$2:$D$9218,$BP$67*96+$BP$68+ 1) + INDEX('1.Locations'!$I$2:$I$97,$BP$68 + 1)," ")</f>
        <v xml:space="preserve"> </v>
      </c>
      <c r="CA68" s="24">
        <v>63</v>
      </c>
      <c r="CB68" s="25"/>
      <c r="CC68" s="43" t="str">
        <f ca="1">IFERROR(MATCH(INDIRECT("$CB$68"),'1.Locations'!$B$2:$B$97, 0) - 1," ")</f>
        <v xml:space="preserve"> </v>
      </c>
      <c r="CD68" s="43" t="e">
        <f ca="1">IFERROR(IF(ISNUMBER($CC$68),INDEX('1.Locations'!$D$2:$D$97,$CC$68 + 1),NA()),NA())</f>
        <v>#N/A</v>
      </c>
      <c r="CE68" s="43" t="e">
        <f ca="1">IFERROR(IF(ISNUMBER($CC$68),INDEX('1.Locations'!$E$2:$E$97,$CC$68 + 1),NA()),NA())</f>
        <v>#N/A</v>
      </c>
      <c r="CF68" s="44" t="str">
        <f ca="1">IFERROR(IF(AND(ISNUMBER($CC$68),$CC$68&lt;=95),INDEX('2.Distances'!$C$2:$C$9218,$CC$67*96+$CC$68+ 1) +$CF$67," ")," ")</f>
        <v xml:space="preserve"> </v>
      </c>
      <c r="CG68" s="43" t="str">
        <f ca="1">IFERROR(IF(ISNUMBER($CC$68),INDEX('1.Locations'!$J$2:$J$97,$CC$68 + 1) +$CG$67," ")," ")</f>
        <v xml:space="preserve"> </v>
      </c>
      <c r="CH68" s="43" t="str">
        <f ca="1">IFERROR(IF(ISNUMBER($CC$68),INDEX('1.Locations'!$K$2:$K$97,$CC$68 + 1) +$CH$67," ")," ")</f>
        <v xml:space="preserve"> </v>
      </c>
      <c r="CI68" s="45" t="str">
        <f ca="1">IFERROR(IF(AND(ISNUMBER($CC$68),$CC$68&lt;=95),INDEX('2.Distances'!$D$2:$D$9218,$CC$67*96+$CC$68+ 1) +$CI$67," ")," ")</f>
        <v xml:space="preserve"> </v>
      </c>
      <c r="CJ68" s="46" t="str">
        <f ca="1">IFERROR(IF(AND(ISNUMBER($CC$68),$CC$68&lt;=95),INDEX('2.Distances'!$D$2:$D$9218,$CC$67*96+$CC$68+ 1) +$CK$67," ")," ")</f>
        <v xml:space="preserve"> </v>
      </c>
      <c r="CK68" s="46" t="str">
        <f ca="1">IFERROR(IF(ISNUMBER($CJ$68),INDEX('1.Locations'!$I$2:$I$97,$CC$68 + 1) + MAX($CJ$68,INDEX('1.Locations'!$F$2:$F$97,$CC$68 + 1))," ")," ")</f>
        <v xml:space="preserve"> </v>
      </c>
      <c r="CL68" s="45" t="str">
        <f ca="1">IFERROR($CL$67 + INDEX('2.Distances'!$D$2:$D$9218,$CC$67*96+$CC$68+ 1) + INDEX('1.Locations'!$I$2:$I$97,$CC$68 + 1)," ")</f>
        <v xml:space="preserve"> </v>
      </c>
    </row>
    <row r="69" spans="1:90" x14ac:dyDescent="0.25">
      <c r="A69" s="24">
        <v>64</v>
      </c>
      <c r="B69" s="25"/>
      <c r="C69" s="43" t="str">
        <f ca="1">IFERROR(MATCH(INDIRECT("$B$69"),'1.Locations'!$B$2:$B$97, 0) - 1," ")</f>
        <v xml:space="preserve"> </v>
      </c>
      <c r="D69" s="43" t="e">
        <f ca="1">IFERROR(IF(ISNUMBER($C$69),INDEX('1.Locations'!$D$2:$D$97,$C$69 + 1),NA()),NA())</f>
        <v>#N/A</v>
      </c>
      <c r="E69" s="43" t="e">
        <f ca="1">IFERROR(IF(ISNUMBER($C$69),INDEX('1.Locations'!$E$2:$E$97,$C$69 + 1),NA()),NA())</f>
        <v>#N/A</v>
      </c>
      <c r="F69" s="44" t="str">
        <f ca="1">IFERROR(IF(AND(ISNUMBER($C$69),$C$69&lt;=95),INDEX('2.Distances'!$C$2:$C$9218,$C$68*96+$C$69+ 1) +$F$68," ")," ")</f>
        <v xml:space="preserve"> </v>
      </c>
      <c r="G69" s="43" t="str">
        <f ca="1">IFERROR(IF(ISNUMBER($C$69),INDEX('1.Locations'!$J$2:$J$97,$C$69 + 1) +$G$68," ")," ")</f>
        <v xml:space="preserve"> </v>
      </c>
      <c r="H69" s="43" t="str">
        <f ca="1">IFERROR(IF(ISNUMBER($C$69),INDEX('1.Locations'!$K$2:$K$97,$C$69 + 1) +$H$68," ")," ")</f>
        <v xml:space="preserve"> </v>
      </c>
      <c r="I69" s="45" t="str">
        <f ca="1">IFERROR(IF(AND(ISNUMBER($C$69),$C$69&lt;=95),INDEX('2.Distances'!$D$2:$D$9218,$C$68*96+$C$69+ 1) +$I$68," ")," ")</f>
        <v xml:space="preserve"> </v>
      </c>
      <c r="J69" s="46" t="str">
        <f ca="1">IFERROR(IF(AND(ISNUMBER($C$69),$C$69&lt;=95),INDEX('2.Distances'!$D$2:$D$9218,$C$68*96+$C$69+ 1) +$K$68," ")," ")</f>
        <v xml:space="preserve"> </v>
      </c>
      <c r="K69" s="46" t="str">
        <f ca="1">IFERROR(IF(ISNUMBER($J$69),INDEX('1.Locations'!$I$2:$I$97,$C$69 + 1) + MAX($J$69,INDEX('1.Locations'!$F$2:$F$97,$C$69 + 1))," ")," ")</f>
        <v xml:space="preserve"> </v>
      </c>
      <c r="L69" s="45" t="str">
        <f ca="1">IFERROR($L$68 + INDEX('2.Distances'!$D$2:$D$9218,$C$68*96+$C$69+ 1) + INDEX('1.Locations'!$I$2:$I$97,$C$69 + 1)," ")</f>
        <v xml:space="preserve"> </v>
      </c>
      <c r="N69" s="24">
        <v>64</v>
      </c>
      <c r="O69" s="25"/>
      <c r="P69" s="43" t="str">
        <f ca="1">IFERROR(MATCH(INDIRECT("$O$69"),'1.Locations'!$B$2:$B$97, 0) - 1," ")</f>
        <v xml:space="preserve"> </v>
      </c>
      <c r="Q69" s="43" t="e">
        <f ca="1">IFERROR(IF(ISNUMBER($P$69),INDEX('1.Locations'!$D$2:$D$97,$P$69 + 1),NA()),NA())</f>
        <v>#N/A</v>
      </c>
      <c r="R69" s="43" t="e">
        <f ca="1">IFERROR(IF(ISNUMBER($P$69),INDEX('1.Locations'!$E$2:$E$97,$P$69 + 1),NA()),NA())</f>
        <v>#N/A</v>
      </c>
      <c r="S69" s="44" t="str">
        <f ca="1">IFERROR(IF(AND(ISNUMBER($P$69),$P$69&lt;=95),INDEX('2.Distances'!$C$2:$C$9218,$P$68*96+$P$69+ 1) +$S$68," ")," ")</f>
        <v xml:space="preserve"> </v>
      </c>
      <c r="T69" s="43" t="str">
        <f ca="1">IFERROR(IF(ISNUMBER($P$69),INDEX('1.Locations'!$J$2:$J$97,$P$69 + 1) +$T$68," ")," ")</f>
        <v xml:space="preserve"> </v>
      </c>
      <c r="U69" s="43" t="str">
        <f ca="1">IFERROR(IF(ISNUMBER($P$69),INDEX('1.Locations'!$K$2:$K$97,$P$69 + 1) +$U$68," ")," ")</f>
        <v xml:space="preserve"> </v>
      </c>
      <c r="V69" s="45" t="str">
        <f ca="1">IFERROR(IF(AND(ISNUMBER($P$69),$P$69&lt;=95),INDEX('2.Distances'!$D$2:$D$9218,$P$68*96+$P$69+ 1) +$V$68," ")," ")</f>
        <v xml:space="preserve"> </v>
      </c>
      <c r="W69" s="46" t="str">
        <f ca="1">IFERROR(IF(AND(ISNUMBER($P$69),$P$69&lt;=95),INDEX('2.Distances'!$D$2:$D$9218,$P$68*96+$P$69+ 1) +$X$68," ")," ")</f>
        <v xml:space="preserve"> </v>
      </c>
      <c r="X69" s="46" t="str">
        <f ca="1">IFERROR(IF(ISNUMBER($W$69),INDEX('1.Locations'!$I$2:$I$97,$P$69 + 1) + MAX($W$69,INDEX('1.Locations'!$F$2:$F$97,$P$69 + 1))," ")," ")</f>
        <v xml:space="preserve"> </v>
      </c>
      <c r="Y69" s="45" t="str">
        <f ca="1">IFERROR($Y$68 + INDEX('2.Distances'!$D$2:$D$9218,$P$68*96+$P$69+ 1) + INDEX('1.Locations'!$I$2:$I$97,$P$69 + 1)," ")</f>
        <v xml:space="preserve"> </v>
      </c>
      <c r="AA69" s="24">
        <v>64</v>
      </c>
      <c r="AB69" s="25"/>
      <c r="AC69" s="43" t="str">
        <f ca="1">IFERROR(MATCH(INDIRECT("$AB$69"),'1.Locations'!$B$2:$B$97, 0) - 1," ")</f>
        <v xml:space="preserve"> </v>
      </c>
      <c r="AD69" s="43" t="e">
        <f ca="1">IFERROR(IF(ISNUMBER($AC$69),INDEX('1.Locations'!$D$2:$D$97,$AC$69 + 1),NA()),NA())</f>
        <v>#N/A</v>
      </c>
      <c r="AE69" s="43" t="e">
        <f ca="1">IFERROR(IF(ISNUMBER($AC$69),INDEX('1.Locations'!$E$2:$E$97,$AC$69 + 1),NA()),NA())</f>
        <v>#N/A</v>
      </c>
      <c r="AF69" s="44" t="str">
        <f ca="1">IFERROR(IF(AND(ISNUMBER($AC$69),$AC$69&lt;=95),INDEX('2.Distances'!$C$2:$C$9218,$AC$68*96+$AC$69+ 1) +$AF$68," ")," ")</f>
        <v xml:space="preserve"> </v>
      </c>
      <c r="AG69" s="43" t="str">
        <f ca="1">IFERROR(IF(ISNUMBER($AC$69),INDEX('1.Locations'!$J$2:$J$97,$AC$69 + 1) +$AG$68," ")," ")</f>
        <v xml:space="preserve"> </v>
      </c>
      <c r="AH69" s="43" t="str">
        <f ca="1">IFERROR(IF(ISNUMBER($AC$69),INDEX('1.Locations'!$K$2:$K$97,$AC$69 + 1) +$AH$68," ")," ")</f>
        <v xml:space="preserve"> </v>
      </c>
      <c r="AI69" s="45" t="str">
        <f ca="1">IFERROR(IF(AND(ISNUMBER($AC$69),$AC$69&lt;=95),INDEX('2.Distances'!$D$2:$D$9218,$AC$68*96+$AC$69+ 1) +$AI$68," ")," ")</f>
        <v xml:space="preserve"> </v>
      </c>
      <c r="AJ69" s="46" t="str">
        <f ca="1">IFERROR(IF(AND(ISNUMBER($AC$69),$AC$69&lt;=95),INDEX('2.Distances'!$D$2:$D$9218,$AC$68*96+$AC$69+ 1) +$AK$68," ")," ")</f>
        <v xml:space="preserve"> </v>
      </c>
      <c r="AK69" s="46" t="str">
        <f ca="1">IFERROR(IF(ISNUMBER($AJ$69),INDEX('1.Locations'!$I$2:$I$97,$AC$69 + 1) + MAX($AJ$69,INDEX('1.Locations'!$F$2:$F$97,$AC$69 + 1))," ")," ")</f>
        <v xml:space="preserve"> </v>
      </c>
      <c r="AL69" s="45" t="str">
        <f ca="1">IFERROR($AL$68 + INDEX('2.Distances'!$D$2:$D$9218,$AC$68*96+$AC$69+ 1) + INDEX('1.Locations'!$I$2:$I$97,$AC$69 + 1)," ")</f>
        <v xml:space="preserve"> </v>
      </c>
      <c r="AN69" s="24">
        <v>64</v>
      </c>
      <c r="AO69" s="25"/>
      <c r="AP69" s="43" t="str">
        <f ca="1">IFERROR(MATCH(INDIRECT("$AO$69"),'1.Locations'!$B$2:$B$97, 0) - 1," ")</f>
        <v xml:space="preserve"> </v>
      </c>
      <c r="AQ69" s="43" t="e">
        <f ca="1">IFERROR(IF(ISNUMBER($AP$69),INDEX('1.Locations'!$D$2:$D$97,$AP$69 + 1),NA()),NA())</f>
        <v>#N/A</v>
      </c>
      <c r="AR69" s="43" t="e">
        <f ca="1">IFERROR(IF(ISNUMBER($AP$69),INDEX('1.Locations'!$E$2:$E$97,$AP$69 + 1),NA()),NA())</f>
        <v>#N/A</v>
      </c>
      <c r="AS69" s="44" t="str">
        <f ca="1">IFERROR(IF(AND(ISNUMBER($AP$69),$AP$69&lt;=95),INDEX('2.Distances'!$C$2:$C$9218,$AP$68*96+$AP$69+ 1) +$AS$68," ")," ")</f>
        <v xml:space="preserve"> </v>
      </c>
      <c r="AT69" s="43" t="str">
        <f ca="1">IFERROR(IF(ISNUMBER($AP$69),INDEX('1.Locations'!$J$2:$J$97,$AP$69 + 1) +$AT$68," ")," ")</f>
        <v xml:space="preserve"> </v>
      </c>
      <c r="AU69" s="43" t="str">
        <f ca="1">IFERROR(IF(ISNUMBER($AP$69),INDEX('1.Locations'!$K$2:$K$97,$AP$69 + 1) +$AU$68," ")," ")</f>
        <v xml:space="preserve"> </v>
      </c>
      <c r="AV69" s="45" t="str">
        <f ca="1">IFERROR(IF(AND(ISNUMBER($AP$69),$AP$69&lt;=95),INDEX('2.Distances'!$D$2:$D$9218,$AP$68*96+$AP$69+ 1) +$AV$68," ")," ")</f>
        <v xml:space="preserve"> </v>
      </c>
      <c r="AW69" s="46" t="str">
        <f ca="1">IFERROR(IF(AND(ISNUMBER($AP$69),$AP$69&lt;=95),INDEX('2.Distances'!$D$2:$D$9218,$AP$68*96+$AP$69+ 1) +$AX$68," ")," ")</f>
        <v xml:space="preserve"> </v>
      </c>
      <c r="AX69" s="46" t="str">
        <f ca="1">IFERROR(IF(ISNUMBER($AW$69),INDEX('1.Locations'!$I$2:$I$97,$AP$69 + 1) + MAX($AW$69,INDEX('1.Locations'!$F$2:$F$97,$AP$69 + 1))," ")," ")</f>
        <v xml:space="preserve"> </v>
      </c>
      <c r="AY69" s="45" t="str">
        <f ca="1">IFERROR($AY$68 + INDEX('2.Distances'!$D$2:$D$9218,$AP$68*96+$AP$69+ 1) + INDEX('1.Locations'!$I$2:$I$97,$AP$69 + 1)," ")</f>
        <v xml:space="preserve"> </v>
      </c>
      <c r="BA69" s="24">
        <v>64</v>
      </c>
      <c r="BB69" s="25"/>
      <c r="BC69" s="43" t="str">
        <f ca="1">IFERROR(MATCH(INDIRECT("$BB$69"),'1.Locations'!$B$2:$B$97, 0) - 1," ")</f>
        <v xml:space="preserve"> </v>
      </c>
      <c r="BD69" s="43" t="e">
        <f ca="1">IFERROR(IF(ISNUMBER($BC$69),INDEX('1.Locations'!$D$2:$D$97,$BC$69 + 1),NA()),NA())</f>
        <v>#N/A</v>
      </c>
      <c r="BE69" s="43" t="e">
        <f ca="1">IFERROR(IF(ISNUMBER($BC$69),INDEX('1.Locations'!$E$2:$E$97,$BC$69 + 1),NA()),NA())</f>
        <v>#N/A</v>
      </c>
      <c r="BF69" s="44" t="str">
        <f ca="1">IFERROR(IF(AND(ISNUMBER($BC$69),$BC$69&lt;=95),INDEX('2.Distances'!$C$2:$C$9218,$BC$68*96+$BC$69+ 1) +$BF$68," ")," ")</f>
        <v xml:space="preserve"> </v>
      </c>
      <c r="BG69" s="43" t="str">
        <f ca="1">IFERROR(IF(ISNUMBER($BC$69),INDEX('1.Locations'!$J$2:$J$97,$BC$69 + 1) +$BG$68," ")," ")</f>
        <v xml:space="preserve"> </v>
      </c>
      <c r="BH69" s="43" t="str">
        <f ca="1">IFERROR(IF(ISNUMBER($BC$69),INDEX('1.Locations'!$K$2:$K$97,$BC$69 + 1) +$BH$68," ")," ")</f>
        <v xml:space="preserve"> </v>
      </c>
      <c r="BI69" s="45" t="str">
        <f ca="1">IFERROR(IF(AND(ISNUMBER($BC$69),$BC$69&lt;=95),INDEX('2.Distances'!$D$2:$D$9218,$BC$68*96+$BC$69+ 1) +$BI$68," ")," ")</f>
        <v xml:space="preserve"> </v>
      </c>
      <c r="BJ69" s="46" t="str">
        <f ca="1">IFERROR(IF(AND(ISNUMBER($BC$69),$BC$69&lt;=95),INDEX('2.Distances'!$D$2:$D$9218,$BC$68*96+$BC$69+ 1) +$BK$68," ")," ")</f>
        <v xml:space="preserve"> </v>
      </c>
      <c r="BK69" s="46" t="str">
        <f ca="1">IFERROR(IF(ISNUMBER($BJ$69),INDEX('1.Locations'!$I$2:$I$97,$BC$69 + 1) + MAX($BJ$69,INDEX('1.Locations'!$F$2:$F$97,$BC$69 + 1))," ")," ")</f>
        <v xml:space="preserve"> </v>
      </c>
      <c r="BL69" s="45" t="str">
        <f ca="1">IFERROR($BL$68 + INDEX('2.Distances'!$D$2:$D$9218,$BC$68*96+$BC$69+ 1) + INDEX('1.Locations'!$I$2:$I$97,$BC$69 + 1)," ")</f>
        <v xml:space="preserve"> </v>
      </c>
      <c r="BN69" s="24">
        <v>64</v>
      </c>
      <c r="BO69" s="25"/>
      <c r="BP69" s="43" t="str">
        <f ca="1">IFERROR(MATCH(INDIRECT("$BO$69"),'1.Locations'!$B$2:$B$97, 0) - 1," ")</f>
        <v xml:space="preserve"> </v>
      </c>
      <c r="BQ69" s="43" t="e">
        <f ca="1">IFERROR(IF(ISNUMBER($BP$69),INDEX('1.Locations'!$D$2:$D$97,$BP$69 + 1),NA()),NA())</f>
        <v>#N/A</v>
      </c>
      <c r="BR69" s="43" t="e">
        <f ca="1">IFERROR(IF(ISNUMBER($BP$69),INDEX('1.Locations'!$E$2:$E$97,$BP$69 + 1),NA()),NA())</f>
        <v>#N/A</v>
      </c>
      <c r="BS69" s="44" t="str">
        <f ca="1">IFERROR(IF(AND(ISNUMBER($BP$69),$BP$69&lt;=95),INDEX('2.Distances'!$C$2:$C$9218,$BP$68*96+$BP$69+ 1) +$BS$68," ")," ")</f>
        <v xml:space="preserve"> </v>
      </c>
      <c r="BT69" s="43" t="str">
        <f ca="1">IFERROR(IF(ISNUMBER($BP$69),INDEX('1.Locations'!$J$2:$J$97,$BP$69 + 1) +$BT$68," ")," ")</f>
        <v xml:space="preserve"> </v>
      </c>
      <c r="BU69" s="43" t="str">
        <f ca="1">IFERROR(IF(ISNUMBER($BP$69),INDEX('1.Locations'!$K$2:$K$97,$BP$69 + 1) +$BU$68," ")," ")</f>
        <v xml:space="preserve"> </v>
      </c>
      <c r="BV69" s="45" t="str">
        <f ca="1">IFERROR(IF(AND(ISNUMBER($BP$69),$BP$69&lt;=95),INDEX('2.Distances'!$D$2:$D$9218,$BP$68*96+$BP$69+ 1) +$BV$68," ")," ")</f>
        <v xml:space="preserve"> </v>
      </c>
      <c r="BW69" s="46" t="str">
        <f ca="1">IFERROR(IF(AND(ISNUMBER($BP$69),$BP$69&lt;=95),INDEX('2.Distances'!$D$2:$D$9218,$BP$68*96+$BP$69+ 1) +$BX$68," ")," ")</f>
        <v xml:space="preserve"> </v>
      </c>
      <c r="BX69" s="46" t="str">
        <f ca="1">IFERROR(IF(ISNUMBER($BW$69),INDEX('1.Locations'!$I$2:$I$97,$BP$69 + 1) + MAX($BW$69,INDEX('1.Locations'!$F$2:$F$97,$BP$69 + 1))," ")," ")</f>
        <v xml:space="preserve"> </v>
      </c>
      <c r="BY69" s="45" t="str">
        <f ca="1">IFERROR($BY$68 + INDEX('2.Distances'!$D$2:$D$9218,$BP$68*96+$BP$69+ 1) + INDEX('1.Locations'!$I$2:$I$97,$BP$69 + 1)," ")</f>
        <v xml:space="preserve"> </v>
      </c>
      <c r="CA69" s="24">
        <v>64</v>
      </c>
      <c r="CB69" s="25"/>
      <c r="CC69" s="43" t="str">
        <f ca="1">IFERROR(MATCH(INDIRECT("$CB$69"),'1.Locations'!$B$2:$B$97, 0) - 1," ")</f>
        <v xml:space="preserve"> </v>
      </c>
      <c r="CD69" s="43" t="e">
        <f ca="1">IFERROR(IF(ISNUMBER($CC$69),INDEX('1.Locations'!$D$2:$D$97,$CC$69 + 1),NA()),NA())</f>
        <v>#N/A</v>
      </c>
      <c r="CE69" s="43" t="e">
        <f ca="1">IFERROR(IF(ISNUMBER($CC$69),INDEX('1.Locations'!$E$2:$E$97,$CC$69 + 1),NA()),NA())</f>
        <v>#N/A</v>
      </c>
      <c r="CF69" s="44" t="str">
        <f ca="1">IFERROR(IF(AND(ISNUMBER($CC$69),$CC$69&lt;=95),INDEX('2.Distances'!$C$2:$C$9218,$CC$68*96+$CC$69+ 1) +$CF$68," ")," ")</f>
        <v xml:space="preserve"> </v>
      </c>
      <c r="CG69" s="43" t="str">
        <f ca="1">IFERROR(IF(ISNUMBER($CC$69),INDEX('1.Locations'!$J$2:$J$97,$CC$69 + 1) +$CG$68," ")," ")</f>
        <v xml:space="preserve"> </v>
      </c>
      <c r="CH69" s="43" t="str">
        <f ca="1">IFERROR(IF(ISNUMBER($CC$69),INDEX('1.Locations'!$K$2:$K$97,$CC$69 + 1) +$CH$68," ")," ")</f>
        <v xml:space="preserve"> </v>
      </c>
      <c r="CI69" s="45" t="str">
        <f ca="1">IFERROR(IF(AND(ISNUMBER($CC$69),$CC$69&lt;=95),INDEX('2.Distances'!$D$2:$D$9218,$CC$68*96+$CC$69+ 1) +$CI$68," ")," ")</f>
        <v xml:space="preserve"> </v>
      </c>
      <c r="CJ69" s="46" t="str">
        <f ca="1">IFERROR(IF(AND(ISNUMBER($CC$69),$CC$69&lt;=95),INDEX('2.Distances'!$D$2:$D$9218,$CC$68*96+$CC$69+ 1) +$CK$68," ")," ")</f>
        <v xml:space="preserve"> </v>
      </c>
      <c r="CK69" s="46" t="str">
        <f ca="1">IFERROR(IF(ISNUMBER($CJ$69),INDEX('1.Locations'!$I$2:$I$97,$CC$69 + 1) + MAX($CJ$69,INDEX('1.Locations'!$F$2:$F$97,$CC$69 + 1))," ")," ")</f>
        <v xml:space="preserve"> </v>
      </c>
      <c r="CL69" s="45" t="str">
        <f ca="1">IFERROR($CL$68 + INDEX('2.Distances'!$D$2:$D$9218,$CC$68*96+$CC$69+ 1) + INDEX('1.Locations'!$I$2:$I$97,$CC$69 + 1)," ")</f>
        <v xml:space="preserve"> </v>
      </c>
    </row>
    <row r="70" spans="1:90" x14ac:dyDescent="0.25">
      <c r="A70" s="24">
        <v>65</v>
      </c>
      <c r="B70" s="25"/>
      <c r="C70" s="43" t="str">
        <f ca="1">IFERROR(MATCH(INDIRECT("$B$70"),'1.Locations'!$B$2:$B$97, 0) - 1," ")</f>
        <v xml:space="preserve"> </v>
      </c>
      <c r="D70" s="43" t="e">
        <f ca="1">IFERROR(IF(ISNUMBER($C$70),INDEX('1.Locations'!$D$2:$D$97,$C$70 + 1),NA()),NA())</f>
        <v>#N/A</v>
      </c>
      <c r="E70" s="43" t="e">
        <f ca="1">IFERROR(IF(ISNUMBER($C$70),INDEX('1.Locations'!$E$2:$E$97,$C$70 + 1),NA()),NA())</f>
        <v>#N/A</v>
      </c>
      <c r="F70" s="44" t="str">
        <f ca="1">IFERROR(IF(AND(ISNUMBER($C$70),$C$70&lt;=95),INDEX('2.Distances'!$C$2:$C$9218,$C$69*96+$C$70+ 1) +$F$69," ")," ")</f>
        <v xml:space="preserve"> </v>
      </c>
      <c r="G70" s="43" t="str">
        <f ca="1">IFERROR(IF(ISNUMBER($C$70),INDEX('1.Locations'!$J$2:$J$97,$C$70 + 1) +$G$69," ")," ")</f>
        <v xml:space="preserve"> </v>
      </c>
      <c r="H70" s="43" t="str">
        <f ca="1">IFERROR(IF(ISNUMBER($C$70),INDEX('1.Locations'!$K$2:$K$97,$C$70 + 1) +$H$69," ")," ")</f>
        <v xml:space="preserve"> </v>
      </c>
      <c r="I70" s="45" t="str">
        <f ca="1">IFERROR(IF(AND(ISNUMBER($C$70),$C$70&lt;=95),INDEX('2.Distances'!$D$2:$D$9218,$C$69*96+$C$70+ 1) +$I$69," ")," ")</f>
        <v xml:space="preserve"> </v>
      </c>
      <c r="J70" s="46" t="str">
        <f ca="1">IFERROR(IF(AND(ISNUMBER($C$70),$C$70&lt;=95),INDEX('2.Distances'!$D$2:$D$9218,$C$69*96+$C$70+ 1) +$K$69," ")," ")</f>
        <v xml:space="preserve"> </v>
      </c>
      <c r="K70" s="46" t="str">
        <f ca="1">IFERROR(IF(ISNUMBER($J$70),INDEX('1.Locations'!$I$2:$I$97,$C$70 + 1) + MAX($J$70,INDEX('1.Locations'!$F$2:$F$97,$C$70 + 1))," ")," ")</f>
        <v xml:space="preserve"> </v>
      </c>
      <c r="L70" s="45" t="str">
        <f ca="1">IFERROR($L$69 + INDEX('2.Distances'!$D$2:$D$9218,$C$69*96+$C$70+ 1) + INDEX('1.Locations'!$I$2:$I$97,$C$70 + 1)," ")</f>
        <v xml:space="preserve"> </v>
      </c>
      <c r="N70" s="24">
        <v>65</v>
      </c>
      <c r="O70" s="25"/>
      <c r="P70" s="43" t="str">
        <f ca="1">IFERROR(MATCH(INDIRECT("$O$70"),'1.Locations'!$B$2:$B$97, 0) - 1," ")</f>
        <v xml:space="preserve"> </v>
      </c>
      <c r="Q70" s="43" t="e">
        <f ca="1">IFERROR(IF(ISNUMBER($P$70),INDEX('1.Locations'!$D$2:$D$97,$P$70 + 1),NA()),NA())</f>
        <v>#N/A</v>
      </c>
      <c r="R70" s="43" t="e">
        <f ca="1">IFERROR(IF(ISNUMBER($P$70),INDEX('1.Locations'!$E$2:$E$97,$P$70 + 1),NA()),NA())</f>
        <v>#N/A</v>
      </c>
      <c r="S70" s="44" t="str">
        <f ca="1">IFERROR(IF(AND(ISNUMBER($P$70),$P$70&lt;=95),INDEX('2.Distances'!$C$2:$C$9218,$P$69*96+$P$70+ 1) +$S$69," ")," ")</f>
        <v xml:space="preserve"> </v>
      </c>
      <c r="T70" s="43" t="str">
        <f ca="1">IFERROR(IF(ISNUMBER($P$70),INDEX('1.Locations'!$J$2:$J$97,$P$70 + 1) +$T$69," ")," ")</f>
        <v xml:space="preserve"> </v>
      </c>
      <c r="U70" s="43" t="str">
        <f ca="1">IFERROR(IF(ISNUMBER($P$70),INDEX('1.Locations'!$K$2:$K$97,$P$70 + 1) +$U$69," ")," ")</f>
        <v xml:space="preserve"> </v>
      </c>
      <c r="V70" s="45" t="str">
        <f ca="1">IFERROR(IF(AND(ISNUMBER($P$70),$P$70&lt;=95),INDEX('2.Distances'!$D$2:$D$9218,$P$69*96+$P$70+ 1) +$V$69," ")," ")</f>
        <v xml:space="preserve"> </v>
      </c>
      <c r="W70" s="46" t="str">
        <f ca="1">IFERROR(IF(AND(ISNUMBER($P$70),$P$70&lt;=95),INDEX('2.Distances'!$D$2:$D$9218,$P$69*96+$P$70+ 1) +$X$69," ")," ")</f>
        <v xml:space="preserve"> </v>
      </c>
      <c r="X70" s="46" t="str">
        <f ca="1">IFERROR(IF(ISNUMBER($W$70),INDEX('1.Locations'!$I$2:$I$97,$P$70 + 1) + MAX($W$70,INDEX('1.Locations'!$F$2:$F$97,$P$70 + 1))," ")," ")</f>
        <v xml:space="preserve"> </v>
      </c>
      <c r="Y70" s="45" t="str">
        <f ca="1">IFERROR($Y$69 + INDEX('2.Distances'!$D$2:$D$9218,$P$69*96+$P$70+ 1) + INDEX('1.Locations'!$I$2:$I$97,$P$70 + 1)," ")</f>
        <v xml:space="preserve"> </v>
      </c>
      <c r="AA70" s="24">
        <v>65</v>
      </c>
      <c r="AB70" s="25"/>
      <c r="AC70" s="43" t="str">
        <f ca="1">IFERROR(MATCH(INDIRECT("$AB$70"),'1.Locations'!$B$2:$B$97, 0) - 1," ")</f>
        <v xml:space="preserve"> </v>
      </c>
      <c r="AD70" s="43" t="e">
        <f ca="1">IFERROR(IF(ISNUMBER($AC$70),INDEX('1.Locations'!$D$2:$D$97,$AC$70 + 1),NA()),NA())</f>
        <v>#N/A</v>
      </c>
      <c r="AE70" s="43" t="e">
        <f ca="1">IFERROR(IF(ISNUMBER($AC$70),INDEX('1.Locations'!$E$2:$E$97,$AC$70 + 1),NA()),NA())</f>
        <v>#N/A</v>
      </c>
      <c r="AF70" s="44" t="str">
        <f ca="1">IFERROR(IF(AND(ISNUMBER($AC$70),$AC$70&lt;=95),INDEX('2.Distances'!$C$2:$C$9218,$AC$69*96+$AC$70+ 1) +$AF$69," ")," ")</f>
        <v xml:space="preserve"> </v>
      </c>
      <c r="AG70" s="43" t="str">
        <f ca="1">IFERROR(IF(ISNUMBER($AC$70),INDEX('1.Locations'!$J$2:$J$97,$AC$70 + 1) +$AG$69," ")," ")</f>
        <v xml:space="preserve"> </v>
      </c>
      <c r="AH70" s="43" t="str">
        <f ca="1">IFERROR(IF(ISNUMBER($AC$70),INDEX('1.Locations'!$K$2:$K$97,$AC$70 + 1) +$AH$69," ")," ")</f>
        <v xml:space="preserve"> </v>
      </c>
      <c r="AI70" s="45" t="str">
        <f ca="1">IFERROR(IF(AND(ISNUMBER($AC$70),$AC$70&lt;=95),INDEX('2.Distances'!$D$2:$D$9218,$AC$69*96+$AC$70+ 1) +$AI$69," ")," ")</f>
        <v xml:space="preserve"> </v>
      </c>
      <c r="AJ70" s="46" t="str">
        <f ca="1">IFERROR(IF(AND(ISNUMBER($AC$70),$AC$70&lt;=95),INDEX('2.Distances'!$D$2:$D$9218,$AC$69*96+$AC$70+ 1) +$AK$69," ")," ")</f>
        <v xml:space="preserve"> </v>
      </c>
      <c r="AK70" s="46" t="str">
        <f ca="1">IFERROR(IF(ISNUMBER($AJ$70),INDEX('1.Locations'!$I$2:$I$97,$AC$70 + 1) + MAX($AJ$70,INDEX('1.Locations'!$F$2:$F$97,$AC$70 + 1))," ")," ")</f>
        <v xml:space="preserve"> </v>
      </c>
      <c r="AL70" s="45" t="str">
        <f ca="1">IFERROR($AL$69 + INDEX('2.Distances'!$D$2:$D$9218,$AC$69*96+$AC$70+ 1) + INDEX('1.Locations'!$I$2:$I$97,$AC$70 + 1)," ")</f>
        <v xml:space="preserve"> </v>
      </c>
      <c r="AN70" s="24">
        <v>65</v>
      </c>
      <c r="AO70" s="25"/>
      <c r="AP70" s="43" t="str">
        <f ca="1">IFERROR(MATCH(INDIRECT("$AO$70"),'1.Locations'!$B$2:$B$97, 0) - 1," ")</f>
        <v xml:space="preserve"> </v>
      </c>
      <c r="AQ70" s="43" t="e">
        <f ca="1">IFERROR(IF(ISNUMBER($AP$70),INDEX('1.Locations'!$D$2:$D$97,$AP$70 + 1),NA()),NA())</f>
        <v>#N/A</v>
      </c>
      <c r="AR70" s="43" t="e">
        <f ca="1">IFERROR(IF(ISNUMBER($AP$70),INDEX('1.Locations'!$E$2:$E$97,$AP$70 + 1),NA()),NA())</f>
        <v>#N/A</v>
      </c>
      <c r="AS70" s="44" t="str">
        <f ca="1">IFERROR(IF(AND(ISNUMBER($AP$70),$AP$70&lt;=95),INDEX('2.Distances'!$C$2:$C$9218,$AP$69*96+$AP$70+ 1) +$AS$69," ")," ")</f>
        <v xml:space="preserve"> </v>
      </c>
      <c r="AT70" s="43" t="str">
        <f ca="1">IFERROR(IF(ISNUMBER($AP$70),INDEX('1.Locations'!$J$2:$J$97,$AP$70 + 1) +$AT$69," ")," ")</f>
        <v xml:space="preserve"> </v>
      </c>
      <c r="AU70" s="43" t="str">
        <f ca="1">IFERROR(IF(ISNUMBER($AP$70),INDEX('1.Locations'!$K$2:$K$97,$AP$70 + 1) +$AU$69," ")," ")</f>
        <v xml:space="preserve"> </v>
      </c>
      <c r="AV70" s="45" t="str">
        <f ca="1">IFERROR(IF(AND(ISNUMBER($AP$70),$AP$70&lt;=95),INDEX('2.Distances'!$D$2:$D$9218,$AP$69*96+$AP$70+ 1) +$AV$69," ")," ")</f>
        <v xml:space="preserve"> </v>
      </c>
      <c r="AW70" s="46" t="str">
        <f ca="1">IFERROR(IF(AND(ISNUMBER($AP$70),$AP$70&lt;=95),INDEX('2.Distances'!$D$2:$D$9218,$AP$69*96+$AP$70+ 1) +$AX$69," ")," ")</f>
        <v xml:space="preserve"> </v>
      </c>
      <c r="AX70" s="46" t="str">
        <f ca="1">IFERROR(IF(ISNUMBER($AW$70),INDEX('1.Locations'!$I$2:$I$97,$AP$70 + 1) + MAX($AW$70,INDEX('1.Locations'!$F$2:$F$97,$AP$70 + 1))," ")," ")</f>
        <v xml:space="preserve"> </v>
      </c>
      <c r="AY70" s="45" t="str">
        <f ca="1">IFERROR($AY$69 + INDEX('2.Distances'!$D$2:$D$9218,$AP$69*96+$AP$70+ 1) + INDEX('1.Locations'!$I$2:$I$97,$AP$70 + 1)," ")</f>
        <v xml:space="preserve"> </v>
      </c>
      <c r="BA70" s="24">
        <v>65</v>
      </c>
      <c r="BB70" s="25"/>
      <c r="BC70" s="43" t="str">
        <f ca="1">IFERROR(MATCH(INDIRECT("$BB$70"),'1.Locations'!$B$2:$B$97, 0) - 1," ")</f>
        <v xml:space="preserve"> </v>
      </c>
      <c r="BD70" s="43" t="e">
        <f ca="1">IFERROR(IF(ISNUMBER($BC$70),INDEX('1.Locations'!$D$2:$D$97,$BC$70 + 1),NA()),NA())</f>
        <v>#N/A</v>
      </c>
      <c r="BE70" s="43" t="e">
        <f ca="1">IFERROR(IF(ISNUMBER($BC$70),INDEX('1.Locations'!$E$2:$E$97,$BC$70 + 1),NA()),NA())</f>
        <v>#N/A</v>
      </c>
      <c r="BF70" s="44" t="str">
        <f ca="1">IFERROR(IF(AND(ISNUMBER($BC$70),$BC$70&lt;=95),INDEX('2.Distances'!$C$2:$C$9218,$BC$69*96+$BC$70+ 1) +$BF$69," ")," ")</f>
        <v xml:space="preserve"> </v>
      </c>
      <c r="BG70" s="43" t="str">
        <f ca="1">IFERROR(IF(ISNUMBER($BC$70),INDEX('1.Locations'!$J$2:$J$97,$BC$70 + 1) +$BG$69," ")," ")</f>
        <v xml:space="preserve"> </v>
      </c>
      <c r="BH70" s="43" t="str">
        <f ca="1">IFERROR(IF(ISNUMBER($BC$70),INDEX('1.Locations'!$K$2:$K$97,$BC$70 + 1) +$BH$69," ")," ")</f>
        <v xml:space="preserve"> </v>
      </c>
      <c r="BI70" s="45" t="str">
        <f ca="1">IFERROR(IF(AND(ISNUMBER($BC$70),$BC$70&lt;=95),INDEX('2.Distances'!$D$2:$D$9218,$BC$69*96+$BC$70+ 1) +$BI$69," ")," ")</f>
        <v xml:space="preserve"> </v>
      </c>
      <c r="BJ70" s="46" t="str">
        <f ca="1">IFERROR(IF(AND(ISNUMBER($BC$70),$BC$70&lt;=95),INDEX('2.Distances'!$D$2:$D$9218,$BC$69*96+$BC$70+ 1) +$BK$69," ")," ")</f>
        <v xml:space="preserve"> </v>
      </c>
      <c r="BK70" s="46" t="str">
        <f ca="1">IFERROR(IF(ISNUMBER($BJ$70),INDEX('1.Locations'!$I$2:$I$97,$BC$70 + 1) + MAX($BJ$70,INDEX('1.Locations'!$F$2:$F$97,$BC$70 + 1))," ")," ")</f>
        <v xml:space="preserve"> </v>
      </c>
      <c r="BL70" s="45" t="str">
        <f ca="1">IFERROR($BL$69 + INDEX('2.Distances'!$D$2:$D$9218,$BC$69*96+$BC$70+ 1) + INDEX('1.Locations'!$I$2:$I$97,$BC$70 + 1)," ")</f>
        <v xml:space="preserve"> </v>
      </c>
      <c r="BN70" s="24">
        <v>65</v>
      </c>
      <c r="BO70" s="25"/>
      <c r="BP70" s="43" t="str">
        <f ca="1">IFERROR(MATCH(INDIRECT("$BO$70"),'1.Locations'!$B$2:$B$97, 0) - 1," ")</f>
        <v xml:space="preserve"> </v>
      </c>
      <c r="BQ70" s="43" t="e">
        <f ca="1">IFERROR(IF(ISNUMBER($BP$70),INDEX('1.Locations'!$D$2:$D$97,$BP$70 + 1),NA()),NA())</f>
        <v>#N/A</v>
      </c>
      <c r="BR70" s="43" t="e">
        <f ca="1">IFERROR(IF(ISNUMBER($BP$70),INDEX('1.Locations'!$E$2:$E$97,$BP$70 + 1),NA()),NA())</f>
        <v>#N/A</v>
      </c>
      <c r="BS70" s="44" t="str">
        <f ca="1">IFERROR(IF(AND(ISNUMBER($BP$70),$BP$70&lt;=95),INDEX('2.Distances'!$C$2:$C$9218,$BP$69*96+$BP$70+ 1) +$BS$69," ")," ")</f>
        <v xml:space="preserve"> </v>
      </c>
      <c r="BT70" s="43" t="str">
        <f ca="1">IFERROR(IF(ISNUMBER($BP$70),INDEX('1.Locations'!$J$2:$J$97,$BP$70 + 1) +$BT$69," ")," ")</f>
        <v xml:space="preserve"> </v>
      </c>
      <c r="BU70" s="43" t="str">
        <f ca="1">IFERROR(IF(ISNUMBER($BP$70),INDEX('1.Locations'!$K$2:$K$97,$BP$70 + 1) +$BU$69," ")," ")</f>
        <v xml:space="preserve"> </v>
      </c>
      <c r="BV70" s="45" t="str">
        <f ca="1">IFERROR(IF(AND(ISNUMBER($BP$70),$BP$70&lt;=95),INDEX('2.Distances'!$D$2:$D$9218,$BP$69*96+$BP$70+ 1) +$BV$69," ")," ")</f>
        <v xml:space="preserve"> </v>
      </c>
      <c r="BW70" s="46" t="str">
        <f ca="1">IFERROR(IF(AND(ISNUMBER($BP$70),$BP$70&lt;=95),INDEX('2.Distances'!$D$2:$D$9218,$BP$69*96+$BP$70+ 1) +$BX$69," ")," ")</f>
        <v xml:space="preserve"> </v>
      </c>
      <c r="BX70" s="46" t="str">
        <f ca="1">IFERROR(IF(ISNUMBER($BW$70),INDEX('1.Locations'!$I$2:$I$97,$BP$70 + 1) + MAX($BW$70,INDEX('1.Locations'!$F$2:$F$97,$BP$70 + 1))," ")," ")</f>
        <v xml:space="preserve"> </v>
      </c>
      <c r="BY70" s="45" t="str">
        <f ca="1">IFERROR($BY$69 + INDEX('2.Distances'!$D$2:$D$9218,$BP$69*96+$BP$70+ 1) + INDEX('1.Locations'!$I$2:$I$97,$BP$70 + 1)," ")</f>
        <v xml:space="preserve"> </v>
      </c>
      <c r="CA70" s="24">
        <v>65</v>
      </c>
      <c r="CB70" s="25"/>
      <c r="CC70" s="43" t="str">
        <f ca="1">IFERROR(MATCH(INDIRECT("$CB$70"),'1.Locations'!$B$2:$B$97, 0) - 1," ")</f>
        <v xml:space="preserve"> </v>
      </c>
      <c r="CD70" s="43" t="e">
        <f ca="1">IFERROR(IF(ISNUMBER($CC$70),INDEX('1.Locations'!$D$2:$D$97,$CC$70 + 1),NA()),NA())</f>
        <v>#N/A</v>
      </c>
      <c r="CE70" s="43" t="e">
        <f ca="1">IFERROR(IF(ISNUMBER($CC$70),INDEX('1.Locations'!$E$2:$E$97,$CC$70 + 1),NA()),NA())</f>
        <v>#N/A</v>
      </c>
      <c r="CF70" s="44" t="str">
        <f ca="1">IFERROR(IF(AND(ISNUMBER($CC$70),$CC$70&lt;=95),INDEX('2.Distances'!$C$2:$C$9218,$CC$69*96+$CC$70+ 1) +$CF$69," ")," ")</f>
        <v xml:space="preserve"> </v>
      </c>
      <c r="CG70" s="43" t="str">
        <f ca="1">IFERROR(IF(ISNUMBER($CC$70),INDEX('1.Locations'!$J$2:$J$97,$CC$70 + 1) +$CG$69," ")," ")</f>
        <v xml:space="preserve"> </v>
      </c>
      <c r="CH70" s="43" t="str">
        <f ca="1">IFERROR(IF(ISNUMBER($CC$70),INDEX('1.Locations'!$K$2:$K$97,$CC$70 + 1) +$CH$69," ")," ")</f>
        <v xml:space="preserve"> </v>
      </c>
      <c r="CI70" s="45" t="str">
        <f ca="1">IFERROR(IF(AND(ISNUMBER($CC$70),$CC$70&lt;=95),INDEX('2.Distances'!$D$2:$D$9218,$CC$69*96+$CC$70+ 1) +$CI$69," ")," ")</f>
        <v xml:space="preserve"> </v>
      </c>
      <c r="CJ70" s="46" t="str">
        <f ca="1">IFERROR(IF(AND(ISNUMBER($CC$70),$CC$70&lt;=95),INDEX('2.Distances'!$D$2:$D$9218,$CC$69*96+$CC$70+ 1) +$CK$69," ")," ")</f>
        <v xml:space="preserve"> </v>
      </c>
      <c r="CK70" s="46" t="str">
        <f ca="1">IFERROR(IF(ISNUMBER($CJ$70),INDEX('1.Locations'!$I$2:$I$97,$CC$70 + 1) + MAX($CJ$70,INDEX('1.Locations'!$F$2:$F$97,$CC$70 + 1))," ")," ")</f>
        <v xml:space="preserve"> </v>
      </c>
      <c r="CL70" s="45" t="str">
        <f ca="1">IFERROR($CL$69 + INDEX('2.Distances'!$D$2:$D$9218,$CC$69*96+$CC$70+ 1) + INDEX('1.Locations'!$I$2:$I$97,$CC$70 + 1)," ")</f>
        <v xml:space="preserve"> </v>
      </c>
    </row>
    <row r="71" spans="1:90" x14ac:dyDescent="0.25">
      <c r="A71" s="24">
        <v>66</v>
      </c>
      <c r="B71" s="25"/>
      <c r="C71" s="43" t="str">
        <f ca="1">IFERROR(MATCH(INDIRECT("$B$71"),'1.Locations'!$B$2:$B$97, 0) - 1," ")</f>
        <v xml:space="preserve"> </v>
      </c>
      <c r="D71" s="43" t="e">
        <f ca="1">IFERROR(IF(ISNUMBER($C$71),INDEX('1.Locations'!$D$2:$D$97,$C$71 + 1),NA()),NA())</f>
        <v>#N/A</v>
      </c>
      <c r="E71" s="43" t="e">
        <f ca="1">IFERROR(IF(ISNUMBER($C$71),INDEX('1.Locations'!$E$2:$E$97,$C$71 + 1),NA()),NA())</f>
        <v>#N/A</v>
      </c>
      <c r="F71" s="44" t="str">
        <f ca="1">IFERROR(IF(AND(ISNUMBER($C$71),$C$71&lt;=95),INDEX('2.Distances'!$C$2:$C$9218,$C$70*96+$C$71+ 1) +$F$70," ")," ")</f>
        <v xml:space="preserve"> </v>
      </c>
      <c r="G71" s="43" t="str">
        <f ca="1">IFERROR(IF(ISNUMBER($C$71),INDEX('1.Locations'!$J$2:$J$97,$C$71 + 1) +$G$70," ")," ")</f>
        <v xml:space="preserve"> </v>
      </c>
      <c r="H71" s="43" t="str">
        <f ca="1">IFERROR(IF(ISNUMBER($C$71),INDEX('1.Locations'!$K$2:$K$97,$C$71 + 1) +$H$70," ")," ")</f>
        <v xml:space="preserve"> </v>
      </c>
      <c r="I71" s="45" t="str">
        <f ca="1">IFERROR(IF(AND(ISNUMBER($C$71),$C$71&lt;=95),INDEX('2.Distances'!$D$2:$D$9218,$C$70*96+$C$71+ 1) +$I$70," ")," ")</f>
        <v xml:space="preserve"> </v>
      </c>
      <c r="J71" s="46" t="str">
        <f ca="1">IFERROR(IF(AND(ISNUMBER($C$71),$C$71&lt;=95),INDEX('2.Distances'!$D$2:$D$9218,$C$70*96+$C$71+ 1) +$K$70," ")," ")</f>
        <v xml:space="preserve"> </v>
      </c>
      <c r="K71" s="46" t="str">
        <f ca="1">IFERROR(IF(ISNUMBER($J$71),INDEX('1.Locations'!$I$2:$I$97,$C$71 + 1) + MAX($J$71,INDEX('1.Locations'!$F$2:$F$97,$C$71 + 1))," ")," ")</f>
        <v xml:space="preserve"> </v>
      </c>
      <c r="L71" s="45" t="str">
        <f ca="1">IFERROR($L$70 + INDEX('2.Distances'!$D$2:$D$9218,$C$70*96+$C$71+ 1) + INDEX('1.Locations'!$I$2:$I$97,$C$71 + 1)," ")</f>
        <v xml:space="preserve"> </v>
      </c>
      <c r="N71" s="24">
        <v>66</v>
      </c>
      <c r="O71" s="25"/>
      <c r="P71" s="43" t="str">
        <f ca="1">IFERROR(MATCH(INDIRECT("$O$71"),'1.Locations'!$B$2:$B$97, 0) - 1," ")</f>
        <v xml:space="preserve"> </v>
      </c>
      <c r="Q71" s="43" t="e">
        <f ca="1">IFERROR(IF(ISNUMBER($P$71),INDEX('1.Locations'!$D$2:$D$97,$P$71 + 1),NA()),NA())</f>
        <v>#N/A</v>
      </c>
      <c r="R71" s="43" t="e">
        <f ca="1">IFERROR(IF(ISNUMBER($P$71),INDEX('1.Locations'!$E$2:$E$97,$P$71 + 1),NA()),NA())</f>
        <v>#N/A</v>
      </c>
      <c r="S71" s="44" t="str">
        <f ca="1">IFERROR(IF(AND(ISNUMBER($P$71),$P$71&lt;=95),INDEX('2.Distances'!$C$2:$C$9218,$P$70*96+$P$71+ 1) +$S$70," ")," ")</f>
        <v xml:space="preserve"> </v>
      </c>
      <c r="T71" s="43" t="str">
        <f ca="1">IFERROR(IF(ISNUMBER($P$71),INDEX('1.Locations'!$J$2:$J$97,$P$71 + 1) +$T$70," ")," ")</f>
        <v xml:space="preserve"> </v>
      </c>
      <c r="U71" s="43" t="str">
        <f ca="1">IFERROR(IF(ISNUMBER($P$71),INDEX('1.Locations'!$K$2:$K$97,$P$71 + 1) +$U$70," ")," ")</f>
        <v xml:space="preserve"> </v>
      </c>
      <c r="V71" s="45" t="str">
        <f ca="1">IFERROR(IF(AND(ISNUMBER($P$71),$P$71&lt;=95),INDEX('2.Distances'!$D$2:$D$9218,$P$70*96+$P$71+ 1) +$V$70," ")," ")</f>
        <v xml:space="preserve"> </v>
      </c>
      <c r="W71" s="46" t="str">
        <f ca="1">IFERROR(IF(AND(ISNUMBER($P$71),$P$71&lt;=95),INDEX('2.Distances'!$D$2:$D$9218,$P$70*96+$P$71+ 1) +$X$70," ")," ")</f>
        <v xml:space="preserve"> </v>
      </c>
      <c r="X71" s="46" t="str">
        <f ca="1">IFERROR(IF(ISNUMBER($W$71),INDEX('1.Locations'!$I$2:$I$97,$P$71 + 1) + MAX($W$71,INDEX('1.Locations'!$F$2:$F$97,$P$71 + 1))," ")," ")</f>
        <v xml:space="preserve"> </v>
      </c>
      <c r="Y71" s="45" t="str">
        <f ca="1">IFERROR($Y$70 + INDEX('2.Distances'!$D$2:$D$9218,$P$70*96+$P$71+ 1) + INDEX('1.Locations'!$I$2:$I$97,$P$71 + 1)," ")</f>
        <v xml:space="preserve"> </v>
      </c>
      <c r="AA71" s="24">
        <v>66</v>
      </c>
      <c r="AB71" s="25"/>
      <c r="AC71" s="43" t="str">
        <f ca="1">IFERROR(MATCH(INDIRECT("$AB$71"),'1.Locations'!$B$2:$B$97, 0) - 1," ")</f>
        <v xml:space="preserve"> </v>
      </c>
      <c r="AD71" s="43" t="e">
        <f ca="1">IFERROR(IF(ISNUMBER($AC$71),INDEX('1.Locations'!$D$2:$D$97,$AC$71 + 1),NA()),NA())</f>
        <v>#N/A</v>
      </c>
      <c r="AE71" s="43" t="e">
        <f ca="1">IFERROR(IF(ISNUMBER($AC$71),INDEX('1.Locations'!$E$2:$E$97,$AC$71 + 1),NA()),NA())</f>
        <v>#N/A</v>
      </c>
      <c r="AF71" s="44" t="str">
        <f ca="1">IFERROR(IF(AND(ISNUMBER($AC$71),$AC$71&lt;=95),INDEX('2.Distances'!$C$2:$C$9218,$AC$70*96+$AC$71+ 1) +$AF$70," ")," ")</f>
        <v xml:space="preserve"> </v>
      </c>
      <c r="AG71" s="43" t="str">
        <f ca="1">IFERROR(IF(ISNUMBER($AC$71),INDEX('1.Locations'!$J$2:$J$97,$AC$71 + 1) +$AG$70," ")," ")</f>
        <v xml:space="preserve"> </v>
      </c>
      <c r="AH71" s="43" t="str">
        <f ca="1">IFERROR(IF(ISNUMBER($AC$71),INDEX('1.Locations'!$K$2:$K$97,$AC$71 + 1) +$AH$70," ")," ")</f>
        <v xml:space="preserve"> </v>
      </c>
      <c r="AI71" s="45" t="str">
        <f ca="1">IFERROR(IF(AND(ISNUMBER($AC$71),$AC$71&lt;=95),INDEX('2.Distances'!$D$2:$D$9218,$AC$70*96+$AC$71+ 1) +$AI$70," ")," ")</f>
        <v xml:space="preserve"> </v>
      </c>
      <c r="AJ71" s="46" t="str">
        <f ca="1">IFERROR(IF(AND(ISNUMBER($AC$71),$AC$71&lt;=95),INDEX('2.Distances'!$D$2:$D$9218,$AC$70*96+$AC$71+ 1) +$AK$70," ")," ")</f>
        <v xml:space="preserve"> </v>
      </c>
      <c r="AK71" s="46" t="str">
        <f ca="1">IFERROR(IF(ISNUMBER($AJ$71),INDEX('1.Locations'!$I$2:$I$97,$AC$71 + 1) + MAX($AJ$71,INDEX('1.Locations'!$F$2:$F$97,$AC$71 + 1))," ")," ")</f>
        <v xml:space="preserve"> </v>
      </c>
      <c r="AL71" s="45" t="str">
        <f ca="1">IFERROR($AL$70 + INDEX('2.Distances'!$D$2:$D$9218,$AC$70*96+$AC$71+ 1) + INDEX('1.Locations'!$I$2:$I$97,$AC$71 + 1)," ")</f>
        <v xml:space="preserve"> </v>
      </c>
      <c r="AN71" s="24">
        <v>66</v>
      </c>
      <c r="AO71" s="25"/>
      <c r="AP71" s="43" t="str">
        <f ca="1">IFERROR(MATCH(INDIRECT("$AO$71"),'1.Locations'!$B$2:$B$97, 0) - 1," ")</f>
        <v xml:space="preserve"> </v>
      </c>
      <c r="AQ71" s="43" t="e">
        <f ca="1">IFERROR(IF(ISNUMBER($AP$71),INDEX('1.Locations'!$D$2:$D$97,$AP$71 + 1),NA()),NA())</f>
        <v>#N/A</v>
      </c>
      <c r="AR71" s="43" t="e">
        <f ca="1">IFERROR(IF(ISNUMBER($AP$71),INDEX('1.Locations'!$E$2:$E$97,$AP$71 + 1),NA()),NA())</f>
        <v>#N/A</v>
      </c>
      <c r="AS71" s="44" t="str">
        <f ca="1">IFERROR(IF(AND(ISNUMBER($AP$71),$AP$71&lt;=95),INDEX('2.Distances'!$C$2:$C$9218,$AP$70*96+$AP$71+ 1) +$AS$70," ")," ")</f>
        <v xml:space="preserve"> </v>
      </c>
      <c r="AT71" s="43" t="str">
        <f ca="1">IFERROR(IF(ISNUMBER($AP$71),INDEX('1.Locations'!$J$2:$J$97,$AP$71 + 1) +$AT$70," ")," ")</f>
        <v xml:space="preserve"> </v>
      </c>
      <c r="AU71" s="43" t="str">
        <f ca="1">IFERROR(IF(ISNUMBER($AP$71),INDEX('1.Locations'!$K$2:$K$97,$AP$71 + 1) +$AU$70," ")," ")</f>
        <v xml:space="preserve"> </v>
      </c>
      <c r="AV71" s="45" t="str">
        <f ca="1">IFERROR(IF(AND(ISNUMBER($AP$71),$AP$71&lt;=95),INDEX('2.Distances'!$D$2:$D$9218,$AP$70*96+$AP$71+ 1) +$AV$70," ")," ")</f>
        <v xml:space="preserve"> </v>
      </c>
      <c r="AW71" s="46" t="str">
        <f ca="1">IFERROR(IF(AND(ISNUMBER($AP$71),$AP$71&lt;=95),INDEX('2.Distances'!$D$2:$D$9218,$AP$70*96+$AP$71+ 1) +$AX$70," ")," ")</f>
        <v xml:space="preserve"> </v>
      </c>
      <c r="AX71" s="46" t="str">
        <f ca="1">IFERROR(IF(ISNUMBER($AW$71),INDEX('1.Locations'!$I$2:$I$97,$AP$71 + 1) + MAX($AW$71,INDEX('1.Locations'!$F$2:$F$97,$AP$71 + 1))," ")," ")</f>
        <v xml:space="preserve"> </v>
      </c>
      <c r="AY71" s="45" t="str">
        <f ca="1">IFERROR($AY$70 + INDEX('2.Distances'!$D$2:$D$9218,$AP$70*96+$AP$71+ 1) + INDEX('1.Locations'!$I$2:$I$97,$AP$71 + 1)," ")</f>
        <v xml:space="preserve"> </v>
      </c>
      <c r="BA71" s="24">
        <v>66</v>
      </c>
      <c r="BB71" s="25"/>
      <c r="BC71" s="43" t="str">
        <f ca="1">IFERROR(MATCH(INDIRECT("$BB$71"),'1.Locations'!$B$2:$B$97, 0) - 1," ")</f>
        <v xml:space="preserve"> </v>
      </c>
      <c r="BD71" s="43" t="e">
        <f ca="1">IFERROR(IF(ISNUMBER($BC$71),INDEX('1.Locations'!$D$2:$D$97,$BC$71 + 1),NA()),NA())</f>
        <v>#N/A</v>
      </c>
      <c r="BE71" s="43" t="e">
        <f ca="1">IFERROR(IF(ISNUMBER($BC$71),INDEX('1.Locations'!$E$2:$E$97,$BC$71 + 1),NA()),NA())</f>
        <v>#N/A</v>
      </c>
      <c r="BF71" s="44" t="str">
        <f ca="1">IFERROR(IF(AND(ISNUMBER($BC$71),$BC$71&lt;=95),INDEX('2.Distances'!$C$2:$C$9218,$BC$70*96+$BC$71+ 1) +$BF$70," ")," ")</f>
        <v xml:space="preserve"> </v>
      </c>
      <c r="BG71" s="43" t="str">
        <f ca="1">IFERROR(IF(ISNUMBER($BC$71),INDEX('1.Locations'!$J$2:$J$97,$BC$71 + 1) +$BG$70," ")," ")</f>
        <v xml:space="preserve"> </v>
      </c>
      <c r="BH71" s="43" t="str">
        <f ca="1">IFERROR(IF(ISNUMBER($BC$71),INDEX('1.Locations'!$K$2:$K$97,$BC$71 + 1) +$BH$70," ")," ")</f>
        <v xml:space="preserve"> </v>
      </c>
      <c r="BI71" s="45" t="str">
        <f ca="1">IFERROR(IF(AND(ISNUMBER($BC$71),$BC$71&lt;=95),INDEX('2.Distances'!$D$2:$D$9218,$BC$70*96+$BC$71+ 1) +$BI$70," ")," ")</f>
        <v xml:space="preserve"> </v>
      </c>
      <c r="BJ71" s="46" t="str">
        <f ca="1">IFERROR(IF(AND(ISNUMBER($BC$71),$BC$71&lt;=95),INDEX('2.Distances'!$D$2:$D$9218,$BC$70*96+$BC$71+ 1) +$BK$70," ")," ")</f>
        <v xml:space="preserve"> </v>
      </c>
      <c r="BK71" s="46" t="str">
        <f ca="1">IFERROR(IF(ISNUMBER($BJ$71),INDEX('1.Locations'!$I$2:$I$97,$BC$71 + 1) + MAX($BJ$71,INDEX('1.Locations'!$F$2:$F$97,$BC$71 + 1))," ")," ")</f>
        <v xml:space="preserve"> </v>
      </c>
      <c r="BL71" s="45" t="str">
        <f ca="1">IFERROR($BL$70 + INDEX('2.Distances'!$D$2:$D$9218,$BC$70*96+$BC$71+ 1) + INDEX('1.Locations'!$I$2:$I$97,$BC$71 + 1)," ")</f>
        <v xml:space="preserve"> </v>
      </c>
      <c r="BN71" s="24">
        <v>66</v>
      </c>
      <c r="BO71" s="25"/>
      <c r="BP71" s="43" t="str">
        <f ca="1">IFERROR(MATCH(INDIRECT("$BO$71"),'1.Locations'!$B$2:$B$97, 0) - 1," ")</f>
        <v xml:space="preserve"> </v>
      </c>
      <c r="BQ71" s="43" t="e">
        <f ca="1">IFERROR(IF(ISNUMBER($BP$71),INDEX('1.Locations'!$D$2:$D$97,$BP$71 + 1),NA()),NA())</f>
        <v>#N/A</v>
      </c>
      <c r="BR71" s="43" t="e">
        <f ca="1">IFERROR(IF(ISNUMBER($BP$71),INDEX('1.Locations'!$E$2:$E$97,$BP$71 + 1),NA()),NA())</f>
        <v>#N/A</v>
      </c>
      <c r="BS71" s="44" t="str">
        <f ca="1">IFERROR(IF(AND(ISNUMBER($BP$71),$BP$71&lt;=95),INDEX('2.Distances'!$C$2:$C$9218,$BP$70*96+$BP$71+ 1) +$BS$70," ")," ")</f>
        <v xml:space="preserve"> </v>
      </c>
      <c r="BT71" s="43" t="str">
        <f ca="1">IFERROR(IF(ISNUMBER($BP$71),INDEX('1.Locations'!$J$2:$J$97,$BP$71 + 1) +$BT$70," ")," ")</f>
        <v xml:space="preserve"> </v>
      </c>
      <c r="BU71" s="43" t="str">
        <f ca="1">IFERROR(IF(ISNUMBER($BP$71),INDEX('1.Locations'!$K$2:$K$97,$BP$71 + 1) +$BU$70," ")," ")</f>
        <v xml:space="preserve"> </v>
      </c>
      <c r="BV71" s="45" t="str">
        <f ca="1">IFERROR(IF(AND(ISNUMBER($BP$71),$BP$71&lt;=95),INDEX('2.Distances'!$D$2:$D$9218,$BP$70*96+$BP$71+ 1) +$BV$70," ")," ")</f>
        <v xml:space="preserve"> </v>
      </c>
      <c r="BW71" s="46" t="str">
        <f ca="1">IFERROR(IF(AND(ISNUMBER($BP$71),$BP$71&lt;=95),INDEX('2.Distances'!$D$2:$D$9218,$BP$70*96+$BP$71+ 1) +$BX$70," ")," ")</f>
        <v xml:space="preserve"> </v>
      </c>
      <c r="BX71" s="46" t="str">
        <f ca="1">IFERROR(IF(ISNUMBER($BW$71),INDEX('1.Locations'!$I$2:$I$97,$BP$71 + 1) + MAX($BW$71,INDEX('1.Locations'!$F$2:$F$97,$BP$71 + 1))," ")," ")</f>
        <v xml:space="preserve"> </v>
      </c>
      <c r="BY71" s="45" t="str">
        <f ca="1">IFERROR($BY$70 + INDEX('2.Distances'!$D$2:$D$9218,$BP$70*96+$BP$71+ 1) + INDEX('1.Locations'!$I$2:$I$97,$BP$71 + 1)," ")</f>
        <v xml:space="preserve"> </v>
      </c>
      <c r="CA71" s="24">
        <v>66</v>
      </c>
      <c r="CB71" s="25"/>
      <c r="CC71" s="43" t="str">
        <f ca="1">IFERROR(MATCH(INDIRECT("$CB$71"),'1.Locations'!$B$2:$B$97, 0) - 1," ")</f>
        <v xml:space="preserve"> </v>
      </c>
      <c r="CD71" s="43" t="e">
        <f ca="1">IFERROR(IF(ISNUMBER($CC$71),INDEX('1.Locations'!$D$2:$D$97,$CC$71 + 1),NA()),NA())</f>
        <v>#N/A</v>
      </c>
      <c r="CE71" s="43" t="e">
        <f ca="1">IFERROR(IF(ISNUMBER($CC$71),INDEX('1.Locations'!$E$2:$E$97,$CC$71 + 1),NA()),NA())</f>
        <v>#N/A</v>
      </c>
      <c r="CF71" s="44" t="str">
        <f ca="1">IFERROR(IF(AND(ISNUMBER($CC$71),$CC$71&lt;=95),INDEX('2.Distances'!$C$2:$C$9218,$CC$70*96+$CC$71+ 1) +$CF$70," ")," ")</f>
        <v xml:space="preserve"> </v>
      </c>
      <c r="CG71" s="43" t="str">
        <f ca="1">IFERROR(IF(ISNUMBER($CC$71),INDEX('1.Locations'!$J$2:$J$97,$CC$71 + 1) +$CG$70," ")," ")</f>
        <v xml:space="preserve"> </v>
      </c>
      <c r="CH71" s="43" t="str">
        <f ca="1">IFERROR(IF(ISNUMBER($CC$71),INDEX('1.Locations'!$K$2:$K$97,$CC$71 + 1) +$CH$70," ")," ")</f>
        <v xml:space="preserve"> </v>
      </c>
      <c r="CI71" s="45" t="str">
        <f ca="1">IFERROR(IF(AND(ISNUMBER($CC$71),$CC$71&lt;=95),INDEX('2.Distances'!$D$2:$D$9218,$CC$70*96+$CC$71+ 1) +$CI$70," ")," ")</f>
        <v xml:space="preserve"> </v>
      </c>
      <c r="CJ71" s="46" t="str">
        <f ca="1">IFERROR(IF(AND(ISNUMBER($CC$71),$CC$71&lt;=95),INDEX('2.Distances'!$D$2:$D$9218,$CC$70*96+$CC$71+ 1) +$CK$70," ")," ")</f>
        <v xml:space="preserve"> </v>
      </c>
      <c r="CK71" s="46" t="str">
        <f ca="1">IFERROR(IF(ISNUMBER($CJ$71),INDEX('1.Locations'!$I$2:$I$97,$CC$71 + 1) + MAX($CJ$71,INDEX('1.Locations'!$F$2:$F$97,$CC$71 + 1))," ")," ")</f>
        <v xml:space="preserve"> </v>
      </c>
      <c r="CL71" s="45" t="str">
        <f ca="1">IFERROR($CL$70 + INDEX('2.Distances'!$D$2:$D$9218,$CC$70*96+$CC$71+ 1) + INDEX('1.Locations'!$I$2:$I$97,$CC$71 + 1)," ")</f>
        <v xml:space="preserve"> </v>
      </c>
    </row>
    <row r="72" spans="1:90" x14ac:dyDescent="0.25">
      <c r="A72" s="24">
        <v>67</v>
      </c>
      <c r="B72" s="25"/>
      <c r="C72" s="43" t="str">
        <f ca="1">IFERROR(MATCH(INDIRECT("$B$72"),'1.Locations'!$B$2:$B$97, 0) - 1," ")</f>
        <v xml:space="preserve"> </v>
      </c>
      <c r="D72" s="43" t="e">
        <f ca="1">IFERROR(IF(ISNUMBER($C$72),INDEX('1.Locations'!$D$2:$D$97,$C$72 + 1),NA()),NA())</f>
        <v>#N/A</v>
      </c>
      <c r="E72" s="43" t="e">
        <f ca="1">IFERROR(IF(ISNUMBER($C$72),INDEX('1.Locations'!$E$2:$E$97,$C$72 + 1),NA()),NA())</f>
        <v>#N/A</v>
      </c>
      <c r="F72" s="44" t="str">
        <f ca="1">IFERROR(IF(AND(ISNUMBER($C$72),$C$72&lt;=95),INDEX('2.Distances'!$C$2:$C$9218,$C$71*96+$C$72+ 1) +$F$71," ")," ")</f>
        <v xml:space="preserve"> </v>
      </c>
      <c r="G72" s="43" t="str">
        <f ca="1">IFERROR(IF(ISNUMBER($C$72),INDEX('1.Locations'!$J$2:$J$97,$C$72 + 1) +$G$71," ")," ")</f>
        <v xml:space="preserve"> </v>
      </c>
      <c r="H72" s="43" t="str">
        <f ca="1">IFERROR(IF(ISNUMBER($C$72),INDEX('1.Locations'!$K$2:$K$97,$C$72 + 1) +$H$71," ")," ")</f>
        <v xml:space="preserve"> </v>
      </c>
      <c r="I72" s="45" t="str">
        <f ca="1">IFERROR(IF(AND(ISNUMBER($C$72),$C$72&lt;=95),INDEX('2.Distances'!$D$2:$D$9218,$C$71*96+$C$72+ 1) +$I$71," ")," ")</f>
        <v xml:space="preserve"> </v>
      </c>
      <c r="J72" s="46" t="str">
        <f ca="1">IFERROR(IF(AND(ISNUMBER($C$72),$C$72&lt;=95),INDEX('2.Distances'!$D$2:$D$9218,$C$71*96+$C$72+ 1) +$K$71," ")," ")</f>
        <v xml:space="preserve"> </v>
      </c>
      <c r="K72" s="46" t="str">
        <f ca="1">IFERROR(IF(ISNUMBER($J$72),INDEX('1.Locations'!$I$2:$I$97,$C$72 + 1) + MAX($J$72,INDEX('1.Locations'!$F$2:$F$97,$C$72 + 1))," ")," ")</f>
        <v xml:space="preserve"> </v>
      </c>
      <c r="L72" s="45" t="str">
        <f ca="1">IFERROR($L$71 + INDEX('2.Distances'!$D$2:$D$9218,$C$71*96+$C$72+ 1) + INDEX('1.Locations'!$I$2:$I$97,$C$72 + 1)," ")</f>
        <v xml:space="preserve"> </v>
      </c>
      <c r="N72" s="24">
        <v>67</v>
      </c>
      <c r="O72" s="25"/>
      <c r="P72" s="43" t="str">
        <f ca="1">IFERROR(MATCH(INDIRECT("$O$72"),'1.Locations'!$B$2:$B$97, 0) - 1," ")</f>
        <v xml:space="preserve"> </v>
      </c>
      <c r="Q72" s="43" t="e">
        <f ca="1">IFERROR(IF(ISNUMBER($P$72),INDEX('1.Locations'!$D$2:$D$97,$P$72 + 1),NA()),NA())</f>
        <v>#N/A</v>
      </c>
      <c r="R72" s="43" t="e">
        <f ca="1">IFERROR(IF(ISNUMBER($P$72),INDEX('1.Locations'!$E$2:$E$97,$P$72 + 1),NA()),NA())</f>
        <v>#N/A</v>
      </c>
      <c r="S72" s="44" t="str">
        <f ca="1">IFERROR(IF(AND(ISNUMBER($P$72),$P$72&lt;=95),INDEX('2.Distances'!$C$2:$C$9218,$P$71*96+$P$72+ 1) +$S$71," ")," ")</f>
        <v xml:space="preserve"> </v>
      </c>
      <c r="T72" s="43" t="str">
        <f ca="1">IFERROR(IF(ISNUMBER($P$72),INDEX('1.Locations'!$J$2:$J$97,$P$72 + 1) +$T$71," ")," ")</f>
        <v xml:space="preserve"> </v>
      </c>
      <c r="U72" s="43" t="str">
        <f ca="1">IFERROR(IF(ISNUMBER($P$72),INDEX('1.Locations'!$K$2:$K$97,$P$72 + 1) +$U$71," ")," ")</f>
        <v xml:space="preserve"> </v>
      </c>
      <c r="V72" s="45" t="str">
        <f ca="1">IFERROR(IF(AND(ISNUMBER($P$72),$P$72&lt;=95),INDEX('2.Distances'!$D$2:$D$9218,$P$71*96+$P$72+ 1) +$V$71," ")," ")</f>
        <v xml:space="preserve"> </v>
      </c>
      <c r="W72" s="46" t="str">
        <f ca="1">IFERROR(IF(AND(ISNUMBER($P$72),$P$72&lt;=95),INDEX('2.Distances'!$D$2:$D$9218,$P$71*96+$P$72+ 1) +$X$71," ")," ")</f>
        <v xml:space="preserve"> </v>
      </c>
      <c r="X72" s="46" t="str">
        <f ca="1">IFERROR(IF(ISNUMBER($W$72),INDEX('1.Locations'!$I$2:$I$97,$P$72 + 1) + MAX($W$72,INDEX('1.Locations'!$F$2:$F$97,$P$72 + 1))," ")," ")</f>
        <v xml:space="preserve"> </v>
      </c>
      <c r="Y72" s="45" t="str">
        <f ca="1">IFERROR($Y$71 + INDEX('2.Distances'!$D$2:$D$9218,$P$71*96+$P$72+ 1) + INDEX('1.Locations'!$I$2:$I$97,$P$72 + 1)," ")</f>
        <v xml:space="preserve"> </v>
      </c>
      <c r="AA72" s="24">
        <v>67</v>
      </c>
      <c r="AB72" s="25"/>
      <c r="AC72" s="43" t="str">
        <f ca="1">IFERROR(MATCH(INDIRECT("$AB$72"),'1.Locations'!$B$2:$B$97, 0) - 1," ")</f>
        <v xml:space="preserve"> </v>
      </c>
      <c r="AD72" s="43" t="e">
        <f ca="1">IFERROR(IF(ISNUMBER($AC$72),INDEX('1.Locations'!$D$2:$D$97,$AC$72 + 1),NA()),NA())</f>
        <v>#N/A</v>
      </c>
      <c r="AE72" s="43" t="e">
        <f ca="1">IFERROR(IF(ISNUMBER($AC$72),INDEX('1.Locations'!$E$2:$E$97,$AC$72 + 1),NA()),NA())</f>
        <v>#N/A</v>
      </c>
      <c r="AF72" s="44" t="str">
        <f ca="1">IFERROR(IF(AND(ISNUMBER($AC$72),$AC$72&lt;=95),INDEX('2.Distances'!$C$2:$C$9218,$AC$71*96+$AC$72+ 1) +$AF$71," ")," ")</f>
        <v xml:space="preserve"> </v>
      </c>
      <c r="AG72" s="43" t="str">
        <f ca="1">IFERROR(IF(ISNUMBER($AC$72),INDEX('1.Locations'!$J$2:$J$97,$AC$72 + 1) +$AG$71," ")," ")</f>
        <v xml:space="preserve"> </v>
      </c>
      <c r="AH72" s="43" t="str">
        <f ca="1">IFERROR(IF(ISNUMBER($AC$72),INDEX('1.Locations'!$K$2:$K$97,$AC$72 + 1) +$AH$71," ")," ")</f>
        <v xml:space="preserve"> </v>
      </c>
      <c r="AI72" s="45" t="str">
        <f ca="1">IFERROR(IF(AND(ISNUMBER($AC$72),$AC$72&lt;=95),INDEX('2.Distances'!$D$2:$D$9218,$AC$71*96+$AC$72+ 1) +$AI$71," ")," ")</f>
        <v xml:space="preserve"> </v>
      </c>
      <c r="AJ72" s="46" t="str">
        <f ca="1">IFERROR(IF(AND(ISNUMBER($AC$72),$AC$72&lt;=95),INDEX('2.Distances'!$D$2:$D$9218,$AC$71*96+$AC$72+ 1) +$AK$71," ")," ")</f>
        <v xml:space="preserve"> </v>
      </c>
      <c r="AK72" s="46" t="str">
        <f ca="1">IFERROR(IF(ISNUMBER($AJ$72),INDEX('1.Locations'!$I$2:$I$97,$AC$72 + 1) + MAX($AJ$72,INDEX('1.Locations'!$F$2:$F$97,$AC$72 + 1))," ")," ")</f>
        <v xml:space="preserve"> </v>
      </c>
      <c r="AL72" s="45" t="str">
        <f ca="1">IFERROR($AL$71 + INDEX('2.Distances'!$D$2:$D$9218,$AC$71*96+$AC$72+ 1) + INDEX('1.Locations'!$I$2:$I$97,$AC$72 + 1)," ")</f>
        <v xml:space="preserve"> </v>
      </c>
      <c r="AN72" s="24">
        <v>67</v>
      </c>
      <c r="AO72" s="25"/>
      <c r="AP72" s="43" t="str">
        <f ca="1">IFERROR(MATCH(INDIRECT("$AO$72"),'1.Locations'!$B$2:$B$97, 0) - 1," ")</f>
        <v xml:space="preserve"> </v>
      </c>
      <c r="AQ72" s="43" t="e">
        <f ca="1">IFERROR(IF(ISNUMBER($AP$72),INDEX('1.Locations'!$D$2:$D$97,$AP$72 + 1),NA()),NA())</f>
        <v>#N/A</v>
      </c>
      <c r="AR72" s="43" t="e">
        <f ca="1">IFERROR(IF(ISNUMBER($AP$72),INDEX('1.Locations'!$E$2:$E$97,$AP$72 + 1),NA()),NA())</f>
        <v>#N/A</v>
      </c>
      <c r="AS72" s="44" t="str">
        <f ca="1">IFERROR(IF(AND(ISNUMBER($AP$72),$AP$72&lt;=95),INDEX('2.Distances'!$C$2:$C$9218,$AP$71*96+$AP$72+ 1) +$AS$71," ")," ")</f>
        <v xml:space="preserve"> </v>
      </c>
      <c r="AT72" s="43" t="str">
        <f ca="1">IFERROR(IF(ISNUMBER($AP$72),INDEX('1.Locations'!$J$2:$J$97,$AP$72 + 1) +$AT$71," ")," ")</f>
        <v xml:space="preserve"> </v>
      </c>
      <c r="AU72" s="43" t="str">
        <f ca="1">IFERROR(IF(ISNUMBER($AP$72),INDEX('1.Locations'!$K$2:$K$97,$AP$72 + 1) +$AU$71," ")," ")</f>
        <v xml:space="preserve"> </v>
      </c>
      <c r="AV72" s="45" t="str">
        <f ca="1">IFERROR(IF(AND(ISNUMBER($AP$72),$AP$72&lt;=95),INDEX('2.Distances'!$D$2:$D$9218,$AP$71*96+$AP$72+ 1) +$AV$71," ")," ")</f>
        <v xml:space="preserve"> </v>
      </c>
      <c r="AW72" s="46" t="str">
        <f ca="1">IFERROR(IF(AND(ISNUMBER($AP$72),$AP$72&lt;=95),INDEX('2.Distances'!$D$2:$D$9218,$AP$71*96+$AP$72+ 1) +$AX$71," ")," ")</f>
        <v xml:space="preserve"> </v>
      </c>
      <c r="AX72" s="46" t="str">
        <f ca="1">IFERROR(IF(ISNUMBER($AW$72),INDEX('1.Locations'!$I$2:$I$97,$AP$72 + 1) + MAX($AW$72,INDEX('1.Locations'!$F$2:$F$97,$AP$72 + 1))," ")," ")</f>
        <v xml:space="preserve"> </v>
      </c>
      <c r="AY72" s="45" t="str">
        <f ca="1">IFERROR($AY$71 + INDEX('2.Distances'!$D$2:$D$9218,$AP$71*96+$AP$72+ 1) + INDEX('1.Locations'!$I$2:$I$97,$AP$72 + 1)," ")</f>
        <v xml:space="preserve"> </v>
      </c>
      <c r="BA72" s="24">
        <v>67</v>
      </c>
      <c r="BB72" s="25"/>
      <c r="BC72" s="43" t="str">
        <f ca="1">IFERROR(MATCH(INDIRECT("$BB$72"),'1.Locations'!$B$2:$B$97, 0) - 1," ")</f>
        <v xml:space="preserve"> </v>
      </c>
      <c r="BD72" s="43" t="e">
        <f ca="1">IFERROR(IF(ISNUMBER($BC$72),INDEX('1.Locations'!$D$2:$D$97,$BC$72 + 1),NA()),NA())</f>
        <v>#N/A</v>
      </c>
      <c r="BE72" s="43" t="e">
        <f ca="1">IFERROR(IF(ISNUMBER($BC$72),INDEX('1.Locations'!$E$2:$E$97,$BC$72 + 1),NA()),NA())</f>
        <v>#N/A</v>
      </c>
      <c r="BF72" s="44" t="str">
        <f ca="1">IFERROR(IF(AND(ISNUMBER($BC$72),$BC$72&lt;=95),INDEX('2.Distances'!$C$2:$C$9218,$BC$71*96+$BC$72+ 1) +$BF$71," ")," ")</f>
        <v xml:space="preserve"> </v>
      </c>
      <c r="BG72" s="43" t="str">
        <f ca="1">IFERROR(IF(ISNUMBER($BC$72),INDEX('1.Locations'!$J$2:$J$97,$BC$72 + 1) +$BG$71," ")," ")</f>
        <v xml:space="preserve"> </v>
      </c>
      <c r="BH72" s="43" t="str">
        <f ca="1">IFERROR(IF(ISNUMBER($BC$72),INDEX('1.Locations'!$K$2:$K$97,$BC$72 + 1) +$BH$71," ")," ")</f>
        <v xml:space="preserve"> </v>
      </c>
      <c r="BI72" s="45" t="str">
        <f ca="1">IFERROR(IF(AND(ISNUMBER($BC$72),$BC$72&lt;=95),INDEX('2.Distances'!$D$2:$D$9218,$BC$71*96+$BC$72+ 1) +$BI$71," ")," ")</f>
        <v xml:space="preserve"> </v>
      </c>
      <c r="BJ72" s="46" t="str">
        <f ca="1">IFERROR(IF(AND(ISNUMBER($BC$72),$BC$72&lt;=95),INDEX('2.Distances'!$D$2:$D$9218,$BC$71*96+$BC$72+ 1) +$BK$71," ")," ")</f>
        <v xml:space="preserve"> </v>
      </c>
      <c r="BK72" s="46" t="str">
        <f ca="1">IFERROR(IF(ISNUMBER($BJ$72),INDEX('1.Locations'!$I$2:$I$97,$BC$72 + 1) + MAX($BJ$72,INDEX('1.Locations'!$F$2:$F$97,$BC$72 + 1))," ")," ")</f>
        <v xml:space="preserve"> </v>
      </c>
      <c r="BL72" s="45" t="str">
        <f ca="1">IFERROR($BL$71 + INDEX('2.Distances'!$D$2:$D$9218,$BC$71*96+$BC$72+ 1) + INDEX('1.Locations'!$I$2:$I$97,$BC$72 + 1)," ")</f>
        <v xml:space="preserve"> </v>
      </c>
      <c r="BN72" s="24">
        <v>67</v>
      </c>
      <c r="BO72" s="25"/>
      <c r="BP72" s="43" t="str">
        <f ca="1">IFERROR(MATCH(INDIRECT("$BO$72"),'1.Locations'!$B$2:$B$97, 0) - 1," ")</f>
        <v xml:space="preserve"> </v>
      </c>
      <c r="BQ72" s="43" t="e">
        <f ca="1">IFERROR(IF(ISNUMBER($BP$72),INDEX('1.Locations'!$D$2:$D$97,$BP$72 + 1),NA()),NA())</f>
        <v>#N/A</v>
      </c>
      <c r="BR72" s="43" t="e">
        <f ca="1">IFERROR(IF(ISNUMBER($BP$72),INDEX('1.Locations'!$E$2:$E$97,$BP$72 + 1),NA()),NA())</f>
        <v>#N/A</v>
      </c>
      <c r="BS72" s="44" t="str">
        <f ca="1">IFERROR(IF(AND(ISNUMBER($BP$72),$BP$72&lt;=95),INDEX('2.Distances'!$C$2:$C$9218,$BP$71*96+$BP$72+ 1) +$BS$71," ")," ")</f>
        <v xml:space="preserve"> </v>
      </c>
      <c r="BT72" s="43" t="str">
        <f ca="1">IFERROR(IF(ISNUMBER($BP$72),INDEX('1.Locations'!$J$2:$J$97,$BP$72 + 1) +$BT$71," ")," ")</f>
        <v xml:space="preserve"> </v>
      </c>
      <c r="BU72" s="43" t="str">
        <f ca="1">IFERROR(IF(ISNUMBER($BP$72),INDEX('1.Locations'!$K$2:$K$97,$BP$72 + 1) +$BU$71," ")," ")</f>
        <v xml:space="preserve"> </v>
      </c>
      <c r="BV72" s="45" t="str">
        <f ca="1">IFERROR(IF(AND(ISNUMBER($BP$72),$BP$72&lt;=95),INDEX('2.Distances'!$D$2:$D$9218,$BP$71*96+$BP$72+ 1) +$BV$71," ")," ")</f>
        <v xml:space="preserve"> </v>
      </c>
      <c r="BW72" s="46" t="str">
        <f ca="1">IFERROR(IF(AND(ISNUMBER($BP$72),$BP$72&lt;=95),INDEX('2.Distances'!$D$2:$D$9218,$BP$71*96+$BP$72+ 1) +$BX$71," ")," ")</f>
        <v xml:space="preserve"> </v>
      </c>
      <c r="BX72" s="46" t="str">
        <f ca="1">IFERROR(IF(ISNUMBER($BW$72),INDEX('1.Locations'!$I$2:$I$97,$BP$72 + 1) + MAX($BW$72,INDEX('1.Locations'!$F$2:$F$97,$BP$72 + 1))," ")," ")</f>
        <v xml:space="preserve"> </v>
      </c>
      <c r="BY72" s="45" t="str">
        <f ca="1">IFERROR($BY$71 + INDEX('2.Distances'!$D$2:$D$9218,$BP$71*96+$BP$72+ 1) + INDEX('1.Locations'!$I$2:$I$97,$BP$72 + 1)," ")</f>
        <v xml:space="preserve"> </v>
      </c>
      <c r="CA72" s="24">
        <v>67</v>
      </c>
      <c r="CB72" s="25"/>
      <c r="CC72" s="43" t="str">
        <f ca="1">IFERROR(MATCH(INDIRECT("$CB$72"),'1.Locations'!$B$2:$B$97, 0) - 1," ")</f>
        <v xml:space="preserve"> </v>
      </c>
      <c r="CD72" s="43" t="e">
        <f ca="1">IFERROR(IF(ISNUMBER($CC$72),INDEX('1.Locations'!$D$2:$D$97,$CC$72 + 1),NA()),NA())</f>
        <v>#N/A</v>
      </c>
      <c r="CE72" s="43" t="e">
        <f ca="1">IFERROR(IF(ISNUMBER($CC$72),INDEX('1.Locations'!$E$2:$E$97,$CC$72 + 1),NA()),NA())</f>
        <v>#N/A</v>
      </c>
      <c r="CF72" s="44" t="str">
        <f ca="1">IFERROR(IF(AND(ISNUMBER($CC$72),$CC$72&lt;=95),INDEX('2.Distances'!$C$2:$C$9218,$CC$71*96+$CC$72+ 1) +$CF$71," ")," ")</f>
        <v xml:space="preserve"> </v>
      </c>
      <c r="CG72" s="43" t="str">
        <f ca="1">IFERROR(IF(ISNUMBER($CC$72),INDEX('1.Locations'!$J$2:$J$97,$CC$72 + 1) +$CG$71," ")," ")</f>
        <v xml:space="preserve"> </v>
      </c>
      <c r="CH72" s="43" t="str">
        <f ca="1">IFERROR(IF(ISNUMBER($CC$72),INDEX('1.Locations'!$K$2:$K$97,$CC$72 + 1) +$CH$71," ")," ")</f>
        <v xml:space="preserve"> </v>
      </c>
      <c r="CI72" s="45" t="str">
        <f ca="1">IFERROR(IF(AND(ISNUMBER($CC$72),$CC$72&lt;=95),INDEX('2.Distances'!$D$2:$D$9218,$CC$71*96+$CC$72+ 1) +$CI$71," ")," ")</f>
        <v xml:space="preserve"> </v>
      </c>
      <c r="CJ72" s="46" t="str">
        <f ca="1">IFERROR(IF(AND(ISNUMBER($CC$72),$CC$72&lt;=95),INDEX('2.Distances'!$D$2:$D$9218,$CC$71*96+$CC$72+ 1) +$CK$71," ")," ")</f>
        <v xml:space="preserve"> </v>
      </c>
      <c r="CK72" s="46" t="str">
        <f ca="1">IFERROR(IF(ISNUMBER($CJ$72),INDEX('1.Locations'!$I$2:$I$97,$CC$72 + 1) + MAX($CJ$72,INDEX('1.Locations'!$F$2:$F$97,$CC$72 + 1))," ")," ")</f>
        <v xml:space="preserve"> </v>
      </c>
      <c r="CL72" s="45" t="str">
        <f ca="1">IFERROR($CL$71 + INDEX('2.Distances'!$D$2:$D$9218,$CC$71*96+$CC$72+ 1) + INDEX('1.Locations'!$I$2:$I$97,$CC$72 + 1)," ")</f>
        <v xml:space="preserve"> </v>
      </c>
    </row>
    <row r="73" spans="1:90" x14ac:dyDescent="0.25">
      <c r="A73" s="24">
        <v>68</v>
      </c>
      <c r="B73" s="25"/>
      <c r="C73" s="43" t="str">
        <f ca="1">IFERROR(MATCH(INDIRECT("$B$73"),'1.Locations'!$B$2:$B$97, 0) - 1," ")</f>
        <v xml:space="preserve"> </v>
      </c>
      <c r="D73" s="43" t="e">
        <f ca="1">IFERROR(IF(ISNUMBER($C$73),INDEX('1.Locations'!$D$2:$D$97,$C$73 + 1),NA()),NA())</f>
        <v>#N/A</v>
      </c>
      <c r="E73" s="43" t="e">
        <f ca="1">IFERROR(IF(ISNUMBER($C$73),INDEX('1.Locations'!$E$2:$E$97,$C$73 + 1),NA()),NA())</f>
        <v>#N/A</v>
      </c>
      <c r="F73" s="44" t="str">
        <f ca="1">IFERROR(IF(AND(ISNUMBER($C$73),$C$73&lt;=95),INDEX('2.Distances'!$C$2:$C$9218,$C$72*96+$C$73+ 1) +$F$72," ")," ")</f>
        <v xml:space="preserve"> </v>
      </c>
      <c r="G73" s="43" t="str">
        <f ca="1">IFERROR(IF(ISNUMBER($C$73),INDEX('1.Locations'!$J$2:$J$97,$C$73 + 1) +$G$72," ")," ")</f>
        <v xml:space="preserve"> </v>
      </c>
      <c r="H73" s="43" t="str">
        <f ca="1">IFERROR(IF(ISNUMBER($C$73),INDEX('1.Locations'!$K$2:$K$97,$C$73 + 1) +$H$72," ")," ")</f>
        <v xml:space="preserve"> </v>
      </c>
      <c r="I73" s="45" t="str">
        <f ca="1">IFERROR(IF(AND(ISNUMBER($C$73),$C$73&lt;=95),INDEX('2.Distances'!$D$2:$D$9218,$C$72*96+$C$73+ 1) +$I$72," ")," ")</f>
        <v xml:space="preserve"> </v>
      </c>
      <c r="J73" s="46" t="str">
        <f ca="1">IFERROR(IF(AND(ISNUMBER($C$73),$C$73&lt;=95),INDEX('2.Distances'!$D$2:$D$9218,$C$72*96+$C$73+ 1) +$K$72," ")," ")</f>
        <v xml:space="preserve"> </v>
      </c>
      <c r="K73" s="46" t="str">
        <f ca="1">IFERROR(IF(ISNUMBER($J$73),INDEX('1.Locations'!$I$2:$I$97,$C$73 + 1) + MAX($J$73,INDEX('1.Locations'!$F$2:$F$97,$C$73 + 1))," ")," ")</f>
        <v xml:space="preserve"> </v>
      </c>
      <c r="L73" s="45" t="str">
        <f ca="1">IFERROR($L$72 + INDEX('2.Distances'!$D$2:$D$9218,$C$72*96+$C$73+ 1) + INDEX('1.Locations'!$I$2:$I$97,$C$73 + 1)," ")</f>
        <v xml:space="preserve"> </v>
      </c>
      <c r="N73" s="24">
        <v>68</v>
      </c>
      <c r="O73" s="25"/>
      <c r="P73" s="43" t="str">
        <f ca="1">IFERROR(MATCH(INDIRECT("$O$73"),'1.Locations'!$B$2:$B$97, 0) - 1," ")</f>
        <v xml:space="preserve"> </v>
      </c>
      <c r="Q73" s="43" t="e">
        <f ca="1">IFERROR(IF(ISNUMBER($P$73),INDEX('1.Locations'!$D$2:$D$97,$P$73 + 1),NA()),NA())</f>
        <v>#N/A</v>
      </c>
      <c r="R73" s="43" t="e">
        <f ca="1">IFERROR(IF(ISNUMBER($P$73),INDEX('1.Locations'!$E$2:$E$97,$P$73 + 1),NA()),NA())</f>
        <v>#N/A</v>
      </c>
      <c r="S73" s="44" t="str">
        <f ca="1">IFERROR(IF(AND(ISNUMBER($P$73),$P$73&lt;=95),INDEX('2.Distances'!$C$2:$C$9218,$P$72*96+$P$73+ 1) +$S$72," ")," ")</f>
        <v xml:space="preserve"> </v>
      </c>
      <c r="T73" s="43" t="str">
        <f ca="1">IFERROR(IF(ISNUMBER($P$73),INDEX('1.Locations'!$J$2:$J$97,$P$73 + 1) +$T$72," ")," ")</f>
        <v xml:space="preserve"> </v>
      </c>
      <c r="U73" s="43" t="str">
        <f ca="1">IFERROR(IF(ISNUMBER($P$73),INDEX('1.Locations'!$K$2:$K$97,$P$73 + 1) +$U$72," ")," ")</f>
        <v xml:space="preserve"> </v>
      </c>
      <c r="V73" s="45" t="str">
        <f ca="1">IFERROR(IF(AND(ISNUMBER($P$73),$P$73&lt;=95),INDEX('2.Distances'!$D$2:$D$9218,$P$72*96+$P$73+ 1) +$V$72," ")," ")</f>
        <v xml:space="preserve"> </v>
      </c>
      <c r="W73" s="46" t="str">
        <f ca="1">IFERROR(IF(AND(ISNUMBER($P$73),$P$73&lt;=95),INDEX('2.Distances'!$D$2:$D$9218,$P$72*96+$P$73+ 1) +$X$72," ")," ")</f>
        <v xml:space="preserve"> </v>
      </c>
      <c r="X73" s="46" t="str">
        <f ca="1">IFERROR(IF(ISNUMBER($W$73),INDEX('1.Locations'!$I$2:$I$97,$P$73 + 1) + MAX($W$73,INDEX('1.Locations'!$F$2:$F$97,$P$73 + 1))," ")," ")</f>
        <v xml:space="preserve"> </v>
      </c>
      <c r="Y73" s="45" t="str">
        <f ca="1">IFERROR($Y$72 + INDEX('2.Distances'!$D$2:$D$9218,$P$72*96+$P$73+ 1) + INDEX('1.Locations'!$I$2:$I$97,$P$73 + 1)," ")</f>
        <v xml:space="preserve"> </v>
      </c>
      <c r="AA73" s="24">
        <v>68</v>
      </c>
      <c r="AB73" s="25"/>
      <c r="AC73" s="43" t="str">
        <f ca="1">IFERROR(MATCH(INDIRECT("$AB$73"),'1.Locations'!$B$2:$B$97, 0) - 1," ")</f>
        <v xml:space="preserve"> </v>
      </c>
      <c r="AD73" s="43" t="e">
        <f ca="1">IFERROR(IF(ISNUMBER($AC$73),INDEX('1.Locations'!$D$2:$D$97,$AC$73 + 1),NA()),NA())</f>
        <v>#N/A</v>
      </c>
      <c r="AE73" s="43" t="e">
        <f ca="1">IFERROR(IF(ISNUMBER($AC$73),INDEX('1.Locations'!$E$2:$E$97,$AC$73 + 1),NA()),NA())</f>
        <v>#N/A</v>
      </c>
      <c r="AF73" s="44" t="str">
        <f ca="1">IFERROR(IF(AND(ISNUMBER($AC$73),$AC$73&lt;=95),INDEX('2.Distances'!$C$2:$C$9218,$AC$72*96+$AC$73+ 1) +$AF$72," ")," ")</f>
        <v xml:space="preserve"> </v>
      </c>
      <c r="AG73" s="43" t="str">
        <f ca="1">IFERROR(IF(ISNUMBER($AC$73),INDEX('1.Locations'!$J$2:$J$97,$AC$73 + 1) +$AG$72," ")," ")</f>
        <v xml:space="preserve"> </v>
      </c>
      <c r="AH73" s="43" t="str">
        <f ca="1">IFERROR(IF(ISNUMBER($AC$73),INDEX('1.Locations'!$K$2:$K$97,$AC$73 + 1) +$AH$72," ")," ")</f>
        <v xml:space="preserve"> </v>
      </c>
      <c r="AI73" s="45" t="str">
        <f ca="1">IFERROR(IF(AND(ISNUMBER($AC$73),$AC$73&lt;=95),INDEX('2.Distances'!$D$2:$D$9218,$AC$72*96+$AC$73+ 1) +$AI$72," ")," ")</f>
        <v xml:space="preserve"> </v>
      </c>
      <c r="AJ73" s="46" t="str">
        <f ca="1">IFERROR(IF(AND(ISNUMBER($AC$73),$AC$73&lt;=95),INDEX('2.Distances'!$D$2:$D$9218,$AC$72*96+$AC$73+ 1) +$AK$72," ")," ")</f>
        <v xml:space="preserve"> </v>
      </c>
      <c r="AK73" s="46" t="str">
        <f ca="1">IFERROR(IF(ISNUMBER($AJ$73),INDEX('1.Locations'!$I$2:$I$97,$AC$73 + 1) + MAX($AJ$73,INDEX('1.Locations'!$F$2:$F$97,$AC$73 + 1))," ")," ")</f>
        <v xml:space="preserve"> </v>
      </c>
      <c r="AL73" s="45" t="str">
        <f ca="1">IFERROR($AL$72 + INDEX('2.Distances'!$D$2:$D$9218,$AC$72*96+$AC$73+ 1) + INDEX('1.Locations'!$I$2:$I$97,$AC$73 + 1)," ")</f>
        <v xml:space="preserve"> </v>
      </c>
      <c r="AN73" s="24">
        <v>68</v>
      </c>
      <c r="AO73" s="25"/>
      <c r="AP73" s="43" t="str">
        <f ca="1">IFERROR(MATCH(INDIRECT("$AO$73"),'1.Locations'!$B$2:$B$97, 0) - 1," ")</f>
        <v xml:space="preserve"> </v>
      </c>
      <c r="AQ73" s="43" t="e">
        <f ca="1">IFERROR(IF(ISNUMBER($AP$73),INDEX('1.Locations'!$D$2:$D$97,$AP$73 + 1),NA()),NA())</f>
        <v>#N/A</v>
      </c>
      <c r="AR73" s="43" t="e">
        <f ca="1">IFERROR(IF(ISNUMBER($AP$73),INDEX('1.Locations'!$E$2:$E$97,$AP$73 + 1),NA()),NA())</f>
        <v>#N/A</v>
      </c>
      <c r="AS73" s="44" t="str">
        <f ca="1">IFERROR(IF(AND(ISNUMBER($AP$73),$AP$73&lt;=95),INDEX('2.Distances'!$C$2:$C$9218,$AP$72*96+$AP$73+ 1) +$AS$72," ")," ")</f>
        <v xml:space="preserve"> </v>
      </c>
      <c r="AT73" s="43" t="str">
        <f ca="1">IFERROR(IF(ISNUMBER($AP$73),INDEX('1.Locations'!$J$2:$J$97,$AP$73 + 1) +$AT$72," ")," ")</f>
        <v xml:space="preserve"> </v>
      </c>
      <c r="AU73" s="43" t="str">
        <f ca="1">IFERROR(IF(ISNUMBER($AP$73),INDEX('1.Locations'!$K$2:$K$97,$AP$73 + 1) +$AU$72," ")," ")</f>
        <v xml:space="preserve"> </v>
      </c>
      <c r="AV73" s="45" t="str">
        <f ca="1">IFERROR(IF(AND(ISNUMBER($AP$73),$AP$73&lt;=95),INDEX('2.Distances'!$D$2:$D$9218,$AP$72*96+$AP$73+ 1) +$AV$72," ")," ")</f>
        <v xml:space="preserve"> </v>
      </c>
      <c r="AW73" s="46" t="str">
        <f ca="1">IFERROR(IF(AND(ISNUMBER($AP$73),$AP$73&lt;=95),INDEX('2.Distances'!$D$2:$D$9218,$AP$72*96+$AP$73+ 1) +$AX$72," ")," ")</f>
        <v xml:space="preserve"> </v>
      </c>
      <c r="AX73" s="46" t="str">
        <f ca="1">IFERROR(IF(ISNUMBER($AW$73),INDEX('1.Locations'!$I$2:$I$97,$AP$73 + 1) + MAX($AW$73,INDEX('1.Locations'!$F$2:$F$97,$AP$73 + 1))," ")," ")</f>
        <v xml:space="preserve"> </v>
      </c>
      <c r="AY73" s="45" t="str">
        <f ca="1">IFERROR($AY$72 + INDEX('2.Distances'!$D$2:$D$9218,$AP$72*96+$AP$73+ 1) + INDEX('1.Locations'!$I$2:$I$97,$AP$73 + 1)," ")</f>
        <v xml:space="preserve"> </v>
      </c>
      <c r="BA73" s="24">
        <v>68</v>
      </c>
      <c r="BB73" s="25"/>
      <c r="BC73" s="43" t="str">
        <f ca="1">IFERROR(MATCH(INDIRECT("$BB$73"),'1.Locations'!$B$2:$B$97, 0) - 1," ")</f>
        <v xml:space="preserve"> </v>
      </c>
      <c r="BD73" s="43" t="e">
        <f ca="1">IFERROR(IF(ISNUMBER($BC$73),INDEX('1.Locations'!$D$2:$D$97,$BC$73 + 1),NA()),NA())</f>
        <v>#N/A</v>
      </c>
      <c r="BE73" s="43" t="e">
        <f ca="1">IFERROR(IF(ISNUMBER($BC$73),INDEX('1.Locations'!$E$2:$E$97,$BC$73 + 1),NA()),NA())</f>
        <v>#N/A</v>
      </c>
      <c r="BF73" s="44" t="str">
        <f ca="1">IFERROR(IF(AND(ISNUMBER($BC$73),$BC$73&lt;=95),INDEX('2.Distances'!$C$2:$C$9218,$BC$72*96+$BC$73+ 1) +$BF$72," ")," ")</f>
        <v xml:space="preserve"> </v>
      </c>
      <c r="BG73" s="43" t="str">
        <f ca="1">IFERROR(IF(ISNUMBER($BC$73),INDEX('1.Locations'!$J$2:$J$97,$BC$73 + 1) +$BG$72," ")," ")</f>
        <v xml:space="preserve"> </v>
      </c>
      <c r="BH73" s="43" t="str">
        <f ca="1">IFERROR(IF(ISNUMBER($BC$73),INDEX('1.Locations'!$K$2:$K$97,$BC$73 + 1) +$BH$72," ")," ")</f>
        <v xml:space="preserve"> </v>
      </c>
      <c r="BI73" s="45" t="str">
        <f ca="1">IFERROR(IF(AND(ISNUMBER($BC$73),$BC$73&lt;=95),INDEX('2.Distances'!$D$2:$D$9218,$BC$72*96+$BC$73+ 1) +$BI$72," ")," ")</f>
        <v xml:space="preserve"> </v>
      </c>
      <c r="BJ73" s="46" t="str">
        <f ca="1">IFERROR(IF(AND(ISNUMBER($BC$73),$BC$73&lt;=95),INDEX('2.Distances'!$D$2:$D$9218,$BC$72*96+$BC$73+ 1) +$BK$72," ")," ")</f>
        <v xml:space="preserve"> </v>
      </c>
      <c r="BK73" s="46" t="str">
        <f ca="1">IFERROR(IF(ISNUMBER($BJ$73),INDEX('1.Locations'!$I$2:$I$97,$BC$73 + 1) + MAX($BJ$73,INDEX('1.Locations'!$F$2:$F$97,$BC$73 + 1))," ")," ")</f>
        <v xml:space="preserve"> </v>
      </c>
      <c r="BL73" s="45" t="str">
        <f ca="1">IFERROR($BL$72 + INDEX('2.Distances'!$D$2:$D$9218,$BC$72*96+$BC$73+ 1) + INDEX('1.Locations'!$I$2:$I$97,$BC$73 + 1)," ")</f>
        <v xml:space="preserve"> </v>
      </c>
      <c r="BN73" s="24">
        <v>68</v>
      </c>
      <c r="BO73" s="25"/>
      <c r="BP73" s="43" t="str">
        <f ca="1">IFERROR(MATCH(INDIRECT("$BO$73"),'1.Locations'!$B$2:$B$97, 0) - 1," ")</f>
        <v xml:space="preserve"> </v>
      </c>
      <c r="BQ73" s="43" t="e">
        <f ca="1">IFERROR(IF(ISNUMBER($BP$73),INDEX('1.Locations'!$D$2:$D$97,$BP$73 + 1),NA()),NA())</f>
        <v>#N/A</v>
      </c>
      <c r="BR73" s="43" t="e">
        <f ca="1">IFERROR(IF(ISNUMBER($BP$73),INDEX('1.Locations'!$E$2:$E$97,$BP$73 + 1),NA()),NA())</f>
        <v>#N/A</v>
      </c>
      <c r="BS73" s="44" t="str">
        <f ca="1">IFERROR(IF(AND(ISNUMBER($BP$73),$BP$73&lt;=95),INDEX('2.Distances'!$C$2:$C$9218,$BP$72*96+$BP$73+ 1) +$BS$72," ")," ")</f>
        <v xml:space="preserve"> </v>
      </c>
      <c r="BT73" s="43" t="str">
        <f ca="1">IFERROR(IF(ISNUMBER($BP$73),INDEX('1.Locations'!$J$2:$J$97,$BP$73 + 1) +$BT$72," ")," ")</f>
        <v xml:space="preserve"> </v>
      </c>
      <c r="BU73" s="43" t="str">
        <f ca="1">IFERROR(IF(ISNUMBER($BP$73),INDEX('1.Locations'!$K$2:$K$97,$BP$73 + 1) +$BU$72," ")," ")</f>
        <v xml:space="preserve"> </v>
      </c>
      <c r="BV73" s="45" t="str">
        <f ca="1">IFERROR(IF(AND(ISNUMBER($BP$73),$BP$73&lt;=95),INDEX('2.Distances'!$D$2:$D$9218,$BP$72*96+$BP$73+ 1) +$BV$72," ")," ")</f>
        <v xml:space="preserve"> </v>
      </c>
      <c r="BW73" s="46" t="str">
        <f ca="1">IFERROR(IF(AND(ISNUMBER($BP$73),$BP$73&lt;=95),INDEX('2.Distances'!$D$2:$D$9218,$BP$72*96+$BP$73+ 1) +$BX$72," ")," ")</f>
        <v xml:space="preserve"> </v>
      </c>
      <c r="BX73" s="46" t="str">
        <f ca="1">IFERROR(IF(ISNUMBER($BW$73),INDEX('1.Locations'!$I$2:$I$97,$BP$73 + 1) + MAX($BW$73,INDEX('1.Locations'!$F$2:$F$97,$BP$73 + 1))," ")," ")</f>
        <v xml:space="preserve"> </v>
      </c>
      <c r="BY73" s="45" t="str">
        <f ca="1">IFERROR($BY$72 + INDEX('2.Distances'!$D$2:$D$9218,$BP$72*96+$BP$73+ 1) + INDEX('1.Locations'!$I$2:$I$97,$BP$73 + 1)," ")</f>
        <v xml:space="preserve"> </v>
      </c>
      <c r="CA73" s="24">
        <v>68</v>
      </c>
      <c r="CB73" s="25"/>
      <c r="CC73" s="43" t="str">
        <f ca="1">IFERROR(MATCH(INDIRECT("$CB$73"),'1.Locations'!$B$2:$B$97, 0) - 1," ")</f>
        <v xml:space="preserve"> </v>
      </c>
      <c r="CD73" s="43" t="e">
        <f ca="1">IFERROR(IF(ISNUMBER($CC$73),INDEX('1.Locations'!$D$2:$D$97,$CC$73 + 1),NA()),NA())</f>
        <v>#N/A</v>
      </c>
      <c r="CE73" s="43" t="e">
        <f ca="1">IFERROR(IF(ISNUMBER($CC$73),INDEX('1.Locations'!$E$2:$E$97,$CC$73 + 1),NA()),NA())</f>
        <v>#N/A</v>
      </c>
      <c r="CF73" s="44" t="str">
        <f ca="1">IFERROR(IF(AND(ISNUMBER($CC$73),$CC$73&lt;=95),INDEX('2.Distances'!$C$2:$C$9218,$CC$72*96+$CC$73+ 1) +$CF$72," ")," ")</f>
        <v xml:space="preserve"> </v>
      </c>
      <c r="CG73" s="43" t="str">
        <f ca="1">IFERROR(IF(ISNUMBER($CC$73),INDEX('1.Locations'!$J$2:$J$97,$CC$73 + 1) +$CG$72," ")," ")</f>
        <v xml:space="preserve"> </v>
      </c>
      <c r="CH73" s="43" t="str">
        <f ca="1">IFERROR(IF(ISNUMBER($CC$73),INDEX('1.Locations'!$K$2:$K$97,$CC$73 + 1) +$CH$72," ")," ")</f>
        <v xml:space="preserve"> </v>
      </c>
      <c r="CI73" s="45" t="str">
        <f ca="1">IFERROR(IF(AND(ISNUMBER($CC$73),$CC$73&lt;=95),INDEX('2.Distances'!$D$2:$D$9218,$CC$72*96+$CC$73+ 1) +$CI$72," ")," ")</f>
        <v xml:space="preserve"> </v>
      </c>
      <c r="CJ73" s="46" t="str">
        <f ca="1">IFERROR(IF(AND(ISNUMBER($CC$73),$CC$73&lt;=95),INDEX('2.Distances'!$D$2:$D$9218,$CC$72*96+$CC$73+ 1) +$CK$72," ")," ")</f>
        <v xml:space="preserve"> </v>
      </c>
      <c r="CK73" s="46" t="str">
        <f ca="1">IFERROR(IF(ISNUMBER($CJ$73),INDEX('1.Locations'!$I$2:$I$97,$CC$73 + 1) + MAX($CJ$73,INDEX('1.Locations'!$F$2:$F$97,$CC$73 + 1))," ")," ")</f>
        <v xml:space="preserve"> </v>
      </c>
      <c r="CL73" s="45" t="str">
        <f ca="1">IFERROR($CL$72 + INDEX('2.Distances'!$D$2:$D$9218,$CC$72*96+$CC$73+ 1) + INDEX('1.Locations'!$I$2:$I$97,$CC$73 + 1)," ")</f>
        <v xml:space="preserve"> </v>
      </c>
    </row>
    <row r="74" spans="1:90" x14ac:dyDescent="0.25">
      <c r="A74" s="24">
        <v>69</v>
      </c>
      <c r="B74" s="25"/>
      <c r="C74" s="43" t="str">
        <f ca="1">IFERROR(MATCH(INDIRECT("$B$74"),'1.Locations'!$B$2:$B$97, 0) - 1," ")</f>
        <v xml:space="preserve"> </v>
      </c>
      <c r="D74" s="43" t="e">
        <f ca="1">IFERROR(IF(ISNUMBER($C$74),INDEX('1.Locations'!$D$2:$D$97,$C$74 + 1),NA()),NA())</f>
        <v>#N/A</v>
      </c>
      <c r="E74" s="43" t="e">
        <f ca="1">IFERROR(IF(ISNUMBER($C$74),INDEX('1.Locations'!$E$2:$E$97,$C$74 + 1),NA()),NA())</f>
        <v>#N/A</v>
      </c>
      <c r="F74" s="44" t="str">
        <f ca="1">IFERROR(IF(AND(ISNUMBER($C$74),$C$74&lt;=95),INDEX('2.Distances'!$C$2:$C$9218,$C$73*96+$C$74+ 1) +$F$73," ")," ")</f>
        <v xml:space="preserve"> </v>
      </c>
      <c r="G74" s="43" t="str">
        <f ca="1">IFERROR(IF(ISNUMBER($C$74),INDEX('1.Locations'!$J$2:$J$97,$C$74 + 1) +$G$73," ")," ")</f>
        <v xml:space="preserve"> </v>
      </c>
      <c r="H74" s="43" t="str">
        <f ca="1">IFERROR(IF(ISNUMBER($C$74),INDEX('1.Locations'!$K$2:$K$97,$C$74 + 1) +$H$73," ")," ")</f>
        <v xml:space="preserve"> </v>
      </c>
      <c r="I74" s="45" t="str">
        <f ca="1">IFERROR(IF(AND(ISNUMBER($C$74),$C$74&lt;=95),INDEX('2.Distances'!$D$2:$D$9218,$C$73*96+$C$74+ 1) +$I$73," ")," ")</f>
        <v xml:space="preserve"> </v>
      </c>
      <c r="J74" s="46" t="str">
        <f ca="1">IFERROR(IF(AND(ISNUMBER($C$74),$C$74&lt;=95),INDEX('2.Distances'!$D$2:$D$9218,$C$73*96+$C$74+ 1) +$K$73," ")," ")</f>
        <v xml:space="preserve"> </v>
      </c>
      <c r="K74" s="46" t="str">
        <f ca="1">IFERROR(IF(ISNUMBER($J$74),INDEX('1.Locations'!$I$2:$I$97,$C$74 + 1) + MAX($J$74,INDEX('1.Locations'!$F$2:$F$97,$C$74 + 1))," ")," ")</f>
        <v xml:space="preserve"> </v>
      </c>
      <c r="L74" s="45" t="str">
        <f ca="1">IFERROR($L$73 + INDEX('2.Distances'!$D$2:$D$9218,$C$73*96+$C$74+ 1) + INDEX('1.Locations'!$I$2:$I$97,$C$74 + 1)," ")</f>
        <v xml:space="preserve"> </v>
      </c>
      <c r="N74" s="24">
        <v>69</v>
      </c>
      <c r="O74" s="25"/>
      <c r="P74" s="43" t="str">
        <f ca="1">IFERROR(MATCH(INDIRECT("$O$74"),'1.Locations'!$B$2:$B$97, 0) - 1," ")</f>
        <v xml:space="preserve"> </v>
      </c>
      <c r="Q74" s="43" t="e">
        <f ca="1">IFERROR(IF(ISNUMBER($P$74),INDEX('1.Locations'!$D$2:$D$97,$P$74 + 1),NA()),NA())</f>
        <v>#N/A</v>
      </c>
      <c r="R74" s="43" t="e">
        <f ca="1">IFERROR(IF(ISNUMBER($P$74),INDEX('1.Locations'!$E$2:$E$97,$P$74 + 1),NA()),NA())</f>
        <v>#N/A</v>
      </c>
      <c r="S74" s="44" t="str">
        <f ca="1">IFERROR(IF(AND(ISNUMBER($P$74),$P$74&lt;=95),INDEX('2.Distances'!$C$2:$C$9218,$P$73*96+$P$74+ 1) +$S$73," ")," ")</f>
        <v xml:space="preserve"> </v>
      </c>
      <c r="T74" s="43" t="str">
        <f ca="1">IFERROR(IF(ISNUMBER($P$74),INDEX('1.Locations'!$J$2:$J$97,$P$74 + 1) +$T$73," ")," ")</f>
        <v xml:space="preserve"> </v>
      </c>
      <c r="U74" s="43" t="str">
        <f ca="1">IFERROR(IF(ISNUMBER($P$74),INDEX('1.Locations'!$K$2:$K$97,$P$74 + 1) +$U$73," ")," ")</f>
        <v xml:space="preserve"> </v>
      </c>
      <c r="V74" s="45" t="str">
        <f ca="1">IFERROR(IF(AND(ISNUMBER($P$74),$P$74&lt;=95),INDEX('2.Distances'!$D$2:$D$9218,$P$73*96+$P$74+ 1) +$V$73," ")," ")</f>
        <v xml:space="preserve"> </v>
      </c>
      <c r="W74" s="46" t="str">
        <f ca="1">IFERROR(IF(AND(ISNUMBER($P$74),$P$74&lt;=95),INDEX('2.Distances'!$D$2:$D$9218,$P$73*96+$P$74+ 1) +$X$73," ")," ")</f>
        <v xml:space="preserve"> </v>
      </c>
      <c r="X74" s="46" t="str">
        <f ca="1">IFERROR(IF(ISNUMBER($W$74),INDEX('1.Locations'!$I$2:$I$97,$P$74 + 1) + MAX($W$74,INDEX('1.Locations'!$F$2:$F$97,$P$74 + 1))," ")," ")</f>
        <v xml:space="preserve"> </v>
      </c>
      <c r="Y74" s="45" t="str">
        <f ca="1">IFERROR($Y$73 + INDEX('2.Distances'!$D$2:$D$9218,$P$73*96+$P$74+ 1) + INDEX('1.Locations'!$I$2:$I$97,$P$74 + 1)," ")</f>
        <v xml:space="preserve"> </v>
      </c>
      <c r="AA74" s="24">
        <v>69</v>
      </c>
      <c r="AB74" s="25"/>
      <c r="AC74" s="43" t="str">
        <f ca="1">IFERROR(MATCH(INDIRECT("$AB$74"),'1.Locations'!$B$2:$B$97, 0) - 1," ")</f>
        <v xml:space="preserve"> </v>
      </c>
      <c r="AD74" s="43" t="e">
        <f ca="1">IFERROR(IF(ISNUMBER($AC$74),INDEX('1.Locations'!$D$2:$D$97,$AC$74 + 1),NA()),NA())</f>
        <v>#N/A</v>
      </c>
      <c r="AE74" s="43" t="e">
        <f ca="1">IFERROR(IF(ISNUMBER($AC$74),INDEX('1.Locations'!$E$2:$E$97,$AC$74 + 1),NA()),NA())</f>
        <v>#N/A</v>
      </c>
      <c r="AF74" s="44" t="str">
        <f ca="1">IFERROR(IF(AND(ISNUMBER($AC$74),$AC$74&lt;=95),INDEX('2.Distances'!$C$2:$C$9218,$AC$73*96+$AC$74+ 1) +$AF$73," ")," ")</f>
        <v xml:space="preserve"> </v>
      </c>
      <c r="AG74" s="43" t="str">
        <f ca="1">IFERROR(IF(ISNUMBER($AC$74),INDEX('1.Locations'!$J$2:$J$97,$AC$74 + 1) +$AG$73," ")," ")</f>
        <v xml:space="preserve"> </v>
      </c>
      <c r="AH74" s="43" t="str">
        <f ca="1">IFERROR(IF(ISNUMBER($AC$74),INDEX('1.Locations'!$K$2:$K$97,$AC$74 + 1) +$AH$73," ")," ")</f>
        <v xml:space="preserve"> </v>
      </c>
      <c r="AI74" s="45" t="str">
        <f ca="1">IFERROR(IF(AND(ISNUMBER($AC$74),$AC$74&lt;=95),INDEX('2.Distances'!$D$2:$D$9218,$AC$73*96+$AC$74+ 1) +$AI$73," ")," ")</f>
        <v xml:space="preserve"> </v>
      </c>
      <c r="AJ74" s="46" t="str">
        <f ca="1">IFERROR(IF(AND(ISNUMBER($AC$74),$AC$74&lt;=95),INDEX('2.Distances'!$D$2:$D$9218,$AC$73*96+$AC$74+ 1) +$AK$73," ")," ")</f>
        <v xml:space="preserve"> </v>
      </c>
      <c r="AK74" s="46" t="str">
        <f ca="1">IFERROR(IF(ISNUMBER($AJ$74),INDEX('1.Locations'!$I$2:$I$97,$AC$74 + 1) + MAX($AJ$74,INDEX('1.Locations'!$F$2:$F$97,$AC$74 + 1))," ")," ")</f>
        <v xml:space="preserve"> </v>
      </c>
      <c r="AL74" s="45" t="str">
        <f ca="1">IFERROR($AL$73 + INDEX('2.Distances'!$D$2:$D$9218,$AC$73*96+$AC$74+ 1) + INDEX('1.Locations'!$I$2:$I$97,$AC$74 + 1)," ")</f>
        <v xml:space="preserve"> </v>
      </c>
      <c r="AN74" s="24">
        <v>69</v>
      </c>
      <c r="AO74" s="25"/>
      <c r="AP74" s="43" t="str">
        <f ca="1">IFERROR(MATCH(INDIRECT("$AO$74"),'1.Locations'!$B$2:$B$97, 0) - 1," ")</f>
        <v xml:space="preserve"> </v>
      </c>
      <c r="AQ74" s="43" t="e">
        <f ca="1">IFERROR(IF(ISNUMBER($AP$74),INDEX('1.Locations'!$D$2:$D$97,$AP$74 + 1),NA()),NA())</f>
        <v>#N/A</v>
      </c>
      <c r="AR74" s="43" t="e">
        <f ca="1">IFERROR(IF(ISNUMBER($AP$74),INDEX('1.Locations'!$E$2:$E$97,$AP$74 + 1),NA()),NA())</f>
        <v>#N/A</v>
      </c>
      <c r="AS74" s="44" t="str">
        <f ca="1">IFERROR(IF(AND(ISNUMBER($AP$74),$AP$74&lt;=95),INDEX('2.Distances'!$C$2:$C$9218,$AP$73*96+$AP$74+ 1) +$AS$73," ")," ")</f>
        <v xml:space="preserve"> </v>
      </c>
      <c r="AT74" s="43" t="str">
        <f ca="1">IFERROR(IF(ISNUMBER($AP$74),INDEX('1.Locations'!$J$2:$J$97,$AP$74 + 1) +$AT$73," ")," ")</f>
        <v xml:space="preserve"> </v>
      </c>
      <c r="AU74" s="43" t="str">
        <f ca="1">IFERROR(IF(ISNUMBER($AP$74),INDEX('1.Locations'!$K$2:$K$97,$AP$74 + 1) +$AU$73," ")," ")</f>
        <v xml:space="preserve"> </v>
      </c>
      <c r="AV74" s="45" t="str">
        <f ca="1">IFERROR(IF(AND(ISNUMBER($AP$74),$AP$74&lt;=95),INDEX('2.Distances'!$D$2:$D$9218,$AP$73*96+$AP$74+ 1) +$AV$73," ")," ")</f>
        <v xml:space="preserve"> </v>
      </c>
      <c r="AW74" s="46" t="str">
        <f ca="1">IFERROR(IF(AND(ISNUMBER($AP$74),$AP$74&lt;=95),INDEX('2.Distances'!$D$2:$D$9218,$AP$73*96+$AP$74+ 1) +$AX$73," ")," ")</f>
        <v xml:space="preserve"> </v>
      </c>
      <c r="AX74" s="46" t="str">
        <f ca="1">IFERROR(IF(ISNUMBER($AW$74),INDEX('1.Locations'!$I$2:$I$97,$AP$74 + 1) + MAX($AW$74,INDEX('1.Locations'!$F$2:$F$97,$AP$74 + 1))," ")," ")</f>
        <v xml:space="preserve"> </v>
      </c>
      <c r="AY74" s="45" t="str">
        <f ca="1">IFERROR($AY$73 + INDEX('2.Distances'!$D$2:$D$9218,$AP$73*96+$AP$74+ 1) + INDEX('1.Locations'!$I$2:$I$97,$AP$74 + 1)," ")</f>
        <v xml:space="preserve"> </v>
      </c>
      <c r="BA74" s="24">
        <v>69</v>
      </c>
      <c r="BB74" s="25"/>
      <c r="BC74" s="43" t="str">
        <f ca="1">IFERROR(MATCH(INDIRECT("$BB$74"),'1.Locations'!$B$2:$B$97, 0) - 1," ")</f>
        <v xml:space="preserve"> </v>
      </c>
      <c r="BD74" s="43" t="e">
        <f ca="1">IFERROR(IF(ISNUMBER($BC$74),INDEX('1.Locations'!$D$2:$D$97,$BC$74 + 1),NA()),NA())</f>
        <v>#N/A</v>
      </c>
      <c r="BE74" s="43" t="e">
        <f ca="1">IFERROR(IF(ISNUMBER($BC$74),INDEX('1.Locations'!$E$2:$E$97,$BC$74 + 1),NA()),NA())</f>
        <v>#N/A</v>
      </c>
      <c r="BF74" s="44" t="str">
        <f ca="1">IFERROR(IF(AND(ISNUMBER($BC$74),$BC$74&lt;=95),INDEX('2.Distances'!$C$2:$C$9218,$BC$73*96+$BC$74+ 1) +$BF$73," ")," ")</f>
        <v xml:space="preserve"> </v>
      </c>
      <c r="BG74" s="43" t="str">
        <f ca="1">IFERROR(IF(ISNUMBER($BC$74),INDEX('1.Locations'!$J$2:$J$97,$BC$74 + 1) +$BG$73," ")," ")</f>
        <v xml:space="preserve"> </v>
      </c>
      <c r="BH74" s="43" t="str">
        <f ca="1">IFERROR(IF(ISNUMBER($BC$74),INDEX('1.Locations'!$K$2:$K$97,$BC$74 + 1) +$BH$73," ")," ")</f>
        <v xml:space="preserve"> </v>
      </c>
      <c r="BI74" s="45" t="str">
        <f ca="1">IFERROR(IF(AND(ISNUMBER($BC$74),$BC$74&lt;=95),INDEX('2.Distances'!$D$2:$D$9218,$BC$73*96+$BC$74+ 1) +$BI$73," ")," ")</f>
        <v xml:space="preserve"> </v>
      </c>
      <c r="BJ74" s="46" t="str">
        <f ca="1">IFERROR(IF(AND(ISNUMBER($BC$74),$BC$74&lt;=95),INDEX('2.Distances'!$D$2:$D$9218,$BC$73*96+$BC$74+ 1) +$BK$73," ")," ")</f>
        <v xml:space="preserve"> </v>
      </c>
      <c r="BK74" s="46" t="str">
        <f ca="1">IFERROR(IF(ISNUMBER($BJ$74),INDEX('1.Locations'!$I$2:$I$97,$BC$74 + 1) + MAX($BJ$74,INDEX('1.Locations'!$F$2:$F$97,$BC$74 + 1))," ")," ")</f>
        <v xml:space="preserve"> </v>
      </c>
      <c r="BL74" s="45" t="str">
        <f ca="1">IFERROR($BL$73 + INDEX('2.Distances'!$D$2:$D$9218,$BC$73*96+$BC$74+ 1) + INDEX('1.Locations'!$I$2:$I$97,$BC$74 + 1)," ")</f>
        <v xml:space="preserve"> </v>
      </c>
      <c r="BN74" s="24">
        <v>69</v>
      </c>
      <c r="BO74" s="25"/>
      <c r="BP74" s="43" t="str">
        <f ca="1">IFERROR(MATCH(INDIRECT("$BO$74"),'1.Locations'!$B$2:$B$97, 0) - 1," ")</f>
        <v xml:space="preserve"> </v>
      </c>
      <c r="BQ74" s="43" t="e">
        <f ca="1">IFERROR(IF(ISNUMBER($BP$74),INDEX('1.Locations'!$D$2:$D$97,$BP$74 + 1),NA()),NA())</f>
        <v>#N/A</v>
      </c>
      <c r="BR74" s="43" t="e">
        <f ca="1">IFERROR(IF(ISNUMBER($BP$74),INDEX('1.Locations'!$E$2:$E$97,$BP$74 + 1),NA()),NA())</f>
        <v>#N/A</v>
      </c>
      <c r="BS74" s="44" t="str">
        <f ca="1">IFERROR(IF(AND(ISNUMBER($BP$74),$BP$74&lt;=95),INDEX('2.Distances'!$C$2:$C$9218,$BP$73*96+$BP$74+ 1) +$BS$73," ")," ")</f>
        <v xml:space="preserve"> </v>
      </c>
      <c r="BT74" s="43" t="str">
        <f ca="1">IFERROR(IF(ISNUMBER($BP$74),INDEX('1.Locations'!$J$2:$J$97,$BP$74 + 1) +$BT$73," ")," ")</f>
        <v xml:space="preserve"> </v>
      </c>
      <c r="BU74" s="43" t="str">
        <f ca="1">IFERROR(IF(ISNUMBER($BP$74),INDEX('1.Locations'!$K$2:$K$97,$BP$74 + 1) +$BU$73," ")," ")</f>
        <v xml:space="preserve"> </v>
      </c>
      <c r="BV74" s="45" t="str">
        <f ca="1">IFERROR(IF(AND(ISNUMBER($BP$74),$BP$74&lt;=95),INDEX('2.Distances'!$D$2:$D$9218,$BP$73*96+$BP$74+ 1) +$BV$73," ")," ")</f>
        <v xml:space="preserve"> </v>
      </c>
      <c r="BW74" s="46" t="str">
        <f ca="1">IFERROR(IF(AND(ISNUMBER($BP$74),$BP$74&lt;=95),INDEX('2.Distances'!$D$2:$D$9218,$BP$73*96+$BP$74+ 1) +$BX$73," ")," ")</f>
        <v xml:space="preserve"> </v>
      </c>
      <c r="BX74" s="46" t="str">
        <f ca="1">IFERROR(IF(ISNUMBER($BW$74),INDEX('1.Locations'!$I$2:$I$97,$BP$74 + 1) + MAX($BW$74,INDEX('1.Locations'!$F$2:$F$97,$BP$74 + 1))," ")," ")</f>
        <v xml:space="preserve"> </v>
      </c>
      <c r="BY74" s="45" t="str">
        <f ca="1">IFERROR($BY$73 + INDEX('2.Distances'!$D$2:$D$9218,$BP$73*96+$BP$74+ 1) + INDEX('1.Locations'!$I$2:$I$97,$BP$74 + 1)," ")</f>
        <v xml:space="preserve"> </v>
      </c>
      <c r="CA74" s="24">
        <v>69</v>
      </c>
      <c r="CB74" s="25"/>
      <c r="CC74" s="43" t="str">
        <f ca="1">IFERROR(MATCH(INDIRECT("$CB$74"),'1.Locations'!$B$2:$B$97, 0) - 1," ")</f>
        <v xml:space="preserve"> </v>
      </c>
      <c r="CD74" s="43" t="e">
        <f ca="1">IFERROR(IF(ISNUMBER($CC$74),INDEX('1.Locations'!$D$2:$D$97,$CC$74 + 1),NA()),NA())</f>
        <v>#N/A</v>
      </c>
      <c r="CE74" s="43" t="e">
        <f ca="1">IFERROR(IF(ISNUMBER($CC$74),INDEX('1.Locations'!$E$2:$E$97,$CC$74 + 1),NA()),NA())</f>
        <v>#N/A</v>
      </c>
      <c r="CF74" s="44" t="str">
        <f ca="1">IFERROR(IF(AND(ISNUMBER($CC$74),$CC$74&lt;=95),INDEX('2.Distances'!$C$2:$C$9218,$CC$73*96+$CC$74+ 1) +$CF$73," ")," ")</f>
        <v xml:space="preserve"> </v>
      </c>
      <c r="CG74" s="43" t="str">
        <f ca="1">IFERROR(IF(ISNUMBER($CC$74),INDEX('1.Locations'!$J$2:$J$97,$CC$74 + 1) +$CG$73," ")," ")</f>
        <v xml:space="preserve"> </v>
      </c>
      <c r="CH74" s="43" t="str">
        <f ca="1">IFERROR(IF(ISNUMBER($CC$74),INDEX('1.Locations'!$K$2:$K$97,$CC$74 + 1) +$CH$73," ")," ")</f>
        <v xml:space="preserve"> </v>
      </c>
      <c r="CI74" s="45" t="str">
        <f ca="1">IFERROR(IF(AND(ISNUMBER($CC$74),$CC$74&lt;=95),INDEX('2.Distances'!$D$2:$D$9218,$CC$73*96+$CC$74+ 1) +$CI$73," ")," ")</f>
        <v xml:space="preserve"> </v>
      </c>
      <c r="CJ74" s="46" t="str">
        <f ca="1">IFERROR(IF(AND(ISNUMBER($CC$74),$CC$74&lt;=95),INDEX('2.Distances'!$D$2:$D$9218,$CC$73*96+$CC$74+ 1) +$CK$73," ")," ")</f>
        <v xml:space="preserve"> </v>
      </c>
      <c r="CK74" s="46" t="str">
        <f ca="1">IFERROR(IF(ISNUMBER($CJ$74),INDEX('1.Locations'!$I$2:$I$97,$CC$74 + 1) + MAX($CJ$74,INDEX('1.Locations'!$F$2:$F$97,$CC$74 + 1))," ")," ")</f>
        <v xml:space="preserve"> </v>
      </c>
      <c r="CL74" s="45" t="str">
        <f ca="1">IFERROR($CL$73 + INDEX('2.Distances'!$D$2:$D$9218,$CC$73*96+$CC$74+ 1) + INDEX('1.Locations'!$I$2:$I$97,$CC$74 + 1)," ")</f>
        <v xml:space="preserve"> </v>
      </c>
    </row>
    <row r="75" spans="1:90" x14ac:dyDescent="0.25">
      <c r="A75" s="24">
        <v>70</v>
      </c>
      <c r="B75" s="25"/>
      <c r="C75" s="43" t="str">
        <f ca="1">IFERROR(MATCH(INDIRECT("$B$75"),'1.Locations'!$B$2:$B$97, 0) - 1," ")</f>
        <v xml:space="preserve"> </v>
      </c>
      <c r="D75" s="43" t="e">
        <f ca="1">IFERROR(IF(ISNUMBER($C$75),INDEX('1.Locations'!$D$2:$D$97,$C$75 + 1),NA()),NA())</f>
        <v>#N/A</v>
      </c>
      <c r="E75" s="43" t="e">
        <f ca="1">IFERROR(IF(ISNUMBER($C$75),INDEX('1.Locations'!$E$2:$E$97,$C$75 + 1),NA()),NA())</f>
        <v>#N/A</v>
      </c>
      <c r="F75" s="44" t="str">
        <f ca="1">IFERROR(IF(AND(ISNUMBER($C$75),$C$75&lt;=95),INDEX('2.Distances'!$C$2:$C$9218,$C$74*96+$C$75+ 1) +$F$74," ")," ")</f>
        <v xml:space="preserve"> </v>
      </c>
      <c r="G75" s="43" t="str">
        <f ca="1">IFERROR(IF(ISNUMBER($C$75),INDEX('1.Locations'!$J$2:$J$97,$C$75 + 1) +$G$74," ")," ")</f>
        <v xml:space="preserve"> </v>
      </c>
      <c r="H75" s="43" t="str">
        <f ca="1">IFERROR(IF(ISNUMBER($C$75),INDEX('1.Locations'!$K$2:$K$97,$C$75 + 1) +$H$74," ")," ")</f>
        <v xml:space="preserve"> </v>
      </c>
      <c r="I75" s="45" t="str">
        <f ca="1">IFERROR(IF(AND(ISNUMBER($C$75),$C$75&lt;=95),INDEX('2.Distances'!$D$2:$D$9218,$C$74*96+$C$75+ 1) +$I$74," ")," ")</f>
        <v xml:space="preserve"> </v>
      </c>
      <c r="J75" s="46" t="str">
        <f ca="1">IFERROR(IF(AND(ISNUMBER($C$75),$C$75&lt;=95),INDEX('2.Distances'!$D$2:$D$9218,$C$74*96+$C$75+ 1) +$K$74," ")," ")</f>
        <v xml:space="preserve"> </v>
      </c>
      <c r="K75" s="46" t="str">
        <f ca="1">IFERROR(IF(ISNUMBER($J$75),INDEX('1.Locations'!$I$2:$I$97,$C$75 + 1) + MAX($J$75,INDEX('1.Locations'!$F$2:$F$97,$C$75 + 1))," ")," ")</f>
        <v xml:space="preserve"> </v>
      </c>
      <c r="L75" s="45" t="str">
        <f ca="1">IFERROR($L$74 + INDEX('2.Distances'!$D$2:$D$9218,$C$74*96+$C$75+ 1) + INDEX('1.Locations'!$I$2:$I$97,$C$75 + 1)," ")</f>
        <v xml:space="preserve"> </v>
      </c>
      <c r="N75" s="24">
        <v>70</v>
      </c>
      <c r="O75" s="25"/>
      <c r="P75" s="43" t="str">
        <f ca="1">IFERROR(MATCH(INDIRECT("$O$75"),'1.Locations'!$B$2:$B$97, 0) - 1," ")</f>
        <v xml:space="preserve"> </v>
      </c>
      <c r="Q75" s="43" t="e">
        <f ca="1">IFERROR(IF(ISNUMBER($P$75),INDEX('1.Locations'!$D$2:$D$97,$P$75 + 1),NA()),NA())</f>
        <v>#N/A</v>
      </c>
      <c r="R75" s="43" t="e">
        <f ca="1">IFERROR(IF(ISNUMBER($P$75),INDEX('1.Locations'!$E$2:$E$97,$P$75 + 1),NA()),NA())</f>
        <v>#N/A</v>
      </c>
      <c r="S75" s="44" t="str">
        <f ca="1">IFERROR(IF(AND(ISNUMBER($P$75),$P$75&lt;=95),INDEX('2.Distances'!$C$2:$C$9218,$P$74*96+$P$75+ 1) +$S$74," ")," ")</f>
        <v xml:space="preserve"> </v>
      </c>
      <c r="T75" s="43" t="str">
        <f ca="1">IFERROR(IF(ISNUMBER($P$75),INDEX('1.Locations'!$J$2:$J$97,$P$75 + 1) +$T$74," ")," ")</f>
        <v xml:space="preserve"> </v>
      </c>
      <c r="U75" s="43" t="str">
        <f ca="1">IFERROR(IF(ISNUMBER($P$75),INDEX('1.Locations'!$K$2:$K$97,$P$75 + 1) +$U$74," ")," ")</f>
        <v xml:space="preserve"> </v>
      </c>
      <c r="V75" s="45" t="str">
        <f ca="1">IFERROR(IF(AND(ISNUMBER($P$75),$P$75&lt;=95),INDEX('2.Distances'!$D$2:$D$9218,$P$74*96+$P$75+ 1) +$V$74," ")," ")</f>
        <v xml:space="preserve"> </v>
      </c>
      <c r="W75" s="46" t="str">
        <f ca="1">IFERROR(IF(AND(ISNUMBER($P$75),$P$75&lt;=95),INDEX('2.Distances'!$D$2:$D$9218,$P$74*96+$P$75+ 1) +$X$74," ")," ")</f>
        <v xml:space="preserve"> </v>
      </c>
      <c r="X75" s="46" t="str">
        <f ca="1">IFERROR(IF(ISNUMBER($W$75),INDEX('1.Locations'!$I$2:$I$97,$P$75 + 1) + MAX($W$75,INDEX('1.Locations'!$F$2:$F$97,$P$75 + 1))," ")," ")</f>
        <v xml:space="preserve"> </v>
      </c>
      <c r="Y75" s="45" t="str">
        <f ca="1">IFERROR($Y$74 + INDEX('2.Distances'!$D$2:$D$9218,$P$74*96+$P$75+ 1) + INDEX('1.Locations'!$I$2:$I$97,$P$75 + 1)," ")</f>
        <v xml:space="preserve"> </v>
      </c>
      <c r="AA75" s="24">
        <v>70</v>
      </c>
      <c r="AB75" s="25"/>
      <c r="AC75" s="43" t="str">
        <f ca="1">IFERROR(MATCH(INDIRECT("$AB$75"),'1.Locations'!$B$2:$B$97, 0) - 1," ")</f>
        <v xml:space="preserve"> </v>
      </c>
      <c r="AD75" s="43" t="e">
        <f ca="1">IFERROR(IF(ISNUMBER($AC$75),INDEX('1.Locations'!$D$2:$D$97,$AC$75 + 1),NA()),NA())</f>
        <v>#N/A</v>
      </c>
      <c r="AE75" s="43" t="e">
        <f ca="1">IFERROR(IF(ISNUMBER($AC$75),INDEX('1.Locations'!$E$2:$E$97,$AC$75 + 1),NA()),NA())</f>
        <v>#N/A</v>
      </c>
      <c r="AF75" s="44" t="str">
        <f ca="1">IFERROR(IF(AND(ISNUMBER($AC$75),$AC$75&lt;=95),INDEX('2.Distances'!$C$2:$C$9218,$AC$74*96+$AC$75+ 1) +$AF$74," ")," ")</f>
        <v xml:space="preserve"> </v>
      </c>
      <c r="AG75" s="43" t="str">
        <f ca="1">IFERROR(IF(ISNUMBER($AC$75),INDEX('1.Locations'!$J$2:$J$97,$AC$75 + 1) +$AG$74," ")," ")</f>
        <v xml:space="preserve"> </v>
      </c>
      <c r="AH75" s="43" t="str">
        <f ca="1">IFERROR(IF(ISNUMBER($AC$75),INDEX('1.Locations'!$K$2:$K$97,$AC$75 + 1) +$AH$74," ")," ")</f>
        <v xml:space="preserve"> </v>
      </c>
      <c r="AI75" s="45" t="str">
        <f ca="1">IFERROR(IF(AND(ISNUMBER($AC$75),$AC$75&lt;=95),INDEX('2.Distances'!$D$2:$D$9218,$AC$74*96+$AC$75+ 1) +$AI$74," ")," ")</f>
        <v xml:space="preserve"> </v>
      </c>
      <c r="AJ75" s="46" t="str">
        <f ca="1">IFERROR(IF(AND(ISNUMBER($AC$75),$AC$75&lt;=95),INDEX('2.Distances'!$D$2:$D$9218,$AC$74*96+$AC$75+ 1) +$AK$74," ")," ")</f>
        <v xml:space="preserve"> </v>
      </c>
      <c r="AK75" s="46" t="str">
        <f ca="1">IFERROR(IF(ISNUMBER($AJ$75),INDEX('1.Locations'!$I$2:$I$97,$AC$75 + 1) + MAX($AJ$75,INDEX('1.Locations'!$F$2:$F$97,$AC$75 + 1))," ")," ")</f>
        <v xml:space="preserve"> </v>
      </c>
      <c r="AL75" s="45" t="str">
        <f ca="1">IFERROR($AL$74 + INDEX('2.Distances'!$D$2:$D$9218,$AC$74*96+$AC$75+ 1) + INDEX('1.Locations'!$I$2:$I$97,$AC$75 + 1)," ")</f>
        <v xml:space="preserve"> </v>
      </c>
      <c r="AN75" s="24">
        <v>70</v>
      </c>
      <c r="AO75" s="25"/>
      <c r="AP75" s="43" t="str">
        <f ca="1">IFERROR(MATCH(INDIRECT("$AO$75"),'1.Locations'!$B$2:$B$97, 0) - 1," ")</f>
        <v xml:space="preserve"> </v>
      </c>
      <c r="AQ75" s="43" t="e">
        <f ca="1">IFERROR(IF(ISNUMBER($AP$75),INDEX('1.Locations'!$D$2:$D$97,$AP$75 + 1),NA()),NA())</f>
        <v>#N/A</v>
      </c>
      <c r="AR75" s="43" t="e">
        <f ca="1">IFERROR(IF(ISNUMBER($AP$75),INDEX('1.Locations'!$E$2:$E$97,$AP$75 + 1),NA()),NA())</f>
        <v>#N/A</v>
      </c>
      <c r="AS75" s="44" t="str">
        <f ca="1">IFERROR(IF(AND(ISNUMBER($AP$75),$AP$75&lt;=95),INDEX('2.Distances'!$C$2:$C$9218,$AP$74*96+$AP$75+ 1) +$AS$74," ")," ")</f>
        <v xml:space="preserve"> </v>
      </c>
      <c r="AT75" s="43" t="str">
        <f ca="1">IFERROR(IF(ISNUMBER($AP$75),INDEX('1.Locations'!$J$2:$J$97,$AP$75 + 1) +$AT$74," ")," ")</f>
        <v xml:space="preserve"> </v>
      </c>
      <c r="AU75" s="43" t="str">
        <f ca="1">IFERROR(IF(ISNUMBER($AP$75),INDEX('1.Locations'!$K$2:$K$97,$AP$75 + 1) +$AU$74," ")," ")</f>
        <v xml:space="preserve"> </v>
      </c>
      <c r="AV75" s="45" t="str">
        <f ca="1">IFERROR(IF(AND(ISNUMBER($AP$75),$AP$75&lt;=95),INDEX('2.Distances'!$D$2:$D$9218,$AP$74*96+$AP$75+ 1) +$AV$74," ")," ")</f>
        <v xml:space="preserve"> </v>
      </c>
      <c r="AW75" s="46" t="str">
        <f ca="1">IFERROR(IF(AND(ISNUMBER($AP$75),$AP$75&lt;=95),INDEX('2.Distances'!$D$2:$D$9218,$AP$74*96+$AP$75+ 1) +$AX$74," ")," ")</f>
        <v xml:space="preserve"> </v>
      </c>
      <c r="AX75" s="46" t="str">
        <f ca="1">IFERROR(IF(ISNUMBER($AW$75),INDEX('1.Locations'!$I$2:$I$97,$AP$75 + 1) + MAX($AW$75,INDEX('1.Locations'!$F$2:$F$97,$AP$75 + 1))," ")," ")</f>
        <v xml:space="preserve"> </v>
      </c>
      <c r="AY75" s="45" t="str">
        <f ca="1">IFERROR($AY$74 + INDEX('2.Distances'!$D$2:$D$9218,$AP$74*96+$AP$75+ 1) + INDEX('1.Locations'!$I$2:$I$97,$AP$75 + 1)," ")</f>
        <v xml:space="preserve"> </v>
      </c>
      <c r="BA75" s="24">
        <v>70</v>
      </c>
      <c r="BB75" s="25"/>
      <c r="BC75" s="43" t="str">
        <f ca="1">IFERROR(MATCH(INDIRECT("$BB$75"),'1.Locations'!$B$2:$B$97, 0) - 1," ")</f>
        <v xml:space="preserve"> </v>
      </c>
      <c r="BD75" s="43" t="e">
        <f ca="1">IFERROR(IF(ISNUMBER($BC$75),INDEX('1.Locations'!$D$2:$D$97,$BC$75 + 1),NA()),NA())</f>
        <v>#N/A</v>
      </c>
      <c r="BE75" s="43" t="e">
        <f ca="1">IFERROR(IF(ISNUMBER($BC$75),INDEX('1.Locations'!$E$2:$E$97,$BC$75 + 1),NA()),NA())</f>
        <v>#N/A</v>
      </c>
      <c r="BF75" s="44" t="str">
        <f ca="1">IFERROR(IF(AND(ISNUMBER($BC$75),$BC$75&lt;=95),INDEX('2.Distances'!$C$2:$C$9218,$BC$74*96+$BC$75+ 1) +$BF$74," ")," ")</f>
        <v xml:space="preserve"> </v>
      </c>
      <c r="BG75" s="43" t="str">
        <f ca="1">IFERROR(IF(ISNUMBER($BC$75),INDEX('1.Locations'!$J$2:$J$97,$BC$75 + 1) +$BG$74," ")," ")</f>
        <v xml:space="preserve"> </v>
      </c>
      <c r="BH75" s="43" t="str">
        <f ca="1">IFERROR(IF(ISNUMBER($BC$75),INDEX('1.Locations'!$K$2:$K$97,$BC$75 + 1) +$BH$74," ")," ")</f>
        <v xml:space="preserve"> </v>
      </c>
      <c r="BI75" s="45" t="str">
        <f ca="1">IFERROR(IF(AND(ISNUMBER($BC$75),$BC$75&lt;=95),INDEX('2.Distances'!$D$2:$D$9218,$BC$74*96+$BC$75+ 1) +$BI$74," ")," ")</f>
        <v xml:space="preserve"> </v>
      </c>
      <c r="BJ75" s="46" t="str">
        <f ca="1">IFERROR(IF(AND(ISNUMBER($BC$75),$BC$75&lt;=95),INDEX('2.Distances'!$D$2:$D$9218,$BC$74*96+$BC$75+ 1) +$BK$74," ")," ")</f>
        <v xml:space="preserve"> </v>
      </c>
      <c r="BK75" s="46" t="str">
        <f ca="1">IFERROR(IF(ISNUMBER($BJ$75),INDEX('1.Locations'!$I$2:$I$97,$BC$75 + 1) + MAX($BJ$75,INDEX('1.Locations'!$F$2:$F$97,$BC$75 + 1))," ")," ")</f>
        <v xml:space="preserve"> </v>
      </c>
      <c r="BL75" s="45" t="str">
        <f ca="1">IFERROR($BL$74 + INDEX('2.Distances'!$D$2:$D$9218,$BC$74*96+$BC$75+ 1) + INDEX('1.Locations'!$I$2:$I$97,$BC$75 + 1)," ")</f>
        <v xml:space="preserve"> </v>
      </c>
      <c r="BN75" s="24">
        <v>70</v>
      </c>
      <c r="BO75" s="25"/>
      <c r="BP75" s="43" t="str">
        <f ca="1">IFERROR(MATCH(INDIRECT("$BO$75"),'1.Locations'!$B$2:$B$97, 0) - 1," ")</f>
        <v xml:space="preserve"> </v>
      </c>
      <c r="BQ75" s="43" t="e">
        <f ca="1">IFERROR(IF(ISNUMBER($BP$75),INDEX('1.Locations'!$D$2:$D$97,$BP$75 + 1),NA()),NA())</f>
        <v>#N/A</v>
      </c>
      <c r="BR75" s="43" t="e">
        <f ca="1">IFERROR(IF(ISNUMBER($BP$75),INDEX('1.Locations'!$E$2:$E$97,$BP$75 + 1),NA()),NA())</f>
        <v>#N/A</v>
      </c>
      <c r="BS75" s="44" t="str">
        <f ca="1">IFERROR(IF(AND(ISNUMBER($BP$75),$BP$75&lt;=95),INDEX('2.Distances'!$C$2:$C$9218,$BP$74*96+$BP$75+ 1) +$BS$74," ")," ")</f>
        <v xml:space="preserve"> </v>
      </c>
      <c r="BT75" s="43" t="str">
        <f ca="1">IFERROR(IF(ISNUMBER($BP$75),INDEX('1.Locations'!$J$2:$J$97,$BP$75 + 1) +$BT$74," ")," ")</f>
        <v xml:space="preserve"> </v>
      </c>
      <c r="BU75" s="43" t="str">
        <f ca="1">IFERROR(IF(ISNUMBER($BP$75),INDEX('1.Locations'!$K$2:$K$97,$BP$75 + 1) +$BU$74," ")," ")</f>
        <v xml:space="preserve"> </v>
      </c>
      <c r="BV75" s="45" t="str">
        <f ca="1">IFERROR(IF(AND(ISNUMBER($BP$75),$BP$75&lt;=95),INDEX('2.Distances'!$D$2:$D$9218,$BP$74*96+$BP$75+ 1) +$BV$74," ")," ")</f>
        <v xml:space="preserve"> </v>
      </c>
      <c r="BW75" s="46" t="str">
        <f ca="1">IFERROR(IF(AND(ISNUMBER($BP$75),$BP$75&lt;=95),INDEX('2.Distances'!$D$2:$D$9218,$BP$74*96+$BP$75+ 1) +$BX$74," ")," ")</f>
        <v xml:space="preserve"> </v>
      </c>
      <c r="BX75" s="46" t="str">
        <f ca="1">IFERROR(IF(ISNUMBER($BW$75),INDEX('1.Locations'!$I$2:$I$97,$BP$75 + 1) + MAX($BW$75,INDEX('1.Locations'!$F$2:$F$97,$BP$75 + 1))," ")," ")</f>
        <v xml:space="preserve"> </v>
      </c>
      <c r="BY75" s="45" t="str">
        <f ca="1">IFERROR($BY$74 + INDEX('2.Distances'!$D$2:$D$9218,$BP$74*96+$BP$75+ 1) + INDEX('1.Locations'!$I$2:$I$97,$BP$75 + 1)," ")</f>
        <v xml:space="preserve"> </v>
      </c>
      <c r="CA75" s="24">
        <v>70</v>
      </c>
      <c r="CB75" s="25"/>
      <c r="CC75" s="43" t="str">
        <f ca="1">IFERROR(MATCH(INDIRECT("$CB$75"),'1.Locations'!$B$2:$B$97, 0) - 1," ")</f>
        <v xml:space="preserve"> </v>
      </c>
      <c r="CD75" s="43" t="e">
        <f ca="1">IFERROR(IF(ISNUMBER($CC$75),INDEX('1.Locations'!$D$2:$D$97,$CC$75 + 1),NA()),NA())</f>
        <v>#N/A</v>
      </c>
      <c r="CE75" s="43" t="e">
        <f ca="1">IFERROR(IF(ISNUMBER($CC$75),INDEX('1.Locations'!$E$2:$E$97,$CC$75 + 1),NA()),NA())</f>
        <v>#N/A</v>
      </c>
      <c r="CF75" s="44" t="str">
        <f ca="1">IFERROR(IF(AND(ISNUMBER($CC$75),$CC$75&lt;=95),INDEX('2.Distances'!$C$2:$C$9218,$CC$74*96+$CC$75+ 1) +$CF$74," ")," ")</f>
        <v xml:space="preserve"> </v>
      </c>
      <c r="CG75" s="43" t="str">
        <f ca="1">IFERROR(IF(ISNUMBER($CC$75),INDEX('1.Locations'!$J$2:$J$97,$CC$75 + 1) +$CG$74," ")," ")</f>
        <v xml:space="preserve"> </v>
      </c>
      <c r="CH75" s="43" t="str">
        <f ca="1">IFERROR(IF(ISNUMBER($CC$75),INDEX('1.Locations'!$K$2:$K$97,$CC$75 + 1) +$CH$74," ")," ")</f>
        <v xml:space="preserve"> </v>
      </c>
      <c r="CI75" s="45" t="str">
        <f ca="1">IFERROR(IF(AND(ISNUMBER($CC$75),$CC$75&lt;=95),INDEX('2.Distances'!$D$2:$D$9218,$CC$74*96+$CC$75+ 1) +$CI$74," ")," ")</f>
        <v xml:space="preserve"> </v>
      </c>
      <c r="CJ75" s="46" t="str">
        <f ca="1">IFERROR(IF(AND(ISNUMBER($CC$75),$CC$75&lt;=95),INDEX('2.Distances'!$D$2:$D$9218,$CC$74*96+$CC$75+ 1) +$CK$74," ")," ")</f>
        <v xml:space="preserve"> </v>
      </c>
      <c r="CK75" s="46" t="str">
        <f ca="1">IFERROR(IF(ISNUMBER($CJ$75),INDEX('1.Locations'!$I$2:$I$97,$CC$75 + 1) + MAX($CJ$75,INDEX('1.Locations'!$F$2:$F$97,$CC$75 + 1))," ")," ")</f>
        <v xml:space="preserve"> </v>
      </c>
      <c r="CL75" s="45" t="str">
        <f ca="1">IFERROR($CL$74 + INDEX('2.Distances'!$D$2:$D$9218,$CC$74*96+$CC$75+ 1) + INDEX('1.Locations'!$I$2:$I$97,$CC$75 + 1)," ")</f>
        <v xml:space="preserve"> </v>
      </c>
    </row>
    <row r="76" spans="1:90" x14ac:dyDescent="0.25">
      <c r="A76" s="24">
        <v>71</v>
      </c>
      <c r="B76" s="25"/>
      <c r="C76" s="43" t="str">
        <f ca="1">IFERROR(MATCH(INDIRECT("$B$76"),'1.Locations'!$B$2:$B$97, 0) - 1," ")</f>
        <v xml:space="preserve"> </v>
      </c>
      <c r="D76" s="43" t="e">
        <f ca="1">IFERROR(IF(ISNUMBER($C$76),INDEX('1.Locations'!$D$2:$D$97,$C$76 + 1),NA()),NA())</f>
        <v>#N/A</v>
      </c>
      <c r="E76" s="43" t="e">
        <f ca="1">IFERROR(IF(ISNUMBER($C$76),INDEX('1.Locations'!$E$2:$E$97,$C$76 + 1),NA()),NA())</f>
        <v>#N/A</v>
      </c>
      <c r="F76" s="44" t="str">
        <f ca="1">IFERROR(IF(AND(ISNUMBER($C$76),$C$76&lt;=95),INDEX('2.Distances'!$C$2:$C$9218,$C$75*96+$C$76+ 1) +$F$75," ")," ")</f>
        <v xml:space="preserve"> </v>
      </c>
      <c r="G76" s="43" t="str">
        <f ca="1">IFERROR(IF(ISNUMBER($C$76),INDEX('1.Locations'!$J$2:$J$97,$C$76 + 1) +$G$75," ")," ")</f>
        <v xml:space="preserve"> </v>
      </c>
      <c r="H76" s="43" t="str">
        <f ca="1">IFERROR(IF(ISNUMBER($C$76),INDEX('1.Locations'!$K$2:$K$97,$C$76 + 1) +$H$75," ")," ")</f>
        <v xml:space="preserve"> </v>
      </c>
      <c r="I76" s="45" t="str">
        <f ca="1">IFERROR(IF(AND(ISNUMBER($C$76),$C$76&lt;=95),INDEX('2.Distances'!$D$2:$D$9218,$C$75*96+$C$76+ 1) +$I$75," ")," ")</f>
        <v xml:space="preserve"> </v>
      </c>
      <c r="J76" s="46" t="str">
        <f ca="1">IFERROR(IF(AND(ISNUMBER($C$76),$C$76&lt;=95),INDEX('2.Distances'!$D$2:$D$9218,$C$75*96+$C$76+ 1) +$K$75," ")," ")</f>
        <v xml:space="preserve"> </v>
      </c>
      <c r="K76" s="46" t="str">
        <f ca="1">IFERROR(IF(ISNUMBER($J$76),INDEX('1.Locations'!$I$2:$I$97,$C$76 + 1) + MAX($J$76,INDEX('1.Locations'!$F$2:$F$97,$C$76 + 1))," ")," ")</f>
        <v xml:space="preserve"> </v>
      </c>
      <c r="L76" s="45" t="str">
        <f ca="1">IFERROR($L$75 + INDEX('2.Distances'!$D$2:$D$9218,$C$75*96+$C$76+ 1) + INDEX('1.Locations'!$I$2:$I$97,$C$76 + 1)," ")</f>
        <v xml:space="preserve"> </v>
      </c>
      <c r="N76" s="24">
        <v>71</v>
      </c>
      <c r="O76" s="25"/>
      <c r="P76" s="43" t="str">
        <f ca="1">IFERROR(MATCH(INDIRECT("$O$76"),'1.Locations'!$B$2:$B$97, 0) - 1," ")</f>
        <v xml:space="preserve"> </v>
      </c>
      <c r="Q76" s="43" t="e">
        <f ca="1">IFERROR(IF(ISNUMBER($P$76),INDEX('1.Locations'!$D$2:$D$97,$P$76 + 1),NA()),NA())</f>
        <v>#N/A</v>
      </c>
      <c r="R76" s="43" t="e">
        <f ca="1">IFERROR(IF(ISNUMBER($P$76),INDEX('1.Locations'!$E$2:$E$97,$P$76 + 1),NA()),NA())</f>
        <v>#N/A</v>
      </c>
      <c r="S76" s="44" t="str">
        <f ca="1">IFERROR(IF(AND(ISNUMBER($P$76),$P$76&lt;=95),INDEX('2.Distances'!$C$2:$C$9218,$P$75*96+$P$76+ 1) +$S$75," ")," ")</f>
        <v xml:space="preserve"> </v>
      </c>
      <c r="T76" s="43" t="str">
        <f ca="1">IFERROR(IF(ISNUMBER($P$76),INDEX('1.Locations'!$J$2:$J$97,$P$76 + 1) +$T$75," ")," ")</f>
        <v xml:space="preserve"> </v>
      </c>
      <c r="U76" s="43" t="str">
        <f ca="1">IFERROR(IF(ISNUMBER($P$76),INDEX('1.Locations'!$K$2:$K$97,$P$76 + 1) +$U$75," ")," ")</f>
        <v xml:space="preserve"> </v>
      </c>
      <c r="V76" s="45" t="str">
        <f ca="1">IFERROR(IF(AND(ISNUMBER($P$76),$P$76&lt;=95),INDEX('2.Distances'!$D$2:$D$9218,$P$75*96+$P$76+ 1) +$V$75," ")," ")</f>
        <v xml:space="preserve"> </v>
      </c>
      <c r="W76" s="46" t="str">
        <f ca="1">IFERROR(IF(AND(ISNUMBER($P$76),$P$76&lt;=95),INDEX('2.Distances'!$D$2:$D$9218,$P$75*96+$P$76+ 1) +$X$75," ")," ")</f>
        <v xml:space="preserve"> </v>
      </c>
      <c r="X76" s="46" t="str">
        <f ca="1">IFERROR(IF(ISNUMBER($W$76),INDEX('1.Locations'!$I$2:$I$97,$P$76 + 1) + MAX($W$76,INDEX('1.Locations'!$F$2:$F$97,$P$76 + 1))," ")," ")</f>
        <v xml:space="preserve"> </v>
      </c>
      <c r="Y76" s="45" t="str">
        <f ca="1">IFERROR($Y$75 + INDEX('2.Distances'!$D$2:$D$9218,$P$75*96+$P$76+ 1) + INDEX('1.Locations'!$I$2:$I$97,$P$76 + 1)," ")</f>
        <v xml:space="preserve"> </v>
      </c>
      <c r="AA76" s="24">
        <v>71</v>
      </c>
      <c r="AB76" s="25"/>
      <c r="AC76" s="43" t="str">
        <f ca="1">IFERROR(MATCH(INDIRECT("$AB$76"),'1.Locations'!$B$2:$B$97, 0) - 1," ")</f>
        <v xml:space="preserve"> </v>
      </c>
      <c r="AD76" s="43" t="e">
        <f ca="1">IFERROR(IF(ISNUMBER($AC$76),INDEX('1.Locations'!$D$2:$D$97,$AC$76 + 1),NA()),NA())</f>
        <v>#N/A</v>
      </c>
      <c r="AE76" s="43" t="e">
        <f ca="1">IFERROR(IF(ISNUMBER($AC$76),INDEX('1.Locations'!$E$2:$E$97,$AC$76 + 1),NA()),NA())</f>
        <v>#N/A</v>
      </c>
      <c r="AF76" s="44" t="str">
        <f ca="1">IFERROR(IF(AND(ISNUMBER($AC$76),$AC$76&lt;=95),INDEX('2.Distances'!$C$2:$C$9218,$AC$75*96+$AC$76+ 1) +$AF$75," ")," ")</f>
        <v xml:space="preserve"> </v>
      </c>
      <c r="AG76" s="43" t="str">
        <f ca="1">IFERROR(IF(ISNUMBER($AC$76),INDEX('1.Locations'!$J$2:$J$97,$AC$76 + 1) +$AG$75," ")," ")</f>
        <v xml:space="preserve"> </v>
      </c>
      <c r="AH76" s="43" t="str">
        <f ca="1">IFERROR(IF(ISNUMBER($AC$76),INDEX('1.Locations'!$K$2:$K$97,$AC$76 + 1) +$AH$75," ")," ")</f>
        <v xml:space="preserve"> </v>
      </c>
      <c r="AI76" s="45" t="str">
        <f ca="1">IFERROR(IF(AND(ISNUMBER($AC$76),$AC$76&lt;=95),INDEX('2.Distances'!$D$2:$D$9218,$AC$75*96+$AC$76+ 1) +$AI$75," ")," ")</f>
        <v xml:space="preserve"> </v>
      </c>
      <c r="AJ76" s="46" t="str">
        <f ca="1">IFERROR(IF(AND(ISNUMBER($AC$76),$AC$76&lt;=95),INDEX('2.Distances'!$D$2:$D$9218,$AC$75*96+$AC$76+ 1) +$AK$75," ")," ")</f>
        <v xml:space="preserve"> </v>
      </c>
      <c r="AK76" s="46" t="str">
        <f ca="1">IFERROR(IF(ISNUMBER($AJ$76),INDEX('1.Locations'!$I$2:$I$97,$AC$76 + 1) + MAX($AJ$76,INDEX('1.Locations'!$F$2:$F$97,$AC$76 + 1))," ")," ")</f>
        <v xml:space="preserve"> </v>
      </c>
      <c r="AL76" s="45" t="str">
        <f ca="1">IFERROR($AL$75 + INDEX('2.Distances'!$D$2:$D$9218,$AC$75*96+$AC$76+ 1) + INDEX('1.Locations'!$I$2:$I$97,$AC$76 + 1)," ")</f>
        <v xml:space="preserve"> </v>
      </c>
      <c r="AN76" s="24">
        <v>71</v>
      </c>
      <c r="AO76" s="25"/>
      <c r="AP76" s="43" t="str">
        <f ca="1">IFERROR(MATCH(INDIRECT("$AO$76"),'1.Locations'!$B$2:$B$97, 0) - 1," ")</f>
        <v xml:space="preserve"> </v>
      </c>
      <c r="AQ76" s="43" t="e">
        <f ca="1">IFERROR(IF(ISNUMBER($AP$76),INDEX('1.Locations'!$D$2:$D$97,$AP$76 + 1),NA()),NA())</f>
        <v>#N/A</v>
      </c>
      <c r="AR76" s="43" t="e">
        <f ca="1">IFERROR(IF(ISNUMBER($AP$76),INDEX('1.Locations'!$E$2:$E$97,$AP$76 + 1),NA()),NA())</f>
        <v>#N/A</v>
      </c>
      <c r="AS76" s="44" t="str">
        <f ca="1">IFERROR(IF(AND(ISNUMBER($AP$76),$AP$76&lt;=95),INDEX('2.Distances'!$C$2:$C$9218,$AP$75*96+$AP$76+ 1) +$AS$75," ")," ")</f>
        <v xml:space="preserve"> </v>
      </c>
      <c r="AT76" s="43" t="str">
        <f ca="1">IFERROR(IF(ISNUMBER($AP$76),INDEX('1.Locations'!$J$2:$J$97,$AP$76 + 1) +$AT$75," ")," ")</f>
        <v xml:space="preserve"> </v>
      </c>
      <c r="AU76" s="43" t="str">
        <f ca="1">IFERROR(IF(ISNUMBER($AP$76),INDEX('1.Locations'!$K$2:$K$97,$AP$76 + 1) +$AU$75," ")," ")</f>
        <v xml:space="preserve"> </v>
      </c>
      <c r="AV76" s="45" t="str">
        <f ca="1">IFERROR(IF(AND(ISNUMBER($AP$76),$AP$76&lt;=95),INDEX('2.Distances'!$D$2:$D$9218,$AP$75*96+$AP$76+ 1) +$AV$75," ")," ")</f>
        <v xml:space="preserve"> </v>
      </c>
      <c r="AW76" s="46" t="str">
        <f ca="1">IFERROR(IF(AND(ISNUMBER($AP$76),$AP$76&lt;=95),INDEX('2.Distances'!$D$2:$D$9218,$AP$75*96+$AP$76+ 1) +$AX$75," ")," ")</f>
        <v xml:space="preserve"> </v>
      </c>
      <c r="AX76" s="46" t="str">
        <f ca="1">IFERROR(IF(ISNUMBER($AW$76),INDEX('1.Locations'!$I$2:$I$97,$AP$76 + 1) + MAX($AW$76,INDEX('1.Locations'!$F$2:$F$97,$AP$76 + 1))," ")," ")</f>
        <v xml:space="preserve"> </v>
      </c>
      <c r="AY76" s="45" t="str">
        <f ca="1">IFERROR($AY$75 + INDEX('2.Distances'!$D$2:$D$9218,$AP$75*96+$AP$76+ 1) + INDEX('1.Locations'!$I$2:$I$97,$AP$76 + 1)," ")</f>
        <v xml:space="preserve"> </v>
      </c>
      <c r="BA76" s="24">
        <v>71</v>
      </c>
      <c r="BB76" s="25"/>
      <c r="BC76" s="43" t="str">
        <f ca="1">IFERROR(MATCH(INDIRECT("$BB$76"),'1.Locations'!$B$2:$B$97, 0) - 1," ")</f>
        <v xml:space="preserve"> </v>
      </c>
      <c r="BD76" s="43" t="e">
        <f ca="1">IFERROR(IF(ISNUMBER($BC$76),INDEX('1.Locations'!$D$2:$D$97,$BC$76 + 1),NA()),NA())</f>
        <v>#N/A</v>
      </c>
      <c r="BE76" s="43" t="e">
        <f ca="1">IFERROR(IF(ISNUMBER($BC$76),INDEX('1.Locations'!$E$2:$E$97,$BC$76 + 1),NA()),NA())</f>
        <v>#N/A</v>
      </c>
      <c r="BF76" s="44" t="str">
        <f ca="1">IFERROR(IF(AND(ISNUMBER($BC$76),$BC$76&lt;=95),INDEX('2.Distances'!$C$2:$C$9218,$BC$75*96+$BC$76+ 1) +$BF$75," ")," ")</f>
        <v xml:space="preserve"> </v>
      </c>
      <c r="BG76" s="43" t="str">
        <f ca="1">IFERROR(IF(ISNUMBER($BC$76),INDEX('1.Locations'!$J$2:$J$97,$BC$76 + 1) +$BG$75," ")," ")</f>
        <v xml:space="preserve"> </v>
      </c>
      <c r="BH76" s="43" t="str">
        <f ca="1">IFERROR(IF(ISNUMBER($BC$76),INDEX('1.Locations'!$K$2:$K$97,$BC$76 + 1) +$BH$75," ")," ")</f>
        <v xml:space="preserve"> </v>
      </c>
      <c r="BI76" s="45" t="str">
        <f ca="1">IFERROR(IF(AND(ISNUMBER($BC$76),$BC$76&lt;=95),INDEX('2.Distances'!$D$2:$D$9218,$BC$75*96+$BC$76+ 1) +$BI$75," ")," ")</f>
        <v xml:space="preserve"> </v>
      </c>
      <c r="BJ76" s="46" t="str">
        <f ca="1">IFERROR(IF(AND(ISNUMBER($BC$76),$BC$76&lt;=95),INDEX('2.Distances'!$D$2:$D$9218,$BC$75*96+$BC$76+ 1) +$BK$75," ")," ")</f>
        <v xml:space="preserve"> </v>
      </c>
      <c r="BK76" s="46" t="str">
        <f ca="1">IFERROR(IF(ISNUMBER($BJ$76),INDEX('1.Locations'!$I$2:$I$97,$BC$76 + 1) + MAX($BJ$76,INDEX('1.Locations'!$F$2:$F$97,$BC$76 + 1))," ")," ")</f>
        <v xml:space="preserve"> </v>
      </c>
      <c r="BL76" s="45" t="str">
        <f ca="1">IFERROR($BL$75 + INDEX('2.Distances'!$D$2:$D$9218,$BC$75*96+$BC$76+ 1) + INDEX('1.Locations'!$I$2:$I$97,$BC$76 + 1)," ")</f>
        <v xml:space="preserve"> </v>
      </c>
      <c r="BN76" s="24">
        <v>71</v>
      </c>
      <c r="BO76" s="25"/>
      <c r="BP76" s="43" t="str">
        <f ca="1">IFERROR(MATCH(INDIRECT("$BO$76"),'1.Locations'!$B$2:$B$97, 0) - 1," ")</f>
        <v xml:space="preserve"> </v>
      </c>
      <c r="BQ76" s="43" t="e">
        <f ca="1">IFERROR(IF(ISNUMBER($BP$76),INDEX('1.Locations'!$D$2:$D$97,$BP$76 + 1),NA()),NA())</f>
        <v>#N/A</v>
      </c>
      <c r="BR76" s="43" t="e">
        <f ca="1">IFERROR(IF(ISNUMBER($BP$76),INDEX('1.Locations'!$E$2:$E$97,$BP$76 + 1),NA()),NA())</f>
        <v>#N/A</v>
      </c>
      <c r="BS76" s="44" t="str">
        <f ca="1">IFERROR(IF(AND(ISNUMBER($BP$76),$BP$76&lt;=95),INDEX('2.Distances'!$C$2:$C$9218,$BP$75*96+$BP$76+ 1) +$BS$75," ")," ")</f>
        <v xml:space="preserve"> </v>
      </c>
      <c r="BT76" s="43" t="str">
        <f ca="1">IFERROR(IF(ISNUMBER($BP$76),INDEX('1.Locations'!$J$2:$J$97,$BP$76 + 1) +$BT$75," ")," ")</f>
        <v xml:space="preserve"> </v>
      </c>
      <c r="BU76" s="43" t="str">
        <f ca="1">IFERROR(IF(ISNUMBER($BP$76),INDEX('1.Locations'!$K$2:$K$97,$BP$76 + 1) +$BU$75," ")," ")</f>
        <v xml:space="preserve"> </v>
      </c>
      <c r="BV76" s="45" t="str">
        <f ca="1">IFERROR(IF(AND(ISNUMBER($BP$76),$BP$76&lt;=95),INDEX('2.Distances'!$D$2:$D$9218,$BP$75*96+$BP$76+ 1) +$BV$75," ")," ")</f>
        <v xml:space="preserve"> </v>
      </c>
      <c r="BW76" s="46" t="str">
        <f ca="1">IFERROR(IF(AND(ISNUMBER($BP$76),$BP$76&lt;=95),INDEX('2.Distances'!$D$2:$D$9218,$BP$75*96+$BP$76+ 1) +$BX$75," ")," ")</f>
        <v xml:space="preserve"> </v>
      </c>
      <c r="BX76" s="46" t="str">
        <f ca="1">IFERROR(IF(ISNUMBER($BW$76),INDEX('1.Locations'!$I$2:$I$97,$BP$76 + 1) + MAX($BW$76,INDEX('1.Locations'!$F$2:$F$97,$BP$76 + 1))," ")," ")</f>
        <v xml:space="preserve"> </v>
      </c>
      <c r="BY76" s="45" t="str">
        <f ca="1">IFERROR($BY$75 + INDEX('2.Distances'!$D$2:$D$9218,$BP$75*96+$BP$76+ 1) + INDEX('1.Locations'!$I$2:$I$97,$BP$76 + 1)," ")</f>
        <v xml:space="preserve"> </v>
      </c>
      <c r="CA76" s="24">
        <v>71</v>
      </c>
      <c r="CB76" s="25"/>
      <c r="CC76" s="43" t="str">
        <f ca="1">IFERROR(MATCH(INDIRECT("$CB$76"),'1.Locations'!$B$2:$B$97, 0) - 1," ")</f>
        <v xml:space="preserve"> </v>
      </c>
      <c r="CD76" s="43" t="e">
        <f ca="1">IFERROR(IF(ISNUMBER($CC$76),INDEX('1.Locations'!$D$2:$D$97,$CC$76 + 1),NA()),NA())</f>
        <v>#N/A</v>
      </c>
      <c r="CE76" s="43" t="e">
        <f ca="1">IFERROR(IF(ISNUMBER($CC$76),INDEX('1.Locations'!$E$2:$E$97,$CC$76 + 1),NA()),NA())</f>
        <v>#N/A</v>
      </c>
      <c r="CF76" s="44" t="str">
        <f ca="1">IFERROR(IF(AND(ISNUMBER($CC$76),$CC$76&lt;=95),INDEX('2.Distances'!$C$2:$C$9218,$CC$75*96+$CC$76+ 1) +$CF$75," ")," ")</f>
        <v xml:space="preserve"> </v>
      </c>
      <c r="CG76" s="43" t="str">
        <f ca="1">IFERROR(IF(ISNUMBER($CC$76),INDEX('1.Locations'!$J$2:$J$97,$CC$76 + 1) +$CG$75," ")," ")</f>
        <v xml:space="preserve"> </v>
      </c>
      <c r="CH76" s="43" t="str">
        <f ca="1">IFERROR(IF(ISNUMBER($CC$76),INDEX('1.Locations'!$K$2:$K$97,$CC$76 + 1) +$CH$75," ")," ")</f>
        <v xml:space="preserve"> </v>
      </c>
      <c r="CI76" s="45" t="str">
        <f ca="1">IFERROR(IF(AND(ISNUMBER($CC$76),$CC$76&lt;=95),INDEX('2.Distances'!$D$2:$D$9218,$CC$75*96+$CC$76+ 1) +$CI$75," ")," ")</f>
        <v xml:space="preserve"> </v>
      </c>
      <c r="CJ76" s="46" t="str">
        <f ca="1">IFERROR(IF(AND(ISNUMBER($CC$76),$CC$76&lt;=95),INDEX('2.Distances'!$D$2:$D$9218,$CC$75*96+$CC$76+ 1) +$CK$75," ")," ")</f>
        <v xml:space="preserve"> </v>
      </c>
      <c r="CK76" s="46" t="str">
        <f ca="1">IFERROR(IF(ISNUMBER($CJ$76),INDEX('1.Locations'!$I$2:$I$97,$CC$76 + 1) + MAX($CJ$76,INDEX('1.Locations'!$F$2:$F$97,$CC$76 + 1))," ")," ")</f>
        <v xml:space="preserve"> </v>
      </c>
      <c r="CL76" s="45" t="str">
        <f ca="1">IFERROR($CL$75 + INDEX('2.Distances'!$D$2:$D$9218,$CC$75*96+$CC$76+ 1) + INDEX('1.Locations'!$I$2:$I$97,$CC$76 + 1)," ")</f>
        <v xml:space="preserve"> </v>
      </c>
    </row>
    <row r="77" spans="1:90" x14ac:dyDescent="0.25">
      <c r="A77" s="24">
        <v>72</v>
      </c>
      <c r="B77" s="25"/>
      <c r="C77" s="43" t="str">
        <f ca="1">IFERROR(MATCH(INDIRECT("$B$77"),'1.Locations'!$B$2:$B$97, 0) - 1," ")</f>
        <v xml:space="preserve"> </v>
      </c>
      <c r="D77" s="43" t="e">
        <f ca="1">IFERROR(IF(ISNUMBER($C$77),INDEX('1.Locations'!$D$2:$D$97,$C$77 + 1),NA()),NA())</f>
        <v>#N/A</v>
      </c>
      <c r="E77" s="43" t="e">
        <f ca="1">IFERROR(IF(ISNUMBER($C$77),INDEX('1.Locations'!$E$2:$E$97,$C$77 + 1),NA()),NA())</f>
        <v>#N/A</v>
      </c>
      <c r="F77" s="44" t="str">
        <f ca="1">IFERROR(IF(AND(ISNUMBER($C$77),$C$77&lt;=95),INDEX('2.Distances'!$C$2:$C$9218,$C$76*96+$C$77+ 1) +$F$76," ")," ")</f>
        <v xml:space="preserve"> </v>
      </c>
      <c r="G77" s="43" t="str">
        <f ca="1">IFERROR(IF(ISNUMBER($C$77),INDEX('1.Locations'!$J$2:$J$97,$C$77 + 1) +$G$76," ")," ")</f>
        <v xml:space="preserve"> </v>
      </c>
      <c r="H77" s="43" t="str">
        <f ca="1">IFERROR(IF(ISNUMBER($C$77),INDEX('1.Locations'!$K$2:$K$97,$C$77 + 1) +$H$76," ")," ")</f>
        <v xml:space="preserve"> </v>
      </c>
      <c r="I77" s="45" t="str">
        <f ca="1">IFERROR(IF(AND(ISNUMBER($C$77),$C$77&lt;=95),INDEX('2.Distances'!$D$2:$D$9218,$C$76*96+$C$77+ 1) +$I$76," ")," ")</f>
        <v xml:space="preserve"> </v>
      </c>
      <c r="J77" s="46" t="str">
        <f ca="1">IFERROR(IF(AND(ISNUMBER($C$77),$C$77&lt;=95),INDEX('2.Distances'!$D$2:$D$9218,$C$76*96+$C$77+ 1) +$K$76," ")," ")</f>
        <v xml:space="preserve"> </v>
      </c>
      <c r="K77" s="46" t="str">
        <f ca="1">IFERROR(IF(ISNUMBER($J$77),INDEX('1.Locations'!$I$2:$I$97,$C$77 + 1) + MAX($J$77,INDEX('1.Locations'!$F$2:$F$97,$C$77 + 1))," ")," ")</f>
        <v xml:space="preserve"> </v>
      </c>
      <c r="L77" s="45" t="str">
        <f ca="1">IFERROR($L$76 + INDEX('2.Distances'!$D$2:$D$9218,$C$76*96+$C$77+ 1) + INDEX('1.Locations'!$I$2:$I$97,$C$77 + 1)," ")</f>
        <v xml:space="preserve"> </v>
      </c>
      <c r="N77" s="24">
        <v>72</v>
      </c>
      <c r="O77" s="25"/>
      <c r="P77" s="43" t="str">
        <f ca="1">IFERROR(MATCH(INDIRECT("$O$77"),'1.Locations'!$B$2:$B$97, 0) - 1," ")</f>
        <v xml:space="preserve"> </v>
      </c>
      <c r="Q77" s="43" t="e">
        <f ca="1">IFERROR(IF(ISNUMBER($P$77),INDEX('1.Locations'!$D$2:$D$97,$P$77 + 1),NA()),NA())</f>
        <v>#N/A</v>
      </c>
      <c r="R77" s="43" t="e">
        <f ca="1">IFERROR(IF(ISNUMBER($P$77),INDEX('1.Locations'!$E$2:$E$97,$P$77 + 1),NA()),NA())</f>
        <v>#N/A</v>
      </c>
      <c r="S77" s="44" t="str">
        <f ca="1">IFERROR(IF(AND(ISNUMBER($P$77),$P$77&lt;=95),INDEX('2.Distances'!$C$2:$C$9218,$P$76*96+$P$77+ 1) +$S$76," ")," ")</f>
        <v xml:space="preserve"> </v>
      </c>
      <c r="T77" s="43" t="str">
        <f ca="1">IFERROR(IF(ISNUMBER($P$77),INDEX('1.Locations'!$J$2:$J$97,$P$77 + 1) +$T$76," ")," ")</f>
        <v xml:space="preserve"> </v>
      </c>
      <c r="U77" s="43" t="str">
        <f ca="1">IFERROR(IF(ISNUMBER($P$77),INDEX('1.Locations'!$K$2:$K$97,$P$77 + 1) +$U$76," ")," ")</f>
        <v xml:space="preserve"> </v>
      </c>
      <c r="V77" s="45" t="str">
        <f ca="1">IFERROR(IF(AND(ISNUMBER($P$77),$P$77&lt;=95),INDEX('2.Distances'!$D$2:$D$9218,$P$76*96+$P$77+ 1) +$V$76," ")," ")</f>
        <v xml:space="preserve"> </v>
      </c>
      <c r="W77" s="46" t="str">
        <f ca="1">IFERROR(IF(AND(ISNUMBER($P$77),$P$77&lt;=95),INDEX('2.Distances'!$D$2:$D$9218,$P$76*96+$P$77+ 1) +$X$76," ")," ")</f>
        <v xml:space="preserve"> </v>
      </c>
      <c r="X77" s="46" t="str">
        <f ca="1">IFERROR(IF(ISNUMBER($W$77),INDEX('1.Locations'!$I$2:$I$97,$P$77 + 1) + MAX($W$77,INDEX('1.Locations'!$F$2:$F$97,$P$77 + 1))," ")," ")</f>
        <v xml:space="preserve"> </v>
      </c>
      <c r="Y77" s="45" t="str">
        <f ca="1">IFERROR($Y$76 + INDEX('2.Distances'!$D$2:$D$9218,$P$76*96+$P$77+ 1) + INDEX('1.Locations'!$I$2:$I$97,$P$77 + 1)," ")</f>
        <v xml:space="preserve"> </v>
      </c>
      <c r="AA77" s="24">
        <v>72</v>
      </c>
      <c r="AB77" s="25"/>
      <c r="AC77" s="43" t="str">
        <f ca="1">IFERROR(MATCH(INDIRECT("$AB$77"),'1.Locations'!$B$2:$B$97, 0) - 1," ")</f>
        <v xml:space="preserve"> </v>
      </c>
      <c r="AD77" s="43" t="e">
        <f ca="1">IFERROR(IF(ISNUMBER($AC$77),INDEX('1.Locations'!$D$2:$D$97,$AC$77 + 1),NA()),NA())</f>
        <v>#N/A</v>
      </c>
      <c r="AE77" s="43" t="e">
        <f ca="1">IFERROR(IF(ISNUMBER($AC$77),INDEX('1.Locations'!$E$2:$E$97,$AC$77 + 1),NA()),NA())</f>
        <v>#N/A</v>
      </c>
      <c r="AF77" s="44" t="str">
        <f ca="1">IFERROR(IF(AND(ISNUMBER($AC$77),$AC$77&lt;=95),INDEX('2.Distances'!$C$2:$C$9218,$AC$76*96+$AC$77+ 1) +$AF$76," ")," ")</f>
        <v xml:space="preserve"> </v>
      </c>
      <c r="AG77" s="43" t="str">
        <f ca="1">IFERROR(IF(ISNUMBER($AC$77),INDEX('1.Locations'!$J$2:$J$97,$AC$77 + 1) +$AG$76," ")," ")</f>
        <v xml:space="preserve"> </v>
      </c>
      <c r="AH77" s="43" t="str">
        <f ca="1">IFERROR(IF(ISNUMBER($AC$77),INDEX('1.Locations'!$K$2:$K$97,$AC$77 + 1) +$AH$76," ")," ")</f>
        <v xml:space="preserve"> </v>
      </c>
      <c r="AI77" s="45" t="str">
        <f ca="1">IFERROR(IF(AND(ISNUMBER($AC$77),$AC$77&lt;=95),INDEX('2.Distances'!$D$2:$D$9218,$AC$76*96+$AC$77+ 1) +$AI$76," ")," ")</f>
        <v xml:space="preserve"> </v>
      </c>
      <c r="AJ77" s="46" t="str">
        <f ca="1">IFERROR(IF(AND(ISNUMBER($AC$77),$AC$77&lt;=95),INDEX('2.Distances'!$D$2:$D$9218,$AC$76*96+$AC$77+ 1) +$AK$76," ")," ")</f>
        <v xml:space="preserve"> </v>
      </c>
      <c r="AK77" s="46" t="str">
        <f ca="1">IFERROR(IF(ISNUMBER($AJ$77),INDEX('1.Locations'!$I$2:$I$97,$AC$77 + 1) + MAX($AJ$77,INDEX('1.Locations'!$F$2:$F$97,$AC$77 + 1))," ")," ")</f>
        <v xml:space="preserve"> </v>
      </c>
      <c r="AL77" s="45" t="str">
        <f ca="1">IFERROR($AL$76 + INDEX('2.Distances'!$D$2:$D$9218,$AC$76*96+$AC$77+ 1) + INDEX('1.Locations'!$I$2:$I$97,$AC$77 + 1)," ")</f>
        <v xml:space="preserve"> </v>
      </c>
      <c r="AN77" s="24">
        <v>72</v>
      </c>
      <c r="AO77" s="25"/>
      <c r="AP77" s="43" t="str">
        <f ca="1">IFERROR(MATCH(INDIRECT("$AO$77"),'1.Locations'!$B$2:$B$97, 0) - 1," ")</f>
        <v xml:space="preserve"> </v>
      </c>
      <c r="AQ77" s="43" t="e">
        <f ca="1">IFERROR(IF(ISNUMBER($AP$77),INDEX('1.Locations'!$D$2:$D$97,$AP$77 + 1),NA()),NA())</f>
        <v>#N/A</v>
      </c>
      <c r="AR77" s="43" t="e">
        <f ca="1">IFERROR(IF(ISNUMBER($AP$77),INDEX('1.Locations'!$E$2:$E$97,$AP$77 + 1),NA()),NA())</f>
        <v>#N/A</v>
      </c>
      <c r="AS77" s="44" t="str">
        <f ca="1">IFERROR(IF(AND(ISNUMBER($AP$77),$AP$77&lt;=95),INDEX('2.Distances'!$C$2:$C$9218,$AP$76*96+$AP$77+ 1) +$AS$76," ")," ")</f>
        <v xml:space="preserve"> </v>
      </c>
      <c r="AT77" s="43" t="str">
        <f ca="1">IFERROR(IF(ISNUMBER($AP$77),INDEX('1.Locations'!$J$2:$J$97,$AP$77 + 1) +$AT$76," ")," ")</f>
        <v xml:space="preserve"> </v>
      </c>
      <c r="AU77" s="43" t="str">
        <f ca="1">IFERROR(IF(ISNUMBER($AP$77),INDEX('1.Locations'!$K$2:$K$97,$AP$77 + 1) +$AU$76," ")," ")</f>
        <v xml:space="preserve"> </v>
      </c>
      <c r="AV77" s="45" t="str">
        <f ca="1">IFERROR(IF(AND(ISNUMBER($AP$77),$AP$77&lt;=95),INDEX('2.Distances'!$D$2:$D$9218,$AP$76*96+$AP$77+ 1) +$AV$76," ")," ")</f>
        <v xml:space="preserve"> </v>
      </c>
      <c r="AW77" s="46" t="str">
        <f ca="1">IFERROR(IF(AND(ISNUMBER($AP$77),$AP$77&lt;=95),INDEX('2.Distances'!$D$2:$D$9218,$AP$76*96+$AP$77+ 1) +$AX$76," ")," ")</f>
        <v xml:space="preserve"> </v>
      </c>
      <c r="AX77" s="46" t="str">
        <f ca="1">IFERROR(IF(ISNUMBER($AW$77),INDEX('1.Locations'!$I$2:$I$97,$AP$77 + 1) + MAX($AW$77,INDEX('1.Locations'!$F$2:$F$97,$AP$77 + 1))," ")," ")</f>
        <v xml:space="preserve"> </v>
      </c>
      <c r="AY77" s="45" t="str">
        <f ca="1">IFERROR($AY$76 + INDEX('2.Distances'!$D$2:$D$9218,$AP$76*96+$AP$77+ 1) + INDEX('1.Locations'!$I$2:$I$97,$AP$77 + 1)," ")</f>
        <v xml:space="preserve"> </v>
      </c>
      <c r="BA77" s="24">
        <v>72</v>
      </c>
      <c r="BB77" s="25"/>
      <c r="BC77" s="43" t="str">
        <f ca="1">IFERROR(MATCH(INDIRECT("$BB$77"),'1.Locations'!$B$2:$B$97, 0) - 1," ")</f>
        <v xml:space="preserve"> </v>
      </c>
      <c r="BD77" s="43" t="e">
        <f ca="1">IFERROR(IF(ISNUMBER($BC$77),INDEX('1.Locations'!$D$2:$D$97,$BC$77 + 1),NA()),NA())</f>
        <v>#N/A</v>
      </c>
      <c r="BE77" s="43" t="e">
        <f ca="1">IFERROR(IF(ISNUMBER($BC$77),INDEX('1.Locations'!$E$2:$E$97,$BC$77 + 1),NA()),NA())</f>
        <v>#N/A</v>
      </c>
      <c r="BF77" s="44" t="str">
        <f ca="1">IFERROR(IF(AND(ISNUMBER($BC$77),$BC$77&lt;=95),INDEX('2.Distances'!$C$2:$C$9218,$BC$76*96+$BC$77+ 1) +$BF$76," ")," ")</f>
        <v xml:space="preserve"> </v>
      </c>
      <c r="BG77" s="43" t="str">
        <f ca="1">IFERROR(IF(ISNUMBER($BC$77),INDEX('1.Locations'!$J$2:$J$97,$BC$77 + 1) +$BG$76," ")," ")</f>
        <v xml:space="preserve"> </v>
      </c>
      <c r="BH77" s="43" t="str">
        <f ca="1">IFERROR(IF(ISNUMBER($BC$77),INDEX('1.Locations'!$K$2:$K$97,$BC$77 + 1) +$BH$76," ")," ")</f>
        <v xml:space="preserve"> </v>
      </c>
      <c r="BI77" s="45" t="str">
        <f ca="1">IFERROR(IF(AND(ISNUMBER($BC$77),$BC$77&lt;=95),INDEX('2.Distances'!$D$2:$D$9218,$BC$76*96+$BC$77+ 1) +$BI$76," ")," ")</f>
        <v xml:space="preserve"> </v>
      </c>
      <c r="BJ77" s="46" t="str">
        <f ca="1">IFERROR(IF(AND(ISNUMBER($BC$77),$BC$77&lt;=95),INDEX('2.Distances'!$D$2:$D$9218,$BC$76*96+$BC$77+ 1) +$BK$76," ")," ")</f>
        <v xml:space="preserve"> </v>
      </c>
      <c r="BK77" s="46" t="str">
        <f ca="1">IFERROR(IF(ISNUMBER($BJ$77),INDEX('1.Locations'!$I$2:$I$97,$BC$77 + 1) + MAX($BJ$77,INDEX('1.Locations'!$F$2:$F$97,$BC$77 + 1))," ")," ")</f>
        <v xml:space="preserve"> </v>
      </c>
      <c r="BL77" s="45" t="str">
        <f ca="1">IFERROR($BL$76 + INDEX('2.Distances'!$D$2:$D$9218,$BC$76*96+$BC$77+ 1) + INDEX('1.Locations'!$I$2:$I$97,$BC$77 + 1)," ")</f>
        <v xml:space="preserve"> </v>
      </c>
      <c r="BN77" s="24">
        <v>72</v>
      </c>
      <c r="BO77" s="25"/>
      <c r="BP77" s="43" t="str">
        <f ca="1">IFERROR(MATCH(INDIRECT("$BO$77"),'1.Locations'!$B$2:$B$97, 0) - 1," ")</f>
        <v xml:space="preserve"> </v>
      </c>
      <c r="BQ77" s="43" t="e">
        <f ca="1">IFERROR(IF(ISNUMBER($BP$77),INDEX('1.Locations'!$D$2:$D$97,$BP$77 + 1),NA()),NA())</f>
        <v>#N/A</v>
      </c>
      <c r="BR77" s="43" t="e">
        <f ca="1">IFERROR(IF(ISNUMBER($BP$77),INDEX('1.Locations'!$E$2:$E$97,$BP$77 + 1),NA()),NA())</f>
        <v>#N/A</v>
      </c>
      <c r="BS77" s="44" t="str">
        <f ca="1">IFERROR(IF(AND(ISNUMBER($BP$77),$BP$77&lt;=95),INDEX('2.Distances'!$C$2:$C$9218,$BP$76*96+$BP$77+ 1) +$BS$76," ")," ")</f>
        <v xml:space="preserve"> </v>
      </c>
      <c r="BT77" s="43" t="str">
        <f ca="1">IFERROR(IF(ISNUMBER($BP$77),INDEX('1.Locations'!$J$2:$J$97,$BP$77 + 1) +$BT$76," ")," ")</f>
        <v xml:space="preserve"> </v>
      </c>
      <c r="BU77" s="43" t="str">
        <f ca="1">IFERROR(IF(ISNUMBER($BP$77),INDEX('1.Locations'!$K$2:$K$97,$BP$77 + 1) +$BU$76," ")," ")</f>
        <v xml:space="preserve"> </v>
      </c>
      <c r="BV77" s="45" t="str">
        <f ca="1">IFERROR(IF(AND(ISNUMBER($BP$77),$BP$77&lt;=95),INDEX('2.Distances'!$D$2:$D$9218,$BP$76*96+$BP$77+ 1) +$BV$76," ")," ")</f>
        <v xml:space="preserve"> </v>
      </c>
      <c r="BW77" s="46" t="str">
        <f ca="1">IFERROR(IF(AND(ISNUMBER($BP$77),$BP$77&lt;=95),INDEX('2.Distances'!$D$2:$D$9218,$BP$76*96+$BP$77+ 1) +$BX$76," ")," ")</f>
        <v xml:space="preserve"> </v>
      </c>
      <c r="BX77" s="46" t="str">
        <f ca="1">IFERROR(IF(ISNUMBER($BW$77),INDEX('1.Locations'!$I$2:$I$97,$BP$77 + 1) + MAX($BW$77,INDEX('1.Locations'!$F$2:$F$97,$BP$77 + 1))," ")," ")</f>
        <v xml:space="preserve"> </v>
      </c>
      <c r="BY77" s="45" t="str">
        <f ca="1">IFERROR($BY$76 + INDEX('2.Distances'!$D$2:$D$9218,$BP$76*96+$BP$77+ 1) + INDEX('1.Locations'!$I$2:$I$97,$BP$77 + 1)," ")</f>
        <v xml:space="preserve"> </v>
      </c>
      <c r="CA77" s="24">
        <v>72</v>
      </c>
      <c r="CB77" s="25"/>
      <c r="CC77" s="43" t="str">
        <f ca="1">IFERROR(MATCH(INDIRECT("$CB$77"),'1.Locations'!$B$2:$B$97, 0) - 1," ")</f>
        <v xml:space="preserve"> </v>
      </c>
      <c r="CD77" s="43" t="e">
        <f ca="1">IFERROR(IF(ISNUMBER($CC$77),INDEX('1.Locations'!$D$2:$D$97,$CC$77 + 1),NA()),NA())</f>
        <v>#N/A</v>
      </c>
      <c r="CE77" s="43" t="e">
        <f ca="1">IFERROR(IF(ISNUMBER($CC$77),INDEX('1.Locations'!$E$2:$E$97,$CC$77 + 1),NA()),NA())</f>
        <v>#N/A</v>
      </c>
      <c r="CF77" s="44" t="str">
        <f ca="1">IFERROR(IF(AND(ISNUMBER($CC$77),$CC$77&lt;=95),INDEX('2.Distances'!$C$2:$C$9218,$CC$76*96+$CC$77+ 1) +$CF$76," ")," ")</f>
        <v xml:space="preserve"> </v>
      </c>
      <c r="CG77" s="43" t="str">
        <f ca="1">IFERROR(IF(ISNUMBER($CC$77),INDEX('1.Locations'!$J$2:$J$97,$CC$77 + 1) +$CG$76," ")," ")</f>
        <v xml:space="preserve"> </v>
      </c>
      <c r="CH77" s="43" t="str">
        <f ca="1">IFERROR(IF(ISNUMBER($CC$77),INDEX('1.Locations'!$K$2:$K$97,$CC$77 + 1) +$CH$76," ")," ")</f>
        <v xml:space="preserve"> </v>
      </c>
      <c r="CI77" s="45" t="str">
        <f ca="1">IFERROR(IF(AND(ISNUMBER($CC$77),$CC$77&lt;=95),INDEX('2.Distances'!$D$2:$D$9218,$CC$76*96+$CC$77+ 1) +$CI$76," ")," ")</f>
        <v xml:space="preserve"> </v>
      </c>
      <c r="CJ77" s="46" t="str">
        <f ca="1">IFERROR(IF(AND(ISNUMBER($CC$77),$CC$77&lt;=95),INDEX('2.Distances'!$D$2:$D$9218,$CC$76*96+$CC$77+ 1) +$CK$76," ")," ")</f>
        <v xml:space="preserve"> </v>
      </c>
      <c r="CK77" s="46" t="str">
        <f ca="1">IFERROR(IF(ISNUMBER($CJ$77),INDEX('1.Locations'!$I$2:$I$97,$CC$77 + 1) + MAX($CJ$77,INDEX('1.Locations'!$F$2:$F$97,$CC$77 + 1))," ")," ")</f>
        <v xml:space="preserve"> </v>
      </c>
      <c r="CL77" s="45" t="str">
        <f ca="1">IFERROR($CL$76 + INDEX('2.Distances'!$D$2:$D$9218,$CC$76*96+$CC$77+ 1) + INDEX('1.Locations'!$I$2:$I$97,$CC$77 + 1)," ")</f>
        <v xml:space="preserve"> </v>
      </c>
    </row>
    <row r="78" spans="1:90" x14ac:dyDescent="0.25">
      <c r="A78" s="24">
        <v>73</v>
      </c>
      <c r="B78" s="25"/>
      <c r="C78" s="43" t="str">
        <f ca="1">IFERROR(MATCH(INDIRECT("$B$78"),'1.Locations'!$B$2:$B$97, 0) - 1," ")</f>
        <v xml:space="preserve"> </v>
      </c>
      <c r="D78" s="43" t="e">
        <f ca="1">IFERROR(IF(ISNUMBER($C$78),INDEX('1.Locations'!$D$2:$D$97,$C$78 + 1),NA()),NA())</f>
        <v>#N/A</v>
      </c>
      <c r="E78" s="43" t="e">
        <f ca="1">IFERROR(IF(ISNUMBER($C$78),INDEX('1.Locations'!$E$2:$E$97,$C$78 + 1),NA()),NA())</f>
        <v>#N/A</v>
      </c>
      <c r="F78" s="44" t="str">
        <f ca="1">IFERROR(IF(AND(ISNUMBER($C$78),$C$78&lt;=95),INDEX('2.Distances'!$C$2:$C$9218,$C$77*96+$C$78+ 1) +$F$77," ")," ")</f>
        <v xml:space="preserve"> </v>
      </c>
      <c r="G78" s="43" t="str">
        <f ca="1">IFERROR(IF(ISNUMBER($C$78),INDEX('1.Locations'!$J$2:$J$97,$C$78 + 1) +$G$77," ")," ")</f>
        <v xml:space="preserve"> </v>
      </c>
      <c r="H78" s="43" t="str">
        <f ca="1">IFERROR(IF(ISNUMBER($C$78),INDEX('1.Locations'!$K$2:$K$97,$C$78 + 1) +$H$77," ")," ")</f>
        <v xml:space="preserve"> </v>
      </c>
      <c r="I78" s="45" t="str">
        <f ca="1">IFERROR(IF(AND(ISNUMBER($C$78),$C$78&lt;=95),INDEX('2.Distances'!$D$2:$D$9218,$C$77*96+$C$78+ 1) +$I$77," ")," ")</f>
        <v xml:space="preserve"> </v>
      </c>
      <c r="J78" s="46" t="str">
        <f ca="1">IFERROR(IF(AND(ISNUMBER($C$78),$C$78&lt;=95),INDEX('2.Distances'!$D$2:$D$9218,$C$77*96+$C$78+ 1) +$K$77," ")," ")</f>
        <v xml:space="preserve"> </v>
      </c>
      <c r="K78" s="46" t="str">
        <f ca="1">IFERROR(IF(ISNUMBER($J$78),INDEX('1.Locations'!$I$2:$I$97,$C$78 + 1) + MAX($J$78,INDEX('1.Locations'!$F$2:$F$97,$C$78 + 1))," ")," ")</f>
        <v xml:space="preserve"> </v>
      </c>
      <c r="L78" s="45" t="str">
        <f ca="1">IFERROR($L$77 + INDEX('2.Distances'!$D$2:$D$9218,$C$77*96+$C$78+ 1) + INDEX('1.Locations'!$I$2:$I$97,$C$78 + 1)," ")</f>
        <v xml:space="preserve"> </v>
      </c>
      <c r="N78" s="24">
        <v>73</v>
      </c>
      <c r="O78" s="25"/>
      <c r="P78" s="43" t="str">
        <f ca="1">IFERROR(MATCH(INDIRECT("$O$78"),'1.Locations'!$B$2:$B$97, 0) - 1," ")</f>
        <v xml:space="preserve"> </v>
      </c>
      <c r="Q78" s="43" t="e">
        <f ca="1">IFERROR(IF(ISNUMBER($P$78),INDEX('1.Locations'!$D$2:$D$97,$P$78 + 1),NA()),NA())</f>
        <v>#N/A</v>
      </c>
      <c r="R78" s="43" t="e">
        <f ca="1">IFERROR(IF(ISNUMBER($P$78),INDEX('1.Locations'!$E$2:$E$97,$P$78 + 1),NA()),NA())</f>
        <v>#N/A</v>
      </c>
      <c r="S78" s="44" t="str">
        <f ca="1">IFERROR(IF(AND(ISNUMBER($P$78),$P$78&lt;=95),INDEX('2.Distances'!$C$2:$C$9218,$P$77*96+$P$78+ 1) +$S$77," ")," ")</f>
        <v xml:space="preserve"> </v>
      </c>
      <c r="T78" s="43" t="str">
        <f ca="1">IFERROR(IF(ISNUMBER($P$78),INDEX('1.Locations'!$J$2:$J$97,$P$78 + 1) +$T$77," ")," ")</f>
        <v xml:space="preserve"> </v>
      </c>
      <c r="U78" s="43" t="str">
        <f ca="1">IFERROR(IF(ISNUMBER($P$78),INDEX('1.Locations'!$K$2:$K$97,$P$78 + 1) +$U$77," ")," ")</f>
        <v xml:space="preserve"> </v>
      </c>
      <c r="V78" s="45" t="str">
        <f ca="1">IFERROR(IF(AND(ISNUMBER($P$78),$P$78&lt;=95),INDEX('2.Distances'!$D$2:$D$9218,$P$77*96+$P$78+ 1) +$V$77," ")," ")</f>
        <v xml:space="preserve"> </v>
      </c>
      <c r="W78" s="46" t="str">
        <f ca="1">IFERROR(IF(AND(ISNUMBER($P$78),$P$78&lt;=95),INDEX('2.Distances'!$D$2:$D$9218,$P$77*96+$P$78+ 1) +$X$77," ")," ")</f>
        <v xml:space="preserve"> </v>
      </c>
      <c r="X78" s="46" t="str">
        <f ca="1">IFERROR(IF(ISNUMBER($W$78),INDEX('1.Locations'!$I$2:$I$97,$P$78 + 1) + MAX($W$78,INDEX('1.Locations'!$F$2:$F$97,$P$78 + 1))," ")," ")</f>
        <v xml:space="preserve"> </v>
      </c>
      <c r="Y78" s="45" t="str">
        <f ca="1">IFERROR($Y$77 + INDEX('2.Distances'!$D$2:$D$9218,$P$77*96+$P$78+ 1) + INDEX('1.Locations'!$I$2:$I$97,$P$78 + 1)," ")</f>
        <v xml:space="preserve"> </v>
      </c>
      <c r="AA78" s="24">
        <v>73</v>
      </c>
      <c r="AB78" s="25"/>
      <c r="AC78" s="43" t="str">
        <f ca="1">IFERROR(MATCH(INDIRECT("$AB$78"),'1.Locations'!$B$2:$B$97, 0) - 1," ")</f>
        <v xml:space="preserve"> </v>
      </c>
      <c r="AD78" s="43" t="e">
        <f ca="1">IFERROR(IF(ISNUMBER($AC$78),INDEX('1.Locations'!$D$2:$D$97,$AC$78 + 1),NA()),NA())</f>
        <v>#N/A</v>
      </c>
      <c r="AE78" s="43" t="e">
        <f ca="1">IFERROR(IF(ISNUMBER($AC$78),INDEX('1.Locations'!$E$2:$E$97,$AC$78 + 1),NA()),NA())</f>
        <v>#N/A</v>
      </c>
      <c r="AF78" s="44" t="str">
        <f ca="1">IFERROR(IF(AND(ISNUMBER($AC$78),$AC$78&lt;=95),INDEX('2.Distances'!$C$2:$C$9218,$AC$77*96+$AC$78+ 1) +$AF$77," ")," ")</f>
        <v xml:space="preserve"> </v>
      </c>
      <c r="AG78" s="43" t="str">
        <f ca="1">IFERROR(IF(ISNUMBER($AC$78),INDEX('1.Locations'!$J$2:$J$97,$AC$78 + 1) +$AG$77," ")," ")</f>
        <v xml:space="preserve"> </v>
      </c>
      <c r="AH78" s="43" t="str">
        <f ca="1">IFERROR(IF(ISNUMBER($AC$78),INDEX('1.Locations'!$K$2:$K$97,$AC$78 + 1) +$AH$77," ")," ")</f>
        <v xml:space="preserve"> </v>
      </c>
      <c r="AI78" s="45" t="str">
        <f ca="1">IFERROR(IF(AND(ISNUMBER($AC$78),$AC$78&lt;=95),INDEX('2.Distances'!$D$2:$D$9218,$AC$77*96+$AC$78+ 1) +$AI$77," ")," ")</f>
        <v xml:space="preserve"> </v>
      </c>
      <c r="AJ78" s="46" t="str">
        <f ca="1">IFERROR(IF(AND(ISNUMBER($AC$78),$AC$78&lt;=95),INDEX('2.Distances'!$D$2:$D$9218,$AC$77*96+$AC$78+ 1) +$AK$77," ")," ")</f>
        <v xml:space="preserve"> </v>
      </c>
      <c r="AK78" s="46" t="str">
        <f ca="1">IFERROR(IF(ISNUMBER($AJ$78),INDEX('1.Locations'!$I$2:$I$97,$AC$78 + 1) + MAX($AJ$78,INDEX('1.Locations'!$F$2:$F$97,$AC$78 + 1))," ")," ")</f>
        <v xml:space="preserve"> </v>
      </c>
      <c r="AL78" s="45" t="str">
        <f ca="1">IFERROR($AL$77 + INDEX('2.Distances'!$D$2:$D$9218,$AC$77*96+$AC$78+ 1) + INDEX('1.Locations'!$I$2:$I$97,$AC$78 + 1)," ")</f>
        <v xml:space="preserve"> </v>
      </c>
      <c r="AN78" s="24">
        <v>73</v>
      </c>
      <c r="AO78" s="25"/>
      <c r="AP78" s="43" t="str">
        <f ca="1">IFERROR(MATCH(INDIRECT("$AO$78"),'1.Locations'!$B$2:$B$97, 0) - 1," ")</f>
        <v xml:space="preserve"> </v>
      </c>
      <c r="AQ78" s="43" t="e">
        <f ca="1">IFERROR(IF(ISNUMBER($AP$78),INDEX('1.Locations'!$D$2:$D$97,$AP$78 + 1),NA()),NA())</f>
        <v>#N/A</v>
      </c>
      <c r="AR78" s="43" t="e">
        <f ca="1">IFERROR(IF(ISNUMBER($AP$78),INDEX('1.Locations'!$E$2:$E$97,$AP$78 + 1),NA()),NA())</f>
        <v>#N/A</v>
      </c>
      <c r="AS78" s="44" t="str">
        <f ca="1">IFERROR(IF(AND(ISNUMBER($AP$78),$AP$78&lt;=95),INDEX('2.Distances'!$C$2:$C$9218,$AP$77*96+$AP$78+ 1) +$AS$77," ")," ")</f>
        <v xml:space="preserve"> </v>
      </c>
      <c r="AT78" s="43" t="str">
        <f ca="1">IFERROR(IF(ISNUMBER($AP$78),INDEX('1.Locations'!$J$2:$J$97,$AP$78 + 1) +$AT$77," ")," ")</f>
        <v xml:space="preserve"> </v>
      </c>
      <c r="AU78" s="43" t="str">
        <f ca="1">IFERROR(IF(ISNUMBER($AP$78),INDEX('1.Locations'!$K$2:$K$97,$AP$78 + 1) +$AU$77," ")," ")</f>
        <v xml:space="preserve"> </v>
      </c>
      <c r="AV78" s="45" t="str">
        <f ca="1">IFERROR(IF(AND(ISNUMBER($AP$78),$AP$78&lt;=95),INDEX('2.Distances'!$D$2:$D$9218,$AP$77*96+$AP$78+ 1) +$AV$77," ")," ")</f>
        <v xml:space="preserve"> </v>
      </c>
      <c r="AW78" s="46" t="str">
        <f ca="1">IFERROR(IF(AND(ISNUMBER($AP$78),$AP$78&lt;=95),INDEX('2.Distances'!$D$2:$D$9218,$AP$77*96+$AP$78+ 1) +$AX$77," ")," ")</f>
        <v xml:space="preserve"> </v>
      </c>
      <c r="AX78" s="46" t="str">
        <f ca="1">IFERROR(IF(ISNUMBER($AW$78),INDEX('1.Locations'!$I$2:$I$97,$AP$78 + 1) + MAX($AW$78,INDEX('1.Locations'!$F$2:$F$97,$AP$78 + 1))," ")," ")</f>
        <v xml:space="preserve"> </v>
      </c>
      <c r="AY78" s="45" t="str">
        <f ca="1">IFERROR($AY$77 + INDEX('2.Distances'!$D$2:$D$9218,$AP$77*96+$AP$78+ 1) + INDEX('1.Locations'!$I$2:$I$97,$AP$78 + 1)," ")</f>
        <v xml:space="preserve"> </v>
      </c>
      <c r="BA78" s="24">
        <v>73</v>
      </c>
      <c r="BB78" s="25"/>
      <c r="BC78" s="43" t="str">
        <f ca="1">IFERROR(MATCH(INDIRECT("$BB$78"),'1.Locations'!$B$2:$B$97, 0) - 1," ")</f>
        <v xml:space="preserve"> </v>
      </c>
      <c r="BD78" s="43" t="e">
        <f ca="1">IFERROR(IF(ISNUMBER($BC$78),INDEX('1.Locations'!$D$2:$D$97,$BC$78 + 1),NA()),NA())</f>
        <v>#N/A</v>
      </c>
      <c r="BE78" s="43" t="e">
        <f ca="1">IFERROR(IF(ISNUMBER($BC$78),INDEX('1.Locations'!$E$2:$E$97,$BC$78 + 1),NA()),NA())</f>
        <v>#N/A</v>
      </c>
      <c r="BF78" s="44" t="str">
        <f ca="1">IFERROR(IF(AND(ISNUMBER($BC$78),$BC$78&lt;=95),INDEX('2.Distances'!$C$2:$C$9218,$BC$77*96+$BC$78+ 1) +$BF$77," ")," ")</f>
        <v xml:space="preserve"> </v>
      </c>
      <c r="BG78" s="43" t="str">
        <f ca="1">IFERROR(IF(ISNUMBER($BC$78),INDEX('1.Locations'!$J$2:$J$97,$BC$78 + 1) +$BG$77," ")," ")</f>
        <v xml:space="preserve"> </v>
      </c>
      <c r="BH78" s="43" t="str">
        <f ca="1">IFERROR(IF(ISNUMBER($BC$78),INDEX('1.Locations'!$K$2:$K$97,$BC$78 + 1) +$BH$77," ")," ")</f>
        <v xml:space="preserve"> </v>
      </c>
      <c r="BI78" s="45" t="str">
        <f ca="1">IFERROR(IF(AND(ISNUMBER($BC$78),$BC$78&lt;=95),INDEX('2.Distances'!$D$2:$D$9218,$BC$77*96+$BC$78+ 1) +$BI$77," ")," ")</f>
        <v xml:space="preserve"> </v>
      </c>
      <c r="BJ78" s="46" t="str">
        <f ca="1">IFERROR(IF(AND(ISNUMBER($BC$78),$BC$78&lt;=95),INDEX('2.Distances'!$D$2:$D$9218,$BC$77*96+$BC$78+ 1) +$BK$77," ")," ")</f>
        <v xml:space="preserve"> </v>
      </c>
      <c r="BK78" s="46" t="str">
        <f ca="1">IFERROR(IF(ISNUMBER($BJ$78),INDEX('1.Locations'!$I$2:$I$97,$BC$78 + 1) + MAX($BJ$78,INDEX('1.Locations'!$F$2:$F$97,$BC$78 + 1))," ")," ")</f>
        <v xml:space="preserve"> </v>
      </c>
      <c r="BL78" s="45" t="str">
        <f ca="1">IFERROR($BL$77 + INDEX('2.Distances'!$D$2:$D$9218,$BC$77*96+$BC$78+ 1) + INDEX('1.Locations'!$I$2:$I$97,$BC$78 + 1)," ")</f>
        <v xml:space="preserve"> </v>
      </c>
      <c r="BN78" s="24">
        <v>73</v>
      </c>
      <c r="BO78" s="25"/>
      <c r="BP78" s="43" t="str">
        <f ca="1">IFERROR(MATCH(INDIRECT("$BO$78"),'1.Locations'!$B$2:$B$97, 0) - 1," ")</f>
        <v xml:space="preserve"> </v>
      </c>
      <c r="BQ78" s="43" t="e">
        <f ca="1">IFERROR(IF(ISNUMBER($BP$78),INDEX('1.Locations'!$D$2:$D$97,$BP$78 + 1),NA()),NA())</f>
        <v>#N/A</v>
      </c>
      <c r="BR78" s="43" t="e">
        <f ca="1">IFERROR(IF(ISNUMBER($BP$78),INDEX('1.Locations'!$E$2:$E$97,$BP$78 + 1),NA()),NA())</f>
        <v>#N/A</v>
      </c>
      <c r="BS78" s="44" t="str">
        <f ca="1">IFERROR(IF(AND(ISNUMBER($BP$78),$BP$78&lt;=95),INDEX('2.Distances'!$C$2:$C$9218,$BP$77*96+$BP$78+ 1) +$BS$77," ")," ")</f>
        <v xml:space="preserve"> </v>
      </c>
      <c r="BT78" s="43" t="str">
        <f ca="1">IFERROR(IF(ISNUMBER($BP$78),INDEX('1.Locations'!$J$2:$J$97,$BP$78 + 1) +$BT$77," ")," ")</f>
        <v xml:space="preserve"> </v>
      </c>
      <c r="BU78" s="43" t="str">
        <f ca="1">IFERROR(IF(ISNUMBER($BP$78),INDEX('1.Locations'!$K$2:$K$97,$BP$78 + 1) +$BU$77," ")," ")</f>
        <v xml:space="preserve"> </v>
      </c>
      <c r="BV78" s="45" t="str">
        <f ca="1">IFERROR(IF(AND(ISNUMBER($BP$78),$BP$78&lt;=95),INDEX('2.Distances'!$D$2:$D$9218,$BP$77*96+$BP$78+ 1) +$BV$77," ")," ")</f>
        <v xml:space="preserve"> </v>
      </c>
      <c r="BW78" s="46" t="str">
        <f ca="1">IFERROR(IF(AND(ISNUMBER($BP$78),$BP$78&lt;=95),INDEX('2.Distances'!$D$2:$D$9218,$BP$77*96+$BP$78+ 1) +$BX$77," ")," ")</f>
        <v xml:space="preserve"> </v>
      </c>
      <c r="BX78" s="46" t="str">
        <f ca="1">IFERROR(IF(ISNUMBER($BW$78),INDEX('1.Locations'!$I$2:$I$97,$BP$78 + 1) + MAX($BW$78,INDEX('1.Locations'!$F$2:$F$97,$BP$78 + 1))," ")," ")</f>
        <v xml:space="preserve"> </v>
      </c>
      <c r="BY78" s="45" t="str">
        <f ca="1">IFERROR($BY$77 + INDEX('2.Distances'!$D$2:$D$9218,$BP$77*96+$BP$78+ 1) + INDEX('1.Locations'!$I$2:$I$97,$BP$78 + 1)," ")</f>
        <v xml:space="preserve"> </v>
      </c>
      <c r="CA78" s="24">
        <v>73</v>
      </c>
      <c r="CB78" s="25"/>
      <c r="CC78" s="43" t="str">
        <f ca="1">IFERROR(MATCH(INDIRECT("$CB$78"),'1.Locations'!$B$2:$B$97, 0) - 1," ")</f>
        <v xml:space="preserve"> </v>
      </c>
      <c r="CD78" s="43" t="e">
        <f ca="1">IFERROR(IF(ISNUMBER($CC$78),INDEX('1.Locations'!$D$2:$D$97,$CC$78 + 1),NA()),NA())</f>
        <v>#N/A</v>
      </c>
      <c r="CE78" s="43" t="e">
        <f ca="1">IFERROR(IF(ISNUMBER($CC$78),INDEX('1.Locations'!$E$2:$E$97,$CC$78 + 1),NA()),NA())</f>
        <v>#N/A</v>
      </c>
      <c r="CF78" s="44" t="str">
        <f ca="1">IFERROR(IF(AND(ISNUMBER($CC$78),$CC$78&lt;=95),INDEX('2.Distances'!$C$2:$C$9218,$CC$77*96+$CC$78+ 1) +$CF$77," ")," ")</f>
        <v xml:space="preserve"> </v>
      </c>
      <c r="CG78" s="43" t="str">
        <f ca="1">IFERROR(IF(ISNUMBER($CC$78),INDEX('1.Locations'!$J$2:$J$97,$CC$78 + 1) +$CG$77," ")," ")</f>
        <v xml:space="preserve"> </v>
      </c>
      <c r="CH78" s="43" t="str">
        <f ca="1">IFERROR(IF(ISNUMBER($CC$78),INDEX('1.Locations'!$K$2:$K$97,$CC$78 + 1) +$CH$77," ")," ")</f>
        <v xml:space="preserve"> </v>
      </c>
      <c r="CI78" s="45" t="str">
        <f ca="1">IFERROR(IF(AND(ISNUMBER($CC$78),$CC$78&lt;=95),INDEX('2.Distances'!$D$2:$D$9218,$CC$77*96+$CC$78+ 1) +$CI$77," ")," ")</f>
        <v xml:space="preserve"> </v>
      </c>
      <c r="CJ78" s="46" t="str">
        <f ca="1">IFERROR(IF(AND(ISNUMBER($CC$78),$CC$78&lt;=95),INDEX('2.Distances'!$D$2:$D$9218,$CC$77*96+$CC$78+ 1) +$CK$77," ")," ")</f>
        <v xml:space="preserve"> </v>
      </c>
      <c r="CK78" s="46" t="str">
        <f ca="1">IFERROR(IF(ISNUMBER($CJ$78),INDEX('1.Locations'!$I$2:$I$97,$CC$78 + 1) + MAX($CJ$78,INDEX('1.Locations'!$F$2:$F$97,$CC$78 + 1))," ")," ")</f>
        <v xml:space="preserve"> </v>
      </c>
      <c r="CL78" s="45" t="str">
        <f ca="1">IFERROR($CL$77 + INDEX('2.Distances'!$D$2:$D$9218,$CC$77*96+$CC$78+ 1) + INDEX('1.Locations'!$I$2:$I$97,$CC$78 + 1)," ")</f>
        <v xml:space="preserve"> </v>
      </c>
    </row>
    <row r="79" spans="1:90" x14ac:dyDescent="0.25">
      <c r="A79" s="24">
        <v>74</v>
      </c>
      <c r="B79" s="25"/>
      <c r="C79" s="43" t="str">
        <f ca="1">IFERROR(MATCH(INDIRECT("$B$79"),'1.Locations'!$B$2:$B$97, 0) - 1," ")</f>
        <v xml:space="preserve"> </v>
      </c>
      <c r="D79" s="43" t="e">
        <f ca="1">IFERROR(IF(ISNUMBER($C$79),INDEX('1.Locations'!$D$2:$D$97,$C$79 + 1),NA()),NA())</f>
        <v>#N/A</v>
      </c>
      <c r="E79" s="43" t="e">
        <f ca="1">IFERROR(IF(ISNUMBER($C$79),INDEX('1.Locations'!$E$2:$E$97,$C$79 + 1),NA()),NA())</f>
        <v>#N/A</v>
      </c>
      <c r="F79" s="44" t="str">
        <f ca="1">IFERROR(IF(AND(ISNUMBER($C$79),$C$79&lt;=95),INDEX('2.Distances'!$C$2:$C$9218,$C$78*96+$C$79+ 1) +$F$78," ")," ")</f>
        <v xml:space="preserve"> </v>
      </c>
      <c r="G79" s="43" t="str">
        <f ca="1">IFERROR(IF(ISNUMBER($C$79),INDEX('1.Locations'!$J$2:$J$97,$C$79 + 1) +$G$78," ")," ")</f>
        <v xml:space="preserve"> </v>
      </c>
      <c r="H79" s="43" t="str">
        <f ca="1">IFERROR(IF(ISNUMBER($C$79),INDEX('1.Locations'!$K$2:$K$97,$C$79 + 1) +$H$78," ")," ")</f>
        <v xml:space="preserve"> </v>
      </c>
      <c r="I79" s="45" t="str">
        <f ca="1">IFERROR(IF(AND(ISNUMBER($C$79),$C$79&lt;=95),INDEX('2.Distances'!$D$2:$D$9218,$C$78*96+$C$79+ 1) +$I$78," ")," ")</f>
        <v xml:space="preserve"> </v>
      </c>
      <c r="J79" s="46" t="str">
        <f ca="1">IFERROR(IF(AND(ISNUMBER($C$79),$C$79&lt;=95),INDEX('2.Distances'!$D$2:$D$9218,$C$78*96+$C$79+ 1) +$K$78," ")," ")</f>
        <v xml:space="preserve"> </v>
      </c>
      <c r="K79" s="46" t="str">
        <f ca="1">IFERROR(IF(ISNUMBER($J$79),INDEX('1.Locations'!$I$2:$I$97,$C$79 + 1) + MAX($J$79,INDEX('1.Locations'!$F$2:$F$97,$C$79 + 1))," ")," ")</f>
        <v xml:space="preserve"> </v>
      </c>
      <c r="L79" s="45" t="str">
        <f ca="1">IFERROR($L$78 + INDEX('2.Distances'!$D$2:$D$9218,$C$78*96+$C$79+ 1) + INDEX('1.Locations'!$I$2:$I$97,$C$79 + 1)," ")</f>
        <v xml:space="preserve"> </v>
      </c>
      <c r="N79" s="24">
        <v>74</v>
      </c>
      <c r="O79" s="25"/>
      <c r="P79" s="43" t="str">
        <f ca="1">IFERROR(MATCH(INDIRECT("$O$79"),'1.Locations'!$B$2:$B$97, 0) - 1," ")</f>
        <v xml:space="preserve"> </v>
      </c>
      <c r="Q79" s="43" t="e">
        <f ca="1">IFERROR(IF(ISNUMBER($P$79),INDEX('1.Locations'!$D$2:$D$97,$P$79 + 1),NA()),NA())</f>
        <v>#N/A</v>
      </c>
      <c r="R79" s="43" t="e">
        <f ca="1">IFERROR(IF(ISNUMBER($P$79),INDEX('1.Locations'!$E$2:$E$97,$P$79 + 1),NA()),NA())</f>
        <v>#N/A</v>
      </c>
      <c r="S79" s="44" t="str">
        <f ca="1">IFERROR(IF(AND(ISNUMBER($P$79),$P$79&lt;=95),INDEX('2.Distances'!$C$2:$C$9218,$P$78*96+$P$79+ 1) +$S$78," ")," ")</f>
        <v xml:space="preserve"> </v>
      </c>
      <c r="T79" s="43" t="str">
        <f ca="1">IFERROR(IF(ISNUMBER($P$79),INDEX('1.Locations'!$J$2:$J$97,$P$79 + 1) +$T$78," ")," ")</f>
        <v xml:space="preserve"> </v>
      </c>
      <c r="U79" s="43" t="str">
        <f ca="1">IFERROR(IF(ISNUMBER($P$79),INDEX('1.Locations'!$K$2:$K$97,$P$79 + 1) +$U$78," ")," ")</f>
        <v xml:space="preserve"> </v>
      </c>
      <c r="V79" s="45" t="str">
        <f ca="1">IFERROR(IF(AND(ISNUMBER($P$79),$P$79&lt;=95),INDEX('2.Distances'!$D$2:$D$9218,$P$78*96+$P$79+ 1) +$V$78," ")," ")</f>
        <v xml:space="preserve"> </v>
      </c>
      <c r="W79" s="46" t="str">
        <f ca="1">IFERROR(IF(AND(ISNUMBER($P$79),$P$79&lt;=95),INDEX('2.Distances'!$D$2:$D$9218,$P$78*96+$P$79+ 1) +$X$78," ")," ")</f>
        <v xml:space="preserve"> </v>
      </c>
      <c r="X79" s="46" t="str">
        <f ca="1">IFERROR(IF(ISNUMBER($W$79),INDEX('1.Locations'!$I$2:$I$97,$P$79 + 1) + MAX($W$79,INDEX('1.Locations'!$F$2:$F$97,$P$79 + 1))," ")," ")</f>
        <v xml:space="preserve"> </v>
      </c>
      <c r="Y79" s="45" t="str">
        <f ca="1">IFERROR($Y$78 + INDEX('2.Distances'!$D$2:$D$9218,$P$78*96+$P$79+ 1) + INDEX('1.Locations'!$I$2:$I$97,$P$79 + 1)," ")</f>
        <v xml:space="preserve"> </v>
      </c>
      <c r="AA79" s="24">
        <v>74</v>
      </c>
      <c r="AB79" s="25"/>
      <c r="AC79" s="43" t="str">
        <f ca="1">IFERROR(MATCH(INDIRECT("$AB$79"),'1.Locations'!$B$2:$B$97, 0) - 1," ")</f>
        <v xml:space="preserve"> </v>
      </c>
      <c r="AD79" s="43" t="e">
        <f ca="1">IFERROR(IF(ISNUMBER($AC$79),INDEX('1.Locations'!$D$2:$D$97,$AC$79 + 1),NA()),NA())</f>
        <v>#N/A</v>
      </c>
      <c r="AE79" s="43" t="e">
        <f ca="1">IFERROR(IF(ISNUMBER($AC$79),INDEX('1.Locations'!$E$2:$E$97,$AC$79 + 1),NA()),NA())</f>
        <v>#N/A</v>
      </c>
      <c r="AF79" s="44" t="str">
        <f ca="1">IFERROR(IF(AND(ISNUMBER($AC$79),$AC$79&lt;=95),INDEX('2.Distances'!$C$2:$C$9218,$AC$78*96+$AC$79+ 1) +$AF$78," ")," ")</f>
        <v xml:space="preserve"> </v>
      </c>
      <c r="AG79" s="43" t="str">
        <f ca="1">IFERROR(IF(ISNUMBER($AC$79),INDEX('1.Locations'!$J$2:$J$97,$AC$79 + 1) +$AG$78," ")," ")</f>
        <v xml:space="preserve"> </v>
      </c>
      <c r="AH79" s="43" t="str">
        <f ca="1">IFERROR(IF(ISNUMBER($AC$79),INDEX('1.Locations'!$K$2:$K$97,$AC$79 + 1) +$AH$78," ")," ")</f>
        <v xml:space="preserve"> </v>
      </c>
      <c r="AI79" s="45" t="str">
        <f ca="1">IFERROR(IF(AND(ISNUMBER($AC$79),$AC$79&lt;=95),INDEX('2.Distances'!$D$2:$D$9218,$AC$78*96+$AC$79+ 1) +$AI$78," ")," ")</f>
        <v xml:space="preserve"> </v>
      </c>
      <c r="AJ79" s="46" t="str">
        <f ca="1">IFERROR(IF(AND(ISNUMBER($AC$79),$AC$79&lt;=95),INDEX('2.Distances'!$D$2:$D$9218,$AC$78*96+$AC$79+ 1) +$AK$78," ")," ")</f>
        <v xml:space="preserve"> </v>
      </c>
      <c r="AK79" s="46" t="str">
        <f ca="1">IFERROR(IF(ISNUMBER($AJ$79),INDEX('1.Locations'!$I$2:$I$97,$AC$79 + 1) + MAX($AJ$79,INDEX('1.Locations'!$F$2:$F$97,$AC$79 + 1))," ")," ")</f>
        <v xml:space="preserve"> </v>
      </c>
      <c r="AL79" s="45" t="str">
        <f ca="1">IFERROR($AL$78 + INDEX('2.Distances'!$D$2:$D$9218,$AC$78*96+$AC$79+ 1) + INDEX('1.Locations'!$I$2:$I$97,$AC$79 + 1)," ")</f>
        <v xml:space="preserve"> </v>
      </c>
      <c r="AN79" s="24">
        <v>74</v>
      </c>
      <c r="AO79" s="25"/>
      <c r="AP79" s="43" t="str">
        <f ca="1">IFERROR(MATCH(INDIRECT("$AO$79"),'1.Locations'!$B$2:$B$97, 0) - 1," ")</f>
        <v xml:space="preserve"> </v>
      </c>
      <c r="AQ79" s="43" t="e">
        <f ca="1">IFERROR(IF(ISNUMBER($AP$79),INDEX('1.Locations'!$D$2:$D$97,$AP$79 + 1),NA()),NA())</f>
        <v>#N/A</v>
      </c>
      <c r="AR79" s="43" t="e">
        <f ca="1">IFERROR(IF(ISNUMBER($AP$79),INDEX('1.Locations'!$E$2:$E$97,$AP$79 + 1),NA()),NA())</f>
        <v>#N/A</v>
      </c>
      <c r="AS79" s="44" t="str">
        <f ca="1">IFERROR(IF(AND(ISNUMBER($AP$79),$AP$79&lt;=95),INDEX('2.Distances'!$C$2:$C$9218,$AP$78*96+$AP$79+ 1) +$AS$78," ")," ")</f>
        <v xml:space="preserve"> </v>
      </c>
      <c r="AT79" s="43" t="str">
        <f ca="1">IFERROR(IF(ISNUMBER($AP$79),INDEX('1.Locations'!$J$2:$J$97,$AP$79 + 1) +$AT$78," ")," ")</f>
        <v xml:space="preserve"> </v>
      </c>
      <c r="AU79" s="43" t="str">
        <f ca="1">IFERROR(IF(ISNUMBER($AP$79),INDEX('1.Locations'!$K$2:$K$97,$AP$79 + 1) +$AU$78," ")," ")</f>
        <v xml:space="preserve"> </v>
      </c>
      <c r="AV79" s="45" t="str">
        <f ca="1">IFERROR(IF(AND(ISNUMBER($AP$79),$AP$79&lt;=95),INDEX('2.Distances'!$D$2:$D$9218,$AP$78*96+$AP$79+ 1) +$AV$78," ")," ")</f>
        <v xml:space="preserve"> </v>
      </c>
      <c r="AW79" s="46" t="str">
        <f ca="1">IFERROR(IF(AND(ISNUMBER($AP$79),$AP$79&lt;=95),INDEX('2.Distances'!$D$2:$D$9218,$AP$78*96+$AP$79+ 1) +$AX$78," ")," ")</f>
        <v xml:space="preserve"> </v>
      </c>
      <c r="AX79" s="46" t="str">
        <f ca="1">IFERROR(IF(ISNUMBER($AW$79),INDEX('1.Locations'!$I$2:$I$97,$AP$79 + 1) + MAX($AW$79,INDEX('1.Locations'!$F$2:$F$97,$AP$79 + 1))," ")," ")</f>
        <v xml:space="preserve"> </v>
      </c>
      <c r="AY79" s="45" t="str">
        <f ca="1">IFERROR($AY$78 + INDEX('2.Distances'!$D$2:$D$9218,$AP$78*96+$AP$79+ 1) + INDEX('1.Locations'!$I$2:$I$97,$AP$79 + 1)," ")</f>
        <v xml:space="preserve"> </v>
      </c>
      <c r="BA79" s="24">
        <v>74</v>
      </c>
      <c r="BB79" s="25"/>
      <c r="BC79" s="43" t="str">
        <f ca="1">IFERROR(MATCH(INDIRECT("$BB$79"),'1.Locations'!$B$2:$B$97, 0) - 1," ")</f>
        <v xml:space="preserve"> </v>
      </c>
      <c r="BD79" s="43" t="e">
        <f ca="1">IFERROR(IF(ISNUMBER($BC$79),INDEX('1.Locations'!$D$2:$D$97,$BC$79 + 1),NA()),NA())</f>
        <v>#N/A</v>
      </c>
      <c r="BE79" s="43" t="e">
        <f ca="1">IFERROR(IF(ISNUMBER($BC$79),INDEX('1.Locations'!$E$2:$E$97,$BC$79 + 1),NA()),NA())</f>
        <v>#N/A</v>
      </c>
      <c r="BF79" s="44" t="str">
        <f ca="1">IFERROR(IF(AND(ISNUMBER($BC$79),$BC$79&lt;=95),INDEX('2.Distances'!$C$2:$C$9218,$BC$78*96+$BC$79+ 1) +$BF$78," ")," ")</f>
        <v xml:space="preserve"> </v>
      </c>
      <c r="BG79" s="43" t="str">
        <f ca="1">IFERROR(IF(ISNUMBER($BC$79),INDEX('1.Locations'!$J$2:$J$97,$BC$79 + 1) +$BG$78," ")," ")</f>
        <v xml:space="preserve"> </v>
      </c>
      <c r="BH79" s="43" t="str">
        <f ca="1">IFERROR(IF(ISNUMBER($BC$79),INDEX('1.Locations'!$K$2:$K$97,$BC$79 + 1) +$BH$78," ")," ")</f>
        <v xml:space="preserve"> </v>
      </c>
      <c r="BI79" s="45" t="str">
        <f ca="1">IFERROR(IF(AND(ISNUMBER($BC$79),$BC$79&lt;=95),INDEX('2.Distances'!$D$2:$D$9218,$BC$78*96+$BC$79+ 1) +$BI$78," ")," ")</f>
        <v xml:space="preserve"> </v>
      </c>
      <c r="BJ79" s="46" t="str">
        <f ca="1">IFERROR(IF(AND(ISNUMBER($BC$79),$BC$79&lt;=95),INDEX('2.Distances'!$D$2:$D$9218,$BC$78*96+$BC$79+ 1) +$BK$78," ")," ")</f>
        <v xml:space="preserve"> </v>
      </c>
      <c r="BK79" s="46" t="str">
        <f ca="1">IFERROR(IF(ISNUMBER($BJ$79),INDEX('1.Locations'!$I$2:$I$97,$BC$79 + 1) + MAX($BJ$79,INDEX('1.Locations'!$F$2:$F$97,$BC$79 + 1))," ")," ")</f>
        <v xml:space="preserve"> </v>
      </c>
      <c r="BL79" s="45" t="str">
        <f ca="1">IFERROR($BL$78 + INDEX('2.Distances'!$D$2:$D$9218,$BC$78*96+$BC$79+ 1) + INDEX('1.Locations'!$I$2:$I$97,$BC$79 + 1)," ")</f>
        <v xml:space="preserve"> </v>
      </c>
      <c r="BN79" s="24">
        <v>74</v>
      </c>
      <c r="BO79" s="25"/>
      <c r="BP79" s="43" t="str">
        <f ca="1">IFERROR(MATCH(INDIRECT("$BO$79"),'1.Locations'!$B$2:$B$97, 0) - 1," ")</f>
        <v xml:space="preserve"> </v>
      </c>
      <c r="BQ79" s="43" t="e">
        <f ca="1">IFERROR(IF(ISNUMBER($BP$79),INDEX('1.Locations'!$D$2:$D$97,$BP$79 + 1),NA()),NA())</f>
        <v>#N/A</v>
      </c>
      <c r="BR79" s="43" t="e">
        <f ca="1">IFERROR(IF(ISNUMBER($BP$79),INDEX('1.Locations'!$E$2:$E$97,$BP$79 + 1),NA()),NA())</f>
        <v>#N/A</v>
      </c>
      <c r="BS79" s="44" t="str">
        <f ca="1">IFERROR(IF(AND(ISNUMBER($BP$79),$BP$79&lt;=95),INDEX('2.Distances'!$C$2:$C$9218,$BP$78*96+$BP$79+ 1) +$BS$78," ")," ")</f>
        <v xml:space="preserve"> </v>
      </c>
      <c r="BT79" s="43" t="str">
        <f ca="1">IFERROR(IF(ISNUMBER($BP$79),INDEX('1.Locations'!$J$2:$J$97,$BP$79 + 1) +$BT$78," ")," ")</f>
        <v xml:space="preserve"> </v>
      </c>
      <c r="BU79" s="43" t="str">
        <f ca="1">IFERROR(IF(ISNUMBER($BP$79),INDEX('1.Locations'!$K$2:$K$97,$BP$79 + 1) +$BU$78," ")," ")</f>
        <v xml:space="preserve"> </v>
      </c>
      <c r="BV79" s="45" t="str">
        <f ca="1">IFERROR(IF(AND(ISNUMBER($BP$79),$BP$79&lt;=95),INDEX('2.Distances'!$D$2:$D$9218,$BP$78*96+$BP$79+ 1) +$BV$78," ")," ")</f>
        <v xml:space="preserve"> </v>
      </c>
      <c r="BW79" s="46" t="str">
        <f ca="1">IFERROR(IF(AND(ISNUMBER($BP$79),$BP$79&lt;=95),INDEX('2.Distances'!$D$2:$D$9218,$BP$78*96+$BP$79+ 1) +$BX$78," ")," ")</f>
        <v xml:space="preserve"> </v>
      </c>
      <c r="BX79" s="46" t="str">
        <f ca="1">IFERROR(IF(ISNUMBER($BW$79),INDEX('1.Locations'!$I$2:$I$97,$BP$79 + 1) + MAX($BW$79,INDEX('1.Locations'!$F$2:$F$97,$BP$79 + 1))," ")," ")</f>
        <v xml:space="preserve"> </v>
      </c>
      <c r="BY79" s="45" t="str">
        <f ca="1">IFERROR($BY$78 + INDEX('2.Distances'!$D$2:$D$9218,$BP$78*96+$BP$79+ 1) + INDEX('1.Locations'!$I$2:$I$97,$BP$79 + 1)," ")</f>
        <v xml:space="preserve"> </v>
      </c>
      <c r="CA79" s="24">
        <v>74</v>
      </c>
      <c r="CB79" s="25"/>
      <c r="CC79" s="43" t="str">
        <f ca="1">IFERROR(MATCH(INDIRECT("$CB$79"),'1.Locations'!$B$2:$B$97, 0) - 1," ")</f>
        <v xml:space="preserve"> </v>
      </c>
      <c r="CD79" s="43" t="e">
        <f ca="1">IFERROR(IF(ISNUMBER($CC$79),INDEX('1.Locations'!$D$2:$D$97,$CC$79 + 1),NA()),NA())</f>
        <v>#N/A</v>
      </c>
      <c r="CE79" s="43" t="e">
        <f ca="1">IFERROR(IF(ISNUMBER($CC$79),INDEX('1.Locations'!$E$2:$E$97,$CC$79 + 1),NA()),NA())</f>
        <v>#N/A</v>
      </c>
      <c r="CF79" s="44" t="str">
        <f ca="1">IFERROR(IF(AND(ISNUMBER($CC$79),$CC$79&lt;=95),INDEX('2.Distances'!$C$2:$C$9218,$CC$78*96+$CC$79+ 1) +$CF$78," ")," ")</f>
        <v xml:space="preserve"> </v>
      </c>
      <c r="CG79" s="43" t="str">
        <f ca="1">IFERROR(IF(ISNUMBER($CC$79),INDEX('1.Locations'!$J$2:$J$97,$CC$79 + 1) +$CG$78," ")," ")</f>
        <v xml:space="preserve"> </v>
      </c>
      <c r="CH79" s="43" t="str">
        <f ca="1">IFERROR(IF(ISNUMBER($CC$79),INDEX('1.Locations'!$K$2:$K$97,$CC$79 + 1) +$CH$78," ")," ")</f>
        <v xml:space="preserve"> </v>
      </c>
      <c r="CI79" s="45" t="str">
        <f ca="1">IFERROR(IF(AND(ISNUMBER($CC$79),$CC$79&lt;=95),INDEX('2.Distances'!$D$2:$D$9218,$CC$78*96+$CC$79+ 1) +$CI$78," ")," ")</f>
        <v xml:space="preserve"> </v>
      </c>
      <c r="CJ79" s="46" t="str">
        <f ca="1">IFERROR(IF(AND(ISNUMBER($CC$79),$CC$79&lt;=95),INDEX('2.Distances'!$D$2:$D$9218,$CC$78*96+$CC$79+ 1) +$CK$78," ")," ")</f>
        <v xml:space="preserve"> </v>
      </c>
      <c r="CK79" s="46" t="str">
        <f ca="1">IFERROR(IF(ISNUMBER($CJ$79),INDEX('1.Locations'!$I$2:$I$97,$CC$79 + 1) + MAX($CJ$79,INDEX('1.Locations'!$F$2:$F$97,$CC$79 + 1))," ")," ")</f>
        <v xml:space="preserve"> </v>
      </c>
      <c r="CL79" s="45" t="str">
        <f ca="1">IFERROR($CL$78 + INDEX('2.Distances'!$D$2:$D$9218,$CC$78*96+$CC$79+ 1) + INDEX('1.Locations'!$I$2:$I$97,$CC$79 + 1)," ")</f>
        <v xml:space="preserve"> </v>
      </c>
    </row>
    <row r="80" spans="1:90" x14ac:dyDescent="0.25">
      <c r="A80" s="24">
        <v>75</v>
      </c>
      <c r="B80" s="25"/>
      <c r="C80" s="43" t="str">
        <f ca="1">IFERROR(MATCH(INDIRECT("$B$80"),'1.Locations'!$B$2:$B$97, 0) - 1," ")</f>
        <v xml:space="preserve"> </v>
      </c>
      <c r="D80" s="43" t="e">
        <f ca="1">IFERROR(IF(ISNUMBER($C$80),INDEX('1.Locations'!$D$2:$D$97,$C$80 + 1),NA()),NA())</f>
        <v>#N/A</v>
      </c>
      <c r="E80" s="43" t="e">
        <f ca="1">IFERROR(IF(ISNUMBER($C$80),INDEX('1.Locations'!$E$2:$E$97,$C$80 + 1),NA()),NA())</f>
        <v>#N/A</v>
      </c>
      <c r="F80" s="44" t="str">
        <f ca="1">IFERROR(IF(AND(ISNUMBER($C$80),$C$80&lt;=95),INDEX('2.Distances'!$C$2:$C$9218,$C$79*96+$C$80+ 1) +$F$79," ")," ")</f>
        <v xml:space="preserve"> </v>
      </c>
      <c r="G80" s="43" t="str">
        <f ca="1">IFERROR(IF(ISNUMBER($C$80),INDEX('1.Locations'!$J$2:$J$97,$C$80 + 1) +$G$79," ")," ")</f>
        <v xml:space="preserve"> </v>
      </c>
      <c r="H80" s="43" t="str">
        <f ca="1">IFERROR(IF(ISNUMBER($C$80),INDEX('1.Locations'!$K$2:$K$97,$C$80 + 1) +$H$79," ")," ")</f>
        <v xml:space="preserve"> </v>
      </c>
      <c r="I80" s="45" t="str">
        <f ca="1">IFERROR(IF(AND(ISNUMBER($C$80),$C$80&lt;=95),INDEX('2.Distances'!$D$2:$D$9218,$C$79*96+$C$80+ 1) +$I$79," ")," ")</f>
        <v xml:space="preserve"> </v>
      </c>
      <c r="J80" s="46" t="str">
        <f ca="1">IFERROR(IF(AND(ISNUMBER($C$80),$C$80&lt;=95),INDEX('2.Distances'!$D$2:$D$9218,$C$79*96+$C$80+ 1) +$K$79," ")," ")</f>
        <v xml:space="preserve"> </v>
      </c>
      <c r="K80" s="46" t="str">
        <f ca="1">IFERROR(IF(ISNUMBER($J$80),INDEX('1.Locations'!$I$2:$I$97,$C$80 + 1) + MAX($J$80,INDEX('1.Locations'!$F$2:$F$97,$C$80 + 1))," ")," ")</f>
        <v xml:space="preserve"> </v>
      </c>
      <c r="L80" s="45" t="str">
        <f ca="1">IFERROR($L$79 + INDEX('2.Distances'!$D$2:$D$9218,$C$79*96+$C$80+ 1) + INDEX('1.Locations'!$I$2:$I$97,$C$80 + 1)," ")</f>
        <v xml:space="preserve"> </v>
      </c>
      <c r="N80" s="24">
        <v>75</v>
      </c>
      <c r="O80" s="25"/>
      <c r="P80" s="43" t="str">
        <f ca="1">IFERROR(MATCH(INDIRECT("$O$80"),'1.Locations'!$B$2:$B$97, 0) - 1," ")</f>
        <v xml:space="preserve"> </v>
      </c>
      <c r="Q80" s="43" t="e">
        <f ca="1">IFERROR(IF(ISNUMBER($P$80),INDEX('1.Locations'!$D$2:$D$97,$P$80 + 1),NA()),NA())</f>
        <v>#N/A</v>
      </c>
      <c r="R80" s="43" t="e">
        <f ca="1">IFERROR(IF(ISNUMBER($P$80),INDEX('1.Locations'!$E$2:$E$97,$P$80 + 1),NA()),NA())</f>
        <v>#N/A</v>
      </c>
      <c r="S80" s="44" t="str">
        <f ca="1">IFERROR(IF(AND(ISNUMBER($P$80),$P$80&lt;=95),INDEX('2.Distances'!$C$2:$C$9218,$P$79*96+$P$80+ 1) +$S$79," ")," ")</f>
        <v xml:space="preserve"> </v>
      </c>
      <c r="T80" s="43" t="str">
        <f ca="1">IFERROR(IF(ISNUMBER($P$80),INDEX('1.Locations'!$J$2:$J$97,$P$80 + 1) +$T$79," ")," ")</f>
        <v xml:space="preserve"> </v>
      </c>
      <c r="U80" s="43" t="str">
        <f ca="1">IFERROR(IF(ISNUMBER($P$80),INDEX('1.Locations'!$K$2:$K$97,$P$80 + 1) +$U$79," ")," ")</f>
        <v xml:space="preserve"> </v>
      </c>
      <c r="V80" s="45" t="str">
        <f ca="1">IFERROR(IF(AND(ISNUMBER($P$80),$P$80&lt;=95),INDEX('2.Distances'!$D$2:$D$9218,$P$79*96+$P$80+ 1) +$V$79," ")," ")</f>
        <v xml:space="preserve"> </v>
      </c>
      <c r="W80" s="46" t="str">
        <f ca="1">IFERROR(IF(AND(ISNUMBER($P$80),$P$80&lt;=95),INDEX('2.Distances'!$D$2:$D$9218,$P$79*96+$P$80+ 1) +$X$79," ")," ")</f>
        <v xml:space="preserve"> </v>
      </c>
      <c r="X80" s="46" t="str">
        <f ca="1">IFERROR(IF(ISNUMBER($W$80),INDEX('1.Locations'!$I$2:$I$97,$P$80 + 1) + MAX($W$80,INDEX('1.Locations'!$F$2:$F$97,$P$80 + 1))," ")," ")</f>
        <v xml:space="preserve"> </v>
      </c>
      <c r="Y80" s="45" t="str">
        <f ca="1">IFERROR($Y$79 + INDEX('2.Distances'!$D$2:$D$9218,$P$79*96+$P$80+ 1) + INDEX('1.Locations'!$I$2:$I$97,$P$80 + 1)," ")</f>
        <v xml:space="preserve"> </v>
      </c>
      <c r="AA80" s="24">
        <v>75</v>
      </c>
      <c r="AB80" s="25"/>
      <c r="AC80" s="43" t="str">
        <f ca="1">IFERROR(MATCH(INDIRECT("$AB$80"),'1.Locations'!$B$2:$B$97, 0) - 1," ")</f>
        <v xml:space="preserve"> </v>
      </c>
      <c r="AD80" s="43" t="e">
        <f ca="1">IFERROR(IF(ISNUMBER($AC$80),INDEX('1.Locations'!$D$2:$D$97,$AC$80 + 1),NA()),NA())</f>
        <v>#N/A</v>
      </c>
      <c r="AE80" s="43" t="e">
        <f ca="1">IFERROR(IF(ISNUMBER($AC$80),INDEX('1.Locations'!$E$2:$E$97,$AC$80 + 1),NA()),NA())</f>
        <v>#N/A</v>
      </c>
      <c r="AF80" s="44" t="str">
        <f ca="1">IFERROR(IF(AND(ISNUMBER($AC$80),$AC$80&lt;=95),INDEX('2.Distances'!$C$2:$C$9218,$AC$79*96+$AC$80+ 1) +$AF$79," ")," ")</f>
        <v xml:space="preserve"> </v>
      </c>
      <c r="AG80" s="43" t="str">
        <f ca="1">IFERROR(IF(ISNUMBER($AC$80),INDEX('1.Locations'!$J$2:$J$97,$AC$80 + 1) +$AG$79," ")," ")</f>
        <v xml:space="preserve"> </v>
      </c>
      <c r="AH80" s="43" t="str">
        <f ca="1">IFERROR(IF(ISNUMBER($AC$80),INDEX('1.Locations'!$K$2:$K$97,$AC$80 + 1) +$AH$79," ")," ")</f>
        <v xml:space="preserve"> </v>
      </c>
      <c r="AI80" s="45" t="str">
        <f ca="1">IFERROR(IF(AND(ISNUMBER($AC$80),$AC$80&lt;=95),INDEX('2.Distances'!$D$2:$D$9218,$AC$79*96+$AC$80+ 1) +$AI$79," ")," ")</f>
        <v xml:space="preserve"> </v>
      </c>
      <c r="AJ80" s="46" t="str">
        <f ca="1">IFERROR(IF(AND(ISNUMBER($AC$80),$AC$80&lt;=95),INDEX('2.Distances'!$D$2:$D$9218,$AC$79*96+$AC$80+ 1) +$AK$79," ")," ")</f>
        <v xml:space="preserve"> </v>
      </c>
      <c r="AK80" s="46" t="str">
        <f ca="1">IFERROR(IF(ISNUMBER($AJ$80),INDEX('1.Locations'!$I$2:$I$97,$AC$80 + 1) + MAX($AJ$80,INDEX('1.Locations'!$F$2:$F$97,$AC$80 + 1))," ")," ")</f>
        <v xml:space="preserve"> </v>
      </c>
      <c r="AL80" s="45" t="str">
        <f ca="1">IFERROR($AL$79 + INDEX('2.Distances'!$D$2:$D$9218,$AC$79*96+$AC$80+ 1) + INDEX('1.Locations'!$I$2:$I$97,$AC$80 + 1)," ")</f>
        <v xml:space="preserve"> </v>
      </c>
      <c r="AN80" s="24">
        <v>75</v>
      </c>
      <c r="AO80" s="25"/>
      <c r="AP80" s="43" t="str">
        <f ca="1">IFERROR(MATCH(INDIRECT("$AO$80"),'1.Locations'!$B$2:$B$97, 0) - 1," ")</f>
        <v xml:space="preserve"> </v>
      </c>
      <c r="AQ80" s="43" t="e">
        <f ca="1">IFERROR(IF(ISNUMBER($AP$80),INDEX('1.Locations'!$D$2:$D$97,$AP$80 + 1),NA()),NA())</f>
        <v>#N/A</v>
      </c>
      <c r="AR80" s="43" t="e">
        <f ca="1">IFERROR(IF(ISNUMBER($AP$80),INDEX('1.Locations'!$E$2:$E$97,$AP$80 + 1),NA()),NA())</f>
        <v>#N/A</v>
      </c>
      <c r="AS80" s="44" t="str">
        <f ca="1">IFERROR(IF(AND(ISNUMBER($AP$80),$AP$80&lt;=95),INDEX('2.Distances'!$C$2:$C$9218,$AP$79*96+$AP$80+ 1) +$AS$79," ")," ")</f>
        <v xml:space="preserve"> </v>
      </c>
      <c r="AT80" s="43" t="str">
        <f ca="1">IFERROR(IF(ISNUMBER($AP$80),INDEX('1.Locations'!$J$2:$J$97,$AP$80 + 1) +$AT$79," ")," ")</f>
        <v xml:space="preserve"> </v>
      </c>
      <c r="AU80" s="43" t="str">
        <f ca="1">IFERROR(IF(ISNUMBER($AP$80),INDEX('1.Locations'!$K$2:$K$97,$AP$80 + 1) +$AU$79," ")," ")</f>
        <v xml:space="preserve"> </v>
      </c>
      <c r="AV80" s="45" t="str">
        <f ca="1">IFERROR(IF(AND(ISNUMBER($AP$80),$AP$80&lt;=95),INDEX('2.Distances'!$D$2:$D$9218,$AP$79*96+$AP$80+ 1) +$AV$79," ")," ")</f>
        <v xml:space="preserve"> </v>
      </c>
      <c r="AW80" s="46" t="str">
        <f ca="1">IFERROR(IF(AND(ISNUMBER($AP$80),$AP$80&lt;=95),INDEX('2.Distances'!$D$2:$D$9218,$AP$79*96+$AP$80+ 1) +$AX$79," ")," ")</f>
        <v xml:space="preserve"> </v>
      </c>
      <c r="AX80" s="46" t="str">
        <f ca="1">IFERROR(IF(ISNUMBER($AW$80),INDEX('1.Locations'!$I$2:$I$97,$AP$80 + 1) + MAX($AW$80,INDEX('1.Locations'!$F$2:$F$97,$AP$80 + 1))," ")," ")</f>
        <v xml:space="preserve"> </v>
      </c>
      <c r="AY80" s="45" t="str">
        <f ca="1">IFERROR($AY$79 + INDEX('2.Distances'!$D$2:$D$9218,$AP$79*96+$AP$80+ 1) + INDEX('1.Locations'!$I$2:$I$97,$AP$80 + 1)," ")</f>
        <v xml:space="preserve"> </v>
      </c>
      <c r="BA80" s="24">
        <v>75</v>
      </c>
      <c r="BB80" s="25"/>
      <c r="BC80" s="43" t="str">
        <f ca="1">IFERROR(MATCH(INDIRECT("$BB$80"),'1.Locations'!$B$2:$B$97, 0) - 1," ")</f>
        <v xml:space="preserve"> </v>
      </c>
      <c r="BD80" s="43" t="e">
        <f ca="1">IFERROR(IF(ISNUMBER($BC$80),INDEX('1.Locations'!$D$2:$D$97,$BC$80 + 1),NA()),NA())</f>
        <v>#N/A</v>
      </c>
      <c r="BE80" s="43" t="e">
        <f ca="1">IFERROR(IF(ISNUMBER($BC$80),INDEX('1.Locations'!$E$2:$E$97,$BC$80 + 1),NA()),NA())</f>
        <v>#N/A</v>
      </c>
      <c r="BF80" s="44" t="str">
        <f ca="1">IFERROR(IF(AND(ISNUMBER($BC$80),$BC$80&lt;=95),INDEX('2.Distances'!$C$2:$C$9218,$BC$79*96+$BC$80+ 1) +$BF$79," ")," ")</f>
        <v xml:space="preserve"> </v>
      </c>
      <c r="BG80" s="43" t="str">
        <f ca="1">IFERROR(IF(ISNUMBER($BC$80),INDEX('1.Locations'!$J$2:$J$97,$BC$80 + 1) +$BG$79," ")," ")</f>
        <v xml:space="preserve"> </v>
      </c>
      <c r="BH80" s="43" t="str">
        <f ca="1">IFERROR(IF(ISNUMBER($BC$80),INDEX('1.Locations'!$K$2:$K$97,$BC$80 + 1) +$BH$79," ")," ")</f>
        <v xml:space="preserve"> </v>
      </c>
      <c r="BI80" s="45" t="str">
        <f ca="1">IFERROR(IF(AND(ISNUMBER($BC$80),$BC$80&lt;=95),INDEX('2.Distances'!$D$2:$D$9218,$BC$79*96+$BC$80+ 1) +$BI$79," ")," ")</f>
        <v xml:space="preserve"> </v>
      </c>
      <c r="BJ80" s="46" t="str">
        <f ca="1">IFERROR(IF(AND(ISNUMBER($BC$80),$BC$80&lt;=95),INDEX('2.Distances'!$D$2:$D$9218,$BC$79*96+$BC$80+ 1) +$BK$79," ")," ")</f>
        <v xml:space="preserve"> </v>
      </c>
      <c r="BK80" s="46" t="str">
        <f ca="1">IFERROR(IF(ISNUMBER($BJ$80),INDEX('1.Locations'!$I$2:$I$97,$BC$80 + 1) + MAX($BJ$80,INDEX('1.Locations'!$F$2:$F$97,$BC$80 + 1))," ")," ")</f>
        <v xml:space="preserve"> </v>
      </c>
      <c r="BL80" s="45" t="str">
        <f ca="1">IFERROR($BL$79 + INDEX('2.Distances'!$D$2:$D$9218,$BC$79*96+$BC$80+ 1) + INDEX('1.Locations'!$I$2:$I$97,$BC$80 + 1)," ")</f>
        <v xml:space="preserve"> </v>
      </c>
      <c r="BN80" s="24">
        <v>75</v>
      </c>
      <c r="BO80" s="25"/>
      <c r="BP80" s="43" t="str">
        <f ca="1">IFERROR(MATCH(INDIRECT("$BO$80"),'1.Locations'!$B$2:$B$97, 0) - 1," ")</f>
        <v xml:space="preserve"> </v>
      </c>
      <c r="BQ80" s="43" t="e">
        <f ca="1">IFERROR(IF(ISNUMBER($BP$80),INDEX('1.Locations'!$D$2:$D$97,$BP$80 + 1),NA()),NA())</f>
        <v>#N/A</v>
      </c>
      <c r="BR80" s="43" t="e">
        <f ca="1">IFERROR(IF(ISNUMBER($BP$80),INDEX('1.Locations'!$E$2:$E$97,$BP$80 + 1),NA()),NA())</f>
        <v>#N/A</v>
      </c>
      <c r="BS80" s="44" t="str">
        <f ca="1">IFERROR(IF(AND(ISNUMBER($BP$80),$BP$80&lt;=95),INDEX('2.Distances'!$C$2:$C$9218,$BP$79*96+$BP$80+ 1) +$BS$79," ")," ")</f>
        <v xml:space="preserve"> </v>
      </c>
      <c r="BT80" s="43" t="str">
        <f ca="1">IFERROR(IF(ISNUMBER($BP$80),INDEX('1.Locations'!$J$2:$J$97,$BP$80 + 1) +$BT$79," ")," ")</f>
        <v xml:space="preserve"> </v>
      </c>
      <c r="BU80" s="43" t="str">
        <f ca="1">IFERROR(IF(ISNUMBER($BP$80),INDEX('1.Locations'!$K$2:$K$97,$BP$80 + 1) +$BU$79," ")," ")</f>
        <v xml:space="preserve"> </v>
      </c>
      <c r="BV80" s="45" t="str">
        <f ca="1">IFERROR(IF(AND(ISNUMBER($BP$80),$BP$80&lt;=95),INDEX('2.Distances'!$D$2:$D$9218,$BP$79*96+$BP$80+ 1) +$BV$79," ")," ")</f>
        <v xml:space="preserve"> </v>
      </c>
      <c r="BW80" s="46" t="str">
        <f ca="1">IFERROR(IF(AND(ISNUMBER($BP$80),$BP$80&lt;=95),INDEX('2.Distances'!$D$2:$D$9218,$BP$79*96+$BP$80+ 1) +$BX$79," ")," ")</f>
        <v xml:space="preserve"> </v>
      </c>
      <c r="BX80" s="46" t="str">
        <f ca="1">IFERROR(IF(ISNUMBER($BW$80),INDEX('1.Locations'!$I$2:$I$97,$BP$80 + 1) + MAX($BW$80,INDEX('1.Locations'!$F$2:$F$97,$BP$80 + 1))," ")," ")</f>
        <v xml:space="preserve"> </v>
      </c>
      <c r="BY80" s="45" t="str">
        <f ca="1">IFERROR($BY$79 + INDEX('2.Distances'!$D$2:$D$9218,$BP$79*96+$BP$80+ 1) + INDEX('1.Locations'!$I$2:$I$97,$BP$80 + 1)," ")</f>
        <v xml:space="preserve"> </v>
      </c>
      <c r="CA80" s="24">
        <v>75</v>
      </c>
      <c r="CB80" s="25"/>
      <c r="CC80" s="43" t="str">
        <f ca="1">IFERROR(MATCH(INDIRECT("$CB$80"),'1.Locations'!$B$2:$B$97, 0) - 1," ")</f>
        <v xml:space="preserve"> </v>
      </c>
      <c r="CD80" s="43" t="e">
        <f ca="1">IFERROR(IF(ISNUMBER($CC$80),INDEX('1.Locations'!$D$2:$D$97,$CC$80 + 1),NA()),NA())</f>
        <v>#N/A</v>
      </c>
      <c r="CE80" s="43" t="e">
        <f ca="1">IFERROR(IF(ISNUMBER($CC$80),INDEX('1.Locations'!$E$2:$E$97,$CC$80 + 1),NA()),NA())</f>
        <v>#N/A</v>
      </c>
      <c r="CF80" s="44" t="str">
        <f ca="1">IFERROR(IF(AND(ISNUMBER($CC$80),$CC$80&lt;=95),INDEX('2.Distances'!$C$2:$C$9218,$CC$79*96+$CC$80+ 1) +$CF$79," ")," ")</f>
        <v xml:space="preserve"> </v>
      </c>
      <c r="CG80" s="43" t="str">
        <f ca="1">IFERROR(IF(ISNUMBER($CC$80),INDEX('1.Locations'!$J$2:$J$97,$CC$80 + 1) +$CG$79," ")," ")</f>
        <v xml:space="preserve"> </v>
      </c>
      <c r="CH80" s="43" t="str">
        <f ca="1">IFERROR(IF(ISNUMBER($CC$80),INDEX('1.Locations'!$K$2:$K$97,$CC$80 + 1) +$CH$79," ")," ")</f>
        <v xml:space="preserve"> </v>
      </c>
      <c r="CI80" s="45" t="str">
        <f ca="1">IFERROR(IF(AND(ISNUMBER($CC$80),$CC$80&lt;=95),INDEX('2.Distances'!$D$2:$D$9218,$CC$79*96+$CC$80+ 1) +$CI$79," ")," ")</f>
        <v xml:space="preserve"> </v>
      </c>
      <c r="CJ80" s="46" t="str">
        <f ca="1">IFERROR(IF(AND(ISNUMBER($CC$80),$CC$80&lt;=95),INDEX('2.Distances'!$D$2:$D$9218,$CC$79*96+$CC$80+ 1) +$CK$79," ")," ")</f>
        <v xml:space="preserve"> </v>
      </c>
      <c r="CK80" s="46" t="str">
        <f ca="1">IFERROR(IF(ISNUMBER($CJ$80),INDEX('1.Locations'!$I$2:$I$97,$CC$80 + 1) + MAX($CJ$80,INDEX('1.Locations'!$F$2:$F$97,$CC$80 + 1))," ")," ")</f>
        <v xml:space="preserve"> </v>
      </c>
      <c r="CL80" s="45" t="str">
        <f ca="1">IFERROR($CL$79 + INDEX('2.Distances'!$D$2:$D$9218,$CC$79*96+$CC$80+ 1) + INDEX('1.Locations'!$I$2:$I$97,$CC$80 + 1)," ")</f>
        <v xml:space="preserve"> </v>
      </c>
    </row>
    <row r="81" spans="1:90" x14ac:dyDescent="0.25">
      <c r="A81" s="24">
        <v>76</v>
      </c>
      <c r="B81" s="25"/>
      <c r="C81" s="43" t="str">
        <f ca="1">IFERROR(MATCH(INDIRECT("$B$81"),'1.Locations'!$B$2:$B$97, 0) - 1," ")</f>
        <v xml:space="preserve"> </v>
      </c>
      <c r="D81" s="43" t="e">
        <f ca="1">IFERROR(IF(ISNUMBER($C$81),INDEX('1.Locations'!$D$2:$D$97,$C$81 + 1),NA()),NA())</f>
        <v>#N/A</v>
      </c>
      <c r="E81" s="43" t="e">
        <f ca="1">IFERROR(IF(ISNUMBER($C$81),INDEX('1.Locations'!$E$2:$E$97,$C$81 + 1),NA()),NA())</f>
        <v>#N/A</v>
      </c>
      <c r="F81" s="44" t="str">
        <f ca="1">IFERROR(IF(AND(ISNUMBER($C$81),$C$81&lt;=95),INDEX('2.Distances'!$C$2:$C$9218,$C$80*96+$C$81+ 1) +$F$80," ")," ")</f>
        <v xml:space="preserve"> </v>
      </c>
      <c r="G81" s="43" t="str">
        <f ca="1">IFERROR(IF(ISNUMBER($C$81),INDEX('1.Locations'!$J$2:$J$97,$C$81 + 1) +$G$80," ")," ")</f>
        <v xml:space="preserve"> </v>
      </c>
      <c r="H81" s="43" t="str">
        <f ca="1">IFERROR(IF(ISNUMBER($C$81),INDEX('1.Locations'!$K$2:$K$97,$C$81 + 1) +$H$80," ")," ")</f>
        <v xml:space="preserve"> </v>
      </c>
      <c r="I81" s="45" t="str">
        <f ca="1">IFERROR(IF(AND(ISNUMBER($C$81),$C$81&lt;=95),INDEX('2.Distances'!$D$2:$D$9218,$C$80*96+$C$81+ 1) +$I$80," ")," ")</f>
        <v xml:space="preserve"> </v>
      </c>
      <c r="J81" s="46" t="str">
        <f ca="1">IFERROR(IF(AND(ISNUMBER($C$81),$C$81&lt;=95),INDEX('2.Distances'!$D$2:$D$9218,$C$80*96+$C$81+ 1) +$K$80," ")," ")</f>
        <v xml:space="preserve"> </v>
      </c>
      <c r="K81" s="46" t="str">
        <f ca="1">IFERROR(IF(ISNUMBER($J$81),INDEX('1.Locations'!$I$2:$I$97,$C$81 + 1) + MAX($J$81,INDEX('1.Locations'!$F$2:$F$97,$C$81 + 1))," ")," ")</f>
        <v xml:space="preserve"> </v>
      </c>
      <c r="L81" s="45" t="str">
        <f ca="1">IFERROR($L$80 + INDEX('2.Distances'!$D$2:$D$9218,$C$80*96+$C$81+ 1) + INDEX('1.Locations'!$I$2:$I$97,$C$81 + 1)," ")</f>
        <v xml:space="preserve"> </v>
      </c>
      <c r="N81" s="24">
        <v>76</v>
      </c>
      <c r="O81" s="25"/>
      <c r="P81" s="43" t="str">
        <f ca="1">IFERROR(MATCH(INDIRECT("$O$81"),'1.Locations'!$B$2:$B$97, 0) - 1," ")</f>
        <v xml:space="preserve"> </v>
      </c>
      <c r="Q81" s="43" t="e">
        <f ca="1">IFERROR(IF(ISNUMBER($P$81),INDEX('1.Locations'!$D$2:$D$97,$P$81 + 1),NA()),NA())</f>
        <v>#N/A</v>
      </c>
      <c r="R81" s="43" t="e">
        <f ca="1">IFERROR(IF(ISNUMBER($P$81),INDEX('1.Locations'!$E$2:$E$97,$P$81 + 1),NA()),NA())</f>
        <v>#N/A</v>
      </c>
      <c r="S81" s="44" t="str">
        <f ca="1">IFERROR(IF(AND(ISNUMBER($P$81),$P$81&lt;=95),INDEX('2.Distances'!$C$2:$C$9218,$P$80*96+$P$81+ 1) +$S$80," ")," ")</f>
        <v xml:space="preserve"> </v>
      </c>
      <c r="T81" s="43" t="str">
        <f ca="1">IFERROR(IF(ISNUMBER($P$81),INDEX('1.Locations'!$J$2:$J$97,$P$81 + 1) +$T$80," ")," ")</f>
        <v xml:space="preserve"> </v>
      </c>
      <c r="U81" s="43" t="str">
        <f ca="1">IFERROR(IF(ISNUMBER($P$81),INDEX('1.Locations'!$K$2:$K$97,$P$81 + 1) +$U$80," ")," ")</f>
        <v xml:space="preserve"> </v>
      </c>
      <c r="V81" s="45" t="str">
        <f ca="1">IFERROR(IF(AND(ISNUMBER($P$81),$P$81&lt;=95),INDEX('2.Distances'!$D$2:$D$9218,$P$80*96+$P$81+ 1) +$V$80," ")," ")</f>
        <v xml:space="preserve"> </v>
      </c>
      <c r="W81" s="46" t="str">
        <f ca="1">IFERROR(IF(AND(ISNUMBER($P$81),$P$81&lt;=95),INDEX('2.Distances'!$D$2:$D$9218,$P$80*96+$P$81+ 1) +$X$80," ")," ")</f>
        <v xml:space="preserve"> </v>
      </c>
      <c r="X81" s="46" t="str">
        <f ca="1">IFERROR(IF(ISNUMBER($W$81),INDEX('1.Locations'!$I$2:$I$97,$P$81 + 1) + MAX($W$81,INDEX('1.Locations'!$F$2:$F$97,$P$81 + 1))," ")," ")</f>
        <v xml:space="preserve"> </v>
      </c>
      <c r="Y81" s="45" t="str">
        <f ca="1">IFERROR($Y$80 + INDEX('2.Distances'!$D$2:$D$9218,$P$80*96+$P$81+ 1) + INDEX('1.Locations'!$I$2:$I$97,$P$81 + 1)," ")</f>
        <v xml:space="preserve"> </v>
      </c>
      <c r="AA81" s="24">
        <v>76</v>
      </c>
      <c r="AB81" s="25"/>
      <c r="AC81" s="43" t="str">
        <f ca="1">IFERROR(MATCH(INDIRECT("$AB$81"),'1.Locations'!$B$2:$B$97, 0) - 1," ")</f>
        <v xml:space="preserve"> </v>
      </c>
      <c r="AD81" s="43" t="e">
        <f ca="1">IFERROR(IF(ISNUMBER($AC$81),INDEX('1.Locations'!$D$2:$D$97,$AC$81 + 1),NA()),NA())</f>
        <v>#N/A</v>
      </c>
      <c r="AE81" s="43" t="e">
        <f ca="1">IFERROR(IF(ISNUMBER($AC$81),INDEX('1.Locations'!$E$2:$E$97,$AC$81 + 1),NA()),NA())</f>
        <v>#N/A</v>
      </c>
      <c r="AF81" s="44" t="str">
        <f ca="1">IFERROR(IF(AND(ISNUMBER($AC$81),$AC$81&lt;=95),INDEX('2.Distances'!$C$2:$C$9218,$AC$80*96+$AC$81+ 1) +$AF$80," ")," ")</f>
        <v xml:space="preserve"> </v>
      </c>
      <c r="AG81" s="43" t="str">
        <f ca="1">IFERROR(IF(ISNUMBER($AC$81),INDEX('1.Locations'!$J$2:$J$97,$AC$81 + 1) +$AG$80," ")," ")</f>
        <v xml:space="preserve"> </v>
      </c>
      <c r="AH81" s="43" t="str">
        <f ca="1">IFERROR(IF(ISNUMBER($AC$81),INDEX('1.Locations'!$K$2:$K$97,$AC$81 + 1) +$AH$80," ")," ")</f>
        <v xml:space="preserve"> </v>
      </c>
      <c r="AI81" s="45" t="str">
        <f ca="1">IFERROR(IF(AND(ISNUMBER($AC$81),$AC$81&lt;=95),INDEX('2.Distances'!$D$2:$D$9218,$AC$80*96+$AC$81+ 1) +$AI$80," ")," ")</f>
        <v xml:space="preserve"> </v>
      </c>
      <c r="AJ81" s="46" t="str">
        <f ca="1">IFERROR(IF(AND(ISNUMBER($AC$81),$AC$81&lt;=95),INDEX('2.Distances'!$D$2:$D$9218,$AC$80*96+$AC$81+ 1) +$AK$80," ")," ")</f>
        <v xml:space="preserve"> </v>
      </c>
      <c r="AK81" s="46" t="str">
        <f ca="1">IFERROR(IF(ISNUMBER($AJ$81),INDEX('1.Locations'!$I$2:$I$97,$AC$81 + 1) + MAX($AJ$81,INDEX('1.Locations'!$F$2:$F$97,$AC$81 + 1))," ")," ")</f>
        <v xml:space="preserve"> </v>
      </c>
      <c r="AL81" s="45" t="str">
        <f ca="1">IFERROR($AL$80 + INDEX('2.Distances'!$D$2:$D$9218,$AC$80*96+$AC$81+ 1) + INDEX('1.Locations'!$I$2:$I$97,$AC$81 + 1)," ")</f>
        <v xml:space="preserve"> </v>
      </c>
      <c r="AN81" s="24">
        <v>76</v>
      </c>
      <c r="AO81" s="25"/>
      <c r="AP81" s="43" t="str">
        <f ca="1">IFERROR(MATCH(INDIRECT("$AO$81"),'1.Locations'!$B$2:$B$97, 0) - 1," ")</f>
        <v xml:space="preserve"> </v>
      </c>
      <c r="AQ81" s="43" t="e">
        <f ca="1">IFERROR(IF(ISNUMBER($AP$81),INDEX('1.Locations'!$D$2:$D$97,$AP$81 + 1),NA()),NA())</f>
        <v>#N/A</v>
      </c>
      <c r="AR81" s="43" t="e">
        <f ca="1">IFERROR(IF(ISNUMBER($AP$81),INDEX('1.Locations'!$E$2:$E$97,$AP$81 + 1),NA()),NA())</f>
        <v>#N/A</v>
      </c>
      <c r="AS81" s="44" t="str">
        <f ca="1">IFERROR(IF(AND(ISNUMBER($AP$81),$AP$81&lt;=95),INDEX('2.Distances'!$C$2:$C$9218,$AP$80*96+$AP$81+ 1) +$AS$80," ")," ")</f>
        <v xml:space="preserve"> </v>
      </c>
      <c r="AT81" s="43" t="str">
        <f ca="1">IFERROR(IF(ISNUMBER($AP$81),INDEX('1.Locations'!$J$2:$J$97,$AP$81 + 1) +$AT$80," ")," ")</f>
        <v xml:space="preserve"> </v>
      </c>
      <c r="AU81" s="43" t="str">
        <f ca="1">IFERROR(IF(ISNUMBER($AP$81),INDEX('1.Locations'!$K$2:$K$97,$AP$81 + 1) +$AU$80," ")," ")</f>
        <v xml:space="preserve"> </v>
      </c>
      <c r="AV81" s="45" t="str">
        <f ca="1">IFERROR(IF(AND(ISNUMBER($AP$81),$AP$81&lt;=95),INDEX('2.Distances'!$D$2:$D$9218,$AP$80*96+$AP$81+ 1) +$AV$80," ")," ")</f>
        <v xml:space="preserve"> </v>
      </c>
      <c r="AW81" s="46" t="str">
        <f ca="1">IFERROR(IF(AND(ISNUMBER($AP$81),$AP$81&lt;=95),INDEX('2.Distances'!$D$2:$D$9218,$AP$80*96+$AP$81+ 1) +$AX$80," ")," ")</f>
        <v xml:space="preserve"> </v>
      </c>
      <c r="AX81" s="46" t="str">
        <f ca="1">IFERROR(IF(ISNUMBER($AW$81),INDEX('1.Locations'!$I$2:$I$97,$AP$81 + 1) + MAX($AW$81,INDEX('1.Locations'!$F$2:$F$97,$AP$81 + 1))," ")," ")</f>
        <v xml:space="preserve"> </v>
      </c>
      <c r="AY81" s="45" t="str">
        <f ca="1">IFERROR($AY$80 + INDEX('2.Distances'!$D$2:$D$9218,$AP$80*96+$AP$81+ 1) + INDEX('1.Locations'!$I$2:$I$97,$AP$81 + 1)," ")</f>
        <v xml:space="preserve"> </v>
      </c>
      <c r="BA81" s="24">
        <v>76</v>
      </c>
      <c r="BB81" s="25"/>
      <c r="BC81" s="43" t="str">
        <f ca="1">IFERROR(MATCH(INDIRECT("$BB$81"),'1.Locations'!$B$2:$B$97, 0) - 1," ")</f>
        <v xml:space="preserve"> </v>
      </c>
      <c r="BD81" s="43" t="e">
        <f ca="1">IFERROR(IF(ISNUMBER($BC$81),INDEX('1.Locations'!$D$2:$D$97,$BC$81 + 1),NA()),NA())</f>
        <v>#N/A</v>
      </c>
      <c r="BE81" s="43" t="e">
        <f ca="1">IFERROR(IF(ISNUMBER($BC$81),INDEX('1.Locations'!$E$2:$E$97,$BC$81 + 1),NA()),NA())</f>
        <v>#N/A</v>
      </c>
      <c r="BF81" s="44" t="str">
        <f ca="1">IFERROR(IF(AND(ISNUMBER($BC$81),$BC$81&lt;=95),INDEX('2.Distances'!$C$2:$C$9218,$BC$80*96+$BC$81+ 1) +$BF$80," ")," ")</f>
        <v xml:space="preserve"> </v>
      </c>
      <c r="BG81" s="43" t="str">
        <f ca="1">IFERROR(IF(ISNUMBER($BC$81),INDEX('1.Locations'!$J$2:$J$97,$BC$81 + 1) +$BG$80," ")," ")</f>
        <v xml:space="preserve"> </v>
      </c>
      <c r="BH81" s="43" t="str">
        <f ca="1">IFERROR(IF(ISNUMBER($BC$81),INDEX('1.Locations'!$K$2:$K$97,$BC$81 + 1) +$BH$80," ")," ")</f>
        <v xml:space="preserve"> </v>
      </c>
      <c r="BI81" s="45" t="str">
        <f ca="1">IFERROR(IF(AND(ISNUMBER($BC$81),$BC$81&lt;=95),INDEX('2.Distances'!$D$2:$D$9218,$BC$80*96+$BC$81+ 1) +$BI$80," ")," ")</f>
        <v xml:space="preserve"> </v>
      </c>
      <c r="BJ81" s="46" t="str">
        <f ca="1">IFERROR(IF(AND(ISNUMBER($BC$81),$BC$81&lt;=95),INDEX('2.Distances'!$D$2:$D$9218,$BC$80*96+$BC$81+ 1) +$BK$80," ")," ")</f>
        <v xml:space="preserve"> </v>
      </c>
      <c r="BK81" s="46" t="str">
        <f ca="1">IFERROR(IF(ISNUMBER($BJ$81),INDEX('1.Locations'!$I$2:$I$97,$BC$81 + 1) + MAX($BJ$81,INDEX('1.Locations'!$F$2:$F$97,$BC$81 + 1))," ")," ")</f>
        <v xml:space="preserve"> </v>
      </c>
      <c r="BL81" s="45" t="str">
        <f ca="1">IFERROR($BL$80 + INDEX('2.Distances'!$D$2:$D$9218,$BC$80*96+$BC$81+ 1) + INDEX('1.Locations'!$I$2:$I$97,$BC$81 + 1)," ")</f>
        <v xml:space="preserve"> </v>
      </c>
      <c r="BN81" s="24">
        <v>76</v>
      </c>
      <c r="BO81" s="25"/>
      <c r="BP81" s="43" t="str">
        <f ca="1">IFERROR(MATCH(INDIRECT("$BO$81"),'1.Locations'!$B$2:$B$97, 0) - 1," ")</f>
        <v xml:space="preserve"> </v>
      </c>
      <c r="BQ81" s="43" t="e">
        <f ca="1">IFERROR(IF(ISNUMBER($BP$81),INDEX('1.Locations'!$D$2:$D$97,$BP$81 + 1),NA()),NA())</f>
        <v>#N/A</v>
      </c>
      <c r="BR81" s="43" t="e">
        <f ca="1">IFERROR(IF(ISNUMBER($BP$81),INDEX('1.Locations'!$E$2:$E$97,$BP$81 + 1),NA()),NA())</f>
        <v>#N/A</v>
      </c>
      <c r="BS81" s="44" t="str">
        <f ca="1">IFERROR(IF(AND(ISNUMBER($BP$81),$BP$81&lt;=95),INDEX('2.Distances'!$C$2:$C$9218,$BP$80*96+$BP$81+ 1) +$BS$80," ")," ")</f>
        <v xml:space="preserve"> </v>
      </c>
      <c r="BT81" s="43" t="str">
        <f ca="1">IFERROR(IF(ISNUMBER($BP$81),INDEX('1.Locations'!$J$2:$J$97,$BP$81 + 1) +$BT$80," ")," ")</f>
        <v xml:space="preserve"> </v>
      </c>
      <c r="BU81" s="43" t="str">
        <f ca="1">IFERROR(IF(ISNUMBER($BP$81),INDEX('1.Locations'!$K$2:$K$97,$BP$81 + 1) +$BU$80," ")," ")</f>
        <v xml:space="preserve"> </v>
      </c>
      <c r="BV81" s="45" t="str">
        <f ca="1">IFERROR(IF(AND(ISNUMBER($BP$81),$BP$81&lt;=95),INDEX('2.Distances'!$D$2:$D$9218,$BP$80*96+$BP$81+ 1) +$BV$80," ")," ")</f>
        <v xml:space="preserve"> </v>
      </c>
      <c r="BW81" s="46" t="str">
        <f ca="1">IFERROR(IF(AND(ISNUMBER($BP$81),$BP$81&lt;=95),INDEX('2.Distances'!$D$2:$D$9218,$BP$80*96+$BP$81+ 1) +$BX$80," ")," ")</f>
        <v xml:space="preserve"> </v>
      </c>
      <c r="BX81" s="46" t="str">
        <f ca="1">IFERROR(IF(ISNUMBER($BW$81),INDEX('1.Locations'!$I$2:$I$97,$BP$81 + 1) + MAX($BW$81,INDEX('1.Locations'!$F$2:$F$97,$BP$81 + 1))," ")," ")</f>
        <v xml:space="preserve"> </v>
      </c>
      <c r="BY81" s="45" t="str">
        <f ca="1">IFERROR($BY$80 + INDEX('2.Distances'!$D$2:$D$9218,$BP$80*96+$BP$81+ 1) + INDEX('1.Locations'!$I$2:$I$97,$BP$81 + 1)," ")</f>
        <v xml:space="preserve"> </v>
      </c>
      <c r="CA81" s="24">
        <v>76</v>
      </c>
      <c r="CB81" s="25"/>
      <c r="CC81" s="43" t="str">
        <f ca="1">IFERROR(MATCH(INDIRECT("$CB$81"),'1.Locations'!$B$2:$B$97, 0) - 1," ")</f>
        <v xml:space="preserve"> </v>
      </c>
      <c r="CD81" s="43" t="e">
        <f ca="1">IFERROR(IF(ISNUMBER($CC$81),INDEX('1.Locations'!$D$2:$D$97,$CC$81 + 1),NA()),NA())</f>
        <v>#N/A</v>
      </c>
      <c r="CE81" s="43" t="e">
        <f ca="1">IFERROR(IF(ISNUMBER($CC$81),INDEX('1.Locations'!$E$2:$E$97,$CC$81 + 1),NA()),NA())</f>
        <v>#N/A</v>
      </c>
      <c r="CF81" s="44" t="str">
        <f ca="1">IFERROR(IF(AND(ISNUMBER($CC$81),$CC$81&lt;=95),INDEX('2.Distances'!$C$2:$C$9218,$CC$80*96+$CC$81+ 1) +$CF$80," ")," ")</f>
        <v xml:space="preserve"> </v>
      </c>
      <c r="CG81" s="43" t="str">
        <f ca="1">IFERROR(IF(ISNUMBER($CC$81),INDEX('1.Locations'!$J$2:$J$97,$CC$81 + 1) +$CG$80," ")," ")</f>
        <v xml:space="preserve"> </v>
      </c>
      <c r="CH81" s="43" t="str">
        <f ca="1">IFERROR(IF(ISNUMBER($CC$81),INDEX('1.Locations'!$K$2:$K$97,$CC$81 + 1) +$CH$80," ")," ")</f>
        <v xml:space="preserve"> </v>
      </c>
      <c r="CI81" s="45" t="str">
        <f ca="1">IFERROR(IF(AND(ISNUMBER($CC$81),$CC$81&lt;=95),INDEX('2.Distances'!$D$2:$D$9218,$CC$80*96+$CC$81+ 1) +$CI$80," ")," ")</f>
        <v xml:space="preserve"> </v>
      </c>
      <c r="CJ81" s="46" t="str">
        <f ca="1">IFERROR(IF(AND(ISNUMBER($CC$81),$CC$81&lt;=95),INDEX('2.Distances'!$D$2:$D$9218,$CC$80*96+$CC$81+ 1) +$CK$80," ")," ")</f>
        <v xml:space="preserve"> </v>
      </c>
      <c r="CK81" s="46" t="str">
        <f ca="1">IFERROR(IF(ISNUMBER($CJ$81),INDEX('1.Locations'!$I$2:$I$97,$CC$81 + 1) + MAX($CJ$81,INDEX('1.Locations'!$F$2:$F$97,$CC$81 + 1))," ")," ")</f>
        <v xml:space="preserve"> </v>
      </c>
      <c r="CL81" s="45" t="str">
        <f ca="1">IFERROR($CL$80 + INDEX('2.Distances'!$D$2:$D$9218,$CC$80*96+$CC$81+ 1) + INDEX('1.Locations'!$I$2:$I$97,$CC$81 + 1)," ")</f>
        <v xml:space="preserve"> </v>
      </c>
    </row>
    <row r="82" spans="1:90" x14ac:dyDescent="0.25">
      <c r="A82" s="24">
        <v>77</v>
      </c>
      <c r="B82" s="25"/>
      <c r="C82" s="43" t="str">
        <f ca="1">IFERROR(MATCH(INDIRECT("$B$82"),'1.Locations'!$B$2:$B$97, 0) - 1," ")</f>
        <v xml:space="preserve"> </v>
      </c>
      <c r="D82" s="43" t="e">
        <f ca="1">IFERROR(IF(ISNUMBER($C$82),INDEX('1.Locations'!$D$2:$D$97,$C$82 + 1),NA()),NA())</f>
        <v>#N/A</v>
      </c>
      <c r="E82" s="43" t="e">
        <f ca="1">IFERROR(IF(ISNUMBER($C$82),INDEX('1.Locations'!$E$2:$E$97,$C$82 + 1),NA()),NA())</f>
        <v>#N/A</v>
      </c>
      <c r="F82" s="44" t="str">
        <f ca="1">IFERROR(IF(AND(ISNUMBER($C$82),$C$82&lt;=95),INDEX('2.Distances'!$C$2:$C$9218,$C$81*96+$C$82+ 1) +$F$81," ")," ")</f>
        <v xml:space="preserve"> </v>
      </c>
      <c r="G82" s="43" t="str">
        <f ca="1">IFERROR(IF(ISNUMBER($C$82),INDEX('1.Locations'!$J$2:$J$97,$C$82 + 1) +$G$81," ")," ")</f>
        <v xml:space="preserve"> </v>
      </c>
      <c r="H82" s="43" t="str">
        <f ca="1">IFERROR(IF(ISNUMBER($C$82),INDEX('1.Locations'!$K$2:$K$97,$C$82 + 1) +$H$81," ")," ")</f>
        <v xml:space="preserve"> </v>
      </c>
      <c r="I82" s="45" t="str">
        <f ca="1">IFERROR(IF(AND(ISNUMBER($C$82),$C$82&lt;=95),INDEX('2.Distances'!$D$2:$D$9218,$C$81*96+$C$82+ 1) +$I$81," ")," ")</f>
        <v xml:space="preserve"> </v>
      </c>
      <c r="J82" s="46" t="str">
        <f ca="1">IFERROR(IF(AND(ISNUMBER($C$82),$C$82&lt;=95),INDEX('2.Distances'!$D$2:$D$9218,$C$81*96+$C$82+ 1) +$K$81," ")," ")</f>
        <v xml:space="preserve"> </v>
      </c>
      <c r="K82" s="46" t="str">
        <f ca="1">IFERROR(IF(ISNUMBER($J$82),INDEX('1.Locations'!$I$2:$I$97,$C$82 + 1) + MAX($J$82,INDEX('1.Locations'!$F$2:$F$97,$C$82 + 1))," ")," ")</f>
        <v xml:space="preserve"> </v>
      </c>
      <c r="L82" s="45" t="str">
        <f ca="1">IFERROR($L$81 + INDEX('2.Distances'!$D$2:$D$9218,$C$81*96+$C$82+ 1) + INDEX('1.Locations'!$I$2:$I$97,$C$82 + 1)," ")</f>
        <v xml:space="preserve"> </v>
      </c>
      <c r="N82" s="24">
        <v>77</v>
      </c>
      <c r="O82" s="25"/>
      <c r="P82" s="43" t="str">
        <f ca="1">IFERROR(MATCH(INDIRECT("$O$82"),'1.Locations'!$B$2:$B$97, 0) - 1," ")</f>
        <v xml:space="preserve"> </v>
      </c>
      <c r="Q82" s="43" t="e">
        <f ca="1">IFERROR(IF(ISNUMBER($P$82),INDEX('1.Locations'!$D$2:$D$97,$P$82 + 1),NA()),NA())</f>
        <v>#N/A</v>
      </c>
      <c r="R82" s="43" t="e">
        <f ca="1">IFERROR(IF(ISNUMBER($P$82),INDEX('1.Locations'!$E$2:$E$97,$P$82 + 1),NA()),NA())</f>
        <v>#N/A</v>
      </c>
      <c r="S82" s="44" t="str">
        <f ca="1">IFERROR(IF(AND(ISNUMBER($P$82),$P$82&lt;=95),INDEX('2.Distances'!$C$2:$C$9218,$P$81*96+$P$82+ 1) +$S$81," ")," ")</f>
        <v xml:space="preserve"> </v>
      </c>
      <c r="T82" s="43" t="str">
        <f ca="1">IFERROR(IF(ISNUMBER($P$82),INDEX('1.Locations'!$J$2:$J$97,$P$82 + 1) +$T$81," ")," ")</f>
        <v xml:space="preserve"> </v>
      </c>
      <c r="U82" s="43" t="str">
        <f ca="1">IFERROR(IF(ISNUMBER($P$82),INDEX('1.Locations'!$K$2:$K$97,$P$82 + 1) +$U$81," ")," ")</f>
        <v xml:space="preserve"> </v>
      </c>
      <c r="V82" s="45" t="str">
        <f ca="1">IFERROR(IF(AND(ISNUMBER($P$82),$P$82&lt;=95),INDEX('2.Distances'!$D$2:$D$9218,$P$81*96+$P$82+ 1) +$V$81," ")," ")</f>
        <v xml:space="preserve"> </v>
      </c>
      <c r="W82" s="46" t="str">
        <f ca="1">IFERROR(IF(AND(ISNUMBER($P$82),$P$82&lt;=95),INDEX('2.Distances'!$D$2:$D$9218,$P$81*96+$P$82+ 1) +$X$81," ")," ")</f>
        <v xml:space="preserve"> </v>
      </c>
      <c r="X82" s="46" t="str">
        <f ca="1">IFERROR(IF(ISNUMBER($W$82),INDEX('1.Locations'!$I$2:$I$97,$P$82 + 1) + MAX($W$82,INDEX('1.Locations'!$F$2:$F$97,$P$82 + 1))," ")," ")</f>
        <v xml:space="preserve"> </v>
      </c>
      <c r="Y82" s="45" t="str">
        <f ca="1">IFERROR($Y$81 + INDEX('2.Distances'!$D$2:$D$9218,$P$81*96+$P$82+ 1) + INDEX('1.Locations'!$I$2:$I$97,$P$82 + 1)," ")</f>
        <v xml:space="preserve"> </v>
      </c>
      <c r="AA82" s="24">
        <v>77</v>
      </c>
      <c r="AB82" s="25"/>
      <c r="AC82" s="43" t="str">
        <f ca="1">IFERROR(MATCH(INDIRECT("$AB$82"),'1.Locations'!$B$2:$B$97, 0) - 1," ")</f>
        <v xml:space="preserve"> </v>
      </c>
      <c r="AD82" s="43" t="e">
        <f ca="1">IFERROR(IF(ISNUMBER($AC$82),INDEX('1.Locations'!$D$2:$D$97,$AC$82 + 1),NA()),NA())</f>
        <v>#N/A</v>
      </c>
      <c r="AE82" s="43" t="e">
        <f ca="1">IFERROR(IF(ISNUMBER($AC$82),INDEX('1.Locations'!$E$2:$E$97,$AC$82 + 1),NA()),NA())</f>
        <v>#N/A</v>
      </c>
      <c r="AF82" s="44" t="str">
        <f ca="1">IFERROR(IF(AND(ISNUMBER($AC$82),$AC$82&lt;=95),INDEX('2.Distances'!$C$2:$C$9218,$AC$81*96+$AC$82+ 1) +$AF$81," ")," ")</f>
        <v xml:space="preserve"> </v>
      </c>
      <c r="AG82" s="43" t="str">
        <f ca="1">IFERROR(IF(ISNUMBER($AC$82),INDEX('1.Locations'!$J$2:$J$97,$AC$82 + 1) +$AG$81," ")," ")</f>
        <v xml:space="preserve"> </v>
      </c>
      <c r="AH82" s="43" t="str">
        <f ca="1">IFERROR(IF(ISNUMBER($AC$82),INDEX('1.Locations'!$K$2:$K$97,$AC$82 + 1) +$AH$81," ")," ")</f>
        <v xml:space="preserve"> </v>
      </c>
      <c r="AI82" s="45" t="str">
        <f ca="1">IFERROR(IF(AND(ISNUMBER($AC$82),$AC$82&lt;=95),INDEX('2.Distances'!$D$2:$D$9218,$AC$81*96+$AC$82+ 1) +$AI$81," ")," ")</f>
        <v xml:space="preserve"> </v>
      </c>
      <c r="AJ82" s="46" t="str">
        <f ca="1">IFERROR(IF(AND(ISNUMBER($AC$82),$AC$82&lt;=95),INDEX('2.Distances'!$D$2:$D$9218,$AC$81*96+$AC$82+ 1) +$AK$81," ")," ")</f>
        <v xml:space="preserve"> </v>
      </c>
      <c r="AK82" s="46" t="str">
        <f ca="1">IFERROR(IF(ISNUMBER($AJ$82),INDEX('1.Locations'!$I$2:$I$97,$AC$82 + 1) + MAX($AJ$82,INDEX('1.Locations'!$F$2:$F$97,$AC$82 + 1))," ")," ")</f>
        <v xml:space="preserve"> </v>
      </c>
      <c r="AL82" s="45" t="str">
        <f ca="1">IFERROR($AL$81 + INDEX('2.Distances'!$D$2:$D$9218,$AC$81*96+$AC$82+ 1) + INDEX('1.Locations'!$I$2:$I$97,$AC$82 + 1)," ")</f>
        <v xml:space="preserve"> </v>
      </c>
      <c r="AN82" s="24">
        <v>77</v>
      </c>
      <c r="AO82" s="25"/>
      <c r="AP82" s="43" t="str">
        <f ca="1">IFERROR(MATCH(INDIRECT("$AO$82"),'1.Locations'!$B$2:$B$97, 0) - 1," ")</f>
        <v xml:space="preserve"> </v>
      </c>
      <c r="AQ82" s="43" t="e">
        <f ca="1">IFERROR(IF(ISNUMBER($AP$82),INDEX('1.Locations'!$D$2:$D$97,$AP$82 + 1),NA()),NA())</f>
        <v>#N/A</v>
      </c>
      <c r="AR82" s="43" t="e">
        <f ca="1">IFERROR(IF(ISNUMBER($AP$82),INDEX('1.Locations'!$E$2:$E$97,$AP$82 + 1),NA()),NA())</f>
        <v>#N/A</v>
      </c>
      <c r="AS82" s="44" t="str">
        <f ca="1">IFERROR(IF(AND(ISNUMBER($AP$82),$AP$82&lt;=95),INDEX('2.Distances'!$C$2:$C$9218,$AP$81*96+$AP$82+ 1) +$AS$81," ")," ")</f>
        <v xml:space="preserve"> </v>
      </c>
      <c r="AT82" s="43" t="str">
        <f ca="1">IFERROR(IF(ISNUMBER($AP$82),INDEX('1.Locations'!$J$2:$J$97,$AP$82 + 1) +$AT$81," ")," ")</f>
        <v xml:space="preserve"> </v>
      </c>
      <c r="AU82" s="43" t="str">
        <f ca="1">IFERROR(IF(ISNUMBER($AP$82),INDEX('1.Locations'!$K$2:$K$97,$AP$82 + 1) +$AU$81," ")," ")</f>
        <v xml:space="preserve"> </v>
      </c>
      <c r="AV82" s="45" t="str">
        <f ca="1">IFERROR(IF(AND(ISNUMBER($AP$82),$AP$82&lt;=95),INDEX('2.Distances'!$D$2:$D$9218,$AP$81*96+$AP$82+ 1) +$AV$81," ")," ")</f>
        <v xml:space="preserve"> </v>
      </c>
      <c r="AW82" s="46" t="str">
        <f ca="1">IFERROR(IF(AND(ISNUMBER($AP$82),$AP$82&lt;=95),INDEX('2.Distances'!$D$2:$D$9218,$AP$81*96+$AP$82+ 1) +$AX$81," ")," ")</f>
        <v xml:space="preserve"> </v>
      </c>
      <c r="AX82" s="46" t="str">
        <f ca="1">IFERROR(IF(ISNUMBER($AW$82),INDEX('1.Locations'!$I$2:$I$97,$AP$82 + 1) + MAX($AW$82,INDEX('1.Locations'!$F$2:$F$97,$AP$82 + 1))," ")," ")</f>
        <v xml:space="preserve"> </v>
      </c>
      <c r="AY82" s="45" t="str">
        <f ca="1">IFERROR($AY$81 + INDEX('2.Distances'!$D$2:$D$9218,$AP$81*96+$AP$82+ 1) + INDEX('1.Locations'!$I$2:$I$97,$AP$82 + 1)," ")</f>
        <v xml:space="preserve"> </v>
      </c>
      <c r="BA82" s="24">
        <v>77</v>
      </c>
      <c r="BB82" s="25"/>
      <c r="BC82" s="43" t="str">
        <f ca="1">IFERROR(MATCH(INDIRECT("$BB$82"),'1.Locations'!$B$2:$B$97, 0) - 1," ")</f>
        <v xml:space="preserve"> </v>
      </c>
      <c r="BD82" s="43" t="e">
        <f ca="1">IFERROR(IF(ISNUMBER($BC$82),INDEX('1.Locations'!$D$2:$D$97,$BC$82 + 1),NA()),NA())</f>
        <v>#N/A</v>
      </c>
      <c r="BE82" s="43" t="e">
        <f ca="1">IFERROR(IF(ISNUMBER($BC$82),INDEX('1.Locations'!$E$2:$E$97,$BC$82 + 1),NA()),NA())</f>
        <v>#N/A</v>
      </c>
      <c r="BF82" s="44" t="str">
        <f ca="1">IFERROR(IF(AND(ISNUMBER($BC$82),$BC$82&lt;=95),INDEX('2.Distances'!$C$2:$C$9218,$BC$81*96+$BC$82+ 1) +$BF$81," ")," ")</f>
        <v xml:space="preserve"> </v>
      </c>
      <c r="BG82" s="43" t="str">
        <f ca="1">IFERROR(IF(ISNUMBER($BC$82),INDEX('1.Locations'!$J$2:$J$97,$BC$82 + 1) +$BG$81," ")," ")</f>
        <v xml:space="preserve"> </v>
      </c>
      <c r="BH82" s="43" t="str">
        <f ca="1">IFERROR(IF(ISNUMBER($BC$82),INDEX('1.Locations'!$K$2:$K$97,$BC$82 + 1) +$BH$81," ")," ")</f>
        <v xml:space="preserve"> </v>
      </c>
      <c r="BI82" s="45" t="str">
        <f ca="1">IFERROR(IF(AND(ISNUMBER($BC$82),$BC$82&lt;=95),INDEX('2.Distances'!$D$2:$D$9218,$BC$81*96+$BC$82+ 1) +$BI$81," ")," ")</f>
        <v xml:space="preserve"> </v>
      </c>
      <c r="BJ82" s="46" t="str">
        <f ca="1">IFERROR(IF(AND(ISNUMBER($BC$82),$BC$82&lt;=95),INDEX('2.Distances'!$D$2:$D$9218,$BC$81*96+$BC$82+ 1) +$BK$81," ")," ")</f>
        <v xml:space="preserve"> </v>
      </c>
      <c r="BK82" s="46" t="str">
        <f ca="1">IFERROR(IF(ISNUMBER($BJ$82),INDEX('1.Locations'!$I$2:$I$97,$BC$82 + 1) + MAX($BJ$82,INDEX('1.Locations'!$F$2:$F$97,$BC$82 + 1))," ")," ")</f>
        <v xml:space="preserve"> </v>
      </c>
      <c r="BL82" s="45" t="str">
        <f ca="1">IFERROR($BL$81 + INDEX('2.Distances'!$D$2:$D$9218,$BC$81*96+$BC$82+ 1) + INDEX('1.Locations'!$I$2:$I$97,$BC$82 + 1)," ")</f>
        <v xml:space="preserve"> </v>
      </c>
      <c r="BN82" s="24">
        <v>77</v>
      </c>
      <c r="BO82" s="25"/>
      <c r="BP82" s="43" t="str">
        <f ca="1">IFERROR(MATCH(INDIRECT("$BO$82"),'1.Locations'!$B$2:$B$97, 0) - 1," ")</f>
        <v xml:space="preserve"> </v>
      </c>
      <c r="BQ82" s="43" t="e">
        <f ca="1">IFERROR(IF(ISNUMBER($BP$82),INDEX('1.Locations'!$D$2:$D$97,$BP$82 + 1),NA()),NA())</f>
        <v>#N/A</v>
      </c>
      <c r="BR82" s="43" t="e">
        <f ca="1">IFERROR(IF(ISNUMBER($BP$82),INDEX('1.Locations'!$E$2:$E$97,$BP$82 + 1),NA()),NA())</f>
        <v>#N/A</v>
      </c>
      <c r="BS82" s="44" t="str">
        <f ca="1">IFERROR(IF(AND(ISNUMBER($BP$82),$BP$82&lt;=95),INDEX('2.Distances'!$C$2:$C$9218,$BP$81*96+$BP$82+ 1) +$BS$81," ")," ")</f>
        <v xml:space="preserve"> </v>
      </c>
      <c r="BT82" s="43" t="str">
        <f ca="1">IFERROR(IF(ISNUMBER($BP$82),INDEX('1.Locations'!$J$2:$J$97,$BP$82 + 1) +$BT$81," ")," ")</f>
        <v xml:space="preserve"> </v>
      </c>
      <c r="BU82" s="43" t="str">
        <f ca="1">IFERROR(IF(ISNUMBER($BP$82),INDEX('1.Locations'!$K$2:$K$97,$BP$82 + 1) +$BU$81," ")," ")</f>
        <v xml:space="preserve"> </v>
      </c>
      <c r="BV82" s="45" t="str">
        <f ca="1">IFERROR(IF(AND(ISNUMBER($BP$82),$BP$82&lt;=95),INDEX('2.Distances'!$D$2:$D$9218,$BP$81*96+$BP$82+ 1) +$BV$81," ")," ")</f>
        <v xml:space="preserve"> </v>
      </c>
      <c r="BW82" s="46" t="str">
        <f ca="1">IFERROR(IF(AND(ISNUMBER($BP$82),$BP$82&lt;=95),INDEX('2.Distances'!$D$2:$D$9218,$BP$81*96+$BP$82+ 1) +$BX$81," ")," ")</f>
        <v xml:space="preserve"> </v>
      </c>
      <c r="BX82" s="46" t="str">
        <f ca="1">IFERROR(IF(ISNUMBER($BW$82),INDEX('1.Locations'!$I$2:$I$97,$BP$82 + 1) + MAX($BW$82,INDEX('1.Locations'!$F$2:$F$97,$BP$82 + 1))," ")," ")</f>
        <v xml:space="preserve"> </v>
      </c>
      <c r="BY82" s="45" t="str">
        <f ca="1">IFERROR($BY$81 + INDEX('2.Distances'!$D$2:$D$9218,$BP$81*96+$BP$82+ 1) + INDEX('1.Locations'!$I$2:$I$97,$BP$82 + 1)," ")</f>
        <v xml:space="preserve"> </v>
      </c>
      <c r="CA82" s="24">
        <v>77</v>
      </c>
      <c r="CB82" s="25"/>
      <c r="CC82" s="43" t="str">
        <f ca="1">IFERROR(MATCH(INDIRECT("$CB$82"),'1.Locations'!$B$2:$B$97, 0) - 1," ")</f>
        <v xml:space="preserve"> </v>
      </c>
      <c r="CD82" s="43" t="e">
        <f ca="1">IFERROR(IF(ISNUMBER($CC$82),INDEX('1.Locations'!$D$2:$D$97,$CC$82 + 1),NA()),NA())</f>
        <v>#N/A</v>
      </c>
      <c r="CE82" s="43" t="e">
        <f ca="1">IFERROR(IF(ISNUMBER($CC$82),INDEX('1.Locations'!$E$2:$E$97,$CC$82 + 1),NA()),NA())</f>
        <v>#N/A</v>
      </c>
      <c r="CF82" s="44" t="str">
        <f ca="1">IFERROR(IF(AND(ISNUMBER($CC$82),$CC$82&lt;=95),INDEX('2.Distances'!$C$2:$C$9218,$CC$81*96+$CC$82+ 1) +$CF$81," ")," ")</f>
        <v xml:space="preserve"> </v>
      </c>
      <c r="CG82" s="43" t="str">
        <f ca="1">IFERROR(IF(ISNUMBER($CC$82),INDEX('1.Locations'!$J$2:$J$97,$CC$82 + 1) +$CG$81," ")," ")</f>
        <v xml:space="preserve"> </v>
      </c>
      <c r="CH82" s="43" t="str">
        <f ca="1">IFERROR(IF(ISNUMBER($CC$82),INDEX('1.Locations'!$K$2:$K$97,$CC$82 + 1) +$CH$81," ")," ")</f>
        <v xml:space="preserve"> </v>
      </c>
      <c r="CI82" s="45" t="str">
        <f ca="1">IFERROR(IF(AND(ISNUMBER($CC$82),$CC$82&lt;=95),INDEX('2.Distances'!$D$2:$D$9218,$CC$81*96+$CC$82+ 1) +$CI$81," ")," ")</f>
        <v xml:space="preserve"> </v>
      </c>
      <c r="CJ82" s="46" t="str">
        <f ca="1">IFERROR(IF(AND(ISNUMBER($CC$82),$CC$82&lt;=95),INDEX('2.Distances'!$D$2:$D$9218,$CC$81*96+$CC$82+ 1) +$CK$81," ")," ")</f>
        <v xml:space="preserve"> </v>
      </c>
      <c r="CK82" s="46" t="str">
        <f ca="1">IFERROR(IF(ISNUMBER($CJ$82),INDEX('1.Locations'!$I$2:$I$97,$CC$82 + 1) + MAX($CJ$82,INDEX('1.Locations'!$F$2:$F$97,$CC$82 + 1))," ")," ")</f>
        <v xml:space="preserve"> </v>
      </c>
      <c r="CL82" s="45" t="str">
        <f ca="1">IFERROR($CL$81 + INDEX('2.Distances'!$D$2:$D$9218,$CC$81*96+$CC$82+ 1) + INDEX('1.Locations'!$I$2:$I$97,$CC$82 + 1)," ")</f>
        <v xml:space="preserve"> </v>
      </c>
    </row>
    <row r="83" spans="1:90" x14ac:dyDescent="0.25">
      <c r="A83" s="24">
        <v>78</v>
      </c>
      <c r="B83" s="25"/>
      <c r="C83" s="43" t="str">
        <f ca="1">IFERROR(MATCH(INDIRECT("$B$83"),'1.Locations'!$B$2:$B$97, 0) - 1," ")</f>
        <v xml:space="preserve"> </v>
      </c>
      <c r="D83" s="43" t="e">
        <f ca="1">IFERROR(IF(ISNUMBER($C$83),INDEX('1.Locations'!$D$2:$D$97,$C$83 + 1),NA()),NA())</f>
        <v>#N/A</v>
      </c>
      <c r="E83" s="43" t="e">
        <f ca="1">IFERROR(IF(ISNUMBER($C$83),INDEX('1.Locations'!$E$2:$E$97,$C$83 + 1),NA()),NA())</f>
        <v>#N/A</v>
      </c>
      <c r="F83" s="44" t="str">
        <f ca="1">IFERROR(IF(AND(ISNUMBER($C$83),$C$83&lt;=95),INDEX('2.Distances'!$C$2:$C$9218,$C$82*96+$C$83+ 1) +$F$82," ")," ")</f>
        <v xml:space="preserve"> </v>
      </c>
      <c r="G83" s="43" t="str">
        <f ca="1">IFERROR(IF(ISNUMBER($C$83),INDEX('1.Locations'!$J$2:$J$97,$C$83 + 1) +$G$82," ")," ")</f>
        <v xml:space="preserve"> </v>
      </c>
      <c r="H83" s="43" t="str">
        <f ca="1">IFERROR(IF(ISNUMBER($C$83),INDEX('1.Locations'!$K$2:$K$97,$C$83 + 1) +$H$82," ")," ")</f>
        <v xml:space="preserve"> </v>
      </c>
      <c r="I83" s="45" t="str">
        <f ca="1">IFERROR(IF(AND(ISNUMBER($C$83),$C$83&lt;=95),INDEX('2.Distances'!$D$2:$D$9218,$C$82*96+$C$83+ 1) +$I$82," ")," ")</f>
        <v xml:space="preserve"> </v>
      </c>
      <c r="J83" s="46" t="str">
        <f ca="1">IFERROR(IF(AND(ISNUMBER($C$83),$C$83&lt;=95),INDEX('2.Distances'!$D$2:$D$9218,$C$82*96+$C$83+ 1) +$K$82," ")," ")</f>
        <v xml:space="preserve"> </v>
      </c>
      <c r="K83" s="46" t="str">
        <f ca="1">IFERROR(IF(ISNUMBER($J$83),INDEX('1.Locations'!$I$2:$I$97,$C$83 + 1) + MAX($J$83,INDEX('1.Locations'!$F$2:$F$97,$C$83 + 1))," ")," ")</f>
        <v xml:space="preserve"> </v>
      </c>
      <c r="L83" s="45" t="str">
        <f ca="1">IFERROR($L$82 + INDEX('2.Distances'!$D$2:$D$9218,$C$82*96+$C$83+ 1) + INDEX('1.Locations'!$I$2:$I$97,$C$83 + 1)," ")</f>
        <v xml:space="preserve"> </v>
      </c>
      <c r="N83" s="24">
        <v>78</v>
      </c>
      <c r="O83" s="25"/>
      <c r="P83" s="43" t="str">
        <f ca="1">IFERROR(MATCH(INDIRECT("$O$83"),'1.Locations'!$B$2:$B$97, 0) - 1," ")</f>
        <v xml:space="preserve"> </v>
      </c>
      <c r="Q83" s="43" t="e">
        <f ca="1">IFERROR(IF(ISNUMBER($P$83),INDEX('1.Locations'!$D$2:$D$97,$P$83 + 1),NA()),NA())</f>
        <v>#N/A</v>
      </c>
      <c r="R83" s="43" t="e">
        <f ca="1">IFERROR(IF(ISNUMBER($P$83),INDEX('1.Locations'!$E$2:$E$97,$P$83 + 1),NA()),NA())</f>
        <v>#N/A</v>
      </c>
      <c r="S83" s="44" t="str">
        <f ca="1">IFERROR(IF(AND(ISNUMBER($P$83),$P$83&lt;=95),INDEX('2.Distances'!$C$2:$C$9218,$P$82*96+$P$83+ 1) +$S$82," ")," ")</f>
        <v xml:space="preserve"> </v>
      </c>
      <c r="T83" s="43" t="str">
        <f ca="1">IFERROR(IF(ISNUMBER($P$83),INDEX('1.Locations'!$J$2:$J$97,$P$83 + 1) +$T$82," ")," ")</f>
        <v xml:space="preserve"> </v>
      </c>
      <c r="U83" s="43" t="str">
        <f ca="1">IFERROR(IF(ISNUMBER($P$83),INDEX('1.Locations'!$K$2:$K$97,$P$83 + 1) +$U$82," ")," ")</f>
        <v xml:space="preserve"> </v>
      </c>
      <c r="V83" s="45" t="str">
        <f ca="1">IFERROR(IF(AND(ISNUMBER($P$83),$P$83&lt;=95),INDEX('2.Distances'!$D$2:$D$9218,$P$82*96+$P$83+ 1) +$V$82," ")," ")</f>
        <v xml:space="preserve"> </v>
      </c>
      <c r="W83" s="46" t="str">
        <f ca="1">IFERROR(IF(AND(ISNUMBER($P$83),$P$83&lt;=95),INDEX('2.Distances'!$D$2:$D$9218,$P$82*96+$P$83+ 1) +$X$82," ")," ")</f>
        <v xml:space="preserve"> </v>
      </c>
      <c r="X83" s="46" t="str">
        <f ca="1">IFERROR(IF(ISNUMBER($W$83),INDEX('1.Locations'!$I$2:$I$97,$P$83 + 1) + MAX($W$83,INDEX('1.Locations'!$F$2:$F$97,$P$83 + 1))," ")," ")</f>
        <v xml:space="preserve"> </v>
      </c>
      <c r="Y83" s="45" t="str">
        <f ca="1">IFERROR($Y$82 + INDEX('2.Distances'!$D$2:$D$9218,$P$82*96+$P$83+ 1) + INDEX('1.Locations'!$I$2:$I$97,$P$83 + 1)," ")</f>
        <v xml:space="preserve"> </v>
      </c>
      <c r="AA83" s="24">
        <v>78</v>
      </c>
      <c r="AB83" s="25"/>
      <c r="AC83" s="43" t="str">
        <f ca="1">IFERROR(MATCH(INDIRECT("$AB$83"),'1.Locations'!$B$2:$B$97, 0) - 1," ")</f>
        <v xml:space="preserve"> </v>
      </c>
      <c r="AD83" s="43" t="e">
        <f ca="1">IFERROR(IF(ISNUMBER($AC$83),INDEX('1.Locations'!$D$2:$D$97,$AC$83 + 1),NA()),NA())</f>
        <v>#N/A</v>
      </c>
      <c r="AE83" s="43" t="e">
        <f ca="1">IFERROR(IF(ISNUMBER($AC$83),INDEX('1.Locations'!$E$2:$E$97,$AC$83 + 1),NA()),NA())</f>
        <v>#N/A</v>
      </c>
      <c r="AF83" s="44" t="str">
        <f ca="1">IFERROR(IF(AND(ISNUMBER($AC$83),$AC$83&lt;=95),INDEX('2.Distances'!$C$2:$C$9218,$AC$82*96+$AC$83+ 1) +$AF$82," ")," ")</f>
        <v xml:space="preserve"> </v>
      </c>
      <c r="AG83" s="43" t="str">
        <f ca="1">IFERROR(IF(ISNUMBER($AC$83),INDEX('1.Locations'!$J$2:$J$97,$AC$83 + 1) +$AG$82," ")," ")</f>
        <v xml:space="preserve"> </v>
      </c>
      <c r="AH83" s="43" t="str">
        <f ca="1">IFERROR(IF(ISNUMBER($AC$83),INDEX('1.Locations'!$K$2:$K$97,$AC$83 + 1) +$AH$82," ")," ")</f>
        <v xml:space="preserve"> </v>
      </c>
      <c r="AI83" s="45" t="str">
        <f ca="1">IFERROR(IF(AND(ISNUMBER($AC$83),$AC$83&lt;=95),INDEX('2.Distances'!$D$2:$D$9218,$AC$82*96+$AC$83+ 1) +$AI$82," ")," ")</f>
        <v xml:space="preserve"> </v>
      </c>
      <c r="AJ83" s="46" t="str">
        <f ca="1">IFERROR(IF(AND(ISNUMBER($AC$83),$AC$83&lt;=95),INDEX('2.Distances'!$D$2:$D$9218,$AC$82*96+$AC$83+ 1) +$AK$82," ")," ")</f>
        <v xml:space="preserve"> </v>
      </c>
      <c r="AK83" s="46" t="str">
        <f ca="1">IFERROR(IF(ISNUMBER($AJ$83),INDEX('1.Locations'!$I$2:$I$97,$AC$83 + 1) + MAX($AJ$83,INDEX('1.Locations'!$F$2:$F$97,$AC$83 + 1))," ")," ")</f>
        <v xml:space="preserve"> </v>
      </c>
      <c r="AL83" s="45" t="str">
        <f ca="1">IFERROR($AL$82 + INDEX('2.Distances'!$D$2:$D$9218,$AC$82*96+$AC$83+ 1) + INDEX('1.Locations'!$I$2:$I$97,$AC$83 + 1)," ")</f>
        <v xml:space="preserve"> </v>
      </c>
      <c r="AN83" s="24">
        <v>78</v>
      </c>
      <c r="AO83" s="25"/>
      <c r="AP83" s="43" t="str">
        <f ca="1">IFERROR(MATCH(INDIRECT("$AO$83"),'1.Locations'!$B$2:$B$97, 0) - 1," ")</f>
        <v xml:space="preserve"> </v>
      </c>
      <c r="AQ83" s="43" t="e">
        <f ca="1">IFERROR(IF(ISNUMBER($AP$83),INDEX('1.Locations'!$D$2:$D$97,$AP$83 + 1),NA()),NA())</f>
        <v>#N/A</v>
      </c>
      <c r="AR83" s="43" t="e">
        <f ca="1">IFERROR(IF(ISNUMBER($AP$83),INDEX('1.Locations'!$E$2:$E$97,$AP$83 + 1),NA()),NA())</f>
        <v>#N/A</v>
      </c>
      <c r="AS83" s="44" t="str">
        <f ca="1">IFERROR(IF(AND(ISNUMBER($AP$83),$AP$83&lt;=95),INDEX('2.Distances'!$C$2:$C$9218,$AP$82*96+$AP$83+ 1) +$AS$82," ")," ")</f>
        <v xml:space="preserve"> </v>
      </c>
      <c r="AT83" s="43" t="str">
        <f ca="1">IFERROR(IF(ISNUMBER($AP$83),INDEX('1.Locations'!$J$2:$J$97,$AP$83 + 1) +$AT$82," ")," ")</f>
        <v xml:space="preserve"> </v>
      </c>
      <c r="AU83" s="43" t="str">
        <f ca="1">IFERROR(IF(ISNUMBER($AP$83),INDEX('1.Locations'!$K$2:$K$97,$AP$83 + 1) +$AU$82," ")," ")</f>
        <v xml:space="preserve"> </v>
      </c>
      <c r="AV83" s="45" t="str">
        <f ca="1">IFERROR(IF(AND(ISNUMBER($AP$83),$AP$83&lt;=95),INDEX('2.Distances'!$D$2:$D$9218,$AP$82*96+$AP$83+ 1) +$AV$82," ")," ")</f>
        <v xml:space="preserve"> </v>
      </c>
      <c r="AW83" s="46" t="str">
        <f ca="1">IFERROR(IF(AND(ISNUMBER($AP$83),$AP$83&lt;=95),INDEX('2.Distances'!$D$2:$D$9218,$AP$82*96+$AP$83+ 1) +$AX$82," ")," ")</f>
        <v xml:space="preserve"> </v>
      </c>
      <c r="AX83" s="46" t="str">
        <f ca="1">IFERROR(IF(ISNUMBER($AW$83),INDEX('1.Locations'!$I$2:$I$97,$AP$83 + 1) + MAX($AW$83,INDEX('1.Locations'!$F$2:$F$97,$AP$83 + 1))," ")," ")</f>
        <v xml:space="preserve"> </v>
      </c>
      <c r="AY83" s="45" t="str">
        <f ca="1">IFERROR($AY$82 + INDEX('2.Distances'!$D$2:$D$9218,$AP$82*96+$AP$83+ 1) + INDEX('1.Locations'!$I$2:$I$97,$AP$83 + 1)," ")</f>
        <v xml:space="preserve"> </v>
      </c>
      <c r="BA83" s="24">
        <v>78</v>
      </c>
      <c r="BB83" s="25"/>
      <c r="BC83" s="43" t="str">
        <f ca="1">IFERROR(MATCH(INDIRECT("$BB$83"),'1.Locations'!$B$2:$B$97, 0) - 1," ")</f>
        <v xml:space="preserve"> </v>
      </c>
      <c r="BD83" s="43" t="e">
        <f ca="1">IFERROR(IF(ISNUMBER($BC$83),INDEX('1.Locations'!$D$2:$D$97,$BC$83 + 1),NA()),NA())</f>
        <v>#N/A</v>
      </c>
      <c r="BE83" s="43" t="e">
        <f ca="1">IFERROR(IF(ISNUMBER($BC$83),INDEX('1.Locations'!$E$2:$E$97,$BC$83 + 1),NA()),NA())</f>
        <v>#N/A</v>
      </c>
      <c r="BF83" s="44" t="str">
        <f ca="1">IFERROR(IF(AND(ISNUMBER($BC$83),$BC$83&lt;=95),INDEX('2.Distances'!$C$2:$C$9218,$BC$82*96+$BC$83+ 1) +$BF$82," ")," ")</f>
        <v xml:space="preserve"> </v>
      </c>
      <c r="BG83" s="43" t="str">
        <f ca="1">IFERROR(IF(ISNUMBER($BC$83),INDEX('1.Locations'!$J$2:$J$97,$BC$83 + 1) +$BG$82," ")," ")</f>
        <v xml:space="preserve"> </v>
      </c>
      <c r="BH83" s="43" t="str">
        <f ca="1">IFERROR(IF(ISNUMBER($BC$83),INDEX('1.Locations'!$K$2:$K$97,$BC$83 + 1) +$BH$82," ")," ")</f>
        <v xml:space="preserve"> </v>
      </c>
      <c r="BI83" s="45" t="str">
        <f ca="1">IFERROR(IF(AND(ISNUMBER($BC$83),$BC$83&lt;=95),INDEX('2.Distances'!$D$2:$D$9218,$BC$82*96+$BC$83+ 1) +$BI$82," ")," ")</f>
        <v xml:space="preserve"> </v>
      </c>
      <c r="BJ83" s="46" t="str">
        <f ca="1">IFERROR(IF(AND(ISNUMBER($BC$83),$BC$83&lt;=95),INDEX('2.Distances'!$D$2:$D$9218,$BC$82*96+$BC$83+ 1) +$BK$82," ")," ")</f>
        <v xml:space="preserve"> </v>
      </c>
      <c r="BK83" s="46" t="str">
        <f ca="1">IFERROR(IF(ISNUMBER($BJ$83),INDEX('1.Locations'!$I$2:$I$97,$BC$83 + 1) + MAX($BJ$83,INDEX('1.Locations'!$F$2:$F$97,$BC$83 + 1))," ")," ")</f>
        <v xml:space="preserve"> </v>
      </c>
      <c r="BL83" s="45" t="str">
        <f ca="1">IFERROR($BL$82 + INDEX('2.Distances'!$D$2:$D$9218,$BC$82*96+$BC$83+ 1) + INDEX('1.Locations'!$I$2:$I$97,$BC$83 + 1)," ")</f>
        <v xml:space="preserve"> </v>
      </c>
      <c r="BN83" s="24">
        <v>78</v>
      </c>
      <c r="BO83" s="25"/>
      <c r="BP83" s="43" t="str">
        <f ca="1">IFERROR(MATCH(INDIRECT("$BO$83"),'1.Locations'!$B$2:$B$97, 0) - 1," ")</f>
        <v xml:space="preserve"> </v>
      </c>
      <c r="BQ83" s="43" t="e">
        <f ca="1">IFERROR(IF(ISNUMBER($BP$83),INDEX('1.Locations'!$D$2:$D$97,$BP$83 + 1),NA()),NA())</f>
        <v>#N/A</v>
      </c>
      <c r="BR83" s="43" t="e">
        <f ca="1">IFERROR(IF(ISNUMBER($BP$83),INDEX('1.Locations'!$E$2:$E$97,$BP$83 + 1),NA()),NA())</f>
        <v>#N/A</v>
      </c>
      <c r="BS83" s="44" t="str">
        <f ca="1">IFERROR(IF(AND(ISNUMBER($BP$83),$BP$83&lt;=95),INDEX('2.Distances'!$C$2:$C$9218,$BP$82*96+$BP$83+ 1) +$BS$82," ")," ")</f>
        <v xml:space="preserve"> </v>
      </c>
      <c r="BT83" s="43" t="str">
        <f ca="1">IFERROR(IF(ISNUMBER($BP$83),INDEX('1.Locations'!$J$2:$J$97,$BP$83 + 1) +$BT$82," ")," ")</f>
        <v xml:space="preserve"> </v>
      </c>
      <c r="BU83" s="43" t="str">
        <f ca="1">IFERROR(IF(ISNUMBER($BP$83),INDEX('1.Locations'!$K$2:$K$97,$BP$83 + 1) +$BU$82," ")," ")</f>
        <v xml:space="preserve"> </v>
      </c>
      <c r="BV83" s="45" t="str">
        <f ca="1">IFERROR(IF(AND(ISNUMBER($BP$83),$BP$83&lt;=95),INDEX('2.Distances'!$D$2:$D$9218,$BP$82*96+$BP$83+ 1) +$BV$82," ")," ")</f>
        <v xml:space="preserve"> </v>
      </c>
      <c r="BW83" s="46" t="str">
        <f ca="1">IFERROR(IF(AND(ISNUMBER($BP$83),$BP$83&lt;=95),INDEX('2.Distances'!$D$2:$D$9218,$BP$82*96+$BP$83+ 1) +$BX$82," ")," ")</f>
        <v xml:space="preserve"> </v>
      </c>
      <c r="BX83" s="46" t="str">
        <f ca="1">IFERROR(IF(ISNUMBER($BW$83),INDEX('1.Locations'!$I$2:$I$97,$BP$83 + 1) + MAX($BW$83,INDEX('1.Locations'!$F$2:$F$97,$BP$83 + 1))," ")," ")</f>
        <v xml:space="preserve"> </v>
      </c>
      <c r="BY83" s="45" t="str">
        <f ca="1">IFERROR($BY$82 + INDEX('2.Distances'!$D$2:$D$9218,$BP$82*96+$BP$83+ 1) + INDEX('1.Locations'!$I$2:$I$97,$BP$83 + 1)," ")</f>
        <v xml:space="preserve"> </v>
      </c>
      <c r="CA83" s="24">
        <v>78</v>
      </c>
      <c r="CB83" s="25"/>
      <c r="CC83" s="43" t="str">
        <f ca="1">IFERROR(MATCH(INDIRECT("$CB$83"),'1.Locations'!$B$2:$B$97, 0) - 1," ")</f>
        <v xml:space="preserve"> </v>
      </c>
      <c r="CD83" s="43" t="e">
        <f ca="1">IFERROR(IF(ISNUMBER($CC$83),INDEX('1.Locations'!$D$2:$D$97,$CC$83 + 1),NA()),NA())</f>
        <v>#N/A</v>
      </c>
      <c r="CE83" s="43" t="e">
        <f ca="1">IFERROR(IF(ISNUMBER($CC$83),INDEX('1.Locations'!$E$2:$E$97,$CC$83 + 1),NA()),NA())</f>
        <v>#N/A</v>
      </c>
      <c r="CF83" s="44" t="str">
        <f ca="1">IFERROR(IF(AND(ISNUMBER($CC$83),$CC$83&lt;=95),INDEX('2.Distances'!$C$2:$C$9218,$CC$82*96+$CC$83+ 1) +$CF$82," ")," ")</f>
        <v xml:space="preserve"> </v>
      </c>
      <c r="CG83" s="43" t="str">
        <f ca="1">IFERROR(IF(ISNUMBER($CC$83),INDEX('1.Locations'!$J$2:$J$97,$CC$83 + 1) +$CG$82," ")," ")</f>
        <v xml:space="preserve"> </v>
      </c>
      <c r="CH83" s="43" t="str">
        <f ca="1">IFERROR(IF(ISNUMBER($CC$83),INDEX('1.Locations'!$K$2:$K$97,$CC$83 + 1) +$CH$82," ")," ")</f>
        <v xml:space="preserve"> </v>
      </c>
      <c r="CI83" s="45" t="str">
        <f ca="1">IFERROR(IF(AND(ISNUMBER($CC$83),$CC$83&lt;=95),INDEX('2.Distances'!$D$2:$D$9218,$CC$82*96+$CC$83+ 1) +$CI$82," ")," ")</f>
        <v xml:space="preserve"> </v>
      </c>
      <c r="CJ83" s="46" t="str">
        <f ca="1">IFERROR(IF(AND(ISNUMBER($CC$83),$CC$83&lt;=95),INDEX('2.Distances'!$D$2:$D$9218,$CC$82*96+$CC$83+ 1) +$CK$82," ")," ")</f>
        <v xml:space="preserve"> </v>
      </c>
      <c r="CK83" s="46" t="str">
        <f ca="1">IFERROR(IF(ISNUMBER($CJ$83),INDEX('1.Locations'!$I$2:$I$97,$CC$83 + 1) + MAX($CJ$83,INDEX('1.Locations'!$F$2:$F$97,$CC$83 + 1))," ")," ")</f>
        <v xml:space="preserve"> </v>
      </c>
      <c r="CL83" s="45" t="str">
        <f ca="1">IFERROR($CL$82 + INDEX('2.Distances'!$D$2:$D$9218,$CC$82*96+$CC$83+ 1) + INDEX('1.Locations'!$I$2:$I$97,$CC$83 + 1)," ")</f>
        <v xml:space="preserve"> </v>
      </c>
    </row>
    <row r="84" spans="1:90" x14ac:dyDescent="0.25">
      <c r="A84" s="24">
        <v>79</v>
      </c>
      <c r="B84" s="25"/>
      <c r="C84" s="43" t="str">
        <f ca="1">IFERROR(MATCH(INDIRECT("$B$84"),'1.Locations'!$B$2:$B$97, 0) - 1," ")</f>
        <v xml:space="preserve"> </v>
      </c>
      <c r="D84" s="43" t="e">
        <f ca="1">IFERROR(IF(ISNUMBER($C$84),INDEX('1.Locations'!$D$2:$D$97,$C$84 + 1),NA()),NA())</f>
        <v>#N/A</v>
      </c>
      <c r="E84" s="43" t="e">
        <f ca="1">IFERROR(IF(ISNUMBER($C$84),INDEX('1.Locations'!$E$2:$E$97,$C$84 + 1),NA()),NA())</f>
        <v>#N/A</v>
      </c>
      <c r="F84" s="44" t="str">
        <f ca="1">IFERROR(IF(AND(ISNUMBER($C$84),$C$84&lt;=95),INDEX('2.Distances'!$C$2:$C$9218,$C$83*96+$C$84+ 1) +$F$83," ")," ")</f>
        <v xml:space="preserve"> </v>
      </c>
      <c r="G84" s="43" t="str">
        <f ca="1">IFERROR(IF(ISNUMBER($C$84),INDEX('1.Locations'!$J$2:$J$97,$C$84 + 1) +$G$83," ")," ")</f>
        <v xml:space="preserve"> </v>
      </c>
      <c r="H84" s="43" t="str">
        <f ca="1">IFERROR(IF(ISNUMBER($C$84),INDEX('1.Locations'!$K$2:$K$97,$C$84 + 1) +$H$83," ")," ")</f>
        <v xml:space="preserve"> </v>
      </c>
      <c r="I84" s="45" t="str">
        <f ca="1">IFERROR(IF(AND(ISNUMBER($C$84),$C$84&lt;=95),INDEX('2.Distances'!$D$2:$D$9218,$C$83*96+$C$84+ 1) +$I$83," ")," ")</f>
        <v xml:space="preserve"> </v>
      </c>
      <c r="J84" s="46" t="str">
        <f ca="1">IFERROR(IF(AND(ISNUMBER($C$84),$C$84&lt;=95),INDEX('2.Distances'!$D$2:$D$9218,$C$83*96+$C$84+ 1) +$K$83," ")," ")</f>
        <v xml:space="preserve"> </v>
      </c>
      <c r="K84" s="46" t="str">
        <f ca="1">IFERROR(IF(ISNUMBER($J$84),INDEX('1.Locations'!$I$2:$I$97,$C$84 + 1) + MAX($J$84,INDEX('1.Locations'!$F$2:$F$97,$C$84 + 1))," ")," ")</f>
        <v xml:space="preserve"> </v>
      </c>
      <c r="L84" s="45" t="str">
        <f ca="1">IFERROR($L$83 + INDEX('2.Distances'!$D$2:$D$9218,$C$83*96+$C$84+ 1) + INDEX('1.Locations'!$I$2:$I$97,$C$84 + 1)," ")</f>
        <v xml:space="preserve"> </v>
      </c>
      <c r="N84" s="24">
        <v>79</v>
      </c>
      <c r="O84" s="25"/>
      <c r="P84" s="43" t="str">
        <f ca="1">IFERROR(MATCH(INDIRECT("$O$84"),'1.Locations'!$B$2:$B$97, 0) - 1," ")</f>
        <v xml:space="preserve"> </v>
      </c>
      <c r="Q84" s="43" t="e">
        <f ca="1">IFERROR(IF(ISNUMBER($P$84),INDEX('1.Locations'!$D$2:$D$97,$P$84 + 1),NA()),NA())</f>
        <v>#N/A</v>
      </c>
      <c r="R84" s="43" t="e">
        <f ca="1">IFERROR(IF(ISNUMBER($P$84),INDEX('1.Locations'!$E$2:$E$97,$P$84 + 1),NA()),NA())</f>
        <v>#N/A</v>
      </c>
      <c r="S84" s="44" t="str">
        <f ca="1">IFERROR(IF(AND(ISNUMBER($P$84),$P$84&lt;=95),INDEX('2.Distances'!$C$2:$C$9218,$P$83*96+$P$84+ 1) +$S$83," ")," ")</f>
        <v xml:space="preserve"> </v>
      </c>
      <c r="T84" s="43" t="str">
        <f ca="1">IFERROR(IF(ISNUMBER($P$84),INDEX('1.Locations'!$J$2:$J$97,$P$84 + 1) +$T$83," ")," ")</f>
        <v xml:space="preserve"> </v>
      </c>
      <c r="U84" s="43" t="str">
        <f ca="1">IFERROR(IF(ISNUMBER($P$84),INDEX('1.Locations'!$K$2:$K$97,$P$84 + 1) +$U$83," ")," ")</f>
        <v xml:space="preserve"> </v>
      </c>
      <c r="V84" s="45" t="str">
        <f ca="1">IFERROR(IF(AND(ISNUMBER($P$84),$P$84&lt;=95),INDEX('2.Distances'!$D$2:$D$9218,$P$83*96+$P$84+ 1) +$V$83," ")," ")</f>
        <v xml:space="preserve"> </v>
      </c>
      <c r="W84" s="46" t="str">
        <f ca="1">IFERROR(IF(AND(ISNUMBER($P$84),$P$84&lt;=95),INDEX('2.Distances'!$D$2:$D$9218,$P$83*96+$P$84+ 1) +$X$83," ")," ")</f>
        <v xml:space="preserve"> </v>
      </c>
      <c r="X84" s="46" t="str">
        <f ca="1">IFERROR(IF(ISNUMBER($W$84),INDEX('1.Locations'!$I$2:$I$97,$P$84 + 1) + MAX($W$84,INDEX('1.Locations'!$F$2:$F$97,$P$84 + 1))," ")," ")</f>
        <v xml:space="preserve"> </v>
      </c>
      <c r="Y84" s="45" t="str">
        <f ca="1">IFERROR($Y$83 + INDEX('2.Distances'!$D$2:$D$9218,$P$83*96+$P$84+ 1) + INDEX('1.Locations'!$I$2:$I$97,$P$84 + 1)," ")</f>
        <v xml:space="preserve"> </v>
      </c>
      <c r="AA84" s="24">
        <v>79</v>
      </c>
      <c r="AB84" s="25"/>
      <c r="AC84" s="43" t="str">
        <f ca="1">IFERROR(MATCH(INDIRECT("$AB$84"),'1.Locations'!$B$2:$B$97, 0) - 1," ")</f>
        <v xml:space="preserve"> </v>
      </c>
      <c r="AD84" s="43" t="e">
        <f ca="1">IFERROR(IF(ISNUMBER($AC$84),INDEX('1.Locations'!$D$2:$D$97,$AC$84 + 1),NA()),NA())</f>
        <v>#N/A</v>
      </c>
      <c r="AE84" s="43" t="e">
        <f ca="1">IFERROR(IF(ISNUMBER($AC$84),INDEX('1.Locations'!$E$2:$E$97,$AC$84 + 1),NA()),NA())</f>
        <v>#N/A</v>
      </c>
      <c r="AF84" s="44" t="str">
        <f ca="1">IFERROR(IF(AND(ISNUMBER($AC$84),$AC$84&lt;=95),INDEX('2.Distances'!$C$2:$C$9218,$AC$83*96+$AC$84+ 1) +$AF$83," ")," ")</f>
        <v xml:space="preserve"> </v>
      </c>
      <c r="AG84" s="43" t="str">
        <f ca="1">IFERROR(IF(ISNUMBER($AC$84),INDEX('1.Locations'!$J$2:$J$97,$AC$84 + 1) +$AG$83," ")," ")</f>
        <v xml:space="preserve"> </v>
      </c>
      <c r="AH84" s="43" t="str">
        <f ca="1">IFERROR(IF(ISNUMBER($AC$84),INDEX('1.Locations'!$K$2:$K$97,$AC$84 + 1) +$AH$83," ")," ")</f>
        <v xml:space="preserve"> </v>
      </c>
      <c r="AI84" s="45" t="str">
        <f ca="1">IFERROR(IF(AND(ISNUMBER($AC$84),$AC$84&lt;=95),INDEX('2.Distances'!$D$2:$D$9218,$AC$83*96+$AC$84+ 1) +$AI$83," ")," ")</f>
        <v xml:space="preserve"> </v>
      </c>
      <c r="AJ84" s="46" t="str">
        <f ca="1">IFERROR(IF(AND(ISNUMBER($AC$84),$AC$84&lt;=95),INDEX('2.Distances'!$D$2:$D$9218,$AC$83*96+$AC$84+ 1) +$AK$83," ")," ")</f>
        <v xml:space="preserve"> </v>
      </c>
      <c r="AK84" s="46" t="str">
        <f ca="1">IFERROR(IF(ISNUMBER($AJ$84),INDEX('1.Locations'!$I$2:$I$97,$AC$84 + 1) + MAX($AJ$84,INDEX('1.Locations'!$F$2:$F$97,$AC$84 + 1))," ")," ")</f>
        <v xml:space="preserve"> </v>
      </c>
      <c r="AL84" s="45" t="str">
        <f ca="1">IFERROR($AL$83 + INDEX('2.Distances'!$D$2:$D$9218,$AC$83*96+$AC$84+ 1) + INDEX('1.Locations'!$I$2:$I$97,$AC$84 + 1)," ")</f>
        <v xml:space="preserve"> </v>
      </c>
      <c r="AN84" s="24">
        <v>79</v>
      </c>
      <c r="AO84" s="25"/>
      <c r="AP84" s="43" t="str">
        <f ca="1">IFERROR(MATCH(INDIRECT("$AO$84"),'1.Locations'!$B$2:$B$97, 0) - 1," ")</f>
        <v xml:space="preserve"> </v>
      </c>
      <c r="AQ84" s="43" t="e">
        <f ca="1">IFERROR(IF(ISNUMBER($AP$84),INDEX('1.Locations'!$D$2:$D$97,$AP$84 + 1),NA()),NA())</f>
        <v>#N/A</v>
      </c>
      <c r="AR84" s="43" t="e">
        <f ca="1">IFERROR(IF(ISNUMBER($AP$84),INDEX('1.Locations'!$E$2:$E$97,$AP$84 + 1),NA()),NA())</f>
        <v>#N/A</v>
      </c>
      <c r="AS84" s="44" t="str">
        <f ca="1">IFERROR(IF(AND(ISNUMBER($AP$84),$AP$84&lt;=95),INDEX('2.Distances'!$C$2:$C$9218,$AP$83*96+$AP$84+ 1) +$AS$83," ")," ")</f>
        <v xml:space="preserve"> </v>
      </c>
      <c r="AT84" s="43" t="str">
        <f ca="1">IFERROR(IF(ISNUMBER($AP$84),INDEX('1.Locations'!$J$2:$J$97,$AP$84 + 1) +$AT$83," ")," ")</f>
        <v xml:space="preserve"> </v>
      </c>
      <c r="AU84" s="43" t="str">
        <f ca="1">IFERROR(IF(ISNUMBER($AP$84),INDEX('1.Locations'!$K$2:$K$97,$AP$84 + 1) +$AU$83," ")," ")</f>
        <v xml:space="preserve"> </v>
      </c>
      <c r="AV84" s="45" t="str">
        <f ca="1">IFERROR(IF(AND(ISNUMBER($AP$84),$AP$84&lt;=95),INDEX('2.Distances'!$D$2:$D$9218,$AP$83*96+$AP$84+ 1) +$AV$83," ")," ")</f>
        <v xml:space="preserve"> </v>
      </c>
      <c r="AW84" s="46" t="str">
        <f ca="1">IFERROR(IF(AND(ISNUMBER($AP$84),$AP$84&lt;=95),INDEX('2.Distances'!$D$2:$D$9218,$AP$83*96+$AP$84+ 1) +$AX$83," ")," ")</f>
        <v xml:space="preserve"> </v>
      </c>
      <c r="AX84" s="46" t="str">
        <f ca="1">IFERROR(IF(ISNUMBER($AW$84),INDEX('1.Locations'!$I$2:$I$97,$AP$84 + 1) + MAX($AW$84,INDEX('1.Locations'!$F$2:$F$97,$AP$84 + 1))," ")," ")</f>
        <v xml:space="preserve"> </v>
      </c>
      <c r="AY84" s="45" t="str">
        <f ca="1">IFERROR($AY$83 + INDEX('2.Distances'!$D$2:$D$9218,$AP$83*96+$AP$84+ 1) + INDEX('1.Locations'!$I$2:$I$97,$AP$84 + 1)," ")</f>
        <v xml:space="preserve"> </v>
      </c>
      <c r="BA84" s="24">
        <v>79</v>
      </c>
      <c r="BB84" s="25"/>
      <c r="BC84" s="43" t="str">
        <f ca="1">IFERROR(MATCH(INDIRECT("$BB$84"),'1.Locations'!$B$2:$B$97, 0) - 1," ")</f>
        <v xml:space="preserve"> </v>
      </c>
      <c r="BD84" s="43" t="e">
        <f ca="1">IFERROR(IF(ISNUMBER($BC$84),INDEX('1.Locations'!$D$2:$D$97,$BC$84 + 1),NA()),NA())</f>
        <v>#N/A</v>
      </c>
      <c r="BE84" s="43" t="e">
        <f ca="1">IFERROR(IF(ISNUMBER($BC$84),INDEX('1.Locations'!$E$2:$E$97,$BC$84 + 1),NA()),NA())</f>
        <v>#N/A</v>
      </c>
      <c r="BF84" s="44" t="str">
        <f ca="1">IFERROR(IF(AND(ISNUMBER($BC$84),$BC$84&lt;=95),INDEX('2.Distances'!$C$2:$C$9218,$BC$83*96+$BC$84+ 1) +$BF$83," ")," ")</f>
        <v xml:space="preserve"> </v>
      </c>
      <c r="BG84" s="43" t="str">
        <f ca="1">IFERROR(IF(ISNUMBER($BC$84),INDEX('1.Locations'!$J$2:$J$97,$BC$84 + 1) +$BG$83," ")," ")</f>
        <v xml:space="preserve"> </v>
      </c>
      <c r="BH84" s="43" t="str">
        <f ca="1">IFERROR(IF(ISNUMBER($BC$84),INDEX('1.Locations'!$K$2:$K$97,$BC$84 + 1) +$BH$83," ")," ")</f>
        <v xml:space="preserve"> </v>
      </c>
      <c r="BI84" s="45" t="str">
        <f ca="1">IFERROR(IF(AND(ISNUMBER($BC$84),$BC$84&lt;=95),INDEX('2.Distances'!$D$2:$D$9218,$BC$83*96+$BC$84+ 1) +$BI$83," ")," ")</f>
        <v xml:space="preserve"> </v>
      </c>
      <c r="BJ84" s="46" t="str">
        <f ca="1">IFERROR(IF(AND(ISNUMBER($BC$84),$BC$84&lt;=95),INDEX('2.Distances'!$D$2:$D$9218,$BC$83*96+$BC$84+ 1) +$BK$83," ")," ")</f>
        <v xml:space="preserve"> </v>
      </c>
      <c r="BK84" s="46" t="str">
        <f ca="1">IFERROR(IF(ISNUMBER($BJ$84),INDEX('1.Locations'!$I$2:$I$97,$BC$84 + 1) + MAX($BJ$84,INDEX('1.Locations'!$F$2:$F$97,$BC$84 + 1))," ")," ")</f>
        <v xml:space="preserve"> </v>
      </c>
      <c r="BL84" s="45" t="str">
        <f ca="1">IFERROR($BL$83 + INDEX('2.Distances'!$D$2:$D$9218,$BC$83*96+$BC$84+ 1) + INDEX('1.Locations'!$I$2:$I$97,$BC$84 + 1)," ")</f>
        <v xml:space="preserve"> </v>
      </c>
      <c r="BN84" s="24">
        <v>79</v>
      </c>
      <c r="BO84" s="25"/>
      <c r="BP84" s="43" t="str">
        <f ca="1">IFERROR(MATCH(INDIRECT("$BO$84"),'1.Locations'!$B$2:$B$97, 0) - 1," ")</f>
        <v xml:space="preserve"> </v>
      </c>
      <c r="BQ84" s="43" t="e">
        <f ca="1">IFERROR(IF(ISNUMBER($BP$84),INDEX('1.Locations'!$D$2:$D$97,$BP$84 + 1),NA()),NA())</f>
        <v>#N/A</v>
      </c>
      <c r="BR84" s="43" t="e">
        <f ca="1">IFERROR(IF(ISNUMBER($BP$84),INDEX('1.Locations'!$E$2:$E$97,$BP$84 + 1),NA()),NA())</f>
        <v>#N/A</v>
      </c>
      <c r="BS84" s="44" t="str">
        <f ca="1">IFERROR(IF(AND(ISNUMBER($BP$84),$BP$84&lt;=95),INDEX('2.Distances'!$C$2:$C$9218,$BP$83*96+$BP$84+ 1) +$BS$83," ")," ")</f>
        <v xml:space="preserve"> </v>
      </c>
      <c r="BT84" s="43" t="str">
        <f ca="1">IFERROR(IF(ISNUMBER($BP$84),INDEX('1.Locations'!$J$2:$J$97,$BP$84 + 1) +$BT$83," ")," ")</f>
        <v xml:space="preserve"> </v>
      </c>
      <c r="BU84" s="43" t="str">
        <f ca="1">IFERROR(IF(ISNUMBER($BP$84),INDEX('1.Locations'!$K$2:$K$97,$BP$84 + 1) +$BU$83," ")," ")</f>
        <v xml:space="preserve"> </v>
      </c>
      <c r="BV84" s="45" t="str">
        <f ca="1">IFERROR(IF(AND(ISNUMBER($BP$84),$BP$84&lt;=95),INDEX('2.Distances'!$D$2:$D$9218,$BP$83*96+$BP$84+ 1) +$BV$83," ")," ")</f>
        <v xml:space="preserve"> </v>
      </c>
      <c r="BW84" s="46" t="str">
        <f ca="1">IFERROR(IF(AND(ISNUMBER($BP$84),$BP$84&lt;=95),INDEX('2.Distances'!$D$2:$D$9218,$BP$83*96+$BP$84+ 1) +$BX$83," ")," ")</f>
        <v xml:space="preserve"> </v>
      </c>
      <c r="BX84" s="46" t="str">
        <f ca="1">IFERROR(IF(ISNUMBER($BW$84),INDEX('1.Locations'!$I$2:$I$97,$BP$84 + 1) + MAX($BW$84,INDEX('1.Locations'!$F$2:$F$97,$BP$84 + 1))," ")," ")</f>
        <v xml:space="preserve"> </v>
      </c>
      <c r="BY84" s="45" t="str">
        <f ca="1">IFERROR($BY$83 + INDEX('2.Distances'!$D$2:$D$9218,$BP$83*96+$BP$84+ 1) + INDEX('1.Locations'!$I$2:$I$97,$BP$84 + 1)," ")</f>
        <v xml:space="preserve"> </v>
      </c>
      <c r="CA84" s="24">
        <v>79</v>
      </c>
      <c r="CB84" s="25"/>
      <c r="CC84" s="43" t="str">
        <f ca="1">IFERROR(MATCH(INDIRECT("$CB$84"),'1.Locations'!$B$2:$B$97, 0) - 1," ")</f>
        <v xml:space="preserve"> </v>
      </c>
      <c r="CD84" s="43" t="e">
        <f ca="1">IFERROR(IF(ISNUMBER($CC$84),INDEX('1.Locations'!$D$2:$D$97,$CC$84 + 1),NA()),NA())</f>
        <v>#N/A</v>
      </c>
      <c r="CE84" s="43" t="e">
        <f ca="1">IFERROR(IF(ISNUMBER($CC$84),INDEX('1.Locations'!$E$2:$E$97,$CC$84 + 1),NA()),NA())</f>
        <v>#N/A</v>
      </c>
      <c r="CF84" s="44" t="str">
        <f ca="1">IFERROR(IF(AND(ISNUMBER($CC$84),$CC$84&lt;=95),INDEX('2.Distances'!$C$2:$C$9218,$CC$83*96+$CC$84+ 1) +$CF$83," ")," ")</f>
        <v xml:space="preserve"> </v>
      </c>
      <c r="CG84" s="43" t="str">
        <f ca="1">IFERROR(IF(ISNUMBER($CC$84),INDEX('1.Locations'!$J$2:$J$97,$CC$84 + 1) +$CG$83," ")," ")</f>
        <v xml:space="preserve"> </v>
      </c>
      <c r="CH84" s="43" t="str">
        <f ca="1">IFERROR(IF(ISNUMBER($CC$84),INDEX('1.Locations'!$K$2:$K$97,$CC$84 + 1) +$CH$83," ")," ")</f>
        <v xml:space="preserve"> </v>
      </c>
      <c r="CI84" s="45" t="str">
        <f ca="1">IFERROR(IF(AND(ISNUMBER($CC$84),$CC$84&lt;=95),INDEX('2.Distances'!$D$2:$D$9218,$CC$83*96+$CC$84+ 1) +$CI$83," ")," ")</f>
        <v xml:space="preserve"> </v>
      </c>
      <c r="CJ84" s="46" t="str">
        <f ca="1">IFERROR(IF(AND(ISNUMBER($CC$84),$CC$84&lt;=95),INDEX('2.Distances'!$D$2:$D$9218,$CC$83*96+$CC$84+ 1) +$CK$83," ")," ")</f>
        <v xml:space="preserve"> </v>
      </c>
      <c r="CK84" s="46" t="str">
        <f ca="1">IFERROR(IF(ISNUMBER($CJ$84),INDEX('1.Locations'!$I$2:$I$97,$CC$84 + 1) + MAX($CJ$84,INDEX('1.Locations'!$F$2:$F$97,$CC$84 + 1))," ")," ")</f>
        <v xml:space="preserve"> </v>
      </c>
      <c r="CL84" s="45" t="str">
        <f ca="1">IFERROR($CL$83 + INDEX('2.Distances'!$D$2:$D$9218,$CC$83*96+$CC$84+ 1) + INDEX('1.Locations'!$I$2:$I$97,$CC$84 + 1)," ")</f>
        <v xml:space="preserve"> </v>
      </c>
    </row>
    <row r="85" spans="1:90" x14ac:dyDescent="0.25">
      <c r="A85" s="24">
        <v>80</v>
      </c>
      <c r="B85" s="25"/>
      <c r="C85" s="43" t="str">
        <f ca="1">IFERROR(MATCH(INDIRECT("$B$85"),'1.Locations'!$B$2:$B$97, 0) - 1," ")</f>
        <v xml:space="preserve"> </v>
      </c>
      <c r="D85" s="43" t="e">
        <f ca="1">IFERROR(IF(ISNUMBER($C$85),INDEX('1.Locations'!$D$2:$D$97,$C$85 + 1),NA()),NA())</f>
        <v>#N/A</v>
      </c>
      <c r="E85" s="43" t="e">
        <f ca="1">IFERROR(IF(ISNUMBER($C$85),INDEX('1.Locations'!$E$2:$E$97,$C$85 + 1),NA()),NA())</f>
        <v>#N/A</v>
      </c>
      <c r="F85" s="44" t="str">
        <f ca="1">IFERROR(IF(AND(ISNUMBER($C$85),$C$85&lt;=95),INDEX('2.Distances'!$C$2:$C$9218,$C$84*96+$C$85+ 1) +$F$84," ")," ")</f>
        <v xml:space="preserve"> </v>
      </c>
      <c r="G85" s="43" t="str">
        <f ca="1">IFERROR(IF(ISNUMBER($C$85),INDEX('1.Locations'!$J$2:$J$97,$C$85 + 1) +$G$84," ")," ")</f>
        <v xml:space="preserve"> </v>
      </c>
      <c r="H85" s="43" t="str">
        <f ca="1">IFERROR(IF(ISNUMBER($C$85),INDEX('1.Locations'!$K$2:$K$97,$C$85 + 1) +$H$84," ")," ")</f>
        <v xml:space="preserve"> </v>
      </c>
      <c r="I85" s="45" t="str">
        <f ca="1">IFERROR(IF(AND(ISNUMBER($C$85),$C$85&lt;=95),INDEX('2.Distances'!$D$2:$D$9218,$C$84*96+$C$85+ 1) +$I$84," ")," ")</f>
        <v xml:space="preserve"> </v>
      </c>
      <c r="J85" s="46" t="str">
        <f ca="1">IFERROR(IF(AND(ISNUMBER($C$85),$C$85&lt;=95),INDEX('2.Distances'!$D$2:$D$9218,$C$84*96+$C$85+ 1) +$K$84," ")," ")</f>
        <v xml:space="preserve"> </v>
      </c>
      <c r="K85" s="46" t="str">
        <f ca="1">IFERROR(IF(ISNUMBER($J$85),INDEX('1.Locations'!$I$2:$I$97,$C$85 + 1) + MAX($J$85,INDEX('1.Locations'!$F$2:$F$97,$C$85 + 1))," ")," ")</f>
        <v xml:space="preserve"> </v>
      </c>
      <c r="L85" s="45" t="str">
        <f ca="1">IFERROR($L$84 + INDEX('2.Distances'!$D$2:$D$9218,$C$84*96+$C$85+ 1) + INDEX('1.Locations'!$I$2:$I$97,$C$85 + 1)," ")</f>
        <v xml:space="preserve"> </v>
      </c>
      <c r="N85" s="24">
        <v>80</v>
      </c>
      <c r="O85" s="25"/>
      <c r="P85" s="43" t="str">
        <f ca="1">IFERROR(MATCH(INDIRECT("$O$85"),'1.Locations'!$B$2:$B$97, 0) - 1," ")</f>
        <v xml:space="preserve"> </v>
      </c>
      <c r="Q85" s="43" t="e">
        <f ca="1">IFERROR(IF(ISNUMBER($P$85),INDEX('1.Locations'!$D$2:$D$97,$P$85 + 1),NA()),NA())</f>
        <v>#N/A</v>
      </c>
      <c r="R85" s="43" t="e">
        <f ca="1">IFERROR(IF(ISNUMBER($P$85),INDEX('1.Locations'!$E$2:$E$97,$P$85 + 1),NA()),NA())</f>
        <v>#N/A</v>
      </c>
      <c r="S85" s="44" t="str">
        <f ca="1">IFERROR(IF(AND(ISNUMBER($P$85),$P$85&lt;=95),INDEX('2.Distances'!$C$2:$C$9218,$P$84*96+$P$85+ 1) +$S$84," ")," ")</f>
        <v xml:space="preserve"> </v>
      </c>
      <c r="T85" s="43" t="str">
        <f ca="1">IFERROR(IF(ISNUMBER($P$85),INDEX('1.Locations'!$J$2:$J$97,$P$85 + 1) +$T$84," ")," ")</f>
        <v xml:space="preserve"> </v>
      </c>
      <c r="U85" s="43" t="str">
        <f ca="1">IFERROR(IF(ISNUMBER($P$85),INDEX('1.Locations'!$K$2:$K$97,$P$85 + 1) +$U$84," ")," ")</f>
        <v xml:space="preserve"> </v>
      </c>
      <c r="V85" s="45" t="str">
        <f ca="1">IFERROR(IF(AND(ISNUMBER($P$85),$P$85&lt;=95),INDEX('2.Distances'!$D$2:$D$9218,$P$84*96+$P$85+ 1) +$V$84," ")," ")</f>
        <v xml:space="preserve"> </v>
      </c>
      <c r="W85" s="46" t="str">
        <f ca="1">IFERROR(IF(AND(ISNUMBER($P$85),$P$85&lt;=95),INDEX('2.Distances'!$D$2:$D$9218,$P$84*96+$P$85+ 1) +$X$84," ")," ")</f>
        <v xml:space="preserve"> </v>
      </c>
      <c r="X85" s="46" t="str">
        <f ca="1">IFERROR(IF(ISNUMBER($W$85),INDEX('1.Locations'!$I$2:$I$97,$P$85 + 1) + MAX($W$85,INDEX('1.Locations'!$F$2:$F$97,$P$85 + 1))," ")," ")</f>
        <v xml:space="preserve"> </v>
      </c>
      <c r="Y85" s="45" t="str">
        <f ca="1">IFERROR($Y$84 + INDEX('2.Distances'!$D$2:$D$9218,$P$84*96+$P$85+ 1) + INDEX('1.Locations'!$I$2:$I$97,$P$85 + 1)," ")</f>
        <v xml:space="preserve"> </v>
      </c>
      <c r="AA85" s="24">
        <v>80</v>
      </c>
      <c r="AB85" s="25"/>
      <c r="AC85" s="43" t="str">
        <f ca="1">IFERROR(MATCH(INDIRECT("$AB$85"),'1.Locations'!$B$2:$B$97, 0) - 1," ")</f>
        <v xml:space="preserve"> </v>
      </c>
      <c r="AD85" s="43" t="e">
        <f ca="1">IFERROR(IF(ISNUMBER($AC$85),INDEX('1.Locations'!$D$2:$D$97,$AC$85 + 1),NA()),NA())</f>
        <v>#N/A</v>
      </c>
      <c r="AE85" s="43" t="e">
        <f ca="1">IFERROR(IF(ISNUMBER($AC$85),INDEX('1.Locations'!$E$2:$E$97,$AC$85 + 1),NA()),NA())</f>
        <v>#N/A</v>
      </c>
      <c r="AF85" s="44" t="str">
        <f ca="1">IFERROR(IF(AND(ISNUMBER($AC$85),$AC$85&lt;=95),INDEX('2.Distances'!$C$2:$C$9218,$AC$84*96+$AC$85+ 1) +$AF$84," ")," ")</f>
        <v xml:space="preserve"> </v>
      </c>
      <c r="AG85" s="43" t="str">
        <f ca="1">IFERROR(IF(ISNUMBER($AC$85),INDEX('1.Locations'!$J$2:$J$97,$AC$85 + 1) +$AG$84," ")," ")</f>
        <v xml:space="preserve"> </v>
      </c>
      <c r="AH85" s="43" t="str">
        <f ca="1">IFERROR(IF(ISNUMBER($AC$85),INDEX('1.Locations'!$K$2:$K$97,$AC$85 + 1) +$AH$84," ")," ")</f>
        <v xml:space="preserve"> </v>
      </c>
      <c r="AI85" s="45" t="str">
        <f ca="1">IFERROR(IF(AND(ISNUMBER($AC$85),$AC$85&lt;=95),INDEX('2.Distances'!$D$2:$D$9218,$AC$84*96+$AC$85+ 1) +$AI$84," ")," ")</f>
        <v xml:space="preserve"> </v>
      </c>
      <c r="AJ85" s="46" t="str">
        <f ca="1">IFERROR(IF(AND(ISNUMBER($AC$85),$AC$85&lt;=95),INDEX('2.Distances'!$D$2:$D$9218,$AC$84*96+$AC$85+ 1) +$AK$84," ")," ")</f>
        <v xml:space="preserve"> </v>
      </c>
      <c r="AK85" s="46" t="str">
        <f ca="1">IFERROR(IF(ISNUMBER($AJ$85),INDEX('1.Locations'!$I$2:$I$97,$AC$85 + 1) + MAX($AJ$85,INDEX('1.Locations'!$F$2:$F$97,$AC$85 + 1))," ")," ")</f>
        <v xml:space="preserve"> </v>
      </c>
      <c r="AL85" s="45" t="str">
        <f ca="1">IFERROR($AL$84 + INDEX('2.Distances'!$D$2:$D$9218,$AC$84*96+$AC$85+ 1) + INDEX('1.Locations'!$I$2:$I$97,$AC$85 + 1)," ")</f>
        <v xml:space="preserve"> </v>
      </c>
      <c r="AN85" s="24">
        <v>80</v>
      </c>
      <c r="AO85" s="25"/>
      <c r="AP85" s="43" t="str">
        <f ca="1">IFERROR(MATCH(INDIRECT("$AO$85"),'1.Locations'!$B$2:$B$97, 0) - 1," ")</f>
        <v xml:space="preserve"> </v>
      </c>
      <c r="AQ85" s="43" t="e">
        <f ca="1">IFERROR(IF(ISNUMBER($AP$85),INDEX('1.Locations'!$D$2:$D$97,$AP$85 + 1),NA()),NA())</f>
        <v>#N/A</v>
      </c>
      <c r="AR85" s="43" t="e">
        <f ca="1">IFERROR(IF(ISNUMBER($AP$85),INDEX('1.Locations'!$E$2:$E$97,$AP$85 + 1),NA()),NA())</f>
        <v>#N/A</v>
      </c>
      <c r="AS85" s="44" t="str">
        <f ca="1">IFERROR(IF(AND(ISNUMBER($AP$85),$AP$85&lt;=95),INDEX('2.Distances'!$C$2:$C$9218,$AP$84*96+$AP$85+ 1) +$AS$84," ")," ")</f>
        <v xml:space="preserve"> </v>
      </c>
      <c r="AT85" s="43" t="str">
        <f ca="1">IFERROR(IF(ISNUMBER($AP$85),INDEX('1.Locations'!$J$2:$J$97,$AP$85 + 1) +$AT$84," ")," ")</f>
        <v xml:space="preserve"> </v>
      </c>
      <c r="AU85" s="43" t="str">
        <f ca="1">IFERROR(IF(ISNUMBER($AP$85),INDEX('1.Locations'!$K$2:$K$97,$AP$85 + 1) +$AU$84," ")," ")</f>
        <v xml:space="preserve"> </v>
      </c>
      <c r="AV85" s="45" t="str">
        <f ca="1">IFERROR(IF(AND(ISNUMBER($AP$85),$AP$85&lt;=95),INDEX('2.Distances'!$D$2:$D$9218,$AP$84*96+$AP$85+ 1) +$AV$84," ")," ")</f>
        <v xml:space="preserve"> </v>
      </c>
      <c r="AW85" s="46" t="str">
        <f ca="1">IFERROR(IF(AND(ISNUMBER($AP$85),$AP$85&lt;=95),INDEX('2.Distances'!$D$2:$D$9218,$AP$84*96+$AP$85+ 1) +$AX$84," ")," ")</f>
        <v xml:space="preserve"> </v>
      </c>
      <c r="AX85" s="46" t="str">
        <f ca="1">IFERROR(IF(ISNUMBER($AW$85),INDEX('1.Locations'!$I$2:$I$97,$AP$85 + 1) + MAX($AW$85,INDEX('1.Locations'!$F$2:$F$97,$AP$85 + 1))," ")," ")</f>
        <v xml:space="preserve"> </v>
      </c>
      <c r="AY85" s="45" t="str">
        <f ca="1">IFERROR($AY$84 + INDEX('2.Distances'!$D$2:$D$9218,$AP$84*96+$AP$85+ 1) + INDEX('1.Locations'!$I$2:$I$97,$AP$85 + 1)," ")</f>
        <v xml:space="preserve"> </v>
      </c>
      <c r="BA85" s="24">
        <v>80</v>
      </c>
      <c r="BB85" s="25"/>
      <c r="BC85" s="43" t="str">
        <f ca="1">IFERROR(MATCH(INDIRECT("$BB$85"),'1.Locations'!$B$2:$B$97, 0) - 1," ")</f>
        <v xml:space="preserve"> </v>
      </c>
      <c r="BD85" s="43" t="e">
        <f ca="1">IFERROR(IF(ISNUMBER($BC$85),INDEX('1.Locations'!$D$2:$D$97,$BC$85 + 1),NA()),NA())</f>
        <v>#N/A</v>
      </c>
      <c r="BE85" s="43" t="e">
        <f ca="1">IFERROR(IF(ISNUMBER($BC$85),INDEX('1.Locations'!$E$2:$E$97,$BC$85 + 1),NA()),NA())</f>
        <v>#N/A</v>
      </c>
      <c r="BF85" s="44" t="str">
        <f ca="1">IFERROR(IF(AND(ISNUMBER($BC$85),$BC$85&lt;=95),INDEX('2.Distances'!$C$2:$C$9218,$BC$84*96+$BC$85+ 1) +$BF$84," ")," ")</f>
        <v xml:space="preserve"> </v>
      </c>
      <c r="BG85" s="43" t="str">
        <f ca="1">IFERROR(IF(ISNUMBER($BC$85),INDEX('1.Locations'!$J$2:$J$97,$BC$85 + 1) +$BG$84," ")," ")</f>
        <v xml:space="preserve"> </v>
      </c>
      <c r="BH85" s="43" t="str">
        <f ca="1">IFERROR(IF(ISNUMBER($BC$85),INDEX('1.Locations'!$K$2:$K$97,$BC$85 + 1) +$BH$84," ")," ")</f>
        <v xml:space="preserve"> </v>
      </c>
      <c r="BI85" s="45" t="str">
        <f ca="1">IFERROR(IF(AND(ISNUMBER($BC$85),$BC$85&lt;=95),INDEX('2.Distances'!$D$2:$D$9218,$BC$84*96+$BC$85+ 1) +$BI$84," ")," ")</f>
        <v xml:space="preserve"> </v>
      </c>
      <c r="BJ85" s="46" t="str">
        <f ca="1">IFERROR(IF(AND(ISNUMBER($BC$85),$BC$85&lt;=95),INDEX('2.Distances'!$D$2:$D$9218,$BC$84*96+$BC$85+ 1) +$BK$84," ")," ")</f>
        <v xml:space="preserve"> </v>
      </c>
      <c r="BK85" s="46" t="str">
        <f ca="1">IFERROR(IF(ISNUMBER($BJ$85),INDEX('1.Locations'!$I$2:$I$97,$BC$85 + 1) + MAX($BJ$85,INDEX('1.Locations'!$F$2:$F$97,$BC$85 + 1))," ")," ")</f>
        <v xml:space="preserve"> </v>
      </c>
      <c r="BL85" s="45" t="str">
        <f ca="1">IFERROR($BL$84 + INDEX('2.Distances'!$D$2:$D$9218,$BC$84*96+$BC$85+ 1) + INDEX('1.Locations'!$I$2:$I$97,$BC$85 + 1)," ")</f>
        <v xml:space="preserve"> </v>
      </c>
      <c r="BN85" s="24">
        <v>80</v>
      </c>
      <c r="BO85" s="25"/>
      <c r="BP85" s="43" t="str">
        <f ca="1">IFERROR(MATCH(INDIRECT("$BO$85"),'1.Locations'!$B$2:$B$97, 0) - 1," ")</f>
        <v xml:space="preserve"> </v>
      </c>
      <c r="BQ85" s="43" t="e">
        <f ca="1">IFERROR(IF(ISNUMBER($BP$85),INDEX('1.Locations'!$D$2:$D$97,$BP$85 + 1),NA()),NA())</f>
        <v>#N/A</v>
      </c>
      <c r="BR85" s="43" t="e">
        <f ca="1">IFERROR(IF(ISNUMBER($BP$85),INDEX('1.Locations'!$E$2:$E$97,$BP$85 + 1),NA()),NA())</f>
        <v>#N/A</v>
      </c>
      <c r="BS85" s="44" t="str">
        <f ca="1">IFERROR(IF(AND(ISNUMBER($BP$85),$BP$85&lt;=95),INDEX('2.Distances'!$C$2:$C$9218,$BP$84*96+$BP$85+ 1) +$BS$84," ")," ")</f>
        <v xml:space="preserve"> </v>
      </c>
      <c r="BT85" s="43" t="str">
        <f ca="1">IFERROR(IF(ISNUMBER($BP$85),INDEX('1.Locations'!$J$2:$J$97,$BP$85 + 1) +$BT$84," ")," ")</f>
        <v xml:space="preserve"> </v>
      </c>
      <c r="BU85" s="43" t="str">
        <f ca="1">IFERROR(IF(ISNUMBER($BP$85),INDEX('1.Locations'!$K$2:$K$97,$BP$85 + 1) +$BU$84," ")," ")</f>
        <v xml:space="preserve"> </v>
      </c>
      <c r="BV85" s="45" t="str">
        <f ca="1">IFERROR(IF(AND(ISNUMBER($BP$85),$BP$85&lt;=95),INDEX('2.Distances'!$D$2:$D$9218,$BP$84*96+$BP$85+ 1) +$BV$84," ")," ")</f>
        <v xml:space="preserve"> </v>
      </c>
      <c r="BW85" s="46" t="str">
        <f ca="1">IFERROR(IF(AND(ISNUMBER($BP$85),$BP$85&lt;=95),INDEX('2.Distances'!$D$2:$D$9218,$BP$84*96+$BP$85+ 1) +$BX$84," ")," ")</f>
        <v xml:space="preserve"> </v>
      </c>
      <c r="BX85" s="46" t="str">
        <f ca="1">IFERROR(IF(ISNUMBER($BW$85),INDEX('1.Locations'!$I$2:$I$97,$BP$85 + 1) + MAX($BW$85,INDEX('1.Locations'!$F$2:$F$97,$BP$85 + 1))," ")," ")</f>
        <v xml:space="preserve"> </v>
      </c>
      <c r="BY85" s="45" t="str">
        <f ca="1">IFERROR($BY$84 + INDEX('2.Distances'!$D$2:$D$9218,$BP$84*96+$BP$85+ 1) + INDEX('1.Locations'!$I$2:$I$97,$BP$85 + 1)," ")</f>
        <v xml:space="preserve"> </v>
      </c>
      <c r="CA85" s="24">
        <v>80</v>
      </c>
      <c r="CB85" s="25"/>
      <c r="CC85" s="43" t="str">
        <f ca="1">IFERROR(MATCH(INDIRECT("$CB$85"),'1.Locations'!$B$2:$B$97, 0) - 1," ")</f>
        <v xml:space="preserve"> </v>
      </c>
      <c r="CD85" s="43" t="e">
        <f ca="1">IFERROR(IF(ISNUMBER($CC$85),INDEX('1.Locations'!$D$2:$D$97,$CC$85 + 1),NA()),NA())</f>
        <v>#N/A</v>
      </c>
      <c r="CE85" s="43" t="e">
        <f ca="1">IFERROR(IF(ISNUMBER($CC$85),INDEX('1.Locations'!$E$2:$E$97,$CC$85 + 1),NA()),NA())</f>
        <v>#N/A</v>
      </c>
      <c r="CF85" s="44" t="str">
        <f ca="1">IFERROR(IF(AND(ISNUMBER($CC$85),$CC$85&lt;=95),INDEX('2.Distances'!$C$2:$C$9218,$CC$84*96+$CC$85+ 1) +$CF$84," ")," ")</f>
        <v xml:space="preserve"> </v>
      </c>
      <c r="CG85" s="43" t="str">
        <f ca="1">IFERROR(IF(ISNUMBER($CC$85),INDEX('1.Locations'!$J$2:$J$97,$CC$85 + 1) +$CG$84," ")," ")</f>
        <v xml:space="preserve"> </v>
      </c>
      <c r="CH85" s="43" t="str">
        <f ca="1">IFERROR(IF(ISNUMBER($CC$85),INDEX('1.Locations'!$K$2:$K$97,$CC$85 + 1) +$CH$84," ")," ")</f>
        <v xml:space="preserve"> </v>
      </c>
      <c r="CI85" s="45" t="str">
        <f ca="1">IFERROR(IF(AND(ISNUMBER($CC$85),$CC$85&lt;=95),INDEX('2.Distances'!$D$2:$D$9218,$CC$84*96+$CC$85+ 1) +$CI$84," ")," ")</f>
        <v xml:space="preserve"> </v>
      </c>
      <c r="CJ85" s="46" t="str">
        <f ca="1">IFERROR(IF(AND(ISNUMBER($CC$85),$CC$85&lt;=95),INDEX('2.Distances'!$D$2:$D$9218,$CC$84*96+$CC$85+ 1) +$CK$84," ")," ")</f>
        <v xml:space="preserve"> </v>
      </c>
      <c r="CK85" s="46" t="str">
        <f ca="1">IFERROR(IF(ISNUMBER($CJ$85),INDEX('1.Locations'!$I$2:$I$97,$CC$85 + 1) + MAX($CJ$85,INDEX('1.Locations'!$F$2:$F$97,$CC$85 + 1))," ")," ")</f>
        <v xml:space="preserve"> </v>
      </c>
      <c r="CL85" s="45" t="str">
        <f ca="1">IFERROR($CL$84 + INDEX('2.Distances'!$D$2:$D$9218,$CC$84*96+$CC$85+ 1) + INDEX('1.Locations'!$I$2:$I$97,$CC$85 + 1)," ")</f>
        <v xml:space="preserve"> </v>
      </c>
    </row>
    <row r="86" spans="1:90" x14ac:dyDescent="0.25">
      <c r="A86" s="24">
        <v>81</v>
      </c>
      <c r="B86" s="25"/>
      <c r="C86" s="43" t="str">
        <f ca="1">IFERROR(MATCH(INDIRECT("$B$86"),'1.Locations'!$B$2:$B$97, 0) - 1," ")</f>
        <v xml:space="preserve"> </v>
      </c>
      <c r="D86" s="43" t="e">
        <f ca="1">IFERROR(IF(ISNUMBER($C$86),INDEX('1.Locations'!$D$2:$D$97,$C$86 + 1),NA()),NA())</f>
        <v>#N/A</v>
      </c>
      <c r="E86" s="43" t="e">
        <f ca="1">IFERROR(IF(ISNUMBER($C$86),INDEX('1.Locations'!$E$2:$E$97,$C$86 + 1),NA()),NA())</f>
        <v>#N/A</v>
      </c>
      <c r="F86" s="44" t="str">
        <f ca="1">IFERROR(IF(AND(ISNUMBER($C$86),$C$86&lt;=95),INDEX('2.Distances'!$C$2:$C$9218,$C$85*96+$C$86+ 1) +$F$85," ")," ")</f>
        <v xml:space="preserve"> </v>
      </c>
      <c r="G86" s="43" t="str">
        <f ca="1">IFERROR(IF(ISNUMBER($C$86),INDEX('1.Locations'!$J$2:$J$97,$C$86 + 1) +$G$85," ")," ")</f>
        <v xml:space="preserve"> </v>
      </c>
      <c r="H86" s="43" t="str">
        <f ca="1">IFERROR(IF(ISNUMBER($C$86),INDEX('1.Locations'!$K$2:$K$97,$C$86 + 1) +$H$85," ")," ")</f>
        <v xml:space="preserve"> </v>
      </c>
      <c r="I86" s="45" t="str">
        <f ca="1">IFERROR(IF(AND(ISNUMBER($C$86),$C$86&lt;=95),INDEX('2.Distances'!$D$2:$D$9218,$C$85*96+$C$86+ 1) +$I$85," ")," ")</f>
        <v xml:space="preserve"> </v>
      </c>
      <c r="J86" s="46" t="str">
        <f ca="1">IFERROR(IF(AND(ISNUMBER($C$86),$C$86&lt;=95),INDEX('2.Distances'!$D$2:$D$9218,$C$85*96+$C$86+ 1) +$K$85," ")," ")</f>
        <v xml:space="preserve"> </v>
      </c>
      <c r="K86" s="46" t="str">
        <f ca="1">IFERROR(IF(ISNUMBER($J$86),INDEX('1.Locations'!$I$2:$I$97,$C$86 + 1) + MAX($J$86,INDEX('1.Locations'!$F$2:$F$97,$C$86 + 1))," ")," ")</f>
        <v xml:space="preserve"> </v>
      </c>
      <c r="L86" s="45" t="str">
        <f ca="1">IFERROR($L$85 + INDEX('2.Distances'!$D$2:$D$9218,$C$85*96+$C$86+ 1) + INDEX('1.Locations'!$I$2:$I$97,$C$86 + 1)," ")</f>
        <v xml:space="preserve"> </v>
      </c>
      <c r="N86" s="24">
        <v>81</v>
      </c>
      <c r="O86" s="25"/>
      <c r="P86" s="43" t="str">
        <f ca="1">IFERROR(MATCH(INDIRECT("$O$86"),'1.Locations'!$B$2:$B$97, 0) - 1," ")</f>
        <v xml:space="preserve"> </v>
      </c>
      <c r="Q86" s="43" t="e">
        <f ca="1">IFERROR(IF(ISNUMBER($P$86),INDEX('1.Locations'!$D$2:$D$97,$P$86 + 1),NA()),NA())</f>
        <v>#N/A</v>
      </c>
      <c r="R86" s="43" t="e">
        <f ca="1">IFERROR(IF(ISNUMBER($P$86),INDEX('1.Locations'!$E$2:$E$97,$P$86 + 1),NA()),NA())</f>
        <v>#N/A</v>
      </c>
      <c r="S86" s="44" t="str">
        <f ca="1">IFERROR(IF(AND(ISNUMBER($P$86),$P$86&lt;=95),INDEX('2.Distances'!$C$2:$C$9218,$P$85*96+$P$86+ 1) +$S$85," ")," ")</f>
        <v xml:space="preserve"> </v>
      </c>
      <c r="T86" s="43" t="str">
        <f ca="1">IFERROR(IF(ISNUMBER($P$86),INDEX('1.Locations'!$J$2:$J$97,$P$86 + 1) +$T$85," ")," ")</f>
        <v xml:space="preserve"> </v>
      </c>
      <c r="U86" s="43" t="str">
        <f ca="1">IFERROR(IF(ISNUMBER($P$86),INDEX('1.Locations'!$K$2:$K$97,$P$86 + 1) +$U$85," ")," ")</f>
        <v xml:space="preserve"> </v>
      </c>
      <c r="V86" s="45" t="str">
        <f ca="1">IFERROR(IF(AND(ISNUMBER($P$86),$P$86&lt;=95),INDEX('2.Distances'!$D$2:$D$9218,$P$85*96+$P$86+ 1) +$V$85," ")," ")</f>
        <v xml:space="preserve"> </v>
      </c>
      <c r="W86" s="46" t="str">
        <f ca="1">IFERROR(IF(AND(ISNUMBER($P$86),$P$86&lt;=95),INDEX('2.Distances'!$D$2:$D$9218,$P$85*96+$P$86+ 1) +$X$85," ")," ")</f>
        <v xml:space="preserve"> </v>
      </c>
      <c r="X86" s="46" t="str">
        <f ca="1">IFERROR(IF(ISNUMBER($W$86),INDEX('1.Locations'!$I$2:$I$97,$P$86 + 1) + MAX($W$86,INDEX('1.Locations'!$F$2:$F$97,$P$86 + 1))," ")," ")</f>
        <v xml:space="preserve"> </v>
      </c>
      <c r="Y86" s="45" t="str">
        <f ca="1">IFERROR($Y$85 + INDEX('2.Distances'!$D$2:$D$9218,$P$85*96+$P$86+ 1) + INDEX('1.Locations'!$I$2:$I$97,$P$86 + 1)," ")</f>
        <v xml:space="preserve"> </v>
      </c>
      <c r="AA86" s="24">
        <v>81</v>
      </c>
      <c r="AB86" s="25"/>
      <c r="AC86" s="43" t="str">
        <f ca="1">IFERROR(MATCH(INDIRECT("$AB$86"),'1.Locations'!$B$2:$B$97, 0) - 1," ")</f>
        <v xml:space="preserve"> </v>
      </c>
      <c r="AD86" s="43" t="e">
        <f ca="1">IFERROR(IF(ISNUMBER($AC$86),INDEX('1.Locations'!$D$2:$D$97,$AC$86 + 1),NA()),NA())</f>
        <v>#N/A</v>
      </c>
      <c r="AE86" s="43" t="e">
        <f ca="1">IFERROR(IF(ISNUMBER($AC$86),INDEX('1.Locations'!$E$2:$E$97,$AC$86 + 1),NA()),NA())</f>
        <v>#N/A</v>
      </c>
      <c r="AF86" s="44" t="str">
        <f ca="1">IFERROR(IF(AND(ISNUMBER($AC$86),$AC$86&lt;=95),INDEX('2.Distances'!$C$2:$C$9218,$AC$85*96+$AC$86+ 1) +$AF$85," ")," ")</f>
        <v xml:space="preserve"> </v>
      </c>
      <c r="AG86" s="43" t="str">
        <f ca="1">IFERROR(IF(ISNUMBER($AC$86),INDEX('1.Locations'!$J$2:$J$97,$AC$86 + 1) +$AG$85," ")," ")</f>
        <v xml:space="preserve"> </v>
      </c>
      <c r="AH86" s="43" t="str">
        <f ca="1">IFERROR(IF(ISNUMBER($AC$86),INDEX('1.Locations'!$K$2:$K$97,$AC$86 + 1) +$AH$85," ")," ")</f>
        <v xml:space="preserve"> </v>
      </c>
      <c r="AI86" s="45" t="str">
        <f ca="1">IFERROR(IF(AND(ISNUMBER($AC$86),$AC$86&lt;=95),INDEX('2.Distances'!$D$2:$D$9218,$AC$85*96+$AC$86+ 1) +$AI$85," ")," ")</f>
        <v xml:space="preserve"> </v>
      </c>
      <c r="AJ86" s="46" t="str">
        <f ca="1">IFERROR(IF(AND(ISNUMBER($AC$86),$AC$86&lt;=95),INDEX('2.Distances'!$D$2:$D$9218,$AC$85*96+$AC$86+ 1) +$AK$85," ")," ")</f>
        <v xml:space="preserve"> </v>
      </c>
      <c r="AK86" s="46" t="str">
        <f ca="1">IFERROR(IF(ISNUMBER($AJ$86),INDEX('1.Locations'!$I$2:$I$97,$AC$86 + 1) + MAX($AJ$86,INDEX('1.Locations'!$F$2:$F$97,$AC$86 + 1))," ")," ")</f>
        <v xml:space="preserve"> </v>
      </c>
      <c r="AL86" s="45" t="str">
        <f ca="1">IFERROR($AL$85 + INDEX('2.Distances'!$D$2:$D$9218,$AC$85*96+$AC$86+ 1) + INDEX('1.Locations'!$I$2:$I$97,$AC$86 + 1)," ")</f>
        <v xml:space="preserve"> </v>
      </c>
      <c r="AN86" s="24">
        <v>81</v>
      </c>
      <c r="AO86" s="25"/>
      <c r="AP86" s="43" t="str">
        <f ca="1">IFERROR(MATCH(INDIRECT("$AO$86"),'1.Locations'!$B$2:$B$97, 0) - 1," ")</f>
        <v xml:space="preserve"> </v>
      </c>
      <c r="AQ86" s="43" t="e">
        <f ca="1">IFERROR(IF(ISNUMBER($AP$86),INDEX('1.Locations'!$D$2:$D$97,$AP$86 + 1),NA()),NA())</f>
        <v>#N/A</v>
      </c>
      <c r="AR86" s="43" t="e">
        <f ca="1">IFERROR(IF(ISNUMBER($AP$86),INDEX('1.Locations'!$E$2:$E$97,$AP$86 + 1),NA()),NA())</f>
        <v>#N/A</v>
      </c>
      <c r="AS86" s="44" t="str">
        <f ca="1">IFERROR(IF(AND(ISNUMBER($AP$86),$AP$86&lt;=95),INDEX('2.Distances'!$C$2:$C$9218,$AP$85*96+$AP$86+ 1) +$AS$85," ")," ")</f>
        <v xml:space="preserve"> </v>
      </c>
      <c r="AT86" s="43" t="str">
        <f ca="1">IFERROR(IF(ISNUMBER($AP$86),INDEX('1.Locations'!$J$2:$J$97,$AP$86 + 1) +$AT$85," ")," ")</f>
        <v xml:space="preserve"> </v>
      </c>
      <c r="AU86" s="43" t="str">
        <f ca="1">IFERROR(IF(ISNUMBER($AP$86),INDEX('1.Locations'!$K$2:$K$97,$AP$86 + 1) +$AU$85," ")," ")</f>
        <v xml:space="preserve"> </v>
      </c>
      <c r="AV86" s="45" t="str">
        <f ca="1">IFERROR(IF(AND(ISNUMBER($AP$86),$AP$86&lt;=95),INDEX('2.Distances'!$D$2:$D$9218,$AP$85*96+$AP$86+ 1) +$AV$85," ")," ")</f>
        <v xml:space="preserve"> </v>
      </c>
      <c r="AW86" s="46" t="str">
        <f ca="1">IFERROR(IF(AND(ISNUMBER($AP$86),$AP$86&lt;=95),INDEX('2.Distances'!$D$2:$D$9218,$AP$85*96+$AP$86+ 1) +$AX$85," ")," ")</f>
        <v xml:space="preserve"> </v>
      </c>
      <c r="AX86" s="46" t="str">
        <f ca="1">IFERROR(IF(ISNUMBER($AW$86),INDEX('1.Locations'!$I$2:$I$97,$AP$86 + 1) + MAX($AW$86,INDEX('1.Locations'!$F$2:$F$97,$AP$86 + 1))," ")," ")</f>
        <v xml:space="preserve"> </v>
      </c>
      <c r="AY86" s="45" t="str">
        <f ca="1">IFERROR($AY$85 + INDEX('2.Distances'!$D$2:$D$9218,$AP$85*96+$AP$86+ 1) + INDEX('1.Locations'!$I$2:$I$97,$AP$86 + 1)," ")</f>
        <v xml:space="preserve"> </v>
      </c>
      <c r="BA86" s="24">
        <v>81</v>
      </c>
      <c r="BB86" s="25"/>
      <c r="BC86" s="43" t="str">
        <f ca="1">IFERROR(MATCH(INDIRECT("$BB$86"),'1.Locations'!$B$2:$B$97, 0) - 1," ")</f>
        <v xml:space="preserve"> </v>
      </c>
      <c r="BD86" s="43" t="e">
        <f ca="1">IFERROR(IF(ISNUMBER($BC$86),INDEX('1.Locations'!$D$2:$D$97,$BC$86 + 1),NA()),NA())</f>
        <v>#N/A</v>
      </c>
      <c r="BE86" s="43" t="e">
        <f ca="1">IFERROR(IF(ISNUMBER($BC$86),INDEX('1.Locations'!$E$2:$E$97,$BC$86 + 1),NA()),NA())</f>
        <v>#N/A</v>
      </c>
      <c r="BF86" s="44" t="str">
        <f ca="1">IFERROR(IF(AND(ISNUMBER($BC$86),$BC$86&lt;=95),INDEX('2.Distances'!$C$2:$C$9218,$BC$85*96+$BC$86+ 1) +$BF$85," ")," ")</f>
        <v xml:space="preserve"> </v>
      </c>
      <c r="BG86" s="43" t="str">
        <f ca="1">IFERROR(IF(ISNUMBER($BC$86),INDEX('1.Locations'!$J$2:$J$97,$BC$86 + 1) +$BG$85," ")," ")</f>
        <v xml:space="preserve"> </v>
      </c>
      <c r="BH86" s="43" t="str">
        <f ca="1">IFERROR(IF(ISNUMBER($BC$86),INDEX('1.Locations'!$K$2:$K$97,$BC$86 + 1) +$BH$85," ")," ")</f>
        <v xml:space="preserve"> </v>
      </c>
      <c r="BI86" s="45" t="str">
        <f ca="1">IFERROR(IF(AND(ISNUMBER($BC$86),$BC$86&lt;=95),INDEX('2.Distances'!$D$2:$D$9218,$BC$85*96+$BC$86+ 1) +$BI$85," ")," ")</f>
        <v xml:space="preserve"> </v>
      </c>
      <c r="BJ86" s="46" t="str">
        <f ca="1">IFERROR(IF(AND(ISNUMBER($BC$86),$BC$86&lt;=95),INDEX('2.Distances'!$D$2:$D$9218,$BC$85*96+$BC$86+ 1) +$BK$85," ")," ")</f>
        <v xml:space="preserve"> </v>
      </c>
      <c r="BK86" s="46" t="str">
        <f ca="1">IFERROR(IF(ISNUMBER($BJ$86),INDEX('1.Locations'!$I$2:$I$97,$BC$86 + 1) + MAX($BJ$86,INDEX('1.Locations'!$F$2:$F$97,$BC$86 + 1))," ")," ")</f>
        <v xml:space="preserve"> </v>
      </c>
      <c r="BL86" s="45" t="str">
        <f ca="1">IFERROR($BL$85 + INDEX('2.Distances'!$D$2:$D$9218,$BC$85*96+$BC$86+ 1) + INDEX('1.Locations'!$I$2:$I$97,$BC$86 + 1)," ")</f>
        <v xml:space="preserve"> </v>
      </c>
      <c r="BN86" s="24">
        <v>81</v>
      </c>
      <c r="BO86" s="25"/>
      <c r="BP86" s="43" t="str">
        <f ca="1">IFERROR(MATCH(INDIRECT("$BO$86"),'1.Locations'!$B$2:$B$97, 0) - 1," ")</f>
        <v xml:space="preserve"> </v>
      </c>
      <c r="BQ86" s="43" t="e">
        <f ca="1">IFERROR(IF(ISNUMBER($BP$86),INDEX('1.Locations'!$D$2:$D$97,$BP$86 + 1),NA()),NA())</f>
        <v>#N/A</v>
      </c>
      <c r="BR86" s="43" t="e">
        <f ca="1">IFERROR(IF(ISNUMBER($BP$86),INDEX('1.Locations'!$E$2:$E$97,$BP$86 + 1),NA()),NA())</f>
        <v>#N/A</v>
      </c>
      <c r="BS86" s="44" t="str">
        <f ca="1">IFERROR(IF(AND(ISNUMBER($BP$86),$BP$86&lt;=95),INDEX('2.Distances'!$C$2:$C$9218,$BP$85*96+$BP$86+ 1) +$BS$85," ")," ")</f>
        <v xml:space="preserve"> </v>
      </c>
      <c r="BT86" s="43" t="str">
        <f ca="1">IFERROR(IF(ISNUMBER($BP$86),INDEX('1.Locations'!$J$2:$J$97,$BP$86 + 1) +$BT$85," ")," ")</f>
        <v xml:space="preserve"> </v>
      </c>
      <c r="BU86" s="43" t="str">
        <f ca="1">IFERROR(IF(ISNUMBER($BP$86),INDEX('1.Locations'!$K$2:$K$97,$BP$86 + 1) +$BU$85," ")," ")</f>
        <v xml:space="preserve"> </v>
      </c>
      <c r="BV86" s="45" t="str">
        <f ca="1">IFERROR(IF(AND(ISNUMBER($BP$86),$BP$86&lt;=95),INDEX('2.Distances'!$D$2:$D$9218,$BP$85*96+$BP$86+ 1) +$BV$85," ")," ")</f>
        <v xml:space="preserve"> </v>
      </c>
      <c r="BW86" s="46" t="str">
        <f ca="1">IFERROR(IF(AND(ISNUMBER($BP$86),$BP$86&lt;=95),INDEX('2.Distances'!$D$2:$D$9218,$BP$85*96+$BP$86+ 1) +$BX$85," ")," ")</f>
        <v xml:space="preserve"> </v>
      </c>
      <c r="BX86" s="46" t="str">
        <f ca="1">IFERROR(IF(ISNUMBER($BW$86),INDEX('1.Locations'!$I$2:$I$97,$BP$86 + 1) + MAX($BW$86,INDEX('1.Locations'!$F$2:$F$97,$BP$86 + 1))," ")," ")</f>
        <v xml:space="preserve"> </v>
      </c>
      <c r="BY86" s="45" t="str">
        <f ca="1">IFERROR($BY$85 + INDEX('2.Distances'!$D$2:$D$9218,$BP$85*96+$BP$86+ 1) + INDEX('1.Locations'!$I$2:$I$97,$BP$86 + 1)," ")</f>
        <v xml:space="preserve"> </v>
      </c>
      <c r="CA86" s="24">
        <v>81</v>
      </c>
      <c r="CB86" s="25"/>
      <c r="CC86" s="43" t="str">
        <f ca="1">IFERROR(MATCH(INDIRECT("$CB$86"),'1.Locations'!$B$2:$B$97, 0) - 1," ")</f>
        <v xml:space="preserve"> </v>
      </c>
      <c r="CD86" s="43" t="e">
        <f ca="1">IFERROR(IF(ISNUMBER($CC$86),INDEX('1.Locations'!$D$2:$D$97,$CC$86 + 1),NA()),NA())</f>
        <v>#N/A</v>
      </c>
      <c r="CE86" s="43" t="e">
        <f ca="1">IFERROR(IF(ISNUMBER($CC$86),INDEX('1.Locations'!$E$2:$E$97,$CC$86 + 1),NA()),NA())</f>
        <v>#N/A</v>
      </c>
      <c r="CF86" s="44" t="str">
        <f ca="1">IFERROR(IF(AND(ISNUMBER($CC$86),$CC$86&lt;=95),INDEX('2.Distances'!$C$2:$C$9218,$CC$85*96+$CC$86+ 1) +$CF$85," ")," ")</f>
        <v xml:space="preserve"> </v>
      </c>
      <c r="CG86" s="43" t="str">
        <f ca="1">IFERROR(IF(ISNUMBER($CC$86),INDEX('1.Locations'!$J$2:$J$97,$CC$86 + 1) +$CG$85," ")," ")</f>
        <v xml:space="preserve"> </v>
      </c>
      <c r="CH86" s="43" t="str">
        <f ca="1">IFERROR(IF(ISNUMBER($CC$86),INDEX('1.Locations'!$K$2:$K$97,$CC$86 + 1) +$CH$85," ")," ")</f>
        <v xml:space="preserve"> </v>
      </c>
      <c r="CI86" s="45" t="str">
        <f ca="1">IFERROR(IF(AND(ISNUMBER($CC$86),$CC$86&lt;=95),INDEX('2.Distances'!$D$2:$D$9218,$CC$85*96+$CC$86+ 1) +$CI$85," ")," ")</f>
        <v xml:space="preserve"> </v>
      </c>
      <c r="CJ86" s="46" t="str">
        <f ca="1">IFERROR(IF(AND(ISNUMBER($CC$86),$CC$86&lt;=95),INDEX('2.Distances'!$D$2:$D$9218,$CC$85*96+$CC$86+ 1) +$CK$85," ")," ")</f>
        <v xml:space="preserve"> </v>
      </c>
      <c r="CK86" s="46" t="str">
        <f ca="1">IFERROR(IF(ISNUMBER($CJ$86),INDEX('1.Locations'!$I$2:$I$97,$CC$86 + 1) + MAX($CJ$86,INDEX('1.Locations'!$F$2:$F$97,$CC$86 + 1))," ")," ")</f>
        <v xml:space="preserve"> </v>
      </c>
      <c r="CL86" s="45" t="str">
        <f ca="1">IFERROR($CL$85 + INDEX('2.Distances'!$D$2:$D$9218,$CC$85*96+$CC$86+ 1) + INDEX('1.Locations'!$I$2:$I$97,$CC$86 + 1)," ")</f>
        <v xml:space="preserve"> </v>
      </c>
    </row>
    <row r="87" spans="1:90" x14ac:dyDescent="0.25">
      <c r="A87" s="24">
        <v>82</v>
      </c>
      <c r="B87" s="25"/>
      <c r="C87" s="43" t="str">
        <f ca="1">IFERROR(MATCH(INDIRECT("$B$87"),'1.Locations'!$B$2:$B$97, 0) - 1," ")</f>
        <v xml:space="preserve"> </v>
      </c>
      <c r="D87" s="43" t="e">
        <f ca="1">IFERROR(IF(ISNUMBER($C$87),INDEX('1.Locations'!$D$2:$D$97,$C$87 + 1),NA()),NA())</f>
        <v>#N/A</v>
      </c>
      <c r="E87" s="43" t="e">
        <f ca="1">IFERROR(IF(ISNUMBER($C$87),INDEX('1.Locations'!$E$2:$E$97,$C$87 + 1),NA()),NA())</f>
        <v>#N/A</v>
      </c>
      <c r="F87" s="44" t="str">
        <f ca="1">IFERROR(IF(AND(ISNUMBER($C$87),$C$87&lt;=95),INDEX('2.Distances'!$C$2:$C$9218,$C$86*96+$C$87+ 1) +$F$86," ")," ")</f>
        <v xml:space="preserve"> </v>
      </c>
      <c r="G87" s="43" t="str">
        <f ca="1">IFERROR(IF(ISNUMBER($C$87),INDEX('1.Locations'!$J$2:$J$97,$C$87 + 1) +$G$86," ")," ")</f>
        <v xml:space="preserve"> </v>
      </c>
      <c r="H87" s="43" t="str">
        <f ca="1">IFERROR(IF(ISNUMBER($C$87),INDEX('1.Locations'!$K$2:$K$97,$C$87 + 1) +$H$86," ")," ")</f>
        <v xml:space="preserve"> </v>
      </c>
      <c r="I87" s="45" t="str">
        <f ca="1">IFERROR(IF(AND(ISNUMBER($C$87),$C$87&lt;=95),INDEX('2.Distances'!$D$2:$D$9218,$C$86*96+$C$87+ 1) +$I$86," ")," ")</f>
        <v xml:space="preserve"> </v>
      </c>
      <c r="J87" s="46" t="str">
        <f ca="1">IFERROR(IF(AND(ISNUMBER($C$87),$C$87&lt;=95),INDEX('2.Distances'!$D$2:$D$9218,$C$86*96+$C$87+ 1) +$K$86," ")," ")</f>
        <v xml:space="preserve"> </v>
      </c>
      <c r="K87" s="46" t="str">
        <f ca="1">IFERROR(IF(ISNUMBER($J$87),INDEX('1.Locations'!$I$2:$I$97,$C$87 + 1) + MAX($J$87,INDEX('1.Locations'!$F$2:$F$97,$C$87 + 1))," ")," ")</f>
        <v xml:space="preserve"> </v>
      </c>
      <c r="L87" s="45" t="str">
        <f ca="1">IFERROR($L$86 + INDEX('2.Distances'!$D$2:$D$9218,$C$86*96+$C$87+ 1) + INDEX('1.Locations'!$I$2:$I$97,$C$87 + 1)," ")</f>
        <v xml:space="preserve"> </v>
      </c>
      <c r="N87" s="24">
        <v>82</v>
      </c>
      <c r="O87" s="25"/>
      <c r="P87" s="43" t="str">
        <f ca="1">IFERROR(MATCH(INDIRECT("$O$87"),'1.Locations'!$B$2:$B$97, 0) - 1," ")</f>
        <v xml:space="preserve"> </v>
      </c>
      <c r="Q87" s="43" t="e">
        <f ca="1">IFERROR(IF(ISNUMBER($P$87),INDEX('1.Locations'!$D$2:$D$97,$P$87 + 1),NA()),NA())</f>
        <v>#N/A</v>
      </c>
      <c r="R87" s="43" t="e">
        <f ca="1">IFERROR(IF(ISNUMBER($P$87),INDEX('1.Locations'!$E$2:$E$97,$P$87 + 1),NA()),NA())</f>
        <v>#N/A</v>
      </c>
      <c r="S87" s="44" t="str">
        <f ca="1">IFERROR(IF(AND(ISNUMBER($P$87),$P$87&lt;=95),INDEX('2.Distances'!$C$2:$C$9218,$P$86*96+$P$87+ 1) +$S$86," ")," ")</f>
        <v xml:space="preserve"> </v>
      </c>
      <c r="T87" s="43" t="str">
        <f ca="1">IFERROR(IF(ISNUMBER($P$87),INDEX('1.Locations'!$J$2:$J$97,$P$87 + 1) +$T$86," ")," ")</f>
        <v xml:space="preserve"> </v>
      </c>
      <c r="U87" s="43" t="str">
        <f ca="1">IFERROR(IF(ISNUMBER($P$87),INDEX('1.Locations'!$K$2:$K$97,$P$87 + 1) +$U$86," ")," ")</f>
        <v xml:space="preserve"> </v>
      </c>
      <c r="V87" s="45" t="str">
        <f ca="1">IFERROR(IF(AND(ISNUMBER($P$87),$P$87&lt;=95),INDEX('2.Distances'!$D$2:$D$9218,$P$86*96+$P$87+ 1) +$V$86," ")," ")</f>
        <v xml:space="preserve"> </v>
      </c>
      <c r="W87" s="46" t="str">
        <f ca="1">IFERROR(IF(AND(ISNUMBER($P$87),$P$87&lt;=95),INDEX('2.Distances'!$D$2:$D$9218,$P$86*96+$P$87+ 1) +$X$86," ")," ")</f>
        <v xml:space="preserve"> </v>
      </c>
      <c r="X87" s="46" t="str">
        <f ca="1">IFERROR(IF(ISNUMBER($W$87),INDEX('1.Locations'!$I$2:$I$97,$P$87 + 1) + MAX($W$87,INDEX('1.Locations'!$F$2:$F$97,$P$87 + 1))," ")," ")</f>
        <v xml:space="preserve"> </v>
      </c>
      <c r="Y87" s="45" t="str">
        <f ca="1">IFERROR($Y$86 + INDEX('2.Distances'!$D$2:$D$9218,$P$86*96+$P$87+ 1) + INDEX('1.Locations'!$I$2:$I$97,$P$87 + 1)," ")</f>
        <v xml:space="preserve"> </v>
      </c>
      <c r="AA87" s="24">
        <v>82</v>
      </c>
      <c r="AB87" s="25"/>
      <c r="AC87" s="43" t="str">
        <f ca="1">IFERROR(MATCH(INDIRECT("$AB$87"),'1.Locations'!$B$2:$B$97, 0) - 1," ")</f>
        <v xml:space="preserve"> </v>
      </c>
      <c r="AD87" s="43" t="e">
        <f ca="1">IFERROR(IF(ISNUMBER($AC$87),INDEX('1.Locations'!$D$2:$D$97,$AC$87 + 1),NA()),NA())</f>
        <v>#N/A</v>
      </c>
      <c r="AE87" s="43" t="e">
        <f ca="1">IFERROR(IF(ISNUMBER($AC$87),INDEX('1.Locations'!$E$2:$E$97,$AC$87 + 1),NA()),NA())</f>
        <v>#N/A</v>
      </c>
      <c r="AF87" s="44" t="str">
        <f ca="1">IFERROR(IF(AND(ISNUMBER($AC$87),$AC$87&lt;=95),INDEX('2.Distances'!$C$2:$C$9218,$AC$86*96+$AC$87+ 1) +$AF$86," ")," ")</f>
        <v xml:space="preserve"> </v>
      </c>
      <c r="AG87" s="43" t="str">
        <f ca="1">IFERROR(IF(ISNUMBER($AC$87),INDEX('1.Locations'!$J$2:$J$97,$AC$87 + 1) +$AG$86," ")," ")</f>
        <v xml:space="preserve"> </v>
      </c>
      <c r="AH87" s="43" t="str">
        <f ca="1">IFERROR(IF(ISNUMBER($AC$87),INDEX('1.Locations'!$K$2:$K$97,$AC$87 + 1) +$AH$86," ")," ")</f>
        <v xml:space="preserve"> </v>
      </c>
      <c r="AI87" s="45" t="str">
        <f ca="1">IFERROR(IF(AND(ISNUMBER($AC$87),$AC$87&lt;=95),INDEX('2.Distances'!$D$2:$D$9218,$AC$86*96+$AC$87+ 1) +$AI$86," ")," ")</f>
        <v xml:space="preserve"> </v>
      </c>
      <c r="AJ87" s="46" t="str">
        <f ca="1">IFERROR(IF(AND(ISNUMBER($AC$87),$AC$87&lt;=95),INDEX('2.Distances'!$D$2:$D$9218,$AC$86*96+$AC$87+ 1) +$AK$86," ")," ")</f>
        <v xml:space="preserve"> </v>
      </c>
      <c r="AK87" s="46" t="str">
        <f ca="1">IFERROR(IF(ISNUMBER($AJ$87),INDEX('1.Locations'!$I$2:$I$97,$AC$87 + 1) + MAX($AJ$87,INDEX('1.Locations'!$F$2:$F$97,$AC$87 + 1))," ")," ")</f>
        <v xml:space="preserve"> </v>
      </c>
      <c r="AL87" s="45" t="str">
        <f ca="1">IFERROR($AL$86 + INDEX('2.Distances'!$D$2:$D$9218,$AC$86*96+$AC$87+ 1) + INDEX('1.Locations'!$I$2:$I$97,$AC$87 + 1)," ")</f>
        <v xml:space="preserve"> </v>
      </c>
      <c r="AN87" s="24">
        <v>82</v>
      </c>
      <c r="AO87" s="25"/>
      <c r="AP87" s="43" t="str">
        <f ca="1">IFERROR(MATCH(INDIRECT("$AO$87"),'1.Locations'!$B$2:$B$97, 0) - 1," ")</f>
        <v xml:space="preserve"> </v>
      </c>
      <c r="AQ87" s="43" t="e">
        <f ca="1">IFERROR(IF(ISNUMBER($AP$87),INDEX('1.Locations'!$D$2:$D$97,$AP$87 + 1),NA()),NA())</f>
        <v>#N/A</v>
      </c>
      <c r="AR87" s="43" t="e">
        <f ca="1">IFERROR(IF(ISNUMBER($AP$87),INDEX('1.Locations'!$E$2:$E$97,$AP$87 + 1),NA()),NA())</f>
        <v>#N/A</v>
      </c>
      <c r="AS87" s="44" t="str">
        <f ca="1">IFERROR(IF(AND(ISNUMBER($AP$87),$AP$87&lt;=95),INDEX('2.Distances'!$C$2:$C$9218,$AP$86*96+$AP$87+ 1) +$AS$86," ")," ")</f>
        <v xml:space="preserve"> </v>
      </c>
      <c r="AT87" s="43" t="str">
        <f ca="1">IFERROR(IF(ISNUMBER($AP$87),INDEX('1.Locations'!$J$2:$J$97,$AP$87 + 1) +$AT$86," ")," ")</f>
        <v xml:space="preserve"> </v>
      </c>
      <c r="AU87" s="43" t="str">
        <f ca="1">IFERROR(IF(ISNUMBER($AP$87),INDEX('1.Locations'!$K$2:$K$97,$AP$87 + 1) +$AU$86," ")," ")</f>
        <v xml:space="preserve"> </v>
      </c>
      <c r="AV87" s="45" t="str">
        <f ca="1">IFERROR(IF(AND(ISNUMBER($AP$87),$AP$87&lt;=95),INDEX('2.Distances'!$D$2:$D$9218,$AP$86*96+$AP$87+ 1) +$AV$86," ")," ")</f>
        <v xml:space="preserve"> </v>
      </c>
      <c r="AW87" s="46" t="str">
        <f ca="1">IFERROR(IF(AND(ISNUMBER($AP$87),$AP$87&lt;=95),INDEX('2.Distances'!$D$2:$D$9218,$AP$86*96+$AP$87+ 1) +$AX$86," ")," ")</f>
        <v xml:space="preserve"> </v>
      </c>
      <c r="AX87" s="46" t="str">
        <f ca="1">IFERROR(IF(ISNUMBER($AW$87),INDEX('1.Locations'!$I$2:$I$97,$AP$87 + 1) + MAX($AW$87,INDEX('1.Locations'!$F$2:$F$97,$AP$87 + 1))," ")," ")</f>
        <v xml:space="preserve"> </v>
      </c>
      <c r="AY87" s="45" t="str">
        <f ca="1">IFERROR($AY$86 + INDEX('2.Distances'!$D$2:$D$9218,$AP$86*96+$AP$87+ 1) + INDEX('1.Locations'!$I$2:$I$97,$AP$87 + 1)," ")</f>
        <v xml:space="preserve"> </v>
      </c>
      <c r="BA87" s="24">
        <v>82</v>
      </c>
      <c r="BB87" s="25"/>
      <c r="BC87" s="43" t="str">
        <f ca="1">IFERROR(MATCH(INDIRECT("$BB$87"),'1.Locations'!$B$2:$B$97, 0) - 1," ")</f>
        <v xml:space="preserve"> </v>
      </c>
      <c r="BD87" s="43" t="e">
        <f ca="1">IFERROR(IF(ISNUMBER($BC$87),INDEX('1.Locations'!$D$2:$D$97,$BC$87 + 1),NA()),NA())</f>
        <v>#N/A</v>
      </c>
      <c r="BE87" s="43" t="e">
        <f ca="1">IFERROR(IF(ISNUMBER($BC$87),INDEX('1.Locations'!$E$2:$E$97,$BC$87 + 1),NA()),NA())</f>
        <v>#N/A</v>
      </c>
      <c r="BF87" s="44" t="str">
        <f ca="1">IFERROR(IF(AND(ISNUMBER($BC$87),$BC$87&lt;=95),INDEX('2.Distances'!$C$2:$C$9218,$BC$86*96+$BC$87+ 1) +$BF$86," ")," ")</f>
        <v xml:space="preserve"> </v>
      </c>
      <c r="BG87" s="43" t="str">
        <f ca="1">IFERROR(IF(ISNUMBER($BC$87),INDEX('1.Locations'!$J$2:$J$97,$BC$87 + 1) +$BG$86," ")," ")</f>
        <v xml:space="preserve"> </v>
      </c>
      <c r="BH87" s="43" t="str">
        <f ca="1">IFERROR(IF(ISNUMBER($BC$87),INDEX('1.Locations'!$K$2:$K$97,$BC$87 + 1) +$BH$86," ")," ")</f>
        <v xml:space="preserve"> </v>
      </c>
      <c r="BI87" s="45" t="str">
        <f ca="1">IFERROR(IF(AND(ISNUMBER($BC$87),$BC$87&lt;=95),INDEX('2.Distances'!$D$2:$D$9218,$BC$86*96+$BC$87+ 1) +$BI$86," ")," ")</f>
        <v xml:space="preserve"> </v>
      </c>
      <c r="BJ87" s="46" t="str">
        <f ca="1">IFERROR(IF(AND(ISNUMBER($BC$87),$BC$87&lt;=95),INDEX('2.Distances'!$D$2:$D$9218,$BC$86*96+$BC$87+ 1) +$BK$86," ")," ")</f>
        <v xml:space="preserve"> </v>
      </c>
      <c r="BK87" s="46" t="str">
        <f ca="1">IFERROR(IF(ISNUMBER($BJ$87),INDEX('1.Locations'!$I$2:$I$97,$BC$87 + 1) + MAX($BJ$87,INDEX('1.Locations'!$F$2:$F$97,$BC$87 + 1))," ")," ")</f>
        <v xml:space="preserve"> </v>
      </c>
      <c r="BL87" s="45" t="str">
        <f ca="1">IFERROR($BL$86 + INDEX('2.Distances'!$D$2:$D$9218,$BC$86*96+$BC$87+ 1) + INDEX('1.Locations'!$I$2:$I$97,$BC$87 + 1)," ")</f>
        <v xml:space="preserve"> </v>
      </c>
      <c r="BN87" s="24">
        <v>82</v>
      </c>
      <c r="BO87" s="25"/>
      <c r="BP87" s="43" t="str">
        <f ca="1">IFERROR(MATCH(INDIRECT("$BO$87"),'1.Locations'!$B$2:$B$97, 0) - 1," ")</f>
        <v xml:space="preserve"> </v>
      </c>
      <c r="BQ87" s="43" t="e">
        <f ca="1">IFERROR(IF(ISNUMBER($BP$87),INDEX('1.Locations'!$D$2:$D$97,$BP$87 + 1),NA()),NA())</f>
        <v>#N/A</v>
      </c>
      <c r="BR87" s="43" t="e">
        <f ca="1">IFERROR(IF(ISNUMBER($BP$87),INDEX('1.Locations'!$E$2:$E$97,$BP$87 + 1),NA()),NA())</f>
        <v>#N/A</v>
      </c>
      <c r="BS87" s="44" t="str">
        <f ca="1">IFERROR(IF(AND(ISNUMBER($BP$87),$BP$87&lt;=95),INDEX('2.Distances'!$C$2:$C$9218,$BP$86*96+$BP$87+ 1) +$BS$86," ")," ")</f>
        <v xml:space="preserve"> </v>
      </c>
      <c r="BT87" s="43" t="str">
        <f ca="1">IFERROR(IF(ISNUMBER($BP$87),INDEX('1.Locations'!$J$2:$J$97,$BP$87 + 1) +$BT$86," ")," ")</f>
        <v xml:space="preserve"> </v>
      </c>
      <c r="BU87" s="43" t="str">
        <f ca="1">IFERROR(IF(ISNUMBER($BP$87),INDEX('1.Locations'!$K$2:$K$97,$BP$87 + 1) +$BU$86," ")," ")</f>
        <v xml:space="preserve"> </v>
      </c>
      <c r="BV87" s="45" t="str">
        <f ca="1">IFERROR(IF(AND(ISNUMBER($BP$87),$BP$87&lt;=95),INDEX('2.Distances'!$D$2:$D$9218,$BP$86*96+$BP$87+ 1) +$BV$86," ")," ")</f>
        <v xml:space="preserve"> </v>
      </c>
      <c r="BW87" s="46" t="str">
        <f ca="1">IFERROR(IF(AND(ISNUMBER($BP$87),$BP$87&lt;=95),INDEX('2.Distances'!$D$2:$D$9218,$BP$86*96+$BP$87+ 1) +$BX$86," ")," ")</f>
        <v xml:space="preserve"> </v>
      </c>
      <c r="BX87" s="46" t="str">
        <f ca="1">IFERROR(IF(ISNUMBER($BW$87),INDEX('1.Locations'!$I$2:$I$97,$BP$87 + 1) + MAX($BW$87,INDEX('1.Locations'!$F$2:$F$97,$BP$87 + 1))," ")," ")</f>
        <v xml:space="preserve"> </v>
      </c>
      <c r="BY87" s="45" t="str">
        <f ca="1">IFERROR($BY$86 + INDEX('2.Distances'!$D$2:$D$9218,$BP$86*96+$BP$87+ 1) + INDEX('1.Locations'!$I$2:$I$97,$BP$87 + 1)," ")</f>
        <v xml:space="preserve"> </v>
      </c>
      <c r="CA87" s="24">
        <v>82</v>
      </c>
      <c r="CB87" s="25"/>
      <c r="CC87" s="43" t="str">
        <f ca="1">IFERROR(MATCH(INDIRECT("$CB$87"),'1.Locations'!$B$2:$B$97, 0) - 1," ")</f>
        <v xml:space="preserve"> </v>
      </c>
      <c r="CD87" s="43" t="e">
        <f ca="1">IFERROR(IF(ISNUMBER($CC$87),INDEX('1.Locations'!$D$2:$D$97,$CC$87 + 1),NA()),NA())</f>
        <v>#N/A</v>
      </c>
      <c r="CE87" s="43" t="e">
        <f ca="1">IFERROR(IF(ISNUMBER($CC$87),INDEX('1.Locations'!$E$2:$E$97,$CC$87 + 1),NA()),NA())</f>
        <v>#N/A</v>
      </c>
      <c r="CF87" s="44" t="str">
        <f ca="1">IFERROR(IF(AND(ISNUMBER($CC$87),$CC$87&lt;=95),INDEX('2.Distances'!$C$2:$C$9218,$CC$86*96+$CC$87+ 1) +$CF$86," ")," ")</f>
        <v xml:space="preserve"> </v>
      </c>
      <c r="CG87" s="43" t="str">
        <f ca="1">IFERROR(IF(ISNUMBER($CC$87),INDEX('1.Locations'!$J$2:$J$97,$CC$87 + 1) +$CG$86," ")," ")</f>
        <v xml:space="preserve"> </v>
      </c>
      <c r="CH87" s="43" t="str">
        <f ca="1">IFERROR(IF(ISNUMBER($CC$87),INDEX('1.Locations'!$K$2:$K$97,$CC$87 + 1) +$CH$86," ")," ")</f>
        <v xml:space="preserve"> </v>
      </c>
      <c r="CI87" s="45" t="str">
        <f ca="1">IFERROR(IF(AND(ISNUMBER($CC$87),$CC$87&lt;=95),INDEX('2.Distances'!$D$2:$D$9218,$CC$86*96+$CC$87+ 1) +$CI$86," ")," ")</f>
        <v xml:space="preserve"> </v>
      </c>
      <c r="CJ87" s="46" t="str">
        <f ca="1">IFERROR(IF(AND(ISNUMBER($CC$87),$CC$87&lt;=95),INDEX('2.Distances'!$D$2:$D$9218,$CC$86*96+$CC$87+ 1) +$CK$86," ")," ")</f>
        <v xml:space="preserve"> </v>
      </c>
      <c r="CK87" s="46" t="str">
        <f ca="1">IFERROR(IF(ISNUMBER($CJ$87),INDEX('1.Locations'!$I$2:$I$97,$CC$87 + 1) + MAX($CJ$87,INDEX('1.Locations'!$F$2:$F$97,$CC$87 + 1))," ")," ")</f>
        <v xml:space="preserve"> </v>
      </c>
      <c r="CL87" s="45" t="str">
        <f ca="1">IFERROR($CL$86 + INDEX('2.Distances'!$D$2:$D$9218,$CC$86*96+$CC$87+ 1) + INDEX('1.Locations'!$I$2:$I$97,$CC$87 + 1)," ")</f>
        <v xml:space="preserve"> </v>
      </c>
    </row>
    <row r="88" spans="1:90" x14ac:dyDescent="0.25">
      <c r="A88" s="24">
        <v>83</v>
      </c>
      <c r="B88" s="25"/>
      <c r="C88" s="43" t="str">
        <f ca="1">IFERROR(MATCH(INDIRECT("$B$88"),'1.Locations'!$B$2:$B$97, 0) - 1," ")</f>
        <v xml:space="preserve"> </v>
      </c>
      <c r="D88" s="43" t="e">
        <f ca="1">IFERROR(IF(ISNUMBER($C$88),INDEX('1.Locations'!$D$2:$D$97,$C$88 + 1),NA()),NA())</f>
        <v>#N/A</v>
      </c>
      <c r="E88" s="43" t="e">
        <f ca="1">IFERROR(IF(ISNUMBER($C$88),INDEX('1.Locations'!$E$2:$E$97,$C$88 + 1),NA()),NA())</f>
        <v>#N/A</v>
      </c>
      <c r="F88" s="44" t="str">
        <f ca="1">IFERROR(IF(AND(ISNUMBER($C$88),$C$88&lt;=95),INDEX('2.Distances'!$C$2:$C$9218,$C$87*96+$C$88+ 1) +$F$87," ")," ")</f>
        <v xml:space="preserve"> </v>
      </c>
      <c r="G88" s="43" t="str">
        <f ca="1">IFERROR(IF(ISNUMBER($C$88),INDEX('1.Locations'!$J$2:$J$97,$C$88 + 1) +$G$87," ")," ")</f>
        <v xml:space="preserve"> </v>
      </c>
      <c r="H88" s="43" t="str">
        <f ca="1">IFERROR(IF(ISNUMBER($C$88),INDEX('1.Locations'!$K$2:$K$97,$C$88 + 1) +$H$87," ")," ")</f>
        <v xml:space="preserve"> </v>
      </c>
      <c r="I88" s="45" t="str">
        <f ca="1">IFERROR(IF(AND(ISNUMBER($C$88),$C$88&lt;=95),INDEX('2.Distances'!$D$2:$D$9218,$C$87*96+$C$88+ 1) +$I$87," ")," ")</f>
        <v xml:space="preserve"> </v>
      </c>
      <c r="J88" s="46" t="str">
        <f ca="1">IFERROR(IF(AND(ISNUMBER($C$88),$C$88&lt;=95),INDEX('2.Distances'!$D$2:$D$9218,$C$87*96+$C$88+ 1) +$K$87," ")," ")</f>
        <v xml:space="preserve"> </v>
      </c>
      <c r="K88" s="46" t="str">
        <f ca="1">IFERROR(IF(ISNUMBER($J$88),INDEX('1.Locations'!$I$2:$I$97,$C$88 + 1) + MAX($J$88,INDEX('1.Locations'!$F$2:$F$97,$C$88 + 1))," ")," ")</f>
        <v xml:space="preserve"> </v>
      </c>
      <c r="L88" s="45" t="str">
        <f ca="1">IFERROR($L$87 + INDEX('2.Distances'!$D$2:$D$9218,$C$87*96+$C$88+ 1) + INDEX('1.Locations'!$I$2:$I$97,$C$88 + 1)," ")</f>
        <v xml:space="preserve"> </v>
      </c>
      <c r="N88" s="24">
        <v>83</v>
      </c>
      <c r="O88" s="25"/>
      <c r="P88" s="43" t="str">
        <f ca="1">IFERROR(MATCH(INDIRECT("$O$88"),'1.Locations'!$B$2:$B$97, 0) - 1," ")</f>
        <v xml:space="preserve"> </v>
      </c>
      <c r="Q88" s="43" t="e">
        <f ca="1">IFERROR(IF(ISNUMBER($P$88),INDEX('1.Locations'!$D$2:$D$97,$P$88 + 1),NA()),NA())</f>
        <v>#N/A</v>
      </c>
      <c r="R88" s="43" t="e">
        <f ca="1">IFERROR(IF(ISNUMBER($P$88),INDEX('1.Locations'!$E$2:$E$97,$P$88 + 1),NA()),NA())</f>
        <v>#N/A</v>
      </c>
      <c r="S88" s="44" t="str">
        <f ca="1">IFERROR(IF(AND(ISNUMBER($P$88),$P$88&lt;=95),INDEX('2.Distances'!$C$2:$C$9218,$P$87*96+$P$88+ 1) +$S$87," ")," ")</f>
        <v xml:space="preserve"> </v>
      </c>
      <c r="T88" s="43" t="str">
        <f ca="1">IFERROR(IF(ISNUMBER($P$88),INDEX('1.Locations'!$J$2:$J$97,$P$88 + 1) +$T$87," ")," ")</f>
        <v xml:space="preserve"> </v>
      </c>
      <c r="U88" s="43" t="str">
        <f ca="1">IFERROR(IF(ISNUMBER($P$88),INDEX('1.Locations'!$K$2:$K$97,$P$88 + 1) +$U$87," ")," ")</f>
        <v xml:space="preserve"> </v>
      </c>
      <c r="V88" s="45" t="str">
        <f ca="1">IFERROR(IF(AND(ISNUMBER($P$88),$P$88&lt;=95),INDEX('2.Distances'!$D$2:$D$9218,$P$87*96+$P$88+ 1) +$V$87," ")," ")</f>
        <v xml:space="preserve"> </v>
      </c>
      <c r="W88" s="46" t="str">
        <f ca="1">IFERROR(IF(AND(ISNUMBER($P$88),$P$88&lt;=95),INDEX('2.Distances'!$D$2:$D$9218,$P$87*96+$P$88+ 1) +$X$87," ")," ")</f>
        <v xml:space="preserve"> </v>
      </c>
      <c r="X88" s="46" t="str">
        <f ca="1">IFERROR(IF(ISNUMBER($W$88),INDEX('1.Locations'!$I$2:$I$97,$P$88 + 1) + MAX($W$88,INDEX('1.Locations'!$F$2:$F$97,$P$88 + 1))," ")," ")</f>
        <v xml:space="preserve"> </v>
      </c>
      <c r="Y88" s="45" t="str">
        <f ca="1">IFERROR($Y$87 + INDEX('2.Distances'!$D$2:$D$9218,$P$87*96+$P$88+ 1) + INDEX('1.Locations'!$I$2:$I$97,$P$88 + 1)," ")</f>
        <v xml:space="preserve"> </v>
      </c>
      <c r="AA88" s="24">
        <v>83</v>
      </c>
      <c r="AB88" s="25"/>
      <c r="AC88" s="43" t="str">
        <f ca="1">IFERROR(MATCH(INDIRECT("$AB$88"),'1.Locations'!$B$2:$B$97, 0) - 1," ")</f>
        <v xml:space="preserve"> </v>
      </c>
      <c r="AD88" s="43" t="e">
        <f ca="1">IFERROR(IF(ISNUMBER($AC$88),INDEX('1.Locations'!$D$2:$D$97,$AC$88 + 1),NA()),NA())</f>
        <v>#N/A</v>
      </c>
      <c r="AE88" s="43" t="e">
        <f ca="1">IFERROR(IF(ISNUMBER($AC$88),INDEX('1.Locations'!$E$2:$E$97,$AC$88 + 1),NA()),NA())</f>
        <v>#N/A</v>
      </c>
      <c r="AF88" s="44" t="str">
        <f ca="1">IFERROR(IF(AND(ISNUMBER($AC$88),$AC$88&lt;=95),INDEX('2.Distances'!$C$2:$C$9218,$AC$87*96+$AC$88+ 1) +$AF$87," ")," ")</f>
        <v xml:space="preserve"> </v>
      </c>
      <c r="AG88" s="43" t="str">
        <f ca="1">IFERROR(IF(ISNUMBER($AC$88),INDEX('1.Locations'!$J$2:$J$97,$AC$88 + 1) +$AG$87," ")," ")</f>
        <v xml:space="preserve"> </v>
      </c>
      <c r="AH88" s="43" t="str">
        <f ca="1">IFERROR(IF(ISNUMBER($AC$88),INDEX('1.Locations'!$K$2:$K$97,$AC$88 + 1) +$AH$87," ")," ")</f>
        <v xml:space="preserve"> </v>
      </c>
      <c r="AI88" s="45" t="str">
        <f ca="1">IFERROR(IF(AND(ISNUMBER($AC$88),$AC$88&lt;=95),INDEX('2.Distances'!$D$2:$D$9218,$AC$87*96+$AC$88+ 1) +$AI$87," ")," ")</f>
        <v xml:space="preserve"> </v>
      </c>
      <c r="AJ88" s="46" t="str">
        <f ca="1">IFERROR(IF(AND(ISNUMBER($AC$88),$AC$88&lt;=95),INDEX('2.Distances'!$D$2:$D$9218,$AC$87*96+$AC$88+ 1) +$AK$87," ")," ")</f>
        <v xml:space="preserve"> </v>
      </c>
      <c r="AK88" s="46" t="str">
        <f ca="1">IFERROR(IF(ISNUMBER($AJ$88),INDEX('1.Locations'!$I$2:$I$97,$AC$88 + 1) + MAX($AJ$88,INDEX('1.Locations'!$F$2:$F$97,$AC$88 + 1))," ")," ")</f>
        <v xml:space="preserve"> </v>
      </c>
      <c r="AL88" s="45" t="str">
        <f ca="1">IFERROR($AL$87 + INDEX('2.Distances'!$D$2:$D$9218,$AC$87*96+$AC$88+ 1) + INDEX('1.Locations'!$I$2:$I$97,$AC$88 + 1)," ")</f>
        <v xml:space="preserve"> </v>
      </c>
      <c r="AN88" s="24">
        <v>83</v>
      </c>
      <c r="AO88" s="25"/>
      <c r="AP88" s="43" t="str">
        <f ca="1">IFERROR(MATCH(INDIRECT("$AO$88"),'1.Locations'!$B$2:$B$97, 0) - 1," ")</f>
        <v xml:space="preserve"> </v>
      </c>
      <c r="AQ88" s="43" t="e">
        <f ca="1">IFERROR(IF(ISNUMBER($AP$88),INDEX('1.Locations'!$D$2:$D$97,$AP$88 + 1),NA()),NA())</f>
        <v>#N/A</v>
      </c>
      <c r="AR88" s="43" t="e">
        <f ca="1">IFERROR(IF(ISNUMBER($AP$88),INDEX('1.Locations'!$E$2:$E$97,$AP$88 + 1),NA()),NA())</f>
        <v>#N/A</v>
      </c>
      <c r="AS88" s="44" t="str">
        <f ca="1">IFERROR(IF(AND(ISNUMBER($AP$88),$AP$88&lt;=95),INDEX('2.Distances'!$C$2:$C$9218,$AP$87*96+$AP$88+ 1) +$AS$87," ")," ")</f>
        <v xml:space="preserve"> </v>
      </c>
      <c r="AT88" s="43" t="str">
        <f ca="1">IFERROR(IF(ISNUMBER($AP$88),INDEX('1.Locations'!$J$2:$J$97,$AP$88 + 1) +$AT$87," ")," ")</f>
        <v xml:space="preserve"> </v>
      </c>
      <c r="AU88" s="43" t="str">
        <f ca="1">IFERROR(IF(ISNUMBER($AP$88),INDEX('1.Locations'!$K$2:$K$97,$AP$88 + 1) +$AU$87," ")," ")</f>
        <v xml:space="preserve"> </v>
      </c>
      <c r="AV88" s="45" t="str">
        <f ca="1">IFERROR(IF(AND(ISNUMBER($AP$88),$AP$88&lt;=95),INDEX('2.Distances'!$D$2:$D$9218,$AP$87*96+$AP$88+ 1) +$AV$87," ")," ")</f>
        <v xml:space="preserve"> </v>
      </c>
      <c r="AW88" s="46" t="str">
        <f ca="1">IFERROR(IF(AND(ISNUMBER($AP$88),$AP$88&lt;=95),INDEX('2.Distances'!$D$2:$D$9218,$AP$87*96+$AP$88+ 1) +$AX$87," ")," ")</f>
        <v xml:space="preserve"> </v>
      </c>
      <c r="AX88" s="46" t="str">
        <f ca="1">IFERROR(IF(ISNUMBER($AW$88),INDEX('1.Locations'!$I$2:$I$97,$AP$88 + 1) + MAX($AW$88,INDEX('1.Locations'!$F$2:$F$97,$AP$88 + 1))," ")," ")</f>
        <v xml:space="preserve"> </v>
      </c>
      <c r="AY88" s="45" t="str">
        <f ca="1">IFERROR($AY$87 + INDEX('2.Distances'!$D$2:$D$9218,$AP$87*96+$AP$88+ 1) + INDEX('1.Locations'!$I$2:$I$97,$AP$88 + 1)," ")</f>
        <v xml:space="preserve"> </v>
      </c>
      <c r="BA88" s="24">
        <v>83</v>
      </c>
      <c r="BB88" s="25"/>
      <c r="BC88" s="43" t="str">
        <f ca="1">IFERROR(MATCH(INDIRECT("$BB$88"),'1.Locations'!$B$2:$B$97, 0) - 1," ")</f>
        <v xml:space="preserve"> </v>
      </c>
      <c r="BD88" s="43" t="e">
        <f ca="1">IFERROR(IF(ISNUMBER($BC$88),INDEX('1.Locations'!$D$2:$D$97,$BC$88 + 1),NA()),NA())</f>
        <v>#N/A</v>
      </c>
      <c r="BE88" s="43" t="e">
        <f ca="1">IFERROR(IF(ISNUMBER($BC$88),INDEX('1.Locations'!$E$2:$E$97,$BC$88 + 1),NA()),NA())</f>
        <v>#N/A</v>
      </c>
      <c r="BF88" s="44" t="str">
        <f ca="1">IFERROR(IF(AND(ISNUMBER($BC$88),$BC$88&lt;=95),INDEX('2.Distances'!$C$2:$C$9218,$BC$87*96+$BC$88+ 1) +$BF$87," ")," ")</f>
        <v xml:space="preserve"> </v>
      </c>
      <c r="BG88" s="43" t="str">
        <f ca="1">IFERROR(IF(ISNUMBER($BC$88),INDEX('1.Locations'!$J$2:$J$97,$BC$88 + 1) +$BG$87," ")," ")</f>
        <v xml:space="preserve"> </v>
      </c>
      <c r="BH88" s="43" t="str">
        <f ca="1">IFERROR(IF(ISNUMBER($BC$88),INDEX('1.Locations'!$K$2:$K$97,$BC$88 + 1) +$BH$87," ")," ")</f>
        <v xml:space="preserve"> </v>
      </c>
      <c r="BI88" s="45" t="str">
        <f ca="1">IFERROR(IF(AND(ISNUMBER($BC$88),$BC$88&lt;=95),INDEX('2.Distances'!$D$2:$D$9218,$BC$87*96+$BC$88+ 1) +$BI$87," ")," ")</f>
        <v xml:space="preserve"> </v>
      </c>
      <c r="BJ88" s="46" t="str">
        <f ca="1">IFERROR(IF(AND(ISNUMBER($BC$88),$BC$88&lt;=95),INDEX('2.Distances'!$D$2:$D$9218,$BC$87*96+$BC$88+ 1) +$BK$87," ")," ")</f>
        <v xml:space="preserve"> </v>
      </c>
      <c r="BK88" s="46" t="str">
        <f ca="1">IFERROR(IF(ISNUMBER($BJ$88),INDEX('1.Locations'!$I$2:$I$97,$BC$88 + 1) + MAX($BJ$88,INDEX('1.Locations'!$F$2:$F$97,$BC$88 + 1))," ")," ")</f>
        <v xml:space="preserve"> </v>
      </c>
      <c r="BL88" s="45" t="str">
        <f ca="1">IFERROR($BL$87 + INDEX('2.Distances'!$D$2:$D$9218,$BC$87*96+$BC$88+ 1) + INDEX('1.Locations'!$I$2:$I$97,$BC$88 + 1)," ")</f>
        <v xml:space="preserve"> </v>
      </c>
      <c r="BN88" s="24">
        <v>83</v>
      </c>
      <c r="BO88" s="25"/>
      <c r="BP88" s="43" t="str">
        <f ca="1">IFERROR(MATCH(INDIRECT("$BO$88"),'1.Locations'!$B$2:$B$97, 0) - 1," ")</f>
        <v xml:space="preserve"> </v>
      </c>
      <c r="BQ88" s="43" t="e">
        <f ca="1">IFERROR(IF(ISNUMBER($BP$88),INDEX('1.Locations'!$D$2:$D$97,$BP$88 + 1),NA()),NA())</f>
        <v>#N/A</v>
      </c>
      <c r="BR88" s="43" t="e">
        <f ca="1">IFERROR(IF(ISNUMBER($BP$88),INDEX('1.Locations'!$E$2:$E$97,$BP$88 + 1),NA()),NA())</f>
        <v>#N/A</v>
      </c>
      <c r="BS88" s="44" t="str">
        <f ca="1">IFERROR(IF(AND(ISNUMBER($BP$88),$BP$88&lt;=95),INDEX('2.Distances'!$C$2:$C$9218,$BP$87*96+$BP$88+ 1) +$BS$87," ")," ")</f>
        <v xml:space="preserve"> </v>
      </c>
      <c r="BT88" s="43" t="str">
        <f ca="1">IFERROR(IF(ISNUMBER($BP$88),INDEX('1.Locations'!$J$2:$J$97,$BP$88 + 1) +$BT$87," ")," ")</f>
        <v xml:space="preserve"> </v>
      </c>
      <c r="BU88" s="43" t="str">
        <f ca="1">IFERROR(IF(ISNUMBER($BP$88),INDEX('1.Locations'!$K$2:$K$97,$BP$88 + 1) +$BU$87," ")," ")</f>
        <v xml:space="preserve"> </v>
      </c>
      <c r="BV88" s="45" t="str">
        <f ca="1">IFERROR(IF(AND(ISNUMBER($BP$88),$BP$88&lt;=95),INDEX('2.Distances'!$D$2:$D$9218,$BP$87*96+$BP$88+ 1) +$BV$87," ")," ")</f>
        <v xml:space="preserve"> </v>
      </c>
      <c r="BW88" s="46" t="str">
        <f ca="1">IFERROR(IF(AND(ISNUMBER($BP$88),$BP$88&lt;=95),INDEX('2.Distances'!$D$2:$D$9218,$BP$87*96+$BP$88+ 1) +$BX$87," ")," ")</f>
        <v xml:space="preserve"> </v>
      </c>
      <c r="BX88" s="46" t="str">
        <f ca="1">IFERROR(IF(ISNUMBER($BW$88),INDEX('1.Locations'!$I$2:$I$97,$BP$88 + 1) + MAX($BW$88,INDEX('1.Locations'!$F$2:$F$97,$BP$88 + 1))," ")," ")</f>
        <v xml:space="preserve"> </v>
      </c>
      <c r="BY88" s="45" t="str">
        <f ca="1">IFERROR($BY$87 + INDEX('2.Distances'!$D$2:$D$9218,$BP$87*96+$BP$88+ 1) + INDEX('1.Locations'!$I$2:$I$97,$BP$88 + 1)," ")</f>
        <v xml:space="preserve"> </v>
      </c>
      <c r="CA88" s="24">
        <v>83</v>
      </c>
      <c r="CB88" s="25"/>
      <c r="CC88" s="43" t="str">
        <f ca="1">IFERROR(MATCH(INDIRECT("$CB$88"),'1.Locations'!$B$2:$B$97, 0) - 1," ")</f>
        <v xml:space="preserve"> </v>
      </c>
      <c r="CD88" s="43" t="e">
        <f ca="1">IFERROR(IF(ISNUMBER($CC$88),INDEX('1.Locations'!$D$2:$D$97,$CC$88 + 1),NA()),NA())</f>
        <v>#N/A</v>
      </c>
      <c r="CE88" s="43" t="e">
        <f ca="1">IFERROR(IF(ISNUMBER($CC$88),INDEX('1.Locations'!$E$2:$E$97,$CC$88 + 1),NA()),NA())</f>
        <v>#N/A</v>
      </c>
      <c r="CF88" s="44" t="str">
        <f ca="1">IFERROR(IF(AND(ISNUMBER($CC$88),$CC$88&lt;=95),INDEX('2.Distances'!$C$2:$C$9218,$CC$87*96+$CC$88+ 1) +$CF$87," ")," ")</f>
        <v xml:space="preserve"> </v>
      </c>
      <c r="CG88" s="43" t="str">
        <f ca="1">IFERROR(IF(ISNUMBER($CC$88),INDEX('1.Locations'!$J$2:$J$97,$CC$88 + 1) +$CG$87," ")," ")</f>
        <v xml:space="preserve"> </v>
      </c>
      <c r="CH88" s="43" t="str">
        <f ca="1">IFERROR(IF(ISNUMBER($CC$88),INDEX('1.Locations'!$K$2:$K$97,$CC$88 + 1) +$CH$87," ")," ")</f>
        <v xml:space="preserve"> </v>
      </c>
      <c r="CI88" s="45" t="str">
        <f ca="1">IFERROR(IF(AND(ISNUMBER($CC$88),$CC$88&lt;=95),INDEX('2.Distances'!$D$2:$D$9218,$CC$87*96+$CC$88+ 1) +$CI$87," ")," ")</f>
        <v xml:space="preserve"> </v>
      </c>
      <c r="CJ88" s="46" t="str">
        <f ca="1">IFERROR(IF(AND(ISNUMBER($CC$88),$CC$88&lt;=95),INDEX('2.Distances'!$D$2:$D$9218,$CC$87*96+$CC$88+ 1) +$CK$87," ")," ")</f>
        <v xml:space="preserve"> </v>
      </c>
      <c r="CK88" s="46" t="str">
        <f ca="1">IFERROR(IF(ISNUMBER($CJ$88),INDEX('1.Locations'!$I$2:$I$97,$CC$88 + 1) + MAX($CJ$88,INDEX('1.Locations'!$F$2:$F$97,$CC$88 + 1))," ")," ")</f>
        <v xml:space="preserve"> </v>
      </c>
      <c r="CL88" s="45" t="str">
        <f ca="1">IFERROR($CL$87 + INDEX('2.Distances'!$D$2:$D$9218,$CC$87*96+$CC$88+ 1) + INDEX('1.Locations'!$I$2:$I$97,$CC$88 + 1)," ")</f>
        <v xml:space="preserve"> </v>
      </c>
    </row>
    <row r="89" spans="1:90" x14ac:dyDescent="0.25">
      <c r="A89" s="24">
        <v>84</v>
      </c>
      <c r="B89" s="25"/>
      <c r="C89" s="43" t="str">
        <f ca="1">IFERROR(MATCH(INDIRECT("$B$89"),'1.Locations'!$B$2:$B$97, 0) - 1," ")</f>
        <v xml:space="preserve"> </v>
      </c>
      <c r="D89" s="43" t="e">
        <f ca="1">IFERROR(IF(ISNUMBER($C$89),INDEX('1.Locations'!$D$2:$D$97,$C$89 + 1),NA()),NA())</f>
        <v>#N/A</v>
      </c>
      <c r="E89" s="43" t="e">
        <f ca="1">IFERROR(IF(ISNUMBER($C$89),INDEX('1.Locations'!$E$2:$E$97,$C$89 + 1),NA()),NA())</f>
        <v>#N/A</v>
      </c>
      <c r="F89" s="44" t="str">
        <f ca="1">IFERROR(IF(AND(ISNUMBER($C$89),$C$89&lt;=95),INDEX('2.Distances'!$C$2:$C$9218,$C$88*96+$C$89+ 1) +$F$88," ")," ")</f>
        <v xml:space="preserve"> </v>
      </c>
      <c r="G89" s="43" t="str">
        <f ca="1">IFERROR(IF(ISNUMBER($C$89),INDEX('1.Locations'!$J$2:$J$97,$C$89 + 1) +$G$88," ")," ")</f>
        <v xml:space="preserve"> </v>
      </c>
      <c r="H89" s="43" t="str">
        <f ca="1">IFERROR(IF(ISNUMBER($C$89),INDEX('1.Locations'!$K$2:$K$97,$C$89 + 1) +$H$88," ")," ")</f>
        <v xml:space="preserve"> </v>
      </c>
      <c r="I89" s="45" t="str">
        <f ca="1">IFERROR(IF(AND(ISNUMBER($C$89),$C$89&lt;=95),INDEX('2.Distances'!$D$2:$D$9218,$C$88*96+$C$89+ 1) +$I$88," ")," ")</f>
        <v xml:space="preserve"> </v>
      </c>
      <c r="J89" s="46" t="str">
        <f ca="1">IFERROR(IF(AND(ISNUMBER($C$89),$C$89&lt;=95),INDEX('2.Distances'!$D$2:$D$9218,$C$88*96+$C$89+ 1) +$K$88," ")," ")</f>
        <v xml:space="preserve"> </v>
      </c>
      <c r="K89" s="46" t="str">
        <f ca="1">IFERROR(IF(ISNUMBER($J$89),INDEX('1.Locations'!$I$2:$I$97,$C$89 + 1) + MAX($J$89,INDEX('1.Locations'!$F$2:$F$97,$C$89 + 1))," ")," ")</f>
        <v xml:space="preserve"> </v>
      </c>
      <c r="L89" s="45" t="str">
        <f ca="1">IFERROR($L$88 + INDEX('2.Distances'!$D$2:$D$9218,$C$88*96+$C$89+ 1) + INDEX('1.Locations'!$I$2:$I$97,$C$89 + 1)," ")</f>
        <v xml:space="preserve"> </v>
      </c>
      <c r="N89" s="24">
        <v>84</v>
      </c>
      <c r="O89" s="25"/>
      <c r="P89" s="43" t="str">
        <f ca="1">IFERROR(MATCH(INDIRECT("$O$89"),'1.Locations'!$B$2:$B$97, 0) - 1," ")</f>
        <v xml:space="preserve"> </v>
      </c>
      <c r="Q89" s="43" t="e">
        <f ca="1">IFERROR(IF(ISNUMBER($P$89),INDEX('1.Locations'!$D$2:$D$97,$P$89 + 1),NA()),NA())</f>
        <v>#N/A</v>
      </c>
      <c r="R89" s="43" t="e">
        <f ca="1">IFERROR(IF(ISNUMBER($P$89),INDEX('1.Locations'!$E$2:$E$97,$P$89 + 1),NA()),NA())</f>
        <v>#N/A</v>
      </c>
      <c r="S89" s="44" t="str">
        <f ca="1">IFERROR(IF(AND(ISNUMBER($P$89),$P$89&lt;=95),INDEX('2.Distances'!$C$2:$C$9218,$P$88*96+$P$89+ 1) +$S$88," ")," ")</f>
        <v xml:space="preserve"> </v>
      </c>
      <c r="T89" s="43" t="str">
        <f ca="1">IFERROR(IF(ISNUMBER($P$89),INDEX('1.Locations'!$J$2:$J$97,$P$89 + 1) +$T$88," ")," ")</f>
        <v xml:space="preserve"> </v>
      </c>
      <c r="U89" s="43" t="str">
        <f ca="1">IFERROR(IF(ISNUMBER($P$89),INDEX('1.Locations'!$K$2:$K$97,$P$89 + 1) +$U$88," ")," ")</f>
        <v xml:space="preserve"> </v>
      </c>
      <c r="V89" s="45" t="str">
        <f ca="1">IFERROR(IF(AND(ISNUMBER($P$89),$P$89&lt;=95),INDEX('2.Distances'!$D$2:$D$9218,$P$88*96+$P$89+ 1) +$V$88," ")," ")</f>
        <v xml:space="preserve"> </v>
      </c>
      <c r="W89" s="46" t="str">
        <f ca="1">IFERROR(IF(AND(ISNUMBER($P$89),$P$89&lt;=95),INDEX('2.Distances'!$D$2:$D$9218,$P$88*96+$P$89+ 1) +$X$88," ")," ")</f>
        <v xml:space="preserve"> </v>
      </c>
      <c r="X89" s="46" t="str">
        <f ca="1">IFERROR(IF(ISNUMBER($W$89),INDEX('1.Locations'!$I$2:$I$97,$P$89 + 1) + MAX($W$89,INDEX('1.Locations'!$F$2:$F$97,$P$89 + 1))," ")," ")</f>
        <v xml:space="preserve"> </v>
      </c>
      <c r="Y89" s="45" t="str">
        <f ca="1">IFERROR($Y$88 + INDEX('2.Distances'!$D$2:$D$9218,$P$88*96+$P$89+ 1) + INDEX('1.Locations'!$I$2:$I$97,$P$89 + 1)," ")</f>
        <v xml:space="preserve"> </v>
      </c>
      <c r="AA89" s="24">
        <v>84</v>
      </c>
      <c r="AB89" s="25"/>
      <c r="AC89" s="43" t="str">
        <f ca="1">IFERROR(MATCH(INDIRECT("$AB$89"),'1.Locations'!$B$2:$B$97, 0) - 1," ")</f>
        <v xml:space="preserve"> </v>
      </c>
      <c r="AD89" s="43" t="e">
        <f ca="1">IFERROR(IF(ISNUMBER($AC$89),INDEX('1.Locations'!$D$2:$D$97,$AC$89 + 1),NA()),NA())</f>
        <v>#N/A</v>
      </c>
      <c r="AE89" s="43" t="e">
        <f ca="1">IFERROR(IF(ISNUMBER($AC$89),INDEX('1.Locations'!$E$2:$E$97,$AC$89 + 1),NA()),NA())</f>
        <v>#N/A</v>
      </c>
      <c r="AF89" s="44" t="str">
        <f ca="1">IFERROR(IF(AND(ISNUMBER($AC$89),$AC$89&lt;=95),INDEX('2.Distances'!$C$2:$C$9218,$AC$88*96+$AC$89+ 1) +$AF$88," ")," ")</f>
        <v xml:space="preserve"> </v>
      </c>
      <c r="AG89" s="43" t="str">
        <f ca="1">IFERROR(IF(ISNUMBER($AC$89),INDEX('1.Locations'!$J$2:$J$97,$AC$89 + 1) +$AG$88," ")," ")</f>
        <v xml:space="preserve"> </v>
      </c>
      <c r="AH89" s="43" t="str">
        <f ca="1">IFERROR(IF(ISNUMBER($AC$89),INDEX('1.Locations'!$K$2:$K$97,$AC$89 + 1) +$AH$88," ")," ")</f>
        <v xml:space="preserve"> </v>
      </c>
      <c r="AI89" s="45" t="str">
        <f ca="1">IFERROR(IF(AND(ISNUMBER($AC$89),$AC$89&lt;=95),INDEX('2.Distances'!$D$2:$D$9218,$AC$88*96+$AC$89+ 1) +$AI$88," ")," ")</f>
        <v xml:space="preserve"> </v>
      </c>
      <c r="AJ89" s="46" t="str">
        <f ca="1">IFERROR(IF(AND(ISNUMBER($AC$89),$AC$89&lt;=95),INDEX('2.Distances'!$D$2:$D$9218,$AC$88*96+$AC$89+ 1) +$AK$88," ")," ")</f>
        <v xml:space="preserve"> </v>
      </c>
      <c r="AK89" s="46" t="str">
        <f ca="1">IFERROR(IF(ISNUMBER($AJ$89),INDEX('1.Locations'!$I$2:$I$97,$AC$89 + 1) + MAX($AJ$89,INDEX('1.Locations'!$F$2:$F$97,$AC$89 + 1))," ")," ")</f>
        <v xml:space="preserve"> </v>
      </c>
      <c r="AL89" s="45" t="str">
        <f ca="1">IFERROR($AL$88 + INDEX('2.Distances'!$D$2:$D$9218,$AC$88*96+$AC$89+ 1) + INDEX('1.Locations'!$I$2:$I$97,$AC$89 + 1)," ")</f>
        <v xml:space="preserve"> </v>
      </c>
      <c r="AN89" s="24">
        <v>84</v>
      </c>
      <c r="AO89" s="25"/>
      <c r="AP89" s="43" t="str">
        <f ca="1">IFERROR(MATCH(INDIRECT("$AO$89"),'1.Locations'!$B$2:$B$97, 0) - 1," ")</f>
        <v xml:space="preserve"> </v>
      </c>
      <c r="AQ89" s="43" t="e">
        <f ca="1">IFERROR(IF(ISNUMBER($AP$89),INDEX('1.Locations'!$D$2:$D$97,$AP$89 + 1),NA()),NA())</f>
        <v>#N/A</v>
      </c>
      <c r="AR89" s="43" t="e">
        <f ca="1">IFERROR(IF(ISNUMBER($AP$89),INDEX('1.Locations'!$E$2:$E$97,$AP$89 + 1),NA()),NA())</f>
        <v>#N/A</v>
      </c>
      <c r="AS89" s="44" t="str">
        <f ca="1">IFERROR(IF(AND(ISNUMBER($AP$89),$AP$89&lt;=95),INDEX('2.Distances'!$C$2:$C$9218,$AP$88*96+$AP$89+ 1) +$AS$88," ")," ")</f>
        <v xml:space="preserve"> </v>
      </c>
      <c r="AT89" s="43" t="str">
        <f ca="1">IFERROR(IF(ISNUMBER($AP$89),INDEX('1.Locations'!$J$2:$J$97,$AP$89 + 1) +$AT$88," ")," ")</f>
        <v xml:space="preserve"> </v>
      </c>
      <c r="AU89" s="43" t="str">
        <f ca="1">IFERROR(IF(ISNUMBER($AP$89),INDEX('1.Locations'!$K$2:$K$97,$AP$89 + 1) +$AU$88," ")," ")</f>
        <v xml:space="preserve"> </v>
      </c>
      <c r="AV89" s="45" t="str">
        <f ca="1">IFERROR(IF(AND(ISNUMBER($AP$89),$AP$89&lt;=95),INDEX('2.Distances'!$D$2:$D$9218,$AP$88*96+$AP$89+ 1) +$AV$88," ")," ")</f>
        <v xml:space="preserve"> </v>
      </c>
      <c r="AW89" s="46" t="str">
        <f ca="1">IFERROR(IF(AND(ISNUMBER($AP$89),$AP$89&lt;=95),INDEX('2.Distances'!$D$2:$D$9218,$AP$88*96+$AP$89+ 1) +$AX$88," ")," ")</f>
        <v xml:space="preserve"> </v>
      </c>
      <c r="AX89" s="46" t="str">
        <f ca="1">IFERROR(IF(ISNUMBER($AW$89),INDEX('1.Locations'!$I$2:$I$97,$AP$89 + 1) + MAX($AW$89,INDEX('1.Locations'!$F$2:$F$97,$AP$89 + 1))," ")," ")</f>
        <v xml:space="preserve"> </v>
      </c>
      <c r="AY89" s="45" t="str">
        <f ca="1">IFERROR($AY$88 + INDEX('2.Distances'!$D$2:$D$9218,$AP$88*96+$AP$89+ 1) + INDEX('1.Locations'!$I$2:$I$97,$AP$89 + 1)," ")</f>
        <v xml:space="preserve"> </v>
      </c>
      <c r="BA89" s="24">
        <v>84</v>
      </c>
      <c r="BB89" s="25"/>
      <c r="BC89" s="43" t="str">
        <f ca="1">IFERROR(MATCH(INDIRECT("$BB$89"),'1.Locations'!$B$2:$B$97, 0) - 1," ")</f>
        <v xml:space="preserve"> </v>
      </c>
      <c r="BD89" s="43" t="e">
        <f ca="1">IFERROR(IF(ISNUMBER($BC$89),INDEX('1.Locations'!$D$2:$D$97,$BC$89 + 1),NA()),NA())</f>
        <v>#N/A</v>
      </c>
      <c r="BE89" s="43" t="e">
        <f ca="1">IFERROR(IF(ISNUMBER($BC$89),INDEX('1.Locations'!$E$2:$E$97,$BC$89 + 1),NA()),NA())</f>
        <v>#N/A</v>
      </c>
      <c r="BF89" s="44" t="str">
        <f ca="1">IFERROR(IF(AND(ISNUMBER($BC$89),$BC$89&lt;=95),INDEX('2.Distances'!$C$2:$C$9218,$BC$88*96+$BC$89+ 1) +$BF$88," ")," ")</f>
        <v xml:space="preserve"> </v>
      </c>
      <c r="BG89" s="43" t="str">
        <f ca="1">IFERROR(IF(ISNUMBER($BC$89),INDEX('1.Locations'!$J$2:$J$97,$BC$89 + 1) +$BG$88," ")," ")</f>
        <v xml:space="preserve"> </v>
      </c>
      <c r="BH89" s="43" t="str">
        <f ca="1">IFERROR(IF(ISNUMBER($BC$89),INDEX('1.Locations'!$K$2:$K$97,$BC$89 + 1) +$BH$88," ")," ")</f>
        <v xml:space="preserve"> </v>
      </c>
      <c r="BI89" s="45" t="str">
        <f ca="1">IFERROR(IF(AND(ISNUMBER($BC$89),$BC$89&lt;=95),INDEX('2.Distances'!$D$2:$D$9218,$BC$88*96+$BC$89+ 1) +$BI$88," ")," ")</f>
        <v xml:space="preserve"> </v>
      </c>
      <c r="BJ89" s="46" t="str">
        <f ca="1">IFERROR(IF(AND(ISNUMBER($BC$89),$BC$89&lt;=95),INDEX('2.Distances'!$D$2:$D$9218,$BC$88*96+$BC$89+ 1) +$BK$88," ")," ")</f>
        <v xml:space="preserve"> </v>
      </c>
      <c r="BK89" s="46" t="str">
        <f ca="1">IFERROR(IF(ISNUMBER($BJ$89),INDEX('1.Locations'!$I$2:$I$97,$BC$89 + 1) + MAX($BJ$89,INDEX('1.Locations'!$F$2:$F$97,$BC$89 + 1))," ")," ")</f>
        <v xml:space="preserve"> </v>
      </c>
      <c r="BL89" s="45" t="str">
        <f ca="1">IFERROR($BL$88 + INDEX('2.Distances'!$D$2:$D$9218,$BC$88*96+$BC$89+ 1) + INDEX('1.Locations'!$I$2:$I$97,$BC$89 + 1)," ")</f>
        <v xml:space="preserve"> </v>
      </c>
      <c r="BN89" s="24">
        <v>84</v>
      </c>
      <c r="BO89" s="25"/>
      <c r="BP89" s="43" t="str">
        <f ca="1">IFERROR(MATCH(INDIRECT("$BO$89"),'1.Locations'!$B$2:$B$97, 0) - 1," ")</f>
        <v xml:space="preserve"> </v>
      </c>
      <c r="BQ89" s="43" t="e">
        <f ca="1">IFERROR(IF(ISNUMBER($BP$89),INDEX('1.Locations'!$D$2:$D$97,$BP$89 + 1),NA()),NA())</f>
        <v>#N/A</v>
      </c>
      <c r="BR89" s="43" t="e">
        <f ca="1">IFERROR(IF(ISNUMBER($BP$89),INDEX('1.Locations'!$E$2:$E$97,$BP$89 + 1),NA()),NA())</f>
        <v>#N/A</v>
      </c>
      <c r="BS89" s="44" t="str">
        <f ca="1">IFERROR(IF(AND(ISNUMBER($BP$89),$BP$89&lt;=95),INDEX('2.Distances'!$C$2:$C$9218,$BP$88*96+$BP$89+ 1) +$BS$88," ")," ")</f>
        <v xml:space="preserve"> </v>
      </c>
      <c r="BT89" s="43" t="str">
        <f ca="1">IFERROR(IF(ISNUMBER($BP$89),INDEX('1.Locations'!$J$2:$J$97,$BP$89 + 1) +$BT$88," ")," ")</f>
        <v xml:space="preserve"> </v>
      </c>
      <c r="BU89" s="43" t="str">
        <f ca="1">IFERROR(IF(ISNUMBER($BP$89),INDEX('1.Locations'!$K$2:$K$97,$BP$89 + 1) +$BU$88," ")," ")</f>
        <v xml:space="preserve"> </v>
      </c>
      <c r="BV89" s="45" t="str">
        <f ca="1">IFERROR(IF(AND(ISNUMBER($BP$89),$BP$89&lt;=95),INDEX('2.Distances'!$D$2:$D$9218,$BP$88*96+$BP$89+ 1) +$BV$88," ")," ")</f>
        <v xml:space="preserve"> </v>
      </c>
      <c r="BW89" s="46" t="str">
        <f ca="1">IFERROR(IF(AND(ISNUMBER($BP$89),$BP$89&lt;=95),INDEX('2.Distances'!$D$2:$D$9218,$BP$88*96+$BP$89+ 1) +$BX$88," ")," ")</f>
        <v xml:space="preserve"> </v>
      </c>
      <c r="BX89" s="46" t="str">
        <f ca="1">IFERROR(IF(ISNUMBER($BW$89),INDEX('1.Locations'!$I$2:$I$97,$BP$89 + 1) + MAX($BW$89,INDEX('1.Locations'!$F$2:$F$97,$BP$89 + 1))," ")," ")</f>
        <v xml:space="preserve"> </v>
      </c>
      <c r="BY89" s="45" t="str">
        <f ca="1">IFERROR($BY$88 + INDEX('2.Distances'!$D$2:$D$9218,$BP$88*96+$BP$89+ 1) + INDEX('1.Locations'!$I$2:$I$97,$BP$89 + 1)," ")</f>
        <v xml:space="preserve"> </v>
      </c>
      <c r="CA89" s="24">
        <v>84</v>
      </c>
      <c r="CB89" s="25"/>
      <c r="CC89" s="43" t="str">
        <f ca="1">IFERROR(MATCH(INDIRECT("$CB$89"),'1.Locations'!$B$2:$B$97, 0) - 1," ")</f>
        <v xml:space="preserve"> </v>
      </c>
      <c r="CD89" s="43" t="e">
        <f ca="1">IFERROR(IF(ISNUMBER($CC$89),INDEX('1.Locations'!$D$2:$D$97,$CC$89 + 1),NA()),NA())</f>
        <v>#N/A</v>
      </c>
      <c r="CE89" s="43" t="e">
        <f ca="1">IFERROR(IF(ISNUMBER($CC$89),INDEX('1.Locations'!$E$2:$E$97,$CC$89 + 1),NA()),NA())</f>
        <v>#N/A</v>
      </c>
      <c r="CF89" s="44" t="str">
        <f ca="1">IFERROR(IF(AND(ISNUMBER($CC$89),$CC$89&lt;=95),INDEX('2.Distances'!$C$2:$C$9218,$CC$88*96+$CC$89+ 1) +$CF$88," ")," ")</f>
        <v xml:space="preserve"> </v>
      </c>
      <c r="CG89" s="43" t="str">
        <f ca="1">IFERROR(IF(ISNUMBER($CC$89),INDEX('1.Locations'!$J$2:$J$97,$CC$89 + 1) +$CG$88," ")," ")</f>
        <v xml:space="preserve"> </v>
      </c>
      <c r="CH89" s="43" t="str">
        <f ca="1">IFERROR(IF(ISNUMBER($CC$89),INDEX('1.Locations'!$K$2:$K$97,$CC$89 + 1) +$CH$88," ")," ")</f>
        <v xml:space="preserve"> </v>
      </c>
      <c r="CI89" s="45" t="str">
        <f ca="1">IFERROR(IF(AND(ISNUMBER($CC$89),$CC$89&lt;=95),INDEX('2.Distances'!$D$2:$D$9218,$CC$88*96+$CC$89+ 1) +$CI$88," ")," ")</f>
        <v xml:space="preserve"> </v>
      </c>
      <c r="CJ89" s="46" t="str">
        <f ca="1">IFERROR(IF(AND(ISNUMBER($CC$89),$CC$89&lt;=95),INDEX('2.Distances'!$D$2:$D$9218,$CC$88*96+$CC$89+ 1) +$CK$88," ")," ")</f>
        <v xml:space="preserve"> </v>
      </c>
      <c r="CK89" s="46" t="str">
        <f ca="1">IFERROR(IF(ISNUMBER($CJ$89),INDEX('1.Locations'!$I$2:$I$97,$CC$89 + 1) + MAX($CJ$89,INDEX('1.Locations'!$F$2:$F$97,$CC$89 + 1))," ")," ")</f>
        <v xml:space="preserve"> </v>
      </c>
      <c r="CL89" s="45" t="str">
        <f ca="1">IFERROR($CL$88 + INDEX('2.Distances'!$D$2:$D$9218,$CC$88*96+$CC$89+ 1) + INDEX('1.Locations'!$I$2:$I$97,$CC$89 + 1)," ")</f>
        <v xml:space="preserve"> </v>
      </c>
    </row>
    <row r="90" spans="1:90" x14ac:dyDescent="0.25">
      <c r="A90" s="24">
        <v>85</v>
      </c>
      <c r="B90" s="25"/>
      <c r="C90" s="43" t="str">
        <f ca="1">IFERROR(MATCH(INDIRECT("$B$90"),'1.Locations'!$B$2:$B$97, 0) - 1," ")</f>
        <v xml:space="preserve"> </v>
      </c>
      <c r="D90" s="43" t="e">
        <f ca="1">IFERROR(IF(ISNUMBER($C$90),INDEX('1.Locations'!$D$2:$D$97,$C$90 + 1),NA()),NA())</f>
        <v>#N/A</v>
      </c>
      <c r="E90" s="43" t="e">
        <f ca="1">IFERROR(IF(ISNUMBER($C$90),INDEX('1.Locations'!$E$2:$E$97,$C$90 + 1),NA()),NA())</f>
        <v>#N/A</v>
      </c>
      <c r="F90" s="44" t="str">
        <f ca="1">IFERROR(IF(AND(ISNUMBER($C$90),$C$90&lt;=95),INDEX('2.Distances'!$C$2:$C$9218,$C$89*96+$C$90+ 1) +$F$89," ")," ")</f>
        <v xml:space="preserve"> </v>
      </c>
      <c r="G90" s="43" t="str">
        <f ca="1">IFERROR(IF(ISNUMBER($C$90),INDEX('1.Locations'!$J$2:$J$97,$C$90 + 1) +$G$89," ")," ")</f>
        <v xml:space="preserve"> </v>
      </c>
      <c r="H90" s="43" t="str">
        <f ca="1">IFERROR(IF(ISNUMBER($C$90),INDEX('1.Locations'!$K$2:$K$97,$C$90 + 1) +$H$89," ")," ")</f>
        <v xml:space="preserve"> </v>
      </c>
      <c r="I90" s="45" t="str">
        <f ca="1">IFERROR(IF(AND(ISNUMBER($C$90),$C$90&lt;=95),INDEX('2.Distances'!$D$2:$D$9218,$C$89*96+$C$90+ 1) +$I$89," ")," ")</f>
        <v xml:space="preserve"> </v>
      </c>
      <c r="J90" s="46" t="str">
        <f ca="1">IFERROR(IF(AND(ISNUMBER($C$90),$C$90&lt;=95),INDEX('2.Distances'!$D$2:$D$9218,$C$89*96+$C$90+ 1) +$K$89," ")," ")</f>
        <v xml:space="preserve"> </v>
      </c>
      <c r="K90" s="46" t="str">
        <f ca="1">IFERROR(IF(ISNUMBER($J$90),INDEX('1.Locations'!$I$2:$I$97,$C$90 + 1) + MAX($J$90,INDEX('1.Locations'!$F$2:$F$97,$C$90 + 1))," ")," ")</f>
        <v xml:space="preserve"> </v>
      </c>
      <c r="L90" s="45" t="str">
        <f ca="1">IFERROR($L$89 + INDEX('2.Distances'!$D$2:$D$9218,$C$89*96+$C$90+ 1) + INDEX('1.Locations'!$I$2:$I$97,$C$90 + 1)," ")</f>
        <v xml:space="preserve"> </v>
      </c>
      <c r="N90" s="24">
        <v>85</v>
      </c>
      <c r="O90" s="25"/>
      <c r="P90" s="43" t="str">
        <f ca="1">IFERROR(MATCH(INDIRECT("$O$90"),'1.Locations'!$B$2:$B$97, 0) - 1," ")</f>
        <v xml:space="preserve"> </v>
      </c>
      <c r="Q90" s="43" t="e">
        <f ca="1">IFERROR(IF(ISNUMBER($P$90),INDEX('1.Locations'!$D$2:$D$97,$P$90 + 1),NA()),NA())</f>
        <v>#N/A</v>
      </c>
      <c r="R90" s="43" t="e">
        <f ca="1">IFERROR(IF(ISNUMBER($P$90),INDEX('1.Locations'!$E$2:$E$97,$P$90 + 1),NA()),NA())</f>
        <v>#N/A</v>
      </c>
      <c r="S90" s="44" t="str">
        <f ca="1">IFERROR(IF(AND(ISNUMBER($P$90),$P$90&lt;=95),INDEX('2.Distances'!$C$2:$C$9218,$P$89*96+$P$90+ 1) +$S$89," ")," ")</f>
        <v xml:space="preserve"> </v>
      </c>
      <c r="T90" s="43" t="str">
        <f ca="1">IFERROR(IF(ISNUMBER($P$90),INDEX('1.Locations'!$J$2:$J$97,$P$90 + 1) +$T$89," ")," ")</f>
        <v xml:space="preserve"> </v>
      </c>
      <c r="U90" s="43" t="str">
        <f ca="1">IFERROR(IF(ISNUMBER($P$90),INDEX('1.Locations'!$K$2:$K$97,$P$90 + 1) +$U$89," ")," ")</f>
        <v xml:space="preserve"> </v>
      </c>
      <c r="V90" s="45" t="str">
        <f ca="1">IFERROR(IF(AND(ISNUMBER($P$90),$P$90&lt;=95),INDEX('2.Distances'!$D$2:$D$9218,$P$89*96+$P$90+ 1) +$V$89," ")," ")</f>
        <v xml:space="preserve"> </v>
      </c>
      <c r="W90" s="46" t="str">
        <f ca="1">IFERROR(IF(AND(ISNUMBER($P$90),$P$90&lt;=95),INDEX('2.Distances'!$D$2:$D$9218,$P$89*96+$P$90+ 1) +$X$89," ")," ")</f>
        <v xml:space="preserve"> </v>
      </c>
      <c r="X90" s="46" t="str">
        <f ca="1">IFERROR(IF(ISNUMBER($W$90),INDEX('1.Locations'!$I$2:$I$97,$P$90 + 1) + MAX($W$90,INDEX('1.Locations'!$F$2:$F$97,$P$90 + 1))," ")," ")</f>
        <v xml:space="preserve"> </v>
      </c>
      <c r="Y90" s="45" t="str">
        <f ca="1">IFERROR($Y$89 + INDEX('2.Distances'!$D$2:$D$9218,$P$89*96+$P$90+ 1) + INDEX('1.Locations'!$I$2:$I$97,$P$90 + 1)," ")</f>
        <v xml:space="preserve"> </v>
      </c>
      <c r="AA90" s="24">
        <v>85</v>
      </c>
      <c r="AB90" s="25"/>
      <c r="AC90" s="43" t="str">
        <f ca="1">IFERROR(MATCH(INDIRECT("$AB$90"),'1.Locations'!$B$2:$B$97, 0) - 1," ")</f>
        <v xml:space="preserve"> </v>
      </c>
      <c r="AD90" s="43" t="e">
        <f ca="1">IFERROR(IF(ISNUMBER($AC$90),INDEX('1.Locations'!$D$2:$D$97,$AC$90 + 1),NA()),NA())</f>
        <v>#N/A</v>
      </c>
      <c r="AE90" s="43" t="e">
        <f ca="1">IFERROR(IF(ISNUMBER($AC$90),INDEX('1.Locations'!$E$2:$E$97,$AC$90 + 1),NA()),NA())</f>
        <v>#N/A</v>
      </c>
      <c r="AF90" s="44" t="str">
        <f ca="1">IFERROR(IF(AND(ISNUMBER($AC$90),$AC$90&lt;=95),INDEX('2.Distances'!$C$2:$C$9218,$AC$89*96+$AC$90+ 1) +$AF$89," ")," ")</f>
        <v xml:space="preserve"> </v>
      </c>
      <c r="AG90" s="43" t="str">
        <f ca="1">IFERROR(IF(ISNUMBER($AC$90),INDEX('1.Locations'!$J$2:$J$97,$AC$90 + 1) +$AG$89," ")," ")</f>
        <v xml:space="preserve"> </v>
      </c>
      <c r="AH90" s="43" t="str">
        <f ca="1">IFERROR(IF(ISNUMBER($AC$90),INDEX('1.Locations'!$K$2:$K$97,$AC$90 + 1) +$AH$89," ")," ")</f>
        <v xml:space="preserve"> </v>
      </c>
      <c r="AI90" s="45" t="str">
        <f ca="1">IFERROR(IF(AND(ISNUMBER($AC$90),$AC$90&lt;=95),INDEX('2.Distances'!$D$2:$D$9218,$AC$89*96+$AC$90+ 1) +$AI$89," ")," ")</f>
        <v xml:space="preserve"> </v>
      </c>
      <c r="AJ90" s="46" t="str">
        <f ca="1">IFERROR(IF(AND(ISNUMBER($AC$90),$AC$90&lt;=95),INDEX('2.Distances'!$D$2:$D$9218,$AC$89*96+$AC$90+ 1) +$AK$89," ")," ")</f>
        <v xml:space="preserve"> </v>
      </c>
      <c r="AK90" s="46" t="str">
        <f ca="1">IFERROR(IF(ISNUMBER($AJ$90),INDEX('1.Locations'!$I$2:$I$97,$AC$90 + 1) + MAX($AJ$90,INDEX('1.Locations'!$F$2:$F$97,$AC$90 + 1))," ")," ")</f>
        <v xml:space="preserve"> </v>
      </c>
      <c r="AL90" s="45" t="str">
        <f ca="1">IFERROR($AL$89 + INDEX('2.Distances'!$D$2:$D$9218,$AC$89*96+$AC$90+ 1) + INDEX('1.Locations'!$I$2:$I$97,$AC$90 + 1)," ")</f>
        <v xml:space="preserve"> </v>
      </c>
      <c r="AN90" s="24">
        <v>85</v>
      </c>
      <c r="AO90" s="25"/>
      <c r="AP90" s="43" t="str">
        <f ca="1">IFERROR(MATCH(INDIRECT("$AO$90"),'1.Locations'!$B$2:$B$97, 0) - 1," ")</f>
        <v xml:space="preserve"> </v>
      </c>
      <c r="AQ90" s="43" t="e">
        <f ca="1">IFERROR(IF(ISNUMBER($AP$90),INDEX('1.Locations'!$D$2:$D$97,$AP$90 + 1),NA()),NA())</f>
        <v>#N/A</v>
      </c>
      <c r="AR90" s="43" t="e">
        <f ca="1">IFERROR(IF(ISNUMBER($AP$90),INDEX('1.Locations'!$E$2:$E$97,$AP$90 + 1),NA()),NA())</f>
        <v>#N/A</v>
      </c>
      <c r="AS90" s="44" t="str">
        <f ca="1">IFERROR(IF(AND(ISNUMBER($AP$90),$AP$90&lt;=95),INDEX('2.Distances'!$C$2:$C$9218,$AP$89*96+$AP$90+ 1) +$AS$89," ")," ")</f>
        <v xml:space="preserve"> </v>
      </c>
      <c r="AT90" s="43" t="str">
        <f ca="1">IFERROR(IF(ISNUMBER($AP$90),INDEX('1.Locations'!$J$2:$J$97,$AP$90 + 1) +$AT$89," ")," ")</f>
        <v xml:space="preserve"> </v>
      </c>
      <c r="AU90" s="43" t="str">
        <f ca="1">IFERROR(IF(ISNUMBER($AP$90),INDEX('1.Locations'!$K$2:$K$97,$AP$90 + 1) +$AU$89," ")," ")</f>
        <v xml:space="preserve"> </v>
      </c>
      <c r="AV90" s="45" t="str">
        <f ca="1">IFERROR(IF(AND(ISNUMBER($AP$90),$AP$90&lt;=95),INDEX('2.Distances'!$D$2:$D$9218,$AP$89*96+$AP$90+ 1) +$AV$89," ")," ")</f>
        <v xml:space="preserve"> </v>
      </c>
      <c r="AW90" s="46" t="str">
        <f ca="1">IFERROR(IF(AND(ISNUMBER($AP$90),$AP$90&lt;=95),INDEX('2.Distances'!$D$2:$D$9218,$AP$89*96+$AP$90+ 1) +$AX$89," ")," ")</f>
        <v xml:space="preserve"> </v>
      </c>
      <c r="AX90" s="46" t="str">
        <f ca="1">IFERROR(IF(ISNUMBER($AW$90),INDEX('1.Locations'!$I$2:$I$97,$AP$90 + 1) + MAX($AW$90,INDEX('1.Locations'!$F$2:$F$97,$AP$90 + 1))," ")," ")</f>
        <v xml:space="preserve"> </v>
      </c>
      <c r="AY90" s="45" t="str">
        <f ca="1">IFERROR($AY$89 + INDEX('2.Distances'!$D$2:$D$9218,$AP$89*96+$AP$90+ 1) + INDEX('1.Locations'!$I$2:$I$97,$AP$90 + 1)," ")</f>
        <v xml:space="preserve"> </v>
      </c>
      <c r="BA90" s="24">
        <v>85</v>
      </c>
      <c r="BB90" s="25"/>
      <c r="BC90" s="43" t="str">
        <f ca="1">IFERROR(MATCH(INDIRECT("$BB$90"),'1.Locations'!$B$2:$B$97, 0) - 1," ")</f>
        <v xml:space="preserve"> </v>
      </c>
      <c r="BD90" s="43" t="e">
        <f ca="1">IFERROR(IF(ISNUMBER($BC$90),INDEX('1.Locations'!$D$2:$D$97,$BC$90 + 1),NA()),NA())</f>
        <v>#N/A</v>
      </c>
      <c r="BE90" s="43" t="e">
        <f ca="1">IFERROR(IF(ISNUMBER($BC$90),INDEX('1.Locations'!$E$2:$E$97,$BC$90 + 1),NA()),NA())</f>
        <v>#N/A</v>
      </c>
      <c r="BF90" s="44" t="str">
        <f ca="1">IFERROR(IF(AND(ISNUMBER($BC$90),$BC$90&lt;=95),INDEX('2.Distances'!$C$2:$C$9218,$BC$89*96+$BC$90+ 1) +$BF$89," ")," ")</f>
        <v xml:space="preserve"> </v>
      </c>
      <c r="BG90" s="43" t="str">
        <f ca="1">IFERROR(IF(ISNUMBER($BC$90),INDEX('1.Locations'!$J$2:$J$97,$BC$90 + 1) +$BG$89," ")," ")</f>
        <v xml:space="preserve"> </v>
      </c>
      <c r="BH90" s="43" t="str">
        <f ca="1">IFERROR(IF(ISNUMBER($BC$90),INDEX('1.Locations'!$K$2:$K$97,$BC$90 + 1) +$BH$89," ")," ")</f>
        <v xml:space="preserve"> </v>
      </c>
      <c r="BI90" s="45" t="str">
        <f ca="1">IFERROR(IF(AND(ISNUMBER($BC$90),$BC$90&lt;=95),INDEX('2.Distances'!$D$2:$D$9218,$BC$89*96+$BC$90+ 1) +$BI$89," ")," ")</f>
        <v xml:space="preserve"> </v>
      </c>
      <c r="BJ90" s="46" t="str">
        <f ca="1">IFERROR(IF(AND(ISNUMBER($BC$90),$BC$90&lt;=95),INDEX('2.Distances'!$D$2:$D$9218,$BC$89*96+$BC$90+ 1) +$BK$89," ")," ")</f>
        <v xml:space="preserve"> </v>
      </c>
      <c r="BK90" s="46" t="str">
        <f ca="1">IFERROR(IF(ISNUMBER($BJ$90),INDEX('1.Locations'!$I$2:$I$97,$BC$90 + 1) + MAX($BJ$90,INDEX('1.Locations'!$F$2:$F$97,$BC$90 + 1))," ")," ")</f>
        <v xml:space="preserve"> </v>
      </c>
      <c r="BL90" s="45" t="str">
        <f ca="1">IFERROR($BL$89 + INDEX('2.Distances'!$D$2:$D$9218,$BC$89*96+$BC$90+ 1) + INDEX('1.Locations'!$I$2:$I$97,$BC$90 + 1)," ")</f>
        <v xml:space="preserve"> </v>
      </c>
      <c r="BN90" s="24">
        <v>85</v>
      </c>
      <c r="BO90" s="25"/>
      <c r="BP90" s="43" t="str">
        <f ca="1">IFERROR(MATCH(INDIRECT("$BO$90"),'1.Locations'!$B$2:$B$97, 0) - 1," ")</f>
        <v xml:space="preserve"> </v>
      </c>
      <c r="BQ90" s="43" t="e">
        <f ca="1">IFERROR(IF(ISNUMBER($BP$90),INDEX('1.Locations'!$D$2:$D$97,$BP$90 + 1),NA()),NA())</f>
        <v>#N/A</v>
      </c>
      <c r="BR90" s="43" t="e">
        <f ca="1">IFERROR(IF(ISNUMBER($BP$90),INDEX('1.Locations'!$E$2:$E$97,$BP$90 + 1),NA()),NA())</f>
        <v>#N/A</v>
      </c>
      <c r="BS90" s="44" t="str">
        <f ca="1">IFERROR(IF(AND(ISNUMBER($BP$90),$BP$90&lt;=95),INDEX('2.Distances'!$C$2:$C$9218,$BP$89*96+$BP$90+ 1) +$BS$89," ")," ")</f>
        <v xml:space="preserve"> </v>
      </c>
      <c r="BT90" s="43" t="str">
        <f ca="1">IFERROR(IF(ISNUMBER($BP$90),INDEX('1.Locations'!$J$2:$J$97,$BP$90 + 1) +$BT$89," ")," ")</f>
        <v xml:space="preserve"> </v>
      </c>
      <c r="BU90" s="43" t="str">
        <f ca="1">IFERROR(IF(ISNUMBER($BP$90),INDEX('1.Locations'!$K$2:$K$97,$BP$90 + 1) +$BU$89," ")," ")</f>
        <v xml:space="preserve"> </v>
      </c>
      <c r="BV90" s="45" t="str">
        <f ca="1">IFERROR(IF(AND(ISNUMBER($BP$90),$BP$90&lt;=95),INDEX('2.Distances'!$D$2:$D$9218,$BP$89*96+$BP$90+ 1) +$BV$89," ")," ")</f>
        <v xml:space="preserve"> </v>
      </c>
      <c r="BW90" s="46" t="str">
        <f ca="1">IFERROR(IF(AND(ISNUMBER($BP$90),$BP$90&lt;=95),INDEX('2.Distances'!$D$2:$D$9218,$BP$89*96+$BP$90+ 1) +$BX$89," ")," ")</f>
        <v xml:space="preserve"> </v>
      </c>
      <c r="BX90" s="46" t="str">
        <f ca="1">IFERROR(IF(ISNUMBER($BW$90),INDEX('1.Locations'!$I$2:$I$97,$BP$90 + 1) + MAX($BW$90,INDEX('1.Locations'!$F$2:$F$97,$BP$90 + 1))," ")," ")</f>
        <v xml:space="preserve"> </v>
      </c>
      <c r="BY90" s="45" t="str">
        <f ca="1">IFERROR($BY$89 + INDEX('2.Distances'!$D$2:$D$9218,$BP$89*96+$BP$90+ 1) + INDEX('1.Locations'!$I$2:$I$97,$BP$90 + 1)," ")</f>
        <v xml:space="preserve"> </v>
      </c>
      <c r="CA90" s="24">
        <v>85</v>
      </c>
      <c r="CB90" s="25"/>
      <c r="CC90" s="43" t="str">
        <f ca="1">IFERROR(MATCH(INDIRECT("$CB$90"),'1.Locations'!$B$2:$B$97, 0) - 1," ")</f>
        <v xml:space="preserve"> </v>
      </c>
      <c r="CD90" s="43" t="e">
        <f ca="1">IFERROR(IF(ISNUMBER($CC$90),INDEX('1.Locations'!$D$2:$D$97,$CC$90 + 1),NA()),NA())</f>
        <v>#N/A</v>
      </c>
      <c r="CE90" s="43" t="e">
        <f ca="1">IFERROR(IF(ISNUMBER($CC$90),INDEX('1.Locations'!$E$2:$E$97,$CC$90 + 1),NA()),NA())</f>
        <v>#N/A</v>
      </c>
      <c r="CF90" s="44" t="str">
        <f ca="1">IFERROR(IF(AND(ISNUMBER($CC$90),$CC$90&lt;=95),INDEX('2.Distances'!$C$2:$C$9218,$CC$89*96+$CC$90+ 1) +$CF$89," ")," ")</f>
        <v xml:space="preserve"> </v>
      </c>
      <c r="CG90" s="43" t="str">
        <f ca="1">IFERROR(IF(ISNUMBER($CC$90),INDEX('1.Locations'!$J$2:$J$97,$CC$90 + 1) +$CG$89," ")," ")</f>
        <v xml:space="preserve"> </v>
      </c>
      <c r="CH90" s="43" t="str">
        <f ca="1">IFERROR(IF(ISNUMBER($CC$90),INDEX('1.Locations'!$K$2:$K$97,$CC$90 + 1) +$CH$89," ")," ")</f>
        <v xml:space="preserve"> </v>
      </c>
      <c r="CI90" s="45" t="str">
        <f ca="1">IFERROR(IF(AND(ISNUMBER($CC$90),$CC$90&lt;=95),INDEX('2.Distances'!$D$2:$D$9218,$CC$89*96+$CC$90+ 1) +$CI$89," ")," ")</f>
        <v xml:space="preserve"> </v>
      </c>
      <c r="CJ90" s="46" t="str">
        <f ca="1">IFERROR(IF(AND(ISNUMBER($CC$90),$CC$90&lt;=95),INDEX('2.Distances'!$D$2:$D$9218,$CC$89*96+$CC$90+ 1) +$CK$89," ")," ")</f>
        <v xml:space="preserve"> </v>
      </c>
      <c r="CK90" s="46" t="str">
        <f ca="1">IFERROR(IF(ISNUMBER($CJ$90),INDEX('1.Locations'!$I$2:$I$97,$CC$90 + 1) + MAX($CJ$90,INDEX('1.Locations'!$F$2:$F$97,$CC$90 + 1))," ")," ")</f>
        <v xml:space="preserve"> </v>
      </c>
      <c r="CL90" s="45" t="str">
        <f ca="1">IFERROR($CL$89 + INDEX('2.Distances'!$D$2:$D$9218,$CC$89*96+$CC$90+ 1) + INDEX('1.Locations'!$I$2:$I$97,$CC$90 + 1)," ")</f>
        <v xml:space="preserve"> </v>
      </c>
    </row>
    <row r="91" spans="1:90" x14ac:dyDescent="0.25">
      <c r="A91" s="24">
        <v>86</v>
      </c>
      <c r="B91" s="25"/>
      <c r="C91" s="43" t="str">
        <f ca="1">IFERROR(MATCH(INDIRECT("$B$91"),'1.Locations'!$B$2:$B$97, 0) - 1," ")</f>
        <v xml:space="preserve"> </v>
      </c>
      <c r="D91" s="43" t="e">
        <f ca="1">IFERROR(IF(ISNUMBER($C$91),INDEX('1.Locations'!$D$2:$D$97,$C$91 + 1),NA()),NA())</f>
        <v>#N/A</v>
      </c>
      <c r="E91" s="43" t="e">
        <f ca="1">IFERROR(IF(ISNUMBER($C$91),INDEX('1.Locations'!$E$2:$E$97,$C$91 + 1),NA()),NA())</f>
        <v>#N/A</v>
      </c>
      <c r="F91" s="44" t="str">
        <f ca="1">IFERROR(IF(AND(ISNUMBER($C$91),$C$91&lt;=95),INDEX('2.Distances'!$C$2:$C$9218,$C$90*96+$C$91+ 1) +$F$90," ")," ")</f>
        <v xml:space="preserve"> </v>
      </c>
      <c r="G91" s="43" t="str">
        <f ca="1">IFERROR(IF(ISNUMBER($C$91),INDEX('1.Locations'!$J$2:$J$97,$C$91 + 1) +$G$90," ")," ")</f>
        <v xml:space="preserve"> </v>
      </c>
      <c r="H91" s="43" t="str">
        <f ca="1">IFERROR(IF(ISNUMBER($C$91),INDEX('1.Locations'!$K$2:$K$97,$C$91 + 1) +$H$90," ")," ")</f>
        <v xml:space="preserve"> </v>
      </c>
      <c r="I91" s="45" t="str">
        <f ca="1">IFERROR(IF(AND(ISNUMBER($C$91),$C$91&lt;=95),INDEX('2.Distances'!$D$2:$D$9218,$C$90*96+$C$91+ 1) +$I$90," ")," ")</f>
        <v xml:space="preserve"> </v>
      </c>
      <c r="J91" s="46" t="str">
        <f ca="1">IFERROR(IF(AND(ISNUMBER($C$91),$C$91&lt;=95),INDEX('2.Distances'!$D$2:$D$9218,$C$90*96+$C$91+ 1) +$K$90," ")," ")</f>
        <v xml:space="preserve"> </v>
      </c>
      <c r="K91" s="46" t="str">
        <f ca="1">IFERROR(IF(ISNUMBER($J$91),INDEX('1.Locations'!$I$2:$I$97,$C$91 + 1) + MAX($J$91,INDEX('1.Locations'!$F$2:$F$97,$C$91 + 1))," ")," ")</f>
        <v xml:space="preserve"> </v>
      </c>
      <c r="L91" s="45" t="str">
        <f ca="1">IFERROR($L$90 + INDEX('2.Distances'!$D$2:$D$9218,$C$90*96+$C$91+ 1) + INDEX('1.Locations'!$I$2:$I$97,$C$91 + 1)," ")</f>
        <v xml:space="preserve"> </v>
      </c>
      <c r="N91" s="24">
        <v>86</v>
      </c>
      <c r="O91" s="25"/>
      <c r="P91" s="43" t="str">
        <f ca="1">IFERROR(MATCH(INDIRECT("$O$91"),'1.Locations'!$B$2:$B$97, 0) - 1," ")</f>
        <v xml:space="preserve"> </v>
      </c>
      <c r="Q91" s="43" t="e">
        <f ca="1">IFERROR(IF(ISNUMBER($P$91),INDEX('1.Locations'!$D$2:$D$97,$P$91 + 1),NA()),NA())</f>
        <v>#N/A</v>
      </c>
      <c r="R91" s="43" t="e">
        <f ca="1">IFERROR(IF(ISNUMBER($P$91),INDEX('1.Locations'!$E$2:$E$97,$P$91 + 1),NA()),NA())</f>
        <v>#N/A</v>
      </c>
      <c r="S91" s="44" t="str">
        <f ca="1">IFERROR(IF(AND(ISNUMBER($P$91),$P$91&lt;=95),INDEX('2.Distances'!$C$2:$C$9218,$P$90*96+$P$91+ 1) +$S$90," ")," ")</f>
        <v xml:space="preserve"> </v>
      </c>
      <c r="T91" s="43" t="str">
        <f ca="1">IFERROR(IF(ISNUMBER($P$91),INDEX('1.Locations'!$J$2:$J$97,$P$91 + 1) +$T$90," ")," ")</f>
        <v xml:space="preserve"> </v>
      </c>
      <c r="U91" s="43" t="str">
        <f ca="1">IFERROR(IF(ISNUMBER($P$91),INDEX('1.Locations'!$K$2:$K$97,$P$91 + 1) +$U$90," ")," ")</f>
        <v xml:space="preserve"> </v>
      </c>
      <c r="V91" s="45" t="str">
        <f ca="1">IFERROR(IF(AND(ISNUMBER($P$91),$P$91&lt;=95),INDEX('2.Distances'!$D$2:$D$9218,$P$90*96+$P$91+ 1) +$V$90," ")," ")</f>
        <v xml:space="preserve"> </v>
      </c>
      <c r="W91" s="46" t="str">
        <f ca="1">IFERROR(IF(AND(ISNUMBER($P$91),$P$91&lt;=95),INDEX('2.Distances'!$D$2:$D$9218,$P$90*96+$P$91+ 1) +$X$90," ")," ")</f>
        <v xml:space="preserve"> </v>
      </c>
      <c r="X91" s="46" t="str">
        <f ca="1">IFERROR(IF(ISNUMBER($W$91),INDEX('1.Locations'!$I$2:$I$97,$P$91 + 1) + MAX($W$91,INDEX('1.Locations'!$F$2:$F$97,$P$91 + 1))," ")," ")</f>
        <v xml:space="preserve"> </v>
      </c>
      <c r="Y91" s="45" t="str">
        <f ca="1">IFERROR($Y$90 + INDEX('2.Distances'!$D$2:$D$9218,$P$90*96+$P$91+ 1) + INDEX('1.Locations'!$I$2:$I$97,$P$91 + 1)," ")</f>
        <v xml:space="preserve"> </v>
      </c>
      <c r="AA91" s="24">
        <v>86</v>
      </c>
      <c r="AB91" s="25"/>
      <c r="AC91" s="43" t="str">
        <f ca="1">IFERROR(MATCH(INDIRECT("$AB$91"),'1.Locations'!$B$2:$B$97, 0) - 1," ")</f>
        <v xml:space="preserve"> </v>
      </c>
      <c r="AD91" s="43" t="e">
        <f ca="1">IFERROR(IF(ISNUMBER($AC$91),INDEX('1.Locations'!$D$2:$D$97,$AC$91 + 1),NA()),NA())</f>
        <v>#N/A</v>
      </c>
      <c r="AE91" s="43" t="e">
        <f ca="1">IFERROR(IF(ISNUMBER($AC$91),INDEX('1.Locations'!$E$2:$E$97,$AC$91 + 1),NA()),NA())</f>
        <v>#N/A</v>
      </c>
      <c r="AF91" s="44" t="str">
        <f ca="1">IFERROR(IF(AND(ISNUMBER($AC$91),$AC$91&lt;=95),INDEX('2.Distances'!$C$2:$C$9218,$AC$90*96+$AC$91+ 1) +$AF$90," ")," ")</f>
        <v xml:space="preserve"> </v>
      </c>
      <c r="AG91" s="43" t="str">
        <f ca="1">IFERROR(IF(ISNUMBER($AC$91),INDEX('1.Locations'!$J$2:$J$97,$AC$91 + 1) +$AG$90," ")," ")</f>
        <v xml:space="preserve"> </v>
      </c>
      <c r="AH91" s="43" t="str">
        <f ca="1">IFERROR(IF(ISNUMBER($AC$91),INDEX('1.Locations'!$K$2:$K$97,$AC$91 + 1) +$AH$90," ")," ")</f>
        <v xml:space="preserve"> </v>
      </c>
      <c r="AI91" s="45" t="str">
        <f ca="1">IFERROR(IF(AND(ISNUMBER($AC$91),$AC$91&lt;=95),INDEX('2.Distances'!$D$2:$D$9218,$AC$90*96+$AC$91+ 1) +$AI$90," ")," ")</f>
        <v xml:space="preserve"> </v>
      </c>
      <c r="AJ91" s="46" t="str">
        <f ca="1">IFERROR(IF(AND(ISNUMBER($AC$91),$AC$91&lt;=95),INDEX('2.Distances'!$D$2:$D$9218,$AC$90*96+$AC$91+ 1) +$AK$90," ")," ")</f>
        <v xml:space="preserve"> </v>
      </c>
      <c r="AK91" s="46" t="str">
        <f ca="1">IFERROR(IF(ISNUMBER($AJ$91),INDEX('1.Locations'!$I$2:$I$97,$AC$91 + 1) + MAX($AJ$91,INDEX('1.Locations'!$F$2:$F$97,$AC$91 + 1))," ")," ")</f>
        <v xml:space="preserve"> </v>
      </c>
      <c r="AL91" s="45" t="str">
        <f ca="1">IFERROR($AL$90 + INDEX('2.Distances'!$D$2:$D$9218,$AC$90*96+$AC$91+ 1) + INDEX('1.Locations'!$I$2:$I$97,$AC$91 + 1)," ")</f>
        <v xml:space="preserve"> </v>
      </c>
      <c r="AN91" s="24">
        <v>86</v>
      </c>
      <c r="AO91" s="25"/>
      <c r="AP91" s="43" t="str">
        <f ca="1">IFERROR(MATCH(INDIRECT("$AO$91"),'1.Locations'!$B$2:$B$97, 0) - 1," ")</f>
        <v xml:space="preserve"> </v>
      </c>
      <c r="AQ91" s="43" t="e">
        <f ca="1">IFERROR(IF(ISNUMBER($AP$91),INDEX('1.Locations'!$D$2:$D$97,$AP$91 + 1),NA()),NA())</f>
        <v>#N/A</v>
      </c>
      <c r="AR91" s="43" t="e">
        <f ca="1">IFERROR(IF(ISNUMBER($AP$91),INDEX('1.Locations'!$E$2:$E$97,$AP$91 + 1),NA()),NA())</f>
        <v>#N/A</v>
      </c>
      <c r="AS91" s="44" t="str">
        <f ca="1">IFERROR(IF(AND(ISNUMBER($AP$91),$AP$91&lt;=95),INDEX('2.Distances'!$C$2:$C$9218,$AP$90*96+$AP$91+ 1) +$AS$90," ")," ")</f>
        <v xml:space="preserve"> </v>
      </c>
      <c r="AT91" s="43" t="str">
        <f ca="1">IFERROR(IF(ISNUMBER($AP$91),INDEX('1.Locations'!$J$2:$J$97,$AP$91 + 1) +$AT$90," ")," ")</f>
        <v xml:space="preserve"> </v>
      </c>
      <c r="AU91" s="43" t="str">
        <f ca="1">IFERROR(IF(ISNUMBER($AP$91),INDEX('1.Locations'!$K$2:$K$97,$AP$91 + 1) +$AU$90," ")," ")</f>
        <v xml:space="preserve"> </v>
      </c>
      <c r="AV91" s="45" t="str">
        <f ca="1">IFERROR(IF(AND(ISNUMBER($AP$91),$AP$91&lt;=95),INDEX('2.Distances'!$D$2:$D$9218,$AP$90*96+$AP$91+ 1) +$AV$90," ")," ")</f>
        <v xml:space="preserve"> </v>
      </c>
      <c r="AW91" s="46" t="str">
        <f ca="1">IFERROR(IF(AND(ISNUMBER($AP$91),$AP$91&lt;=95),INDEX('2.Distances'!$D$2:$D$9218,$AP$90*96+$AP$91+ 1) +$AX$90," ")," ")</f>
        <v xml:space="preserve"> </v>
      </c>
      <c r="AX91" s="46" t="str">
        <f ca="1">IFERROR(IF(ISNUMBER($AW$91),INDEX('1.Locations'!$I$2:$I$97,$AP$91 + 1) + MAX($AW$91,INDEX('1.Locations'!$F$2:$F$97,$AP$91 + 1))," ")," ")</f>
        <v xml:space="preserve"> </v>
      </c>
      <c r="AY91" s="45" t="str">
        <f ca="1">IFERROR($AY$90 + INDEX('2.Distances'!$D$2:$D$9218,$AP$90*96+$AP$91+ 1) + INDEX('1.Locations'!$I$2:$I$97,$AP$91 + 1)," ")</f>
        <v xml:space="preserve"> </v>
      </c>
      <c r="BA91" s="24">
        <v>86</v>
      </c>
      <c r="BB91" s="25"/>
      <c r="BC91" s="43" t="str">
        <f ca="1">IFERROR(MATCH(INDIRECT("$BB$91"),'1.Locations'!$B$2:$B$97, 0) - 1," ")</f>
        <v xml:space="preserve"> </v>
      </c>
      <c r="BD91" s="43" t="e">
        <f ca="1">IFERROR(IF(ISNUMBER($BC$91),INDEX('1.Locations'!$D$2:$D$97,$BC$91 + 1),NA()),NA())</f>
        <v>#N/A</v>
      </c>
      <c r="BE91" s="43" t="e">
        <f ca="1">IFERROR(IF(ISNUMBER($BC$91),INDEX('1.Locations'!$E$2:$E$97,$BC$91 + 1),NA()),NA())</f>
        <v>#N/A</v>
      </c>
      <c r="BF91" s="44" t="str">
        <f ca="1">IFERROR(IF(AND(ISNUMBER($BC$91),$BC$91&lt;=95),INDEX('2.Distances'!$C$2:$C$9218,$BC$90*96+$BC$91+ 1) +$BF$90," ")," ")</f>
        <v xml:space="preserve"> </v>
      </c>
      <c r="BG91" s="43" t="str">
        <f ca="1">IFERROR(IF(ISNUMBER($BC$91),INDEX('1.Locations'!$J$2:$J$97,$BC$91 + 1) +$BG$90," ")," ")</f>
        <v xml:space="preserve"> </v>
      </c>
      <c r="BH91" s="43" t="str">
        <f ca="1">IFERROR(IF(ISNUMBER($BC$91),INDEX('1.Locations'!$K$2:$K$97,$BC$91 + 1) +$BH$90," ")," ")</f>
        <v xml:space="preserve"> </v>
      </c>
      <c r="BI91" s="45" t="str">
        <f ca="1">IFERROR(IF(AND(ISNUMBER($BC$91),$BC$91&lt;=95),INDEX('2.Distances'!$D$2:$D$9218,$BC$90*96+$BC$91+ 1) +$BI$90," ")," ")</f>
        <v xml:space="preserve"> </v>
      </c>
      <c r="BJ91" s="46" t="str">
        <f ca="1">IFERROR(IF(AND(ISNUMBER($BC$91),$BC$91&lt;=95),INDEX('2.Distances'!$D$2:$D$9218,$BC$90*96+$BC$91+ 1) +$BK$90," ")," ")</f>
        <v xml:space="preserve"> </v>
      </c>
      <c r="BK91" s="46" t="str">
        <f ca="1">IFERROR(IF(ISNUMBER($BJ$91),INDEX('1.Locations'!$I$2:$I$97,$BC$91 + 1) + MAX($BJ$91,INDEX('1.Locations'!$F$2:$F$97,$BC$91 + 1))," ")," ")</f>
        <v xml:space="preserve"> </v>
      </c>
      <c r="BL91" s="45" t="str">
        <f ca="1">IFERROR($BL$90 + INDEX('2.Distances'!$D$2:$D$9218,$BC$90*96+$BC$91+ 1) + INDEX('1.Locations'!$I$2:$I$97,$BC$91 + 1)," ")</f>
        <v xml:space="preserve"> </v>
      </c>
      <c r="BN91" s="24">
        <v>86</v>
      </c>
      <c r="BO91" s="25"/>
      <c r="BP91" s="43" t="str">
        <f ca="1">IFERROR(MATCH(INDIRECT("$BO$91"),'1.Locations'!$B$2:$B$97, 0) - 1," ")</f>
        <v xml:space="preserve"> </v>
      </c>
      <c r="BQ91" s="43" t="e">
        <f ca="1">IFERROR(IF(ISNUMBER($BP$91),INDEX('1.Locations'!$D$2:$D$97,$BP$91 + 1),NA()),NA())</f>
        <v>#N/A</v>
      </c>
      <c r="BR91" s="43" t="e">
        <f ca="1">IFERROR(IF(ISNUMBER($BP$91),INDEX('1.Locations'!$E$2:$E$97,$BP$91 + 1),NA()),NA())</f>
        <v>#N/A</v>
      </c>
      <c r="BS91" s="44" t="str">
        <f ca="1">IFERROR(IF(AND(ISNUMBER($BP$91),$BP$91&lt;=95),INDEX('2.Distances'!$C$2:$C$9218,$BP$90*96+$BP$91+ 1) +$BS$90," ")," ")</f>
        <v xml:space="preserve"> </v>
      </c>
      <c r="BT91" s="43" t="str">
        <f ca="1">IFERROR(IF(ISNUMBER($BP$91),INDEX('1.Locations'!$J$2:$J$97,$BP$91 + 1) +$BT$90," ")," ")</f>
        <v xml:space="preserve"> </v>
      </c>
      <c r="BU91" s="43" t="str">
        <f ca="1">IFERROR(IF(ISNUMBER($BP$91),INDEX('1.Locations'!$K$2:$K$97,$BP$91 + 1) +$BU$90," ")," ")</f>
        <v xml:space="preserve"> </v>
      </c>
      <c r="BV91" s="45" t="str">
        <f ca="1">IFERROR(IF(AND(ISNUMBER($BP$91),$BP$91&lt;=95),INDEX('2.Distances'!$D$2:$D$9218,$BP$90*96+$BP$91+ 1) +$BV$90," ")," ")</f>
        <v xml:space="preserve"> </v>
      </c>
      <c r="BW91" s="46" t="str">
        <f ca="1">IFERROR(IF(AND(ISNUMBER($BP$91),$BP$91&lt;=95),INDEX('2.Distances'!$D$2:$D$9218,$BP$90*96+$BP$91+ 1) +$BX$90," ")," ")</f>
        <v xml:space="preserve"> </v>
      </c>
      <c r="BX91" s="46" t="str">
        <f ca="1">IFERROR(IF(ISNUMBER($BW$91),INDEX('1.Locations'!$I$2:$I$97,$BP$91 + 1) + MAX($BW$91,INDEX('1.Locations'!$F$2:$F$97,$BP$91 + 1))," ")," ")</f>
        <v xml:space="preserve"> </v>
      </c>
      <c r="BY91" s="45" t="str">
        <f ca="1">IFERROR($BY$90 + INDEX('2.Distances'!$D$2:$D$9218,$BP$90*96+$BP$91+ 1) + INDEX('1.Locations'!$I$2:$I$97,$BP$91 + 1)," ")</f>
        <v xml:space="preserve"> </v>
      </c>
      <c r="CA91" s="24">
        <v>86</v>
      </c>
      <c r="CB91" s="25"/>
      <c r="CC91" s="43" t="str">
        <f ca="1">IFERROR(MATCH(INDIRECT("$CB$91"),'1.Locations'!$B$2:$B$97, 0) - 1," ")</f>
        <v xml:space="preserve"> </v>
      </c>
      <c r="CD91" s="43" t="e">
        <f ca="1">IFERROR(IF(ISNUMBER($CC$91),INDEX('1.Locations'!$D$2:$D$97,$CC$91 + 1),NA()),NA())</f>
        <v>#N/A</v>
      </c>
      <c r="CE91" s="43" t="e">
        <f ca="1">IFERROR(IF(ISNUMBER($CC$91),INDEX('1.Locations'!$E$2:$E$97,$CC$91 + 1),NA()),NA())</f>
        <v>#N/A</v>
      </c>
      <c r="CF91" s="44" t="str">
        <f ca="1">IFERROR(IF(AND(ISNUMBER($CC$91),$CC$91&lt;=95),INDEX('2.Distances'!$C$2:$C$9218,$CC$90*96+$CC$91+ 1) +$CF$90," ")," ")</f>
        <v xml:space="preserve"> </v>
      </c>
      <c r="CG91" s="43" t="str">
        <f ca="1">IFERROR(IF(ISNUMBER($CC$91),INDEX('1.Locations'!$J$2:$J$97,$CC$91 + 1) +$CG$90," ")," ")</f>
        <v xml:space="preserve"> </v>
      </c>
      <c r="CH91" s="43" t="str">
        <f ca="1">IFERROR(IF(ISNUMBER($CC$91),INDEX('1.Locations'!$K$2:$K$97,$CC$91 + 1) +$CH$90," ")," ")</f>
        <v xml:space="preserve"> </v>
      </c>
      <c r="CI91" s="45" t="str">
        <f ca="1">IFERROR(IF(AND(ISNUMBER($CC$91),$CC$91&lt;=95),INDEX('2.Distances'!$D$2:$D$9218,$CC$90*96+$CC$91+ 1) +$CI$90," ")," ")</f>
        <v xml:space="preserve"> </v>
      </c>
      <c r="CJ91" s="46" t="str">
        <f ca="1">IFERROR(IF(AND(ISNUMBER($CC$91),$CC$91&lt;=95),INDEX('2.Distances'!$D$2:$D$9218,$CC$90*96+$CC$91+ 1) +$CK$90," ")," ")</f>
        <v xml:space="preserve"> </v>
      </c>
      <c r="CK91" s="46" t="str">
        <f ca="1">IFERROR(IF(ISNUMBER($CJ$91),INDEX('1.Locations'!$I$2:$I$97,$CC$91 + 1) + MAX($CJ$91,INDEX('1.Locations'!$F$2:$F$97,$CC$91 + 1))," ")," ")</f>
        <v xml:space="preserve"> </v>
      </c>
      <c r="CL91" s="45" t="str">
        <f ca="1">IFERROR($CL$90 + INDEX('2.Distances'!$D$2:$D$9218,$CC$90*96+$CC$91+ 1) + INDEX('1.Locations'!$I$2:$I$97,$CC$91 + 1)," ")</f>
        <v xml:space="preserve"> </v>
      </c>
    </row>
    <row r="92" spans="1:90" x14ac:dyDescent="0.25">
      <c r="A92" s="24">
        <v>87</v>
      </c>
      <c r="B92" s="25"/>
      <c r="C92" s="43" t="str">
        <f ca="1">IFERROR(MATCH(INDIRECT("$B$92"),'1.Locations'!$B$2:$B$97, 0) - 1," ")</f>
        <v xml:space="preserve"> </v>
      </c>
      <c r="D92" s="43" t="e">
        <f ca="1">IFERROR(IF(ISNUMBER($C$92),INDEX('1.Locations'!$D$2:$D$97,$C$92 + 1),NA()),NA())</f>
        <v>#N/A</v>
      </c>
      <c r="E92" s="43" t="e">
        <f ca="1">IFERROR(IF(ISNUMBER($C$92),INDEX('1.Locations'!$E$2:$E$97,$C$92 + 1),NA()),NA())</f>
        <v>#N/A</v>
      </c>
      <c r="F92" s="44" t="str">
        <f ca="1">IFERROR(IF(AND(ISNUMBER($C$92),$C$92&lt;=95),INDEX('2.Distances'!$C$2:$C$9218,$C$91*96+$C$92+ 1) +$F$91," ")," ")</f>
        <v xml:space="preserve"> </v>
      </c>
      <c r="G92" s="43" t="str">
        <f ca="1">IFERROR(IF(ISNUMBER($C$92),INDEX('1.Locations'!$J$2:$J$97,$C$92 + 1) +$G$91," ")," ")</f>
        <v xml:space="preserve"> </v>
      </c>
      <c r="H92" s="43" t="str">
        <f ca="1">IFERROR(IF(ISNUMBER($C$92),INDEX('1.Locations'!$K$2:$K$97,$C$92 + 1) +$H$91," ")," ")</f>
        <v xml:space="preserve"> </v>
      </c>
      <c r="I92" s="45" t="str">
        <f ca="1">IFERROR(IF(AND(ISNUMBER($C$92),$C$92&lt;=95),INDEX('2.Distances'!$D$2:$D$9218,$C$91*96+$C$92+ 1) +$I$91," ")," ")</f>
        <v xml:space="preserve"> </v>
      </c>
      <c r="J92" s="46" t="str">
        <f ca="1">IFERROR(IF(AND(ISNUMBER($C$92),$C$92&lt;=95),INDEX('2.Distances'!$D$2:$D$9218,$C$91*96+$C$92+ 1) +$K$91," ")," ")</f>
        <v xml:space="preserve"> </v>
      </c>
      <c r="K92" s="46" t="str">
        <f ca="1">IFERROR(IF(ISNUMBER($J$92),INDEX('1.Locations'!$I$2:$I$97,$C$92 + 1) + MAX($J$92,INDEX('1.Locations'!$F$2:$F$97,$C$92 + 1))," ")," ")</f>
        <v xml:space="preserve"> </v>
      </c>
      <c r="L92" s="45" t="str">
        <f ca="1">IFERROR($L$91 + INDEX('2.Distances'!$D$2:$D$9218,$C$91*96+$C$92+ 1) + INDEX('1.Locations'!$I$2:$I$97,$C$92 + 1)," ")</f>
        <v xml:space="preserve"> </v>
      </c>
      <c r="N92" s="24">
        <v>87</v>
      </c>
      <c r="O92" s="25"/>
      <c r="P92" s="43" t="str">
        <f ca="1">IFERROR(MATCH(INDIRECT("$O$92"),'1.Locations'!$B$2:$B$97, 0) - 1," ")</f>
        <v xml:space="preserve"> </v>
      </c>
      <c r="Q92" s="43" t="e">
        <f ca="1">IFERROR(IF(ISNUMBER($P$92),INDEX('1.Locations'!$D$2:$D$97,$P$92 + 1),NA()),NA())</f>
        <v>#N/A</v>
      </c>
      <c r="R92" s="43" t="e">
        <f ca="1">IFERROR(IF(ISNUMBER($P$92),INDEX('1.Locations'!$E$2:$E$97,$P$92 + 1),NA()),NA())</f>
        <v>#N/A</v>
      </c>
      <c r="S92" s="44" t="str">
        <f ca="1">IFERROR(IF(AND(ISNUMBER($P$92),$P$92&lt;=95),INDEX('2.Distances'!$C$2:$C$9218,$P$91*96+$P$92+ 1) +$S$91," ")," ")</f>
        <v xml:space="preserve"> </v>
      </c>
      <c r="T92" s="43" t="str">
        <f ca="1">IFERROR(IF(ISNUMBER($P$92),INDEX('1.Locations'!$J$2:$J$97,$P$92 + 1) +$T$91," ")," ")</f>
        <v xml:space="preserve"> </v>
      </c>
      <c r="U92" s="43" t="str">
        <f ca="1">IFERROR(IF(ISNUMBER($P$92),INDEX('1.Locations'!$K$2:$K$97,$P$92 + 1) +$U$91," ")," ")</f>
        <v xml:space="preserve"> </v>
      </c>
      <c r="V92" s="45" t="str">
        <f ca="1">IFERROR(IF(AND(ISNUMBER($P$92),$P$92&lt;=95),INDEX('2.Distances'!$D$2:$D$9218,$P$91*96+$P$92+ 1) +$V$91," ")," ")</f>
        <v xml:space="preserve"> </v>
      </c>
      <c r="W92" s="46" t="str">
        <f ca="1">IFERROR(IF(AND(ISNUMBER($P$92),$P$92&lt;=95),INDEX('2.Distances'!$D$2:$D$9218,$P$91*96+$P$92+ 1) +$X$91," ")," ")</f>
        <v xml:space="preserve"> </v>
      </c>
      <c r="X92" s="46" t="str">
        <f ca="1">IFERROR(IF(ISNUMBER($W$92),INDEX('1.Locations'!$I$2:$I$97,$P$92 + 1) + MAX($W$92,INDEX('1.Locations'!$F$2:$F$97,$P$92 + 1))," ")," ")</f>
        <v xml:space="preserve"> </v>
      </c>
      <c r="Y92" s="45" t="str">
        <f ca="1">IFERROR($Y$91 + INDEX('2.Distances'!$D$2:$D$9218,$P$91*96+$P$92+ 1) + INDEX('1.Locations'!$I$2:$I$97,$P$92 + 1)," ")</f>
        <v xml:space="preserve"> </v>
      </c>
      <c r="AA92" s="24">
        <v>87</v>
      </c>
      <c r="AB92" s="25"/>
      <c r="AC92" s="43" t="str">
        <f ca="1">IFERROR(MATCH(INDIRECT("$AB$92"),'1.Locations'!$B$2:$B$97, 0) - 1," ")</f>
        <v xml:space="preserve"> </v>
      </c>
      <c r="AD92" s="43" t="e">
        <f ca="1">IFERROR(IF(ISNUMBER($AC$92),INDEX('1.Locations'!$D$2:$D$97,$AC$92 + 1),NA()),NA())</f>
        <v>#N/A</v>
      </c>
      <c r="AE92" s="43" t="e">
        <f ca="1">IFERROR(IF(ISNUMBER($AC$92),INDEX('1.Locations'!$E$2:$E$97,$AC$92 + 1),NA()),NA())</f>
        <v>#N/A</v>
      </c>
      <c r="AF92" s="44" t="str">
        <f ca="1">IFERROR(IF(AND(ISNUMBER($AC$92),$AC$92&lt;=95),INDEX('2.Distances'!$C$2:$C$9218,$AC$91*96+$AC$92+ 1) +$AF$91," ")," ")</f>
        <v xml:space="preserve"> </v>
      </c>
      <c r="AG92" s="43" t="str">
        <f ca="1">IFERROR(IF(ISNUMBER($AC$92),INDEX('1.Locations'!$J$2:$J$97,$AC$92 + 1) +$AG$91," ")," ")</f>
        <v xml:space="preserve"> </v>
      </c>
      <c r="AH92" s="43" t="str">
        <f ca="1">IFERROR(IF(ISNUMBER($AC$92),INDEX('1.Locations'!$K$2:$K$97,$AC$92 + 1) +$AH$91," ")," ")</f>
        <v xml:space="preserve"> </v>
      </c>
      <c r="AI92" s="45" t="str">
        <f ca="1">IFERROR(IF(AND(ISNUMBER($AC$92),$AC$92&lt;=95),INDEX('2.Distances'!$D$2:$D$9218,$AC$91*96+$AC$92+ 1) +$AI$91," ")," ")</f>
        <v xml:space="preserve"> </v>
      </c>
      <c r="AJ92" s="46" t="str">
        <f ca="1">IFERROR(IF(AND(ISNUMBER($AC$92),$AC$92&lt;=95),INDEX('2.Distances'!$D$2:$D$9218,$AC$91*96+$AC$92+ 1) +$AK$91," ")," ")</f>
        <v xml:space="preserve"> </v>
      </c>
      <c r="AK92" s="46" t="str">
        <f ca="1">IFERROR(IF(ISNUMBER($AJ$92),INDEX('1.Locations'!$I$2:$I$97,$AC$92 + 1) + MAX($AJ$92,INDEX('1.Locations'!$F$2:$F$97,$AC$92 + 1))," ")," ")</f>
        <v xml:space="preserve"> </v>
      </c>
      <c r="AL92" s="45" t="str">
        <f ca="1">IFERROR($AL$91 + INDEX('2.Distances'!$D$2:$D$9218,$AC$91*96+$AC$92+ 1) + INDEX('1.Locations'!$I$2:$I$97,$AC$92 + 1)," ")</f>
        <v xml:space="preserve"> </v>
      </c>
      <c r="AN92" s="24">
        <v>87</v>
      </c>
      <c r="AO92" s="25"/>
      <c r="AP92" s="43" t="str">
        <f ca="1">IFERROR(MATCH(INDIRECT("$AO$92"),'1.Locations'!$B$2:$B$97, 0) - 1," ")</f>
        <v xml:space="preserve"> </v>
      </c>
      <c r="AQ92" s="43" t="e">
        <f ca="1">IFERROR(IF(ISNUMBER($AP$92),INDEX('1.Locations'!$D$2:$D$97,$AP$92 + 1),NA()),NA())</f>
        <v>#N/A</v>
      </c>
      <c r="AR92" s="43" t="e">
        <f ca="1">IFERROR(IF(ISNUMBER($AP$92),INDEX('1.Locations'!$E$2:$E$97,$AP$92 + 1),NA()),NA())</f>
        <v>#N/A</v>
      </c>
      <c r="AS92" s="44" t="str">
        <f ca="1">IFERROR(IF(AND(ISNUMBER($AP$92),$AP$92&lt;=95),INDEX('2.Distances'!$C$2:$C$9218,$AP$91*96+$AP$92+ 1) +$AS$91," ")," ")</f>
        <v xml:space="preserve"> </v>
      </c>
      <c r="AT92" s="43" t="str">
        <f ca="1">IFERROR(IF(ISNUMBER($AP$92),INDEX('1.Locations'!$J$2:$J$97,$AP$92 + 1) +$AT$91," ")," ")</f>
        <v xml:space="preserve"> </v>
      </c>
      <c r="AU92" s="43" t="str">
        <f ca="1">IFERROR(IF(ISNUMBER($AP$92),INDEX('1.Locations'!$K$2:$K$97,$AP$92 + 1) +$AU$91," ")," ")</f>
        <v xml:space="preserve"> </v>
      </c>
      <c r="AV92" s="45" t="str">
        <f ca="1">IFERROR(IF(AND(ISNUMBER($AP$92),$AP$92&lt;=95),INDEX('2.Distances'!$D$2:$D$9218,$AP$91*96+$AP$92+ 1) +$AV$91," ")," ")</f>
        <v xml:space="preserve"> </v>
      </c>
      <c r="AW92" s="46" t="str">
        <f ca="1">IFERROR(IF(AND(ISNUMBER($AP$92),$AP$92&lt;=95),INDEX('2.Distances'!$D$2:$D$9218,$AP$91*96+$AP$92+ 1) +$AX$91," ")," ")</f>
        <v xml:space="preserve"> </v>
      </c>
      <c r="AX92" s="46" t="str">
        <f ca="1">IFERROR(IF(ISNUMBER($AW$92),INDEX('1.Locations'!$I$2:$I$97,$AP$92 + 1) + MAX($AW$92,INDEX('1.Locations'!$F$2:$F$97,$AP$92 + 1))," ")," ")</f>
        <v xml:space="preserve"> </v>
      </c>
      <c r="AY92" s="45" t="str">
        <f ca="1">IFERROR($AY$91 + INDEX('2.Distances'!$D$2:$D$9218,$AP$91*96+$AP$92+ 1) + INDEX('1.Locations'!$I$2:$I$97,$AP$92 + 1)," ")</f>
        <v xml:space="preserve"> </v>
      </c>
      <c r="BA92" s="24">
        <v>87</v>
      </c>
      <c r="BB92" s="25"/>
      <c r="BC92" s="43" t="str">
        <f ca="1">IFERROR(MATCH(INDIRECT("$BB$92"),'1.Locations'!$B$2:$B$97, 0) - 1," ")</f>
        <v xml:space="preserve"> </v>
      </c>
      <c r="BD92" s="43" t="e">
        <f ca="1">IFERROR(IF(ISNUMBER($BC$92),INDEX('1.Locations'!$D$2:$D$97,$BC$92 + 1),NA()),NA())</f>
        <v>#N/A</v>
      </c>
      <c r="BE92" s="43" t="e">
        <f ca="1">IFERROR(IF(ISNUMBER($BC$92),INDEX('1.Locations'!$E$2:$E$97,$BC$92 + 1),NA()),NA())</f>
        <v>#N/A</v>
      </c>
      <c r="BF92" s="44" t="str">
        <f ca="1">IFERROR(IF(AND(ISNUMBER($BC$92),$BC$92&lt;=95),INDEX('2.Distances'!$C$2:$C$9218,$BC$91*96+$BC$92+ 1) +$BF$91," ")," ")</f>
        <v xml:space="preserve"> </v>
      </c>
      <c r="BG92" s="43" t="str">
        <f ca="1">IFERROR(IF(ISNUMBER($BC$92),INDEX('1.Locations'!$J$2:$J$97,$BC$92 + 1) +$BG$91," ")," ")</f>
        <v xml:space="preserve"> </v>
      </c>
      <c r="BH92" s="43" t="str">
        <f ca="1">IFERROR(IF(ISNUMBER($BC$92),INDEX('1.Locations'!$K$2:$K$97,$BC$92 + 1) +$BH$91," ")," ")</f>
        <v xml:space="preserve"> </v>
      </c>
      <c r="BI92" s="45" t="str">
        <f ca="1">IFERROR(IF(AND(ISNUMBER($BC$92),$BC$92&lt;=95),INDEX('2.Distances'!$D$2:$D$9218,$BC$91*96+$BC$92+ 1) +$BI$91," ")," ")</f>
        <v xml:space="preserve"> </v>
      </c>
      <c r="BJ92" s="46" t="str">
        <f ca="1">IFERROR(IF(AND(ISNUMBER($BC$92),$BC$92&lt;=95),INDEX('2.Distances'!$D$2:$D$9218,$BC$91*96+$BC$92+ 1) +$BK$91," ")," ")</f>
        <v xml:space="preserve"> </v>
      </c>
      <c r="BK92" s="46" t="str">
        <f ca="1">IFERROR(IF(ISNUMBER($BJ$92),INDEX('1.Locations'!$I$2:$I$97,$BC$92 + 1) + MAX($BJ$92,INDEX('1.Locations'!$F$2:$F$97,$BC$92 + 1))," ")," ")</f>
        <v xml:space="preserve"> </v>
      </c>
      <c r="BL92" s="45" t="str">
        <f ca="1">IFERROR($BL$91 + INDEX('2.Distances'!$D$2:$D$9218,$BC$91*96+$BC$92+ 1) + INDEX('1.Locations'!$I$2:$I$97,$BC$92 + 1)," ")</f>
        <v xml:space="preserve"> </v>
      </c>
      <c r="BN92" s="24">
        <v>87</v>
      </c>
      <c r="BO92" s="25"/>
      <c r="BP92" s="43" t="str">
        <f ca="1">IFERROR(MATCH(INDIRECT("$BO$92"),'1.Locations'!$B$2:$B$97, 0) - 1," ")</f>
        <v xml:space="preserve"> </v>
      </c>
      <c r="BQ92" s="43" t="e">
        <f ca="1">IFERROR(IF(ISNUMBER($BP$92),INDEX('1.Locations'!$D$2:$D$97,$BP$92 + 1),NA()),NA())</f>
        <v>#N/A</v>
      </c>
      <c r="BR92" s="43" t="e">
        <f ca="1">IFERROR(IF(ISNUMBER($BP$92),INDEX('1.Locations'!$E$2:$E$97,$BP$92 + 1),NA()),NA())</f>
        <v>#N/A</v>
      </c>
      <c r="BS92" s="44" t="str">
        <f ca="1">IFERROR(IF(AND(ISNUMBER($BP$92),$BP$92&lt;=95),INDEX('2.Distances'!$C$2:$C$9218,$BP$91*96+$BP$92+ 1) +$BS$91," ")," ")</f>
        <v xml:space="preserve"> </v>
      </c>
      <c r="BT92" s="43" t="str">
        <f ca="1">IFERROR(IF(ISNUMBER($BP$92),INDEX('1.Locations'!$J$2:$J$97,$BP$92 + 1) +$BT$91," ")," ")</f>
        <v xml:space="preserve"> </v>
      </c>
      <c r="BU92" s="43" t="str">
        <f ca="1">IFERROR(IF(ISNUMBER($BP$92),INDEX('1.Locations'!$K$2:$K$97,$BP$92 + 1) +$BU$91," ")," ")</f>
        <v xml:space="preserve"> </v>
      </c>
      <c r="BV92" s="45" t="str">
        <f ca="1">IFERROR(IF(AND(ISNUMBER($BP$92),$BP$92&lt;=95),INDEX('2.Distances'!$D$2:$D$9218,$BP$91*96+$BP$92+ 1) +$BV$91," ")," ")</f>
        <v xml:space="preserve"> </v>
      </c>
      <c r="BW92" s="46" t="str">
        <f ca="1">IFERROR(IF(AND(ISNUMBER($BP$92),$BP$92&lt;=95),INDEX('2.Distances'!$D$2:$D$9218,$BP$91*96+$BP$92+ 1) +$BX$91," ")," ")</f>
        <v xml:space="preserve"> </v>
      </c>
      <c r="BX92" s="46" t="str">
        <f ca="1">IFERROR(IF(ISNUMBER($BW$92),INDEX('1.Locations'!$I$2:$I$97,$BP$92 + 1) + MAX($BW$92,INDEX('1.Locations'!$F$2:$F$97,$BP$92 + 1))," ")," ")</f>
        <v xml:space="preserve"> </v>
      </c>
      <c r="BY92" s="45" t="str">
        <f ca="1">IFERROR($BY$91 + INDEX('2.Distances'!$D$2:$D$9218,$BP$91*96+$BP$92+ 1) + INDEX('1.Locations'!$I$2:$I$97,$BP$92 + 1)," ")</f>
        <v xml:space="preserve"> </v>
      </c>
      <c r="CA92" s="24">
        <v>87</v>
      </c>
      <c r="CB92" s="25"/>
      <c r="CC92" s="43" t="str">
        <f ca="1">IFERROR(MATCH(INDIRECT("$CB$92"),'1.Locations'!$B$2:$B$97, 0) - 1," ")</f>
        <v xml:space="preserve"> </v>
      </c>
      <c r="CD92" s="43" t="e">
        <f ca="1">IFERROR(IF(ISNUMBER($CC$92),INDEX('1.Locations'!$D$2:$D$97,$CC$92 + 1),NA()),NA())</f>
        <v>#N/A</v>
      </c>
      <c r="CE92" s="43" t="e">
        <f ca="1">IFERROR(IF(ISNUMBER($CC$92),INDEX('1.Locations'!$E$2:$E$97,$CC$92 + 1),NA()),NA())</f>
        <v>#N/A</v>
      </c>
      <c r="CF92" s="44" t="str">
        <f ca="1">IFERROR(IF(AND(ISNUMBER($CC$92),$CC$92&lt;=95),INDEX('2.Distances'!$C$2:$C$9218,$CC$91*96+$CC$92+ 1) +$CF$91," ")," ")</f>
        <v xml:space="preserve"> </v>
      </c>
      <c r="CG92" s="43" t="str">
        <f ca="1">IFERROR(IF(ISNUMBER($CC$92),INDEX('1.Locations'!$J$2:$J$97,$CC$92 + 1) +$CG$91," ")," ")</f>
        <v xml:space="preserve"> </v>
      </c>
      <c r="CH92" s="43" t="str">
        <f ca="1">IFERROR(IF(ISNUMBER($CC$92),INDEX('1.Locations'!$K$2:$K$97,$CC$92 + 1) +$CH$91," ")," ")</f>
        <v xml:space="preserve"> </v>
      </c>
      <c r="CI92" s="45" t="str">
        <f ca="1">IFERROR(IF(AND(ISNUMBER($CC$92),$CC$92&lt;=95),INDEX('2.Distances'!$D$2:$D$9218,$CC$91*96+$CC$92+ 1) +$CI$91," ")," ")</f>
        <v xml:space="preserve"> </v>
      </c>
      <c r="CJ92" s="46" t="str">
        <f ca="1">IFERROR(IF(AND(ISNUMBER($CC$92),$CC$92&lt;=95),INDEX('2.Distances'!$D$2:$D$9218,$CC$91*96+$CC$92+ 1) +$CK$91," ")," ")</f>
        <v xml:space="preserve"> </v>
      </c>
      <c r="CK92" s="46" t="str">
        <f ca="1">IFERROR(IF(ISNUMBER($CJ$92),INDEX('1.Locations'!$I$2:$I$97,$CC$92 + 1) + MAX($CJ$92,INDEX('1.Locations'!$F$2:$F$97,$CC$92 + 1))," ")," ")</f>
        <v xml:space="preserve"> </v>
      </c>
      <c r="CL92" s="45" t="str">
        <f ca="1">IFERROR($CL$91 + INDEX('2.Distances'!$D$2:$D$9218,$CC$91*96+$CC$92+ 1) + INDEX('1.Locations'!$I$2:$I$97,$CC$92 + 1)," ")</f>
        <v xml:space="preserve"> </v>
      </c>
    </row>
    <row r="93" spans="1:90" x14ac:dyDescent="0.25">
      <c r="A93" s="24">
        <v>88</v>
      </c>
      <c r="B93" s="25"/>
      <c r="C93" s="43" t="str">
        <f ca="1">IFERROR(MATCH(INDIRECT("$B$93"),'1.Locations'!$B$2:$B$97, 0) - 1," ")</f>
        <v xml:space="preserve"> </v>
      </c>
      <c r="D93" s="43" t="e">
        <f ca="1">IFERROR(IF(ISNUMBER($C$93),INDEX('1.Locations'!$D$2:$D$97,$C$93 + 1),NA()),NA())</f>
        <v>#N/A</v>
      </c>
      <c r="E93" s="43" t="e">
        <f ca="1">IFERROR(IF(ISNUMBER($C$93),INDEX('1.Locations'!$E$2:$E$97,$C$93 + 1),NA()),NA())</f>
        <v>#N/A</v>
      </c>
      <c r="F93" s="44" t="str">
        <f ca="1">IFERROR(IF(AND(ISNUMBER($C$93),$C$93&lt;=95),INDEX('2.Distances'!$C$2:$C$9218,$C$92*96+$C$93+ 1) +$F$92," ")," ")</f>
        <v xml:space="preserve"> </v>
      </c>
      <c r="G93" s="43" t="str">
        <f ca="1">IFERROR(IF(ISNUMBER($C$93),INDEX('1.Locations'!$J$2:$J$97,$C$93 + 1) +$G$92," ")," ")</f>
        <v xml:space="preserve"> </v>
      </c>
      <c r="H93" s="43" t="str">
        <f ca="1">IFERROR(IF(ISNUMBER($C$93),INDEX('1.Locations'!$K$2:$K$97,$C$93 + 1) +$H$92," ")," ")</f>
        <v xml:space="preserve"> </v>
      </c>
      <c r="I93" s="45" t="str">
        <f ca="1">IFERROR(IF(AND(ISNUMBER($C$93),$C$93&lt;=95),INDEX('2.Distances'!$D$2:$D$9218,$C$92*96+$C$93+ 1) +$I$92," ")," ")</f>
        <v xml:space="preserve"> </v>
      </c>
      <c r="J93" s="46" t="str">
        <f ca="1">IFERROR(IF(AND(ISNUMBER($C$93),$C$93&lt;=95),INDEX('2.Distances'!$D$2:$D$9218,$C$92*96+$C$93+ 1) +$K$92," ")," ")</f>
        <v xml:space="preserve"> </v>
      </c>
      <c r="K93" s="46" t="str">
        <f ca="1">IFERROR(IF(ISNUMBER($J$93),INDEX('1.Locations'!$I$2:$I$97,$C$93 + 1) + MAX($J$93,INDEX('1.Locations'!$F$2:$F$97,$C$93 + 1))," ")," ")</f>
        <v xml:space="preserve"> </v>
      </c>
      <c r="L93" s="45" t="str">
        <f ca="1">IFERROR($L$92 + INDEX('2.Distances'!$D$2:$D$9218,$C$92*96+$C$93+ 1) + INDEX('1.Locations'!$I$2:$I$97,$C$93 + 1)," ")</f>
        <v xml:space="preserve"> </v>
      </c>
      <c r="N93" s="24">
        <v>88</v>
      </c>
      <c r="O93" s="25"/>
      <c r="P93" s="43" t="str">
        <f ca="1">IFERROR(MATCH(INDIRECT("$O$93"),'1.Locations'!$B$2:$B$97, 0) - 1," ")</f>
        <v xml:space="preserve"> </v>
      </c>
      <c r="Q93" s="43" t="e">
        <f ca="1">IFERROR(IF(ISNUMBER($P$93),INDEX('1.Locations'!$D$2:$D$97,$P$93 + 1),NA()),NA())</f>
        <v>#N/A</v>
      </c>
      <c r="R93" s="43" t="e">
        <f ca="1">IFERROR(IF(ISNUMBER($P$93),INDEX('1.Locations'!$E$2:$E$97,$P$93 + 1),NA()),NA())</f>
        <v>#N/A</v>
      </c>
      <c r="S93" s="44" t="str">
        <f ca="1">IFERROR(IF(AND(ISNUMBER($P$93),$P$93&lt;=95),INDEX('2.Distances'!$C$2:$C$9218,$P$92*96+$P$93+ 1) +$S$92," ")," ")</f>
        <v xml:space="preserve"> </v>
      </c>
      <c r="T93" s="43" t="str">
        <f ca="1">IFERROR(IF(ISNUMBER($P$93),INDEX('1.Locations'!$J$2:$J$97,$P$93 + 1) +$T$92," ")," ")</f>
        <v xml:space="preserve"> </v>
      </c>
      <c r="U93" s="43" t="str">
        <f ca="1">IFERROR(IF(ISNUMBER($P$93),INDEX('1.Locations'!$K$2:$K$97,$P$93 + 1) +$U$92," ")," ")</f>
        <v xml:space="preserve"> </v>
      </c>
      <c r="V93" s="45" t="str">
        <f ca="1">IFERROR(IF(AND(ISNUMBER($P$93),$P$93&lt;=95),INDEX('2.Distances'!$D$2:$D$9218,$P$92*96+$P$93+ 1) +$V$92," ")," ")</f>
        <v xml:space="preserve"> </v>
      </c>
      <c r="W93" s="46" t="str">
        <f ca="1">IFERROR(IF(AND(ISNUMBER($P$93),$P$93&lt;=95),INDEX('2.Distances'!$D$2:$D$9218,$P$92*96+$P$93+ 1) +$X$92," ")," ")</f>
        <v xml:space="preserve"> </v>
      </c>
      <c r="X93" s="46" t="str">
        <f ca="1">IFERROR(IF(ISNUMBER($W$93),INDEX('1.Locations'!$I$2:$I$97,$P$93 + 1) + MAX($W$93,INDEX('1.Locations'!$F$2:$F$97,$P$93 + 1))," ")," ")</f>
        <v xml:space="preserve"> </v>
      </c>
      <c r="Y93" s="45" t="str">
        <f ca="1">IFERROR($Y$92 + INDEX('2.Distances'!$D$2:$D$9218,$P$92*96+$P$93+ 1) + INDEX('1.Locations'!$I$2:$I$97,$P$93 + 1)," ")</f>
        <v xml:space="preserve"> </v>
      </c>
      <c r="AA93" s="24">
        <v>88</v>
      </c>
      <c r="AB93" s="25"/>
      <c r="AC93" s="43" t="str">
        <f ca="1">IFERROR(MATCH(INDIRECT("$AB$93"),'1.Locations'!$B$2:$B$97, 0) - 1," ")</f>
        <v xml:space="preserve"> </v>
      </c>
      <c r="AD93" s="43" t="e">
        <f ca="1">IFERROR(IF(ISNUMBER($AC$93),INDEX('1.Locations'!$D$2:$D$97,$AC$93 + 1),NA()),NA())</f>
        <v>#N/A</v>
      </c>
      <c r="AE93" s="43" t="e">
        <f ca="1">IFERROR(IF(ISNUMBER($AC$93),INDEX('1.Locations'!$E$2:$E$97,$AC$93 + 1),NA()),NA())</f>
        <v>#N/A</v>
      </c>
      <c r="AF93" s="44" t="str">
        <f ca="1">IFERROR(IF(AND(ISNUMBER($AC$93),$AC$93&lt;=95),INDEX('2.Distances'!$C$2:$C$9218,$AC$92*96+$AC$93+ 1) +$AF$92," ")," ")</f>
        <v xml:space="preserve"> </v>
      </c>
      <c r="AG93" s="43" t="str">
        <f ca="1">IFERROR(IF(ISNUMBER($AC$93),INDEX('1.Locations'!$J$2:$J$97,$AC$93 + 1) +$AG$92," ")," ")</f>
        <v xml:space="preserve"> </v>
      </c>
      <c r="AH93" s="43" t="str">
        <f ca="1">IFERROR(IF(ISNUMBER($AC$93),INDEX('1.Locations'!$K$2:$K$97,$AC$93 + 1) +$AH$92," ")," ")</f>
        <v xml:space="preserve"> </v>
      </c>
      <c r="AI93" s="45" t="str">
        <f ca="1">IFERROR(IF(AND(ISNUMBER($AC$93),$AC$93&lt;=95),INDEX('2.Distances'!$D$2:$D$9218,$AC$92*96+$AC$93+ 1) +$AI$92," ")," ")</f>
        <v xml:space="preserve"> </v>
      </c>
      <c r="AJ93" s="46" t="str">
        <f ca="1">IFERROR(IF(AND(ISNUMBER($AC$93),$AC$93&lt;=95),INDEX('2.Distances'!$D$2:$D$9218,$AC$92*96+$AC$93+ 1) +$AK$92," ")," ")</f>
        <v xml:space="preserve"> </v>
      </c>
      <c r="AK93" s="46" t="str">
        <f ca="1">IFERROR(IF(ISNUMBER($AJ$93),INDEX('1.Locations'!$I$2:$I$97,$AC$93 + 1) + MAX($AJ$93,INDEX('1.Locations'!$F$2:$F$97,$AC$93 + 1))," ")," ")</f>
        <v xml:space="preserve"> </v>
      </c>
      <c r="AL93" s="45" t="str">
        <f ca="1">IFERROR($AL$92 + INDEX('2.Distances'!$D$2:$D$9218,$AC$92*96+$AC$93+ 1) + INDEX('1.Locations'!$I$2:$I$97,$AC$93 + 1)," ")</f>
        <v xml:space="preserve"> </v>
      </c>
      <c r="AN93" s="24">
        <v>88</v>
      </c>
      <c r="AO93" s="25"/>
      <c r="AP93" s="43" t="str">
        <f ca="1">IFERROR(MATCH(INDIRECT("$AO$93"),'1.Locations'!$B$2:$B$97, 0) - 1," ")</f>
        <v xml:space="preserve"> </v>
      </c>
      <c r="AQ93" s="43" t="e">
        <f ca="1">IFERROR(IF(ISNUMBER($AP$93),INDEX('1.Locations'!$D$2:$D$97,$AP$93 + 1),NA()),NA())</f>
        <v>#N/A</v>
      </c>
      <c r="AR93" s="43" t="e">
        <f ca="1">IFERROR(IF(ISNUMBER($AP$93),INDEX('1.Locations'!$E$2:$E$97,$AP$93 + 1),NA()),NA())</f>
        <v>#N/A</v>
      </c>
      <c r="AS93" s="44" t="str">
        <f ca="1">IFERROR(IF(AND(ISNUMBER($AP$93),$AP$93&lt;=95),INDEX('2.Distances'!$C$2:$C$9218,$AP$92*96+$AP$93+ 1) +$AS$92," ")," ")</f>
        <v xml:space="preserve"> </v>
      </c>
      <c r="AT93" s="43" t="str">
        <f ca="1">IFERROR(IF(ISNUMBER($AP$93),INDEX('1.Locations'!$J$2:$J$97,$AP$93 + 1) +$AT$92," ")," ")</f>
        <v xml:space="preserve"> </v>
      </c>
      <c r="AU93" s="43" t="str">
        <f ca="1">IFERROR(IF(ISNUMBER($AP$93),INDEX('1.Locations'!$K$2:$K$97,$AP$93 + 1) +$AU$92," ")," ")</f>
        <v xml:space="preserve"> </v>
      </c>
      <c r="AV93" s="45" t="str">
        <f ca="1">IFERROR(IF(AND(ISNUMBER($AP$93),$AP$93&lt;=95),INDEX('2.Distances'!$D$2:$D$9218,$AP$92*96+$AP$93+ 1) +$AV$92," ")," ")</f>
        <v xml:space="preserve"> </v>
      </c>
      <c r="AW93" s="46" t="str">
        <f ca="1">IFERROR(IF(AND(ISNUMBER($AP$93),$AP$93&lt;=95),INDEX('2.Distances'!$D$2:$D$9218,$AP$92*96+$AP$93+ 1) +$AX$92," ")," ")</f>
        <v xml:space="preserve"> </v>
      </c>
      <c r="AX93" s="46" t="str">
        <f ca="1">IFERROR(IF(ISNUMBER($AW$93),INDEX('1.Locations'!$I$2:$I$97,$AP$93 + 1) + MAX($AW$93,INDEX('1.Locations'!$F$2:$F$97,$AP$93 + 1))," ")," ")</f>
        <v xml:space="preserve"> </v>
      </c>
      <c r="AY93" s="45" t="str">
        <f ca="1">IFERROR($AY$92 + INDEX('2.Distances'!$D$2:$D$9218,$AP$92*96+$AP$93+ 1) + INDEX('1.Locations'!$I$2:$I$97,$AP$93 + 1)," ")</f>
        <v xml:space="preserve"> </v>
      </c>
      <c r="BA93" s="24">
        <v>88</v>
      </c>
      <c r="BB93" s="25"/>
      <c r="BC93" s="43" t="str">
        <f ca="1">IFERROR(MATCH(INDIRECT("$BB$93"),'1.Locations'!$B$2:$B$97, 0) - 1," ")</f>
        <v xml:space="preserve"> </v>
      </c>
      <c r="BD93" s="43" t="e">
        <f ca="1">IFERROR(IF(ISNUMBER($BC$93),INDEX('1.Locations'!$D$2:$D$97,$BC$93 + 1),NA()),NA())</f>
        <v>#N/A</v>
      </c>
      <c r="BE93" s="43" t="e">
        <f ca="1">IFERROR(IF(ISNUMBER($BC$93),INDEX('1.Locations'!$E$2:$E$97,$BC$93 + 1),NA()),NA())</f>
        <v>#N/A</v>
      </c>
      <c r="BF93" s="44" t="str">
        <f ca="1">IFERROR(IF(AND(ISNUMBER($BC$93),$BC$93&lt;=95),INDEX('2.Distances'!$C$2:$C$9218,$BC$92*96+$BC$93+ 1) +$BF$92," ")," ")</f>
        <v xml:space="preserve"> </v>
      </c>
      <c r="BG93" s="43" t="str">
        <f ca="1">IFERROR(IF(ISNUMBER($BC$93),INDEX('1.Locations'!$J$2:$J$97,$BC$93 + 1) +$BG$92," ")," ")</f>
        <v xml:space="preserve"> </v>
      </c>
      <c r="BH93" s="43" t="str">
        <f ca="1">IFERROR(IF(ISNUMBER($BC$93),INDEX('1.Locations'!$K$2:$K$97,$BC$93 + 1) +$BH$92," ")," ")</f>
        <v xml:space="preserve"> </v>
      </c>
      <c r="BI93" s="45" t="str">
        <f ca="1">IFERROR(IF(AND(ISNUMBER($BC$93),$BC$93&lt;=95),INDEX('2.Distances'!$D$2:$D$9218,$BC$92*96+$BC$93+ 1) +$BI$92," ")," ")</f>
        <v xml:space="preserve"> </v>
      </c>
      <c r="BJ93" s="46" t="str">
        <f ca="1">IFERROR(IF(AND(ISNUMBER($BC$93),$BC$93&lt;=95),INDEX('2.Distances'!$D$2:$D$9218,$BC$92*96+$BC$93+ 1) +$BK$92," ")," ")</f>
        <v xml:space="preserve"> </v>
      </c>
      <c r="BK93" s="46" t="str">
        <f ca="1">IFERROR(IF(ISNUMBER($BJ$93),INDEX('1.Locations'!$I$2:$I$97,$BC$93 + 1) + MAX($BJ$93,INDEX('1.Locations'!$F$2:$F$97,$BC$93 + 1))," ")," ")</f>
        <v xml:space="preserve"> </v>
      </c>
      <c r="BL93" s="45" t="str">
        <f ca="1">IFERROR($BL$92 + INDEX('2.Distances'!$D$2:$D$9218,$BC$92*96+$BC$93+ 1) + INDEX('1.Locations'!$I$2:$I$97,$BC$93 + 1)," ")</f>
        <v xml:space="preserve"> </v>
      </c>
      <c r="BN93" s="24">
        <v>88</v>
      </c>
      <c r="BO93" s="25"/>
      <c r="BP93" s="43" t="str">
        <f ca="1">IFERROR(MATCH(INDIRECT("$BO$93"),'1.Locations'!$B$2:$B$97, 0) - 1," ")</f>
        <v xml:space="preserve"> </v>
      </c>
      <c r="BQ93" s="43" t="e">
        <f ca="1">IFERROR(IF(ISNUMBER($BP$93),INDEX('1.Locations'!$D$2:$D$97,$BP$93 + 1),NA()),NA())</f>
        <v>#N/A</v>
      </c>
      <c r="BR93" s="43" t="e">
        <f ca="1">IFERROR(IF(ISNUMBER($BP$93),INDEX('1.Locations'!$E$2:$E$97,$BP$93 + 1),NA()),NA())</f>
        <v>#N/A</v>
      </c>
      <c r="BS93" s="44" t="str">
        <f ca="1">IFERROR(IF(AND(ISNUMBER($BP$93),$BP$93&lt;=95),INDEX('2.Distances'!$C$2:$C$9218,$BP$92*96+$BP$93+ 1) +$BS$92," ")," ")</f>
        <v xml:space="preserve"> </v>
      </c>
      <c r="BT93" s="43" t="str">
        <f ca="1">IFERROR(IF(ISNUMBER($BP$93),INDEX('1.Locations'!$J$2:$J$97,$BP$93 + 1) +$BT$92," ")," ")</f>
        <v xml:space="preserve"> </v>
      </c>
      <c r="BU93" s="43" t="str">
        <f ca="1">IFERROR(IF(ISNUMBER($BP$93),INDEX('1.Locations'!$K$2:$K$97,$BP$93 + 1) +$BU$92," ")," ")</f>
        <v xml:space="preserve"> </v>
      </c>
      <c r="BV93" s="45" t="str">
        <f ca="1">IFERROR(IF(AND(ISNUMBER($BP$93),$BP$93&lt;=95),INDEX('2.Distances'!$D$2:$D$9218,$BP$92*96+$BP$93+ 1) +$BV$92," ")," ")</f>
        <v xml:space="preserve"> </v>
      </c>
      <c r="BW93" s="46" t="str">
        <f ca="1">IFERROR(IF(AND(ISNUMBER($BP$93),$BP$93&lt;=95),INDEX('2.Distances'!$D$2:$D$9218,$BP$92*96+$BP$93+ 1) +$BX$92," ")," ")</f>
        <v xml:space="preserve"> </v>
      </c>
      <c r="BX93" s="46" t="str">
        <f ca="1">IFERROR(IF(ISNUMBER($BW$93),INDEX('1.Locations'!$I$2:$I$97,$BP$93 + 1) + MAX($BW$93,INDEX('1.Locations'!$F$2:$F$97,$BP$93 + 1))," ")," ")</f>
        <v xml:space="preserve"> </v>
      </c>
      <c r="BY93" s="45" t="str">
        <f ca="1">IFERROR($BY$92 + INDEX('2.Distances'!$D$2:$D$9218,$BP$92*96+$BP$93+ 1) + INDEX('1.Locations'!$I$2:$I$97,$BP$93 + 1)," ")</f>
        <v xml:space="preserve"> </v>
      </c>
      <c r="CA93" s="24">
        <v>88</v>
      </c>
      <c r="CB93" s="25"/>
      <c r="CC93" s="43" t="str">
        <f ca="1">IFERROR(MATCH(INDIRECT("$CB$93"),'1.Locations'!$B$2:$B$97, 0) - 1," ")</f>
        <v xml:space="preserve"> </v>
      </c>
      <c r="CD93" s="43" t="e">
        <f ca="1">IFERROR(IF(ISNUMBER($CC$93),INDEX('1.Locations'!$D$2:$D$97,$CC$93 + 1),NA()),NA())</f>
        <v>#N/A</v>
      </c>
      <c r="CE93" s="43" t="e">
        <f ca="1">IFERROR(IF(ISNUMBER($CC$93),INDEX('1.Locations'!$E$2:$E$97,$CC$93 + 1),NA()),NA())</f>
        <v>#N/A</v>
      </c>
      <c r="CF93" s="44" t="str">
        <f ca="1">IFERROR(IF(AND(ISNUMBER($CC$93),$CC$93&lt;=95),INDEX('2.Distances'!$C$2:$C$9218,$CC$92*96+$CC$93+ 1) +$CF$92," ")," ")</f>
        <v xml:space="preserve"> </v>
      </c>
      <c r="CG93" s="43" t="str">
        <f ca="1">IFERROR(IF(ISNUMBER($CC$93),INDEX('1.Locations'!$J$2:$J$97,$CC$93 + 1) +$CG$92," ")," ")</f>
        <v xml:space="preserve"> </v>
      </c>
      <c r="CH93" s="43" t="str">
        <f ca="1">IFERROR(IF(ISNUMBER($CC$93),INDEX('1.Locations'!$K$2:$K$97,$CC$93 + 1) +$CH$92," ")," ")</f>
        <v xml:space="preserve"> </v>
      </c>
      <c r="CI93" s="45" t="str">
        <f ca="1">IFERROR(IF(AND(ISNUMBER($CC$93),$CC$93&lt;=95),INDEX('2.Distances'!$D$2:$D$9218,$CC$92*96+$CC$93+ 1) +$CI$92," ")," ")</f>
        <v xml:space="preserve"> </v>
      </c>
      <c r="CJ93" s="46" t="str">
        <f ca="1">IFERROR(IF(AND(ISNUMBER($CC$93),$CC$93&lt;=95),INDEX('2.Distances'!$D$2:$D$9218,$CC$92*96+$CC$93+ 1) +$CK$92," ")," ")</f>
        <v xml:space="preserve"> </v>
      </c>
      <c r="CK93" s="46" t="str">
        <f ca="1">IFERROR(IF(ISNUMBER($CJ$93),INDEX('1.Locations'!$I$2:$I$97,$CC$93 + 1) + MAX($CJ$93,INDEX('1.Locations'!$F$2:$F$97,$CC$93 + 1))," ")," ")</f>
        <v xml:space="preserve"> </v>
      </c>
      <c r="CL93" s="45" t="str">
        <f ca="1">IFERROR($CL$92 + INDEX('2.Distances'!$D$2:$D$9218,$CC$92*96+$CC$93+ 1) + INDEX('1.Locations'!$I$2:$I$97,$CC$93 + 1)," ")</f>
        <v xml:space="preserve"> </v>
      </c>
    </row>
    <row r="94" spans="1:90" x14ac:dyDescent="0.25">
      <c r="A94" s="24">
        <v>89</v>
      </c>
      <c r="B94" s="25"/>
      <c r="C94" s="43" t="str">
        <f ca="1">IFERROR(MATCH(INDIRECT("$B$94"),'1.Locations'!$B$2:$B$97, 0) - 1," ")</f>
        <v xml:space="preserve"> </v>
      </c>
      <c r="D94" s="43" t="e">
        <f ca="1">IFERROR(IF(ISNUMBER($C$94),INDEX('1.Locations'!$D$2:$D$97,$C$94 + 1),NA()),NA())</f>
        <v>#N/A</v>
      </c>
      <c r="E94" s="43" t="e">
        <f ca="1">IFERROR(IF(ISNUMBER($C$94),INDEX('1.Locations'!$E$2:$E$97,$C$94 + 1),NA()),NA())</f>
        <v>#N/A</v>
      </c>
      <c r="F94" s="44" t="str">
        <f ca="1">IFERROR(IF(AND(ISNUMBER($C$94),$C$94&lt;=95),INDEX('2.Distances'!$C$2:$C$9218,$C$93*96+$C$94+ 1) +$F$93," ")," ")</f>
        <v xml:space="preserve"> </v>
      </c>
      <c r="G94" s="43" t="str">
        <f ca="1">IFERROR(IF(ISNUMBER($C$94),INDEX('1.Locations'!$J$2:$J$97,$C$94 + 1) +$G$93," ")," ")</f>
        <v xml:space="preserve"> </v>
      </c>
      <c r="H94" s="43" t="str">
        <f ca="1">IFERROR(IF(ISNUMBER($C$94),INDEX('1.Locations'!$K$2:$K$97,$C$94 + 1) +$H$93," ")," ")</f>
        <v xml:space="preserve"> </v>
      </c>
      <c r="I94" s="45" t="str">
        <f ca="1">IFERROR(IF(AND(ISNUMBER($C$94),$C$94&lt;=95),INDEX('2.Distances'!$D$2:$D$9218,$C$93*96+$C$94+ 1) +$I$93," ")," ")</f>
        <v xml:space="preserve"> </v>
      </c>
      <c r="J94" s="46" t="str">
        <f ca="1">IFERROR(IF(AND(ISNUMBER($C$94),$C$94&lt;=95),INDEX('2.Distances'!$D$2:$D$9218,$C$93*96+$C$94+ 1) +$K$93," ")," ")</f>
        <v xml:space="preserve"> </v>
      </c>
      <c r="K94" s="46" t="str">
        <f ca="1">IFERROR(IF(ISNUMBER($J$94),INDEX('1.Locations'!$I$2:$I$97,$C$94 + 1) + MAX($J$94,INDEX('1.Locations'!$F$2:$F$97,$C$94 + 1))," ")," ")</f>
        <v xml:space="preserve"> </v>
      </c>
      <c r="L94" s="45" t="str">
        <f ca="1">IFERROR($L$93 + INDEX('2.Distances'!$D$2:$D$9218,$C$93*96+$C$94+ 1) + INDEX('1.Locations'!$I$2:$I$97,$C$94 + 1)," ")</f>
        <v xml:space="preserve"> </v>
      </c>
      <c r="N94" s="24">
        <v>89</v>
      </c>
      <c r="O94" s="25"/>
      <c r="P94" s="43" t="str">
        <f ca="1">IFERROR(MATCH(INDIRECT("$O$94"),'1.Locations'!$B$2:$B$97, 0) - 1," ")</f>
        <v xml:space="preserve"> </v>
      </c>
      <c r="Q94" s="43" t="e">
        <f ca="1">IFERROR(IF(ISNUMBER($P$94),INDEX('1.Locations'!$D$2:$D$97,$P$94 + 1),NA()),NA())</f>
        <v>#N/A</v>
      </c>
      <c r="R94" s="43" t="e">
        <f ca="1">IFERROR(IF(ISNUMBER($P$94),INDEX('1.Locations'!$E$2:$E$97,$P$94 + 1),NA()),NA())</f>
        <v>#N/A</v>
      </c>
      <c r="S94" s="44" t="str">
        <f ca="1">IFERROR(IF(AND(ISNUMBER($P$94),$P$94&lt;=95),INDEX('2.Distances'!$C$2:$C$9218,$P$93*96+$P$94+ 1) +$S$93," ")," ")</f>
        <v xml:space="preserve"> </v>
      </c>
      <c r="T94" s="43" t="str">
        <f ca="1">IFERROR(IF(ISNUMBER($P$94),INDEX('1.Locations'!$J$2:$J$97,$P$94 + 1) +$T$93," ")," ")</f>
        <v xml:space="preserve"> </v>
      </c>
      <c r="U94" s="43" t="str">
        <f ca="1">IFERROR(IF(ISNUMBER($P$94),INDEX('1.Locations'!$K$2:$K$97,$P$94 + 1) +$U$93," ")," ")</f>
        <v xml:space="preserve"> </v>
      </c>
      <c r="V94" s="45" t="str">
        <f ca="1">IFERROR(IF(AND(ISNUMBER($P$94),$P$94&lt;=95),INDEX('2.Distances'!$D$2:$D$9218,$P$93*96+$P$94+ 1) +$V$93," ")," ")</f>
        <v xml:space="preserve"> </v>
      </c>
      <c r="W94" s="46" t="str">
        <f ca="1">IFERROR(IF(AND(ISNUMBER($P$94),$P$94&lt;=95),INDEX('2.Distances'!$D$2:$D$9218,$P$93*96+$P$94+ 1) +$X$93," ")," ")</f>
        <v xml:space="preserve"> </v>
      </c>
      <c r="X94" s="46" t="str">
        <f ca="1">IFERROR(IF(ISNUMBER($W$94),INDEX('1.Locations'!$I$2:$I$97,$P$94 + 1) + MAX($W$94,INDEX('1.Locations'!$F$2:$F$97,$P$94 + 1))," ")," ")</f>
        <v xml:space="preserve"> </v>
      </c>
      <c r="Y94" s="45" t="str">
        <f ca="1">IFERROR($Y$93 + INDEX('2.Distances'!$D$2:$D$9218,$P$93*96+$P$94+ 1) + INDEX('1.Locations'!$I$2:$I$97,$P$94 + 1)," ")</f>
        <v xml:space="preserve"> </v>
      </c>
      <c r="AA94" s="24">
        <v>89</v>
      </c>
      <c r="AB94" s="25"/>
      <c r="AC94" s="43" t="str">
        <f ca="1">IFERROR(MATCH(INDIRECT("$AB$94"),'1.Locations'!$B$2:$B$97, 0) - 1," ")</f>
        <v xml:space="preserve"> </v>
      </c>
      <c r="AD94" s="43" t="e">
        <f ca="1">IFERROR(IF(ISNUMBER($AC$94),INDEX('1.Locations'!$D$2:$D$97,$AC$94 + 1),NA()),NA())</f>
        <v>#N/A</v>
      </c>
      <c r="AE94" s="43" t="e">
        <f ca="1">IFERROR(IF(ISNUMBER($AC$94),INDEX('1.Locations'!$E$2:$E$97,$AC$94 + 1),NA()),NA())</f>
        <v>#N/A</v>
      </c>
      <c r="AF94" s="44" t="str">
        <f ca="1">IFERROR(IF(AND(ISNUMBER($AC$94),$AC$94&lt;=95),INDEX('2.Distances'!$C$2:$C$9218,$AC$93*96+$AC$94+ 1) +$AF$93," ")," ")</f>
        <v xml:space="preserve"> </v>
      </c>
      <c r="AG94" s="43" t="str">
        <f ca="1">IFERROR(IF(ISNUMBER($AC$94),INDEX('1.Locations'!$J$2:$J$97,$AC$94 + 1) +$AG$93," ")," ")</f>
        <v xml:space="preserve"> </v>
      </c>
      <c r="AH94" s="43" t="str">
        <f ca="1">IFERROR(IF(ISNUMBER($AC$94),INDEX('1.Locations'!$K$2:$K$97,$AC$94 + 1) +$AH$93," ")," ")</f>
        <v xml:space="preserve"> </v>
      </c>
      <c r="AI94" s="45" t="str">
        <f ca="1">IFERROR(IF(AND(ISNUMBER($AC$94),$AC$94&lt;=95),INDEX('2.Distances'!$D$2:$D$9218,$AC$93*96+$AC$94+ 1) +$AI$93," ")," ")</f>
        <v xml:space="preserve"> </v>
      </c>
      <c r="AJ94" s="46" t="str">
        <f ca="1">IFERROR(IF(AND(ISNUMBER($AC$94),$AC$94&lt;=95),INDEX('2.Distances'!$D$2:$D$9218,$AC$93*96+$AC$94+ 1) +$AK$93," ")," ")</f>
        <v xml:space="preserve"> </v>
      </c>
      <c r="AK94" s="46" t="str">
        <f ca="1">IFERROR(IF(ISNUMBER($AJ$94),INDEX('1.Locations'!$I$2:$I$97,$AC$94 + 1) + MAX($AJ$94,INDEX('1.Locations'!$F$2:$F$97,$AC$94 + 1))," ")," ")</f>
        <v xml:space="preserve"> </v>
      </c>
      <c r="AL94" s="45" t="str">
        <f ca="1">IFERROR($AL$93 + INDEX('2.Distances'!$D$2:$D$9218,$AC$93*96+$AC$94+ 1) + INDEX('1.Locations'!$I$2:$I$97,$AC$94 + 1)," ")</f>
        <v xml:space="preserve"> </v>
      </c>
      <c r="AN94" s="24">
        <v>89</v>
      </c>
      <c r="AO94" s="25"/>
      <c r="AP94" s="43" t="str">
        <f ca="1">IFERROR(MATCH(INDIRECT("$AO$94"),'1.Locations'!$B$2:$B$97, 0) - 1," ")</f>
        <v xml:space="preserve"> </v>
      </c>
      <c r="AQ94" s="43" t="e">
        <f ca="1">IFERROR(IF(ISNUMBER($AP$94),INDEX('1.Locations'!$D$2:$D$97,$AP$94 + 1),NA()),NA())</f>
        <v>#N/A</v>
      </c>
      <c r="AR94" s="43" t="e">
        <f ca="1">IFERROR(IF(ISNUMBER($AP$94),INDEX('1.Locations'!$E$2:$E$97,$AP$94 + 1),NA()),NA())</f>
        <v>#N/A</v>
      </c>
      <c r="AS94" s="44" t="str">
        <f ca="1">IFERROR(IF(AND(ISNUMBER($AP$94),$AP$94&lt;=95),INDEX('2.Distances'!$C$2:$C$9218,$AP$93*96+$AP$94+ 1) +$AS$93," ")," ")</f>
        <v xml:space="preserve"> </v>
      </c>
      <c r="AT94" s="43" t="str">
        <f ca="1">IFERROR(IF(ISNUMBER($AP$94),INDEX('1.Locations'!$J$2:$J$97,$AP$94 + 1) +$AT$93," ")," ")</f>
        <v xml:space="preserve"> </v>
      </c>
      <c r="AU94" s="43" t="str">
        <f ca="1">IFERROR(IF(ISNUMBER($AP$94),INDEX('1.Locations'!$K$2:$K$97,$AP$94 + 1) +$AU$93," ")," ")</f>
        <v xml:space="preserve"> </v>
      </c>
      <c r="AV94" s="45" t="str">
        <f ca="1">IFERROR(IF(AND(ISNUMBER($AP$94),$AP$94&lt;=95),INDEX('2.Distances'!$D$2:$D$9218,$AP$93*96+$AP$94+ 1) +$AV$93," ")," ")</f>
        <v xml:space="preserve"> </v>
      </c>
      <c r="AW94" s="46" t="str">
        <f ca="1">IFERROR(IF(AND(ISNUMBER($AP$94),$AP$94&lt;=95),INDEX('2.Distances'!$D$2:$D$9218,$AP$93*96+$AP$94+ 1) +$AX$93," ")," ")</f>
        <v xml:space="preserve"> </v>
      </c>
      <c r="AX94" s="46" t="str">
        <f ca="1">IFERROR(IF(ISNUMBER($AW$94),INDEX('1.Locations'!$I$2:$I$97,$AP$94 + 1) + MAX($AW$94,INDEX('1.Locations'!$F$2:$F$97,$AP$94 + 1))," ")," ")</f>
        <v xml:space="preserve"> </v>
      </c>
      <c r="AY94" s="45" t="str">
        <f ca="1">IFERROR($AY$93 + INDEX('2.Distances'!$D$2:$D$9218,$AP$93*96+$AP$94+ 1) + INDEX('1.Locations'!$I$2:$I$97,$AP$94 + 1)," ")</f>
        <v xml:space="preserve"> </v>
      </c>
      <c r="BA94" s="24">
        <v>89</v>
      </c>
      <c r="BB94" s="25"/>
      <c r="BC94" s="43" t="str">
        <f ca="1">IFERROR(MATCH(INDIRECT("$BB$94"),'1.Locations'!$B$2:$B$97, 0) - 1," ")</f>
        <v xml:space="preserve"> </v>
      </c>
      <c r="BD94" s="43" t="e">
        <f ca="1">IFERROR(IF(ISNUMBER($BC$94),INDEX('1.Locations'!$D$2:$D$97,$BC$94 + 1),NA()),NA())</f>
        <v>#N/A</v>
      </c>
      <c r="BE94" s="43" t="e">
        <f ca="1">IFERROR(IF(ISNUMBER($BC$94),INDEX('1.Locations'!$E$2:$E$97,$BC$94 + 1),NA()),NA())</f>
        <v>#N/A</v>
      </c>
      <c r="BF94" s="44" t="str">
        <f ca="1">IFERROR(IF(AND(ISNUMBER($BC$94),$BC$94&lt;=95),INDEX('2.Distances'!$C$2:$C$9218,$BC$93*96+$BC$94+ 1) +$BF$93," ")," ")</f>
        <v xml:space="preserve"> </v>
      </c>
      <c r="BG94" s="43" t="str">
        <f ca="1">IFERROR(IF(ISNUMBER($BC$94),INDEX('1.Locations'!$J$2:$J$97,$BC$94 + 1) +$BG$93," ")," ")</f>
        <v xml:space="preserve"> </v>
      </c>
      <c r="BH94" s="43" t="str">
        <f ca="1">IFERROR(IF(ISNUMBER($BC$94),INDEX('1.Locations'!$K$2:$K$97,$BC$94 + 1) +$BH$93," ")," ")</f>
        <v xml:space="preserve"> </v>
      </c>
      <c r="BI94" s="45" t="str">
        <f ca="1">IFERROR(IF(AND(ISNUMBER($BC$94),$BC$94&lt;=95),INDEX('2.Distances'!$D$2:$D$9218,$BC$93*96+$BC$94+ 1) +$BI$93," ")," ")</f>
        <v xml:space="preserve"> </v>
      </c>
      <c r="BJ94" s="46" t="str">
        <f ca="1">IFERROR(IF(AND(ISNUMBER($BC$94),$BC$94&lt;=95),INDEX('2.Distances'!$D$2:$D$9218,$BC$93*96+$BC$94+ 1) +$BK$93," ")," ")</f>
        <v xml:space="preserve"> </v>
      </c>
      <c r="BK94" s="46" t="str">
        <f ca="1">IFERROR(IF(ISNUMBER($BJ$94),INDEX('1.Locations'!$I$2:$I$97,$BC$94 + 1) + MAX($BJ$94,INDEX('1.Locations'!$F$2:$F$97,$BC$94 + 1))," ")," ")</f>
        <v xml:space="preserve"> </v>
      </c>
      <c r="BL94" s="45" t="str">
        <f ca="1">IFERROR($BL$93 + INDEX('2.Distances'!$D$2:$D$9218,$BC$93*96+$BC$94+ 1) + INDEX('1.Locations'!$I$2:$I$97,$BC$94 + 1)," ")</f>
        <v xml:space="preserve"> </v>
      </c>
      <c r="BN94" s="24">
        <v>89</v>
      </c>
      <c r="BO94" s="25"/>
      <c r="BP94" s="43" t="str">
        <f ca="1">IFERROR(MATCH(INDIRECT("$BO$94"),'1.Locations'!$B$2:$B$97, 0) - 1," ")</f>
        <v xml:space="preserve"> </v>
      </c>
      <c r="BQ94" s="43" t="e">
        <f ca="1">IFERROR(IF(ISNUMBER($BP$94),INDEX('1.Locations'!$D$2:$D$97,$BP$94 + 1),NA()),NA())</f>
        <v>#N/A</v>
      </c>
      <c r="BR94" s="43" t="e">
        <f ca="1">IFERROR(IF(ISNUMBER($BP$94),INDEX('1.Locations'!$E$2:$E$97,$BP$94 + 1),NA()),NA())</f>
        <v>#N/A</v>
      </c>
      <c r="BS94" s="44" t="str">
        <f ca="1">IFERROR(IF(AND(ISNUMBER($BP$94),$BP$94&lt;=95),INDEX('2.Distances'!$C$2:$C$9218,$BP$93*96+$BP$94+ 1) +$BS$93," ")," ")</f>
        <v xml:space="preserve"> </v>
      </c>
      <c r="BT94" s="43" t="str">
        <f ca="1">IFERROR(IF(ISNUMBER($BP$94),INDEX('1.Locations'!$J$2:$J$97,$BP$94 + 1) +$BT$93," ")," ")</f>
        <v xml:space="preserve"> </v>
      </c>
      <c r="BU94" s="43" t="str">
        <f ca="1">IFERROR(IF(ISNUMBER($BP$94),INDEX('1.Locations'!$K$2:$K$97,$BP$94 + 1) +$BU$93," ")," ")</f>
        <v xml:space="preserve"> </v>
      </c>
      <c r="BV94" s="45" t="str">
        <f ca="1">IFERROR(IF(AND(ISNUMBER($BP$94),$BP$94&lt;=95),INDEX('2.Distances'!$D$2:$D$9218,$BP$93*96+$BP$94+ 1) +$BV$93," ")," ")</f>
        <v xml:space="preserve"> </v>
      </c>
      <c r="BW94" s="46" t="str">
        <f ca="1">IFERROR(IF(AND(ISNUMBER($BP$94),$BP$94&lt;=95),INDEX('2.Distances'!$D$2:$D$9218,$BP$93*96+$BP$94+ 1) +$BX$93," ")," ")</f>
        <v xml:space="preserve"> </v>
      </c>
      <c r="BX94" s="46" t="str">
        <f ca="1">IFERROR(IF(ISNUMBER($BW$94),INDEX('1.Locations'!$I$2:$I$97,$BP$94 + 1) + MAX($BW$94,INDEX('1.Locations'!$F$2:$F$97,$BP$94 + 1))," ")," ")</f>
        <v xml:space="preserve"> </v>
      </c>
      <c r="BY94" s="45" t="str">
        <f ca="1">IFERROR($BY$93 + INDEX('2.Distances'!$D$2:$D$9218,$BP$93*96+$BP$94+ 1) + INDEX('1.Locations'!$I$2:$I$97,$BP$94 + 1)," ")</f>
        <v xml:space="preserve"> </v>
      </c>
      <c r="CA94" s="24">
        <v>89</v>
      </c>
      <c r="CB94" s="25"/>
      <c r="CC94" s="43" t="str">
        <f ca="1">IFERROR(MATCH(INDIRECT("$CB$94"),'1.Locations'!$B$2:$B$97, 0) - 1," ")</f>
        <v xml:space="preserve"> </v>
      </c>
      <c r="CD94" s="43" t="e">
        <f ca="1">IFERROR(IF(ISNUMBER($CC$94),INDEX('1.Locations'!$D$2:$D$97,$CC$94 + 1),NA()),NA())</f>
        <v>#N/A</v>
      </c>
      <c r="CE94" s="43" t="e">
        <f ca="1">IFERROR(IF(ISNUMBER($CC$94),INDEX('1.Locations'!$E$2:$E$97,$CC$94 + 1),NA()),NA())</f>
        <v>#N/A</v>
      </c>
      <c r="CF94" s="44" t="str">
        <f ca="1">IFERROR(IF(AND(ISNUMBER($CC$94),$CC$94&lt;=95),INDEX('2.Distances'!$C$2:$C$9218,$CC$93*96+$CC$94+ 1) +$CF$93," ")," ")</f>
        <v xml:space="preserve"> </v>
      </c>
      <c r="CG94" s="43" t="str">
        <f ca="1">IFERROR(IF(ISNUMBER($CC$94),INDEX('1.Locations'!$J$2:$J$97,$CC$94 + 1) +$CG$93," ")," ")</f>
        <v xml:space="preserve"> </v>
      </c>
      <c r="CH94" s="43" t="str">
        <f ca="1">IFERROR(IF(ISNUMBER($CC$94),INDEX('1.Locations'!$K$2:$K$97,$CC$94 + 1) +$CH$93," ")," ")</f>
        <v xml:space="preserve"> </v>
      </c>
      <c r="CI94" s="45" t="str">
        <f ca="1">IFERROR(IF(AND(ISNUMBER($CC$94),$CC$94&lt;=95),INDEX('2.Distances'!$D$2:$D$9218,$CC$93*96+$CC$94+ 1) +$CI$93," ")," ")</f>
        <v xml:space="preserve"> </v>
      </c>
      <c r="CJ94" s="46" t="str">
        <f ca="1">IFERROR(IF(AND(ISNUMBER($CC$94),$CC$94&lt;=95),INDEX('2.Distances'!$D$2:$D$9218,$CC$93*96+$CC$94+ 1) +$CK$93," ")," ")</f>
        <v xml:space="preserve"> </v>
      </c>
      <c r="CK94" s="46" t="str">
        <f ca="1">IFERROR(IF(ISNUMBER($CJ$94),INDEX('1.Locations'!$I$2:$I$97,$CC$94 + 1) + MAX($CJ$94,INDEX('1.Locations'!$F$2:$F$97,$CC$94 + 1))," ")," ")</f>
        <v xml:space="preserve"> </v>
      </c>
      <c r="CL94" s="45" t="str">
        <f ca="1">IFERROR($CL$93 + INDEX('2.Distances'!$D$2:$D$9218,$CC$93*96+$CC$94+ 1) + INDEX('1.Locations'!$I$2:$I$97,$CC$94 + 1)," ")</f>
        <v xml:space="preserve"> </v>
      </c>
    </row>
    <row r="95" spans="1:90" x14ac:dyDescent="0.25">
      <c r="A95" s="24">
        <v>90</v>
      </c>
      <c r="B95" s="25"/>
      <c r="C95" s="43" t="str">
        <f ca="1">IFERROR(MATCH(INDIRECT("$B$95"),'1.Locations'!$B$2:$B$97, 0) - 1," ")</f>
        <v xml:space="preserve"> </v>
      </c>
      <c r="D95" s="43" t="e">
        <f ca="1">IFERROR(IF(ISNUMBER($C$95),INDEX('1.Locations'!$D$2:$D$97,$C$95 + 1),NA()),NA())</f>
        <v>#N/A</v>
      </c>
      <c r="E95" s="43" t="e">
        <f ca="1">IFERROR(IF(ISNUMBER($C$95),INDEX('1.Locations'!$E$2:$E$97,$C$95 + 1),NA()),NA())</f>
        <v>#N/A</v>
      </c>
      <c r="F95" s="44" t="str">
        <f ca="1">IFERROR(IF(AND(ISNUMBER($C$95),$C$95&lt;=95),INDEX('2.Distances'!$C$2:$C$9218,$C$94*96+$C$95+ 1) +$F$94," ")," ")</f>
        <v xml:space="preserve"> </v>
      </c>
      <c r="G95" s="43" t="str">
        <f ca="1">IFERROR(IF(ISNUMBER($C$95),INDEX('1.Locations'!$J$2:$J$97,$C$95 + 1) +$G$94," ")," ")</f>
        <v xml:space="preserve"> </v>
      </c>
      <c r="H95" s="43" t="str">
        <f ca="1">IFERROR(IF(ISNUMBER($C$95),INDEX('1.Locations'!$K$2:$K$97,$C$95 + 1) +$H$94," ")," ")</f>
        <v xml:space="preserve"> </v>
      </c>
      <c r="I95" s="45" t="str">
        <f ca="1">IFERROR(IF(AND(ISNUMBER($C$95),$C$95&lt;=95),INDEX('2.Distances'!$D$2:$D$9218,$C$94*96+$C$95+ 1) +$I$94," ")," ")</f>
        <v xml:space="preserve"> </v>
      </c>
      <c r="J95" s="46" t="str">
        <f ca="1">IFERROR(IF(AND(ISNUMBER($C$95),$C$95&lt;=95),INDEX('2.Distances'!$D$2:$D$9218,$C$94*96+$C$95+ 1) +$K$94," ")," ")</f>
        <v xml:space="preserve"> </v>
      </c>
      <c r="K95" s="46" t="str">
        <f ca="1">IFERROR(IF(ISNUMBER($J$95),INDEX('1.Locations'!$I$2:$I$97,$C$95 + 1) + MAX($J$95,INDEX('1.Locations'!$F$2:$F$97,$C$95 + 1))," ")," ")</f>
        <v xml:space="preserve"> </v>
      </c>
      <c r="L95" s="45" t="str">
        <f ca="1">IFERROR($L$94 + INDEX('2.Distances'!$D$2:$D$9218,$C$94*96+$C$95+ 1) + INDEX('1.Locations'!$I$2:$I$97,$C$95 + 1)," ")</f>
        <v xml:space="preserve"> </v>
      </c>
      <c r="N95" s="24">
        <v>90</v>
      </c>
      <c r="O95" s="25"/>
      <c r="P95" s="43" t="str">
        <f ca="1">IFERROR(MATCH(INDIRECT("$O$95"),'1.Locations'!$B$2:$B$97, 0) - 1," ")</f>
        <v xml:space="preserve"> </v>
      </c>
      <c r="Q95" s="43" t="e">
        <f ca="1">IFERROR(IF(ISNUMBER($P$95),INDEX('1.Locations'!$D$2:$D$97,$P$95 + 1),NA()),NA())</f>
        <v>#N/A</v>
      </c>
      <c r="R95" s="43" t="e">
        <f ca="1">IFERROR(IF(ISNUMBER($P$95),INDEX('1.Locations'!$E$2:$E$97,$P$95 + 1),NA()),NA())</f>
        <v>#N/A</v>
      </c>
      <c r="S95" s="44" t="str">
        <f ca="1">IFERROR(IF(AND(ISNUMBER($P$95),$P$95&lt;=95),INDEX('2.Distances'!$C$2:$C$9218,$P$94*96+$P$95+ 1) +$S$94," ")," ")</f>
        <v xml:space="preserve"> </v>
      </c>
      <c r="T95" s="43" t="str">
        <f ca="1">IFERROR(IF(ISNUMBER($P$95),INDEX('1.Locations'!$J$2:$J$97,$P$95 + 1) +$T$94," ")," ")</f>
        <v xml:space="preserve"> </v>
      </c>
      <c r="U95" s="43" t="str">
        <f ca="1">IFERROR(IF(ISNUMBER($P$95),INDEX('1.Locations'!$K$2:$K$97,$P$95 + 1) +$U$94," ")," ")</f>
        <v xml:space="preserve"> </v>
      </c>
      <c r="V95" s="45" t="str">
        <f ca="1">IFERROR(IF(AND(ISNUMBER($P$95),$P$95&lt;=95),INDEX('2.Distances'!$D$2:$D$9218,$P$94*96+$P$95+ 1) +$V$94," ")," ")</f>
        <v xml:space="preserve"> </v>
      </c>
      <c r="W95" s="46" t="str">
        <f ca="1">IFERROR(IF(AND(ISNUMBER($P$95),$P$95&lt;=95),INDEX('2.Distances'!$D$2:$D$9218,$P$94*96+$P$95+ 1) +$X$94," ")," ")</f>
        <v xml:space="preserve"> </v>
      </c>
      <c r="X95" s="46" t="str">
        <f ca="1">IFERROR(IF(ISNUMBER($W$95),INDEX('1.Locations'!$I$2:$I$97,$P$95 + 1) + MAX($W$95,INDEX('1.Locations'!$F$2:$F$97,$P$95 + 1))," ")," ")</f>
        <v xml:space="preserve"> </v>
      </c>
      <c r="Y95" s="45" t="str">
        <f ca="1">IFERROR($Y$94 + INDEX('2.Distances'!$D$2:$D$9218,$P$94*96+$P$95+ 1) + INDEX('1.Locations'!$I$2:$I$97,$P$95 + 1)," ")</f>
        <v xml:space="preserve"> </v>
      </c>
      <c r="AA95" s="24">
        <v>90</v>
      </c>
      <c r="AB95" s="25"/>
      <c r="AC95" s="43" t="str">
        <f ca="1">IFERROR(MATCH(INDIRECT("$AB$95"),'1.Locations'!$B$2:$B$97, 0) - 1," ")</f>
        <v xml:space="preserve"> </v>
      </c>
      <c r="AD95" s="43" t="e">
        <f ca="1">IFERROR(IF(ISNUMBER($AC$95),INDEX('1.Locations'!$D$2:$D$97,$AC$95 + 1),NA()),NA())</f>
        <v>#N/A</v>
      </c>
      <c r="AE95" s="43" t="e">
        <f ca="1">IFERROR(IF(ISNUMBER($AC$95),INDEX('1.Locations'!$E$2:$E$97,$AC$95 + 1),NA()),NA())</f>
        <v>#N/A</v>
      </c>
      <c r="AF95" s="44" t="str">
        <f ca="1">IFERROR(IF(AND(ISNUMBER($AC$95),$AC$95&lt;=95),INDEX('2.Distances'!$C$2:$C$9218,$AC$94*96+$AC$95+ 1) +$AF$94," ")," ")</f>
        <v xml:space="preserve"> </v>
      </c>
      <c r="AG95" s="43" t="str">
        <f ca="1">IFERROR(IF(ISNUMBER($AC$95),INDEX('1.Locations'!$J$2:$J$97,$AC$95 + 1) +$AG$94," ")," ")</f>
        <v xml:space="preserve"> </v>
      </c>
      <c r="AH95" s="43" t="str">
        <f ca="1">IFERROR(IF(ISNUMBER($AC$95),INDEX('1.Locations'!$K$2:$K$97,$AC$95 + 1) +$AH$94," ")," ")</f>
        <v xml:space="preserve"> </v>
      </c>
      <c r="AI95" s="45" t="str">
        <f ca="1">IFERROR(IF(AND(ISNUMBER($AC$95),$AC$95&lt;=95),INDEX('2.Distances'!$D$2:$D$9218,$AC$94*96+$AC$95+ 1) +$AI$94," ")," ")</f>
        <v xml:space="preserve"> </v>
      </c>
      <c r="AJ95" s="46" t="str">
        <f ca="1">IFERROR(IF(AND(ISNUMBER($AC$95),$AC$95&lt;=95),INDEX('2.Distances'!$D$2:$D$9218,$AC$94*96+$AC$95+ 1) +$AK$94," ")," ")</f>
        <v xml:space="preserve"> </v>
      </c>
      <c r="AK95" s="46" t="str">
        <f ca="1">IFERROR(IF(ISNUMBER($AJ$95),INDEX('1.Locations'!$I$2:$I$97,$AC$95 + 1) + MAX($AJ$95,INDEX('1.Locations'!$F$2:$F$97,$AC$95 + 1))," ")," ")</f>
        <v xml:space="preserve"> </v>
      </c>
      <c r="AL95" s="45" t="str">
        <f ca="1">IFERROR($AL$94 + INDEX('2.Distances'!$D$2:$D$9218,$AC$94*96+$AC$95+ 1) + INDEX('1.Locations'!$I$2:$I$97,$AC$95 + 1)," ")</f>
        <v xml:space="preserve"> </v>
      </c>
      <c r="AN95" s="24">
        <v>90</v>
      </c>
      <c r="AO95" s="25"/>
      <c r="AP95" s="43" t="str">
        <f ca="1">IFERROR(MATCH(INDIRECT("$AO$95"),'1.Locations'!$B$2:$B$97, 0) - 1," ")</f>
        <v xml:space="preserve"> </v>
      </c>
      <c r="AQ95" s="43" t="e">
        <f ca="1">IFERROR(IF(ISNUMBER($AP$95),INDEX('1.Locations'!$D$2:$D$97,$AP$95 + 1),NA()),NA())</f>
        <v>#N/A</v>
      </c>
      <c r="AR95" s="43" t="e">
        <f ca="1">IFERROR(IF(ISNUMBER($AP$95),INDEX('1.Locations'!$E$2:$E$97,$AP$95 + 1),NA()),NA())</f>
        <v>#N/A</v>
      </c>
      <c r="AS95" s="44" t="str">
        <f ca="1">IFERROR(IF(AND(ISNUMBER($AP$95),$AP$95&lt;=95),INDEX('2.Distances'!$C$2:$C$9218,$AP$94*96+$AP$95+ 1) +$AS$94," ")," ")</f>
        <v xml:space="preserve"> </v>
      </c>
      <c r="AT95" s="43" t="str">
        <f ca="1">IFERROR(IF(ISNUMBER($AP$95),INDEX('1.Locations'!$J$2:$J$97,$AP$95 + 1) +$AT$94," ")," ")</f>
        <v xml:space="preserve"> </v>
      </c>
      <c r="AU95" s="43" t="str">
        <f ca="1">IFERROR(IF(ISNUMBER($AP$95),INDEX('1.Locations'!$K$2:$K$97,$AP$95 + 1) +$AU$94," ")," ")</f>
        <v xml:space="preserve"> </v>
      </c>
      <c r="AV95" s="45" t="str">
        <f ca="1">IFERROR(IF(AND(ISNUMBER($AP$95),$AP$95&lt;=95),INDEX('2.Distances'!$D$2:$D$9218,$AP$94*96+$AP$95+ 1) +$AV$94," ")," ")</f>
        <v xml:space="preserve"> </v>
      </c>
      <c r="AW95" s="46" t="str">
        <f ca="1">IFERROR(IF(AND(ISNUMBER($AP$95),$AP$95&lt;=95),INDEX('2.Distances'!$D$2:$D$9218,$AP$94*96+$AP$95+ 1) +$AX$94," ")," ")</f>
        <v xml:space="preserve"> </v>
      </c>
      <c r="AX95" s="46" t="str">
        <f ca="1">IFERROR(IF(ISNUMBER($AW$95),INDEX('1.Locations'!$I$2:$I$97,$AP$95 + 1) + MAX($AW$95,INDEX('1.Locations'!$F$2:$F$97,$AP$95 + 1))," ")," ")</f>
        <v xml:space="preserve"> </v>
      </c>
      <c r="AY95" s="45" t="str">
        <f ca="1">IFERROR($AY$94 + INDEX('2.Distances'!$D$2:$D$9218,$AP$94*96+$AP$95+ 1) + INDEX('1.Locations'!$I$2:$I$97,$AP$95 + 1)," ")</f>
        <v xml:space="preserve"> </v>
      </c>
      <c r="BA95" s="24">
        <v>90</v>
      </c>
      <c r="BB95" s="25"/>
      <c r="BC95" s="43" t="str">
        <f ca="1">IFERROR(MATCH(INDIRECT("$BB$95"),'1.Locations'!$B$2:$B$97, 0) - 1," ")</f>
        <v xml:space="preserve"> </v>
      </c>
      <c r="BD95" s="43" t="e">
        <f ca="1">IFERROR(IF(ISNUMBER($BC$95),INDEX('1.Locations'!$D$2:$D$97,$BC$95 + 1),NA()),NA())</f>
        <v>#N/A</v>
      </c>
      <c r="BE95" s="43" t="e">
        <f ca="1">IFERROR(IF(ISNUMBER($BC$95),INDEX('1.Locations'!$E$2:$E$97,$BC$95 + 1),NA()),NA())</f>
        <v>#N/A</v>
      </c>
      <c r="BF95" s="44" t="str">
        <f ca="1">IFERROR(IF(AND(ISNUMBER($BC$95),$BC$95&lt;=95),INDEX('2.Distances'!$C$2:$C$9218,$BC$94*96+$BC$95+ 1) +$BF$94," ")," ")</f>
        <v xml:space="preserve"> </v>
      </c>
      <c r="BG95" s="43" t="str">
        <f ca="1">IFERROR(IF(ISNUMBER($BC$95),INDEX('1.Locations'!$J$2:$J$97,$BC$95 + 1) +$BG$94," ")," ")</f>
        <v xml:space="preserve"> </v>
      </c>
      <c r="BH95" s="43" t="str">
        <f ca="1">IFERROR(IF(ISNUMBER($BC$95),INDEX('1.Locations'!$K$2:$K$97,$BC$95 + 1) +$BH$94," ")," ")</f>
        <v xml:space="preserve"> </v>
      </c>
      <c r="BI95" s="45" t="str">
        <f ca="1">IFERROR(IF(AND(ISNUMBER($BC$95),$BC$95&lt;=95),INDEX('2.Distances'!$D$2:$D$9218,$BC$94*96+$BC$95+ 1) +$BI$94," ")," ")</f>
        <v xml:space="preserve"> </v>
      </c>
      <c r="BJ95" s="46" t="str">
        <f ca="1">IFERROR(IF(AND(ISNUMBER($BC$95),$BC$95&lt;=95),INDEX('2.Distances'!$D$2:$D$9218,$BC$94*96+$BC$95+ 1) +$BK$94," ")," ")</f>
        <v xml:space="preserve"> </v>
      </c>
      <c r="BK95" s="46" t="str">
        <f ca="1">IFERROR(IF(ISNUMBER($BJ$95),INDEX('1.Locations'!$I$2:$I$97,$BC$95 + 1) + MAX($BJ$95,INDEX('1.Locations'!$F$2:$F$97,$BC$95 + 1))," ")," ")</f>
        <v xml:space="preserve"> </v>
      </c>
      <c r="BL95" s="45" t="str">
        <f ca="1">IFERROR($BL$94 + INDEX('2.Distances'!$D$2:$D$9218,$BC$94*96+$BC$95+ 1) + INDEX('1.Locations'!$I$2:$I$97,$BC$95 + 1)," ")</f>
        <v xml:space="preserve"> </v>
      </c>
      <c r="BN95" s="24">
        <v>90</v>
      </c>
      <c r="BO95" s="25"/>
      <c r="BP95" s="43" t="str">
        <f ca="1">IFERROR(MATCH(INDIRECT("$BO$95"),'1.Locations'!$B$2:$B$97, 0) - 1," ")</f>
        <v xml:space="preserve"> </v>
      </c>
      <c r="BQ95" s="43" t="e">
        <f ca="1">IFERROR(IF(ISNUMBER($BP$95),INDEX('1.Locations'!$D$2:$D$97,$BP$95 + 1),NA()),NA())</f>
        <v>#N/A</v>
      </c>
      <c r="BR95" s="43" t="e">
        <f ca="1">IFERROR(IF(ISNUMBER($BP$95),INDEX('1.Locations'!$E$2:$E$97,$BP$95 + 1),NA()),NA())</f>
        <v>#N/A</v>
      </c>
      <c r="BS95" s="44" t="str">
        <f ca="1">IFERROR(IF(AND(ISNUMBER($BP$95),$BP$95&lt;=95),INDEX('2.Distances'!$C$2:$C$9218,$BP$94*96+$BP$95+ 1) +$BS$94," ")," ")</f>
        <v xml:space="preserve"> </v>
      </c>
      <c r="BT95" s="43" t="str">
        <f ca="1">IFERROR(IF(ISNUMBER($BP$95),INDEX('1.Locations'!$J$2:$J$97,$BP$95 + 1) +$BT$94," ")," ")</f>
        <v xml:space="preserve"> </v>
      </c>
      <c r="BU95" s="43" t="str">
        <f ca="1">IFERROR(IF(ISNUMBER($BP$95),INDEX('1.Locations'!$K$2:$K$97,$BP$95 + 1) +$BU$94," ")," ")</f>
        <v xml:space="preserve"> </v>
      </c>
      <c r="BV95" s="45" t="str">
        <f ca="1">IFERROR(IF(AND(ISNUMBER($BP$95),$BP$95&lt;=95),INDEX('2.Distances'!$D$2:$D$9218,$BP$94*96+$BP$95+ 1) +$BV$94," ")," ")</f>
        <v xml:space="preserve"> </v>
      </c>
      <c r="BW95" s="46" t="str">
        <f ca="1">IFERROR(IF(AND(ISNUMBER($BP$95),$BP$95&lt;=95),INDEX('2.Distances'!$D$2:$D$9218,$BP$94*96+$BP$95+ 1) +$BX$94," ")," ")</f>
        <v xml:space="preserve"> </v>
      </c>
      <c r="BX95" s="46" t="str">
        <f ca="1">IFERROR(IF(ISNUMBER($BW$95),INDEX('1.Locations'!$I$2:$I$97,$BP$95 + 1) + MAX($BW$95,INDEX('1.Locations'!$F$2:$F$97,$BP$95 + 1))," ")," ")</f>
        <v xml:space="preserve"> </v>
      </c>
      <c r="BY95" s="45" t="str">
        <f ca="1">IFERROR($BY$94 + INDEX('2.Distances'!$D$2:$D$9218,$BP$94*96+$BP$95+ 1) + INDEX('1.Locations'!$I$2:$I$97,$BP$95 + 1)," ")</f>
        <v xml:space="preserve"> </v>
      </c>
      <c r="CA95" s="24">
        <v>90</v>
      </c>
      <c r="CB95" s="25"/>
      <c r="CC95" s="43" t="str">
        <f ca="1">IFERROR(MATCH(INDIRECT("$CB$95"),'1.Locations'!$B$2:$B$97, 0) - 1," ")</f>
        <v xml:space="preserve"> </v>
      </c>
      <c r="CD95" s="43" t="e">
        <f ca="1">IFERROR(IF(ISNUMBER($CC$95),INDEX('1.Locations'!$D$2:$D$97,$CC$95 + 1),NA()),NA())</f>
        <v>#N/A</v>
      </c>
      <c r="CE95" s="43" t="e">
        <f ca="1">IFERROR(IF(ISNUMBER($CC$95),INDEX('1.Locations'!$E$2:$E$97,$CC$95 + 1),NA()),NA())</f>
        <v>#N/A</v>
      </c>
      <c r="CF95" s="44" t="str">
        <f ca="1">IFERROR(IF(AND(ISNUMBER($CC$95),$CC$95&lt;=95),INDEX('2.Distances'!$C$2:$C$9218,$CC$94*96+$CC$95+ 1) +$CF$94," ")," ")</f>
        <v xml:space="preserve"> </v>
      </c>
      <c r="CG95" s="43" t="str">
        <f ca="1">IFERROR(IF(ISNUMBER($CC$95),INDEX('1.Locations'!$J$2:$J$97,$CC$95 + 1) +$CG$94," ")," ")</f>
        <v xml:space="preserve"> </v>
      </c>
      <c r="CH95" s="43" t="str">
        <f ca="1">IFERROR(IF(ISNUMBER($CC$95),INDEX('1.Locations'!$K$2:$K$97,$CC$95 + 1) +$CH$94," ")," ")</f>
        <v xml:space="preserve"> </v>
      </c>
      <c r="CI95" s="45" t="str">
        <f ca="1">IFERROR(IF(AND(ISNUMBER($CC$95),$CC$95&lt;=95),INDEX('2.Distances'!$D$2:$D$9218,$CC$94*96+$CC$95+ 1) +$CI$94," ")," ")</f>
        <v xml:space="preserve"> </v>
      </c>
      <c r="CJ95" s="46" t="str">
        <f ca="1">IFERROR(IF(AND(ISNUMBER($CC$95),$CC$95&lt;=95),INDEX('2.Distances'!$D$2:$D$9218,$CC$94*96+$CC$95+ 1) +$CK$94," ")," ")</f>
        <v xml:space="preserve"> </v>
      </c>
      <c r="CK95" s="46" t="str">
        <f ca="1">IFERROR(IF(ISNUMBER($CJ$95),INDEX('1.Locations'!$I$2:$I$97,$CC$95 + 1) + MAX($CJ$95,INDEX('1.Locations'!$F$2:$F$97,$CC$95 + 1))," ")," ")</f>
        <v xml:space="preserve"> </v>
      </c>
      <c r="CL95" s="45" t="str">
        <f ca="1">IFERROR($CL$94 + INDEX('2.Distances'!$D$2:$D$9218,$CC$94*96+$CC$95+ 1) + INDEX('1.Locations'!$I$2:$I$97,$CC$95 + 1)," ")</f>
        <v xml:space="preserve"> </v>
      </c>
    </row>
    <row r="96" spans="1:90" x14ac:dyDescent="0.25">
      <c r="A96" s="24">
        <v>91</v>
      </c>
      <c r="B96" s="25"/>
      <c r="C96" s="43" t="str">
        <f ca="1">IFERROR(MATCH(INDIRECT("$B$96"),'1.Locations'!$B$2:$B$97, 0) - 1," ")</f>
        <v xml:space="preserve"> </v>
      </c>
      <c r="D96" s="43" t="e">
        <f ca="1">IFERROR(IF(ISNUMBER($C$96),INDEX('1.Locations'!$D$2:$D$97,$C$96 + 1),NA()),NA())</f>
        <v>#N/A</v>
      </c>
      <c r="E96" s="43" t="e">
        <f ca="1">IFERROR(IF(ISNUMBER($C$96),INDEX('1.Locations'!$E$2:$E$97,$C$96 + 1),NA()),NA())</f>
        <v>#N/A</v>
      </c>
      <c r="F96" s="44" t="str">
        <f ca="1">IFERROR(IF(AND(ISNUMBER($C$96),$C$96&lt;=95),INDEX('2.Distances'!$C$2:$C$9218,$C$95*96+$C$96+ 1) +$F$95," ")," ")</f>
        <v xml:space="preserve"> </v>
      </c>
      <c r="G96" s="43" t="str">
        <f ca="1">IFERROR(IF(ISNUMBER($C$96),INDEX('1.Locations'!$J$2:$J$97,$C$96 + 1) +$G$95," ")," ")</f>
        <v xml:space="preserve"> </v>
      </c>
      <c r="H96" s="43" t="str">
        <f ca="1">IFERROR(IF(ISNUMBER($C$96),INDEX('1.Locations'!$K$2:$K$97,$C$96 + 1) +$H$95," ")," ")</f>
        <v xml:space="preserve"> </v>
      </c>
      <c r="I96" s="45" t="str">
        <f ca="1">IFERROR(IF(AND(ISNUMBER($C$96),$C$96&lt;=95),INDEX('2.Distances'!$D$2:$D$9218,$C$95*96+$C$96+ 1) +$I$95," ")," ")</f>
        <v xml:space="preserve"> </v>
      </c>
      <c r="J96" s="46" t="str">
        <f ca="1">IFERROR(IF(AND(ISNUMBER($C$96),$C$96&lt;=95),INDEX('2.Distances'!$D$2:$D$9218,$C$95*96+$C$96+ 1) +$K$95," ")," ")</f>
        <v xml:space="preserve"> </v>
      </c>
      <c r="K96" s="46" t="str">
        <f ca="1">IFERROR(IF(ISNUMBER($J$96),INDEX('1.Locations'!$I$2:$I$97,$C$96 + 1) + MAX($J$96,INDEX('1.Locations'!$F$2:$F$97,$C$96 + 1))," ")," ")</f>
        <v xml:space="preserve"> </v>
      </c>
      <c r="L96" s="45" t="str">
        <f ca="1">IFERROR($L$95 + INDEX('2.Distances'!$D$2:$D$9218,$C$95*96+$C$96+ 1) + INDEX('1.Locations'!$I$2:$I$97,$C$96 + 1)," ")</f>
        <v xml:space="preserve"> </v>
      </c>
      <c r="N96" s="24">
        <v>91</v>
      </c>
      <c r="O96" s="25"/>
      <c r="P96" s="43" t="str">
        <f ca="1">IFERROR(MATCH(INDIRECT("$O$96"),'1.Locations'!$B$2:$B$97, 0) - 1," ")</f>
        <v xml:space="preserve"> </v>
      </c>
      <c r="Q96" s="43" t="e">
        <f ca="1">IFERROR(IF(ISNUMBER($P$96),INDEX('1.Locations'!$D$2:$D$97,$P$96 + 1),NA()),NA())</f>
        <v>#N/A</v>
      </c>
      <c r="R96" s="43" t="e">
        <f ca="1">IFERROR(IF(ISNUMBER($P$96),INDEX('1.Locations'!$E$2:$E$97,$P$96 + 1),NA()),NA())</f>
        <v>#N/A</v>
      </c>
      <c r="S96" s="44" t="str">
        <f ca="1">IFERROR(IF(AND(ISNUMBER($P$96),$P$96&lt;=95),INDEX('2.Distances'!$C$2:$C$9218,$P$95*96+$P$96+ 1) +$S$95," ")," ")</f>
        <v xml:space="preserve"> </v>
      </c>
      <c r="T96" s="43" t="str">
        <f ca="1">IFERROR(IF(ISNUMBER($P$96),INDEX('1.Locations'!$J$2:$J$97,$P$96 + 1) +$T$95," ")," ")</f>
        <v xml:space="preserve"> </v>
      </c>
      <c r="U96" s="43" t="str">
        <f ca="1">IFERROR(IF(ISNUMBER($P$96),INDEX('1.Locations'!$K$2:$K$97,$P$96 + 1) +$U$95," ")," ")</f>
        <v xml:space="preserve"> </v>
      </c>
      <c r="V96" s="45" t="str">
        <f ca="1">IFERROR(IF(AND(ISNUMBER($P$96),$P$96&lt;=95),INDEX('2.Distances'!$D$2:$D$9218,$P$95*96+$P$96+ 1) +$V$95," ")," ")</f>
        <v xml:space="preserve"> </v>
      </c>
      <c r="W96" s="46" t="str">
        <f ca="1">IFERROR(IF(AND(ISNUMBER($P$96),$P$96&lt;=95),INDEX('2.Distances'!$D$2:$D$9218,$P$95*96+$P$96+ 1) +$X$95," ")," ")</f>
        <v xml:space="preserve"> </v>
      </c>
      <c r="X96" s="46" t="str">
        <f ca="1">IFERROR(IF(ISNUMBER($W$96),INDEX('1.Locations'!$I$2:$I$97,$P$96 + 1) + MAX($W$96,INDEX('1.Locations'!$F$2:$F$97,$P$96 + 1))," ")," ")</f>
        <v xml:space="preserve"> </v>
      </c>
      <c r="Y96" s="45" t="str">
        <f ca="1">IFERROR($Y$95 + INDEX('2.Distances'!$D$2:$D$9218,$P$95*96+$P$96+ 1) + INDEX('1.Locations'!$I$2:$I$97,$P$96 + 1)," ")</f>
        <v xml:space="preserve"> </v>
      </c>
      <c r="AA96" s="24">
        <v>91</v>
      </c>
      <c r="AB96" s="25"/>
      <c r="AC96" s="43" t="str">
        <f ca="1">IFERROR(MATCH(INDIRECT("$AB$96"),'1.Locations'!$B$2:$B$97, 0) - 1," ")</f>
        <v xml:space="preserve"> </v>
      </c>
      <c r="AD96" s="43" t="e">
        <f ca="1">IFERROR(IF(ISNUMBER($AC$96),INDEX('1.Locations'!$D$2:$D$97,$AC$96 + 1),NA()),NA())</f>
        <v>#N/A</v>
      </c>
      <c r="AE96" s="43" t="e">
        <f ca="1">IFERROR(IF(ISNUMBER($AC$96),INDEX('1.Locations'!$E$2:$E$97,$AC$96 + 1),NA()),NA())</f>
        <v>#N/A</v>
      </c>
      <c r="AF96" s="44" t="str">
        <f ca="1">IFERROR(IF(AND(ISNUMBER($AC$96),$AC$96&lt;=95),INDEX('2.Distances'!$C$2:$C$9218,$AC$95*96+$AC$96+ 1) +$AF$95," ")," ")</f>
        <v xml:space="preserve"> </v>
      </c>
      <c r="AG96" s="43" t="str">
        <f ca="1">IFERROR(IF(ISNUMBER($AC$96),INDEX('1.Locations'!$J$2:$J$97,$AC$96 + 1) +$AG$95," ")," ")</f>
        <v xml:space="preserve"> </v>
      </c>
      <c r="AH96" s="43" t="str">
        <f ca="1">IFERROR(IF(ISNUMBER($AC$96),INDEX('1.Locations'!$K$2:$K$97,$AC$96 + 1) +$AH$95," ")," ")</f>
        <v xml:space="preserve"> </v>
      </c>
      <c r="AI96" s="45" t="str">
        <f ca="1">IFERROR(IF(AND(ISNUMBER($AC$96),$AC$96&lt;=95),INDEX('2.Distances'!$D$2:$D$9218,$AC$95*96+$AC$96+ 1) +$AI$95," ")," ")</f>
        <v xml:space="preserve"> </v>
      </c>
      <c r="AJ96" s="46" t="str">
        <f ca="1">IFERROR(IF(AND(ISNUMBER($AC$96),$AC$96&lt;=95),INDEX('2.Distances'!$D$2:$D$9218,$AC$95*96+$AC$96+ 1) +$AK$95," ")," ")</f>
        <v xml:space="preserve"> </v>
      </c>
      <c r="AK96" s="46" t="str">
        <f ca="1">IFERROR(IF(ISNUMBER($AJ$96),INDEX('1.Locations'!$I$2:$I$97,$AC$96 + 1) + MAX($AJ$96,INDEX('1.Locations'!$F$2:$F$97,$AC$96 + 1))," ")," ")</f>
        <v xml:space="preserve"> </v>
      </c>
      <c r="AL96" s="45" t="str">
        <f ca="1">IFERROR($AL$95 + INDEX('2.Distances'!$D$2:$D$9218,$AC$95*96+$AC$96+ 1) + INDEX('1.Locations'!$I$2:$I$97,$AC$96 + 1)," ")</f>
        <v xml:space="preserve"> </v>
      </c>
      <c r="AN96" s="24">
        <v>91</v>
      </c>
      <c r="AO96" s="25"/>
      <c r="AP96" s="43" t="str">
        <f ca="1">IFERROR(MATCH(INDIRECT("$AO$96"),'1.Locations'!$B$2:$B$97, 0) - 1," ")</f>
        <v xml:space="preserve"> </v>
      </c>
      <c r="AQ96" s="43" t="e">
        <f ca="1">IFERROR(IF(ISNUMBER($AP$96),INDEX('1.Locations'!$D$2:$D$97,$AP$96 + 1),NA()),NA())</f>
        <v>#N/A</v>
      </c>
      <c r="AR96" s="43" t="e">
        <f ca="1">IFERROR(IF(ISNUMBER($AP$96),INDEX('1.Locations'!$E$2:$E$97,$AP$96 + 1),NA()),NA())</f>
        <v>#N/A</v>
      </c>
      <c r="AS96" s="44" t="str">
        <f ca="1">IFERROR(IF(AND(ISNUMBER($AP$96),$AP$96&lt;=95),INDEX('2.Distances'!$C$2:$C$9218,$AP$95*96+$AP$96+ 1) +$AS$95," ")," ")</f>
        <v xml:space="preserve"> </v>
      </c>
      <c r="AT96" s="43" t="str">
        <f ca="1">IFERROR(IF(ISNUMBER($AP$96),INDEX('1.Locations'!$J$2:$J$97,$AP$96 + 1) +$AT$95," ")," ")</f>
        <v xml:space="preserve"> </v>
      </c>
      <c r="AU96" s="43" t="str">
        <f ca="1">IFERROR(IF(ISNUMBER($AP$96),INDEX('1.Locations'!$K$2:$K$97,$AP$96 + 1) +$AU$95," ")," ")</f>
        <v xml:space="preserve"> </v>
      </c>
      <c r="AV96" s="45" t="str">
        <f ca="1">IFERROR(IF(AND(ISNUMBER($AP$96),$AP$96&lt;=95),INDEX('2.Distances'!$D$2:$D$9218,$AP$95*96+$AP$96+ 1) +$AV$95," ")," ")</f>
        <v xml:space="preserve"> </v>
      </c>
      <c r="AW96" s="46" t="str">
        <f ca="1">IFERROR(IF(AND(ISNUMBER($AP$96),$AP$96&lt;=95),INDEX('2.Distances'!$D$2:$D$9218,$AP$95*96+$AP$96+ 1) +$AX$95," ")," ")</f>
        <v xml:space="preserve"> </v>
      </c>
      <c r="AX96" s="46" t="str">
        <f ca="1">IFERROR(IF(ISNUMBER($AW$96),INDEX('1.Locations'!$I$2:$I$97,$AP$96 + 1) + MAX($AW$96,INDEX('1.Locations'!$F$2:$F$97,$AP$96 + 1))," ")," ")</f>
        <v xml:space="preserve"> </v>
      </c>
      <c r="AY96" s="45" t="str">
        <f ca="1">IFERROR($AY$95 + INDEX('2.Distances'!$D$2:$D$9218,$AP$95*96+$AP$96+ 1) + INDEX('1.Locations'!$I$2:$I$97,$AP$96 + 1)," ")</f>
        <v xml:space="preserve"> </v>
      </c>
      <c r="BA96" s="24">
        <v>91</v>
      </c>
      <c r="BB96" s="25"/>
      <c r="BC96" s="43" t="str">
        <f ca="1">IFERROR(MATCH(INDIRECT("$BB$96"),'1.Locations'!$B$2:$B$97, 0) - 1," ")</f>
        <v xml:space="preserve"> </v>
      </c>
      <c r="BD96" s="43" t="e">
        <f ca="1">IFERROR(IF(ISNUMBER($BC$96),INDEX('1.Locations'!$D$2:$D$97,$BC$96 + 1),NA()),NA())</f>
        <v>#N/A</v>
      </c>
      <c r="BE96" s="43" t="e">
        <f ca="1">IFERROR(IF(ISNUMBER($BC$96),INDEX('1.Locations'!$E$2:$E$97,$BC$96 + 1),NA()),NA())</f>
        <v>#N/A</v>
      </c>
      <c r="BF96" s="44" t="str">
        <f ca="1">IFERROR(IF(AND(ISNUMBER($BC$96),$BC$96&lt;=95),INDEX('2.Distances'!$C$2:$C$9218,$BC$95*96+$BC$96+ 1) +$BF$95," ")," ")</f>
        <v xml:space="preserve"> </v>
      </c>
      <c r="BG96" s="43" t="str">
        <f ca="1">IFERROR(IF(ISNUMBER($BC$96),INDEX('1.Locations'!$J$2:$J$97,$BC$96 + 1) +$BG$95," ")," ")</f>
        <v xml:space="preserve"> </v>
      </c>
      <c r="BH96" s="43" t="str">
        <f ca="1">IFERROR(IF(ISNUMBER($BC$96),INDEX('1.Locations'!$K$2:$K$97,$BC$96 + 1) +$BH$95," ")," ")</f>
        <v xml:space="preserve"> </v>
      </c>
      <c r="BI96" s="45" t="str">
        <f ca="1">IFERROR(IF(AND(ISNUMBER($BC$96),$BC$96&lt;=95),INDEX('2.Distances'!$D$2:$D$9218,$BC$95*96+$BC$96+ 1) +$BI$95," ")," ")</f>
        <v xml:space="preserve"> </v>
      </c>
      <c r="BJ96" s="46" t="str">
        <f ca="1">IFERROR(IF(AND(ISNUMBER($BC$96),$BC$96&lt;=95),INDEX('2.Distances'!$D$2:$D$9218,$BC$95*96+$BC$96+ 1) +$BK$95," ")," ")</f>
        <v xml:space="preserve"> </v>
      </c>
      <c r="BK96" s="46" t="str">
        <f ca="1">IFERROR(IF(ISNUMBER($BJ$96),INDEX('1.Locations'!$I$2:$I$97,$BC$96 + 1) + MAX($BJ$96,INDEX('1.Locations'!$F$2:$F$97,$BC$96 + 1))," ")," ")</f>
        <v xml:space="preserve"> </v>
      </c>
      <c r="BL96" s="45" t="str">
        <f ca="1">IFERROR($BL$95 + INDEX('2.Distances'!$D$2:$D$9218,$BC$95*96+$BC$96+ 1) + INDEX('1.Locations'!$I$2:$I$97,$BC$96 + 1)," ")</f>
        <v xml:space="preserve"> </v>
      </c>
      <c r="BN96" s="24">
        <v>91</v>
      </c>
      <c r="BO96" s="25"/>
      <c r="BP96" s="43" t="str">
        <f ca="1">IFERROR(MATCH(INDIRECT("$BO$96"),'1.Locations'!$B$2:$B$97, 0) - 1," ")</f>
        <v xml:space="preserve"> </v>
      </c>
      <c r="BQ96" s="43" t="e">
        <f ca="1">IFERROR(IF(ISNUMBER($BP$96),INDEX('1.Locations'!$D$2:$D$97,$BP$96 + 1),NA()),NA())</f>
        <v>#N/A</v>
      </c>
      <c r="BR96" s="43" t="e">
        <f ca="1">IFERROR(IF(ISNUMBER($BP$96),INDEX('1.Locations'!$E$2:$E$97,$BP$96 + 1),NA()),NA())</f>
        <v>#N/A</v>
      </c>
      <c r="BS96" s="44" t="str">
        <f ca="1">IFERROR(IF(AND(ISNUMBER($BP$96),$BP$96&lt;=95),INDEX('2.Distances'!$C$2:$C$9218,$BP$95*96+$BP$96+ 1) +$BS$95," ")," ")</f>
        <v xml:space="preserve"> </v>
      </c>
      <c r="BT96" s="43" t="str">
        <f ca="1">IFERROR(IF(ISNUMBER($BP$96),INDEX('1.Locations'!$J$2:$J$97,$BP$96 + 1) +$BT$95," ")," ")</f>
        <v xml:space="preserve"> </v>
      </c>
      <c r="BU96" s="43" t="str">
        <f ca="1">IFERROR(IF(ISNUMBER($BP$96),INDEX('1.Locations'!$K$2:$K$97,$BP$96 + 1) +$BU$95," ")," ")</f>
        <v xml:space="preserve"> </v>
      </c>
      <c r="BV96" s="45" t="str">
        <f ca="1">IFERROR(IF(AND(ISNUMBER($BP$96),$BP$96&lt;=95),INDEX('2.Distances'!$D$2:$D$9218,$BP$95*96+$BP$96+ 1) +$BV$95," ")," ")</f>
        <v xml:space="preserve"> </v>
      </c>
      <c r="BW96" s="46" t="str">
        <f ca="1">IFERROR(IF(AND(ISNUMBER($BP$96),$BP$96&lt;=95),INDEX('2.Distances'!$D$2:$D$9218,$BP$95*96+$BP$96+ 1) +$BX$95," ")," ")</f>
        <v xml:space="preserve"> </v>
      </c>
      <c r="BX96" s="46" t="str">
        <f ca="1">IFERROR(IF(ISNUMBER($BW$96),INDEX('1.Locations'!$I$2:$I$97,$BP$96 + 1) + MAX($BW$96,INDEX('1.Locations'!$F$2:$F$97,$BP$96 + 1))," ")," ")</f>
        <v xml:space="preserve"> </v>
      </c>
      <c r="BY96" s="45" t="str">
        <f ca="1">IFERROR($BY$95 + INDEX('2.Distances'!$D$2:$D$9218,$BP$95*96+$BP$96+ 1) + INDEX('1.Locations'!$I$2:$I$97,$BP$96 + 1)," ")</f>
        <v xml:space="preserve"> </v>
      </c>
      <c r="CA96" s="24">
        <v>91</v>
      </c>
      <c r="CB96" s="25"/>
      <c r="CC96" s="43" t="str">
        <f ca="1">IFERROR(MATCH(INDIRECT("$CB$96"),'1.Locations'!$B$2:$B$97, 0) - 1," ")</f>
        <v xml:space="preserve"> </v>
      </c>
      <c r="CD96" s="43" t="e">
        <f ca="1">IFERROR(IF(ISNUMBER($CC$96),INDEX('1.Locations'!$D$2:$D$97,$CC$96 + 1),NA()),NA())</f>
        <v>#N/A</v>
      </c>
      <c r="CE96" s="43" t="e">
        <f ca="1">IFERROR(IF(ISNUMBER($CC$96),INDEX('1.Locations'!$E$2:$E$97,$CC$96 + 1),NA()),NA())</f>
        <v>#N/A</v>
      </c>
      <c r="CF96" s="44" t="str">
        <f ca="1">IFERROR(IF(AND(ISNUMBER($CC$96),$CC$96&lt;=95),INDEX('2.Distances'!$C$2:$C$9218,$CC$95*96+$CC$96+ 1) +$CF$95," ")," ")</f>
        <v xml:space="preserve"> </v>
      </c>
      <c r="CG96" s="43" t="str">
        <f ca="1">IFERROR(IF(ISNUMBER($CC$96),INDEX('1.Locations'!$J$2:$J$97,$CC$96 + 1) +$CG$95," ")," ")</f>
        <v xml:space="preserve"> </v>
      </c>
      <c r="CH96" s="43" t="str">
        <f ca="1">IFERROR(IF(ISNUMBER($CC$96),INDEX('1.Locations'!$K$2:$K$97,$CC$96 + 1) +$CH$95," ")," ")</f>
        <v xml:space="preserve"> </v>
      </c>
      <c r="CI96" s="45" t="str">
        <f ca="1">IFERROR(IF(AND(ISNUMBER($CC$96),$CC$96&lt;=95),INDEX('2.Distances'!$D$2:$D$9218,$CC$95*96+$CC$96+ 1) +$CI$95," ")," ")</f>
        <v xml:space="preserve"> </v>
      </c>
      <c r="CJ96" s="46" t="str">
        <f ca="1">IFERROR(IF(AND(ISNUMBER($CC$96),$CC$96&lt;=95),INDEX('2.Distances'!$D$2:$D$9218,$CC$95*96+$CC$96+ 1) +$CK$95," ")," ")</f>
        <v xml:space="preserve"> </v>
      </c>
      <c r="CK96" s="46" t="str">
        <f ca="1">IFERROR(IF(ISNUMBER($CJ$96),INDEX('1.Locations'!$I$2:$I$97,$CC$96 + 1) + MAX($CJ$96,INDEX('1.Locations'!$F$2:$F$97,$CC$96 + 1))," ")," ")</f>
        <v xml:space="preserve"> </v>
      </c>
      <c r="CL96" s="45" t="str">
        <f ca="1">IFERROR($CL$95 + INDEX('2.Distances'!$D$2:$D$9218,$CC$95*96+$CC$96+ 1) + INDEX('1.Locations'!$I$2:$I$97,$CC$96 + 1)," ")</f>
        <v xml:space="preserve"> </v>
      </c>
    </row>
    <row r="97" spans="1:90" x14ac:dyDescent="0.25">
      <c r="A97" s="24">
        <v>92</v>
      </c>
      <c r="B97" s="25"/>
      <c r="C97" s="43" t="str">
        <f ca="1">IFERROR(MATCH(INDIRECT("$B$97"),'1.Locations'!$B$2:$B$97, 0) - 1," ")</f>
        <v xml:space="preserve"> </v>
      </c>
      <c r="D97" s="43" t="e">
        <f ca="1">IFERROR(IF(ISNUMBER($C$97),INDEX('1.Locations'!$D$2:$D$97,$C$97 + 1),NA()),NA())</f>
        <v>#N/A</v>
      </c>
      <c r="E97" s="43" t="e">
        <f ca="1">IFERROR(IF(ISNUMBER($C$97),INDEX('1.Locations'!$E$2:$E$97,$C$97 + 1),NA()),NA())</f>
        <v>#N/A</v>
      </c>
      <c r="F97" s="44" t="str">
        <f ca="1">IFERROR(IF(AND(ISNUMBER($C$97),$C$97&lt;=95),INDEX('2.Distances'!$C$2:$C$9218,$C$96*96+$C$97+ 1) +$F$96," ")," ")</f>
        <v xml:space="preserve"> </v>
      </c>
      <c r="G97" s="43" t="str">
        <f ca="1">IFERROR(IF(ISNUMBER($C$97),INDEX('1.Locations'!$J$2:$J$97,$C$97 + 1) +$G$96," ")," ")</f>
        <v xml:space="preserve"> </v>
      </c>
      <c r="H97" s="43" t="str">
        <f ca="1">IFERROR(IF(ISNUMBER($C$97),INDEX('1.Locations'!$K$2:$K$97,$C$97 + 1) +$H$96," ")," ")</f>
        <v xml:space="preserve"> </v>
      </c>
      <c r="I97" s="45" t="str">
        <f ca="1">IFERROR(IF(AND(ISNUMBER($C$97),$C$97&lt;=95),INDEX('2.Distances'!$D$2:$D$9218,$C$96*96+$C$97+ 1) +$I$96," ")," ")</f>
        <v xml:space="preserve"> </v>
      </c>
      <c r="J97" s="46" t="str">
        <f ca="1">IFERROR(IF(AND(ISNUMBER($C$97),$C$97&lt;=95),INDEX('2.Distances'!$D$2:$D$9218,$C$96*96+$C$97+ 1) +$K$96," ")," ")</f>
        <v xml:space="preserve"> </v>
      </c>
      <c r="K97" s="46" t="str">
        <f ca="1">IFERROR(IF(ISNUMBER($J$97),INDEX('1.Locations'!$I$2:$I$97,$C$97 + 1) + MAX($J$97,INDEX('1.Locations'!$F$2:$F$97,$C$97 + 1))," ")," ")</f>
        <v xml:space="preserve"> </v>
      </c>
      <c r="L97" s="45" t="str">
        <f ca="1">IFERROR($L$96 + INDEX('2.Distances'!$D$2:$D$9218,$C$96*96+$C$97+ 1) + INDEX('1.Locations'!$I$2:$I$97,$C$97 + 1)," ")</f>
        <v xml:space="preserve"> </v>
      </c>
      <c r="N97" s="24">
        <v>92</v>
      </c>
      <c r="O97" s="25"/>
      <c r="P97" s="43" t="str">
        <f ca="1">IFERROR(MATCH(INDIRECT("$O$97"),'1.Locations'!$B$2:$B$97, 0) - 1," ")</f>
        <v xml:space="preserve"> </v>
      </c>
      <c r="Q97" s="43" t="e">
        <f ca="1">IFERROR(IF(ISNUMBER($P$97),INDEX('1.Locations'!$D$2:$D$97,$P$97 + 1),NA()),NA())</f>
        <v>#N/A</v>
      </c>
      <c r="R97" s="43" t="e">
        <f ca="1">IFERROR(IF(ISNUMBER($P$97),INDEX('1.Locations'!$E$2:$E$97,$P$97 + 1),NA()),NA())</f>
        <v>#N/A</v>
      </c>
      <c r="S97" s="44" t="str">
        <f ca="1">IFERROR(IF(AND(ISNUMBER($P$97),$P$97&lt;=95),INDEX('2.Distances'!$C$2:$C$9218,$P$96*96+$P$97+ 1) +$S$96," ")," ")</f>
        <v xml:space="preserve"> </v>
      </c>
      <c r="T97" s="43" t="str">
        <f ca="1">IFERROR(IF(ISNUMBER($P$97),INDEX('1.Locations'!$J$2:$J$97,$P$97 + 1) +$T$96," ")," ")</f>
        <v xml:space="preserve"> </v>
      </c>
      <c r="U97" s="43" t="str">
        <f ca="1">IFERROR(IF(ISNUMBER($P$97),INDEX('1.Locations'!$K$2:$K$97,$P$97 + 1) +$U$96," ")," ")</f>
        <v xml:space="preserve"> </v>
      </c>
      <c r="V97" s="45" t="str">
        <f ca="1">IFERROR(IF(AND(ISNUMBER($P$97),$P$97&lt;=95),INDEX('2.Distances'!$D$2:$D$9218,$P$96*96+$P$97+ 1) +$V$96," ")," ")</f>
        <v xml:space="preserve"> </v>
      </c>
      <c r="W97" s="46" t="str">
        <f ca="1">IFERROR(IF(AND(ISNUMBER($P$97),$P$97&lt;=95),INDEX('2.Distances'!$D$2:$D$9218,$P$96*96+$P$97+ 1) +$X$96," ")," ")</f>
        <v xml:space="preserve"> </v>
      </c>
      <c r="X97" s="46" t="str">
        <f ca="1">IFERROR(IF(ISNUMBER($W$97),INDEX('1.Locations'!$I$2:$I$97,$P$97 + 1) + MAX($W$97,INDEX('1.Locations'!$F$2:$F$97,$P$97 + 1))," ")," ")</f>
        <v xml:space="preserve"> </v>
      </c>
      <c r="Y97" s="45" t="str">
        <f ca="1">IFERROR($Y$96 + INDEX('2.Distances'!$D$2:$D$9218,$P$96*96+$P$97+ 1) + INDEX('1.Locations'!$I$2:$I$97,$P$97 + 1)," ")</f>
        <v xml:space="preserve"> </v>
      </c>
      <c r="AA97" s="24">
        <v>92</v>
      </c>
      <c r="AB97" s="25"/>
      <c r="AC97" s="43" t="str">
        <f ca="1">IFERROR(MATCH(INDIRECT("$AB$97"),'1.Locations'!$B$2:$B$97, 0) - 1," ")</f>
        <v xml:space="preserve"> </v>
      </c>
      <c r="AD97" s="43" t="e">
        <f ca="1">IFERROR(IF(ISNUMBER($AC$97),INDEX('1.Locations'!$D$2:$D$97,$AC$97 + 1),NA()),NA())</f>
        <v>#N/A</v>
      </c>
      <c r="AE97" s="43" t="e">
        <f ca="1">IFERROR(IF(ISNUMBER($AC$97),INDEX('1.Locations'!$E$2:$E$97,$AC$97 + 1),NA()),NA())</f>
        <v>#N/A</v>
      </c>
      <c r="AF97" s="44" t="str">
        <f ca="1">IFERROR(IF(AND(ISNUMBER($AC$97),$AC$97&lt;=95),INDEX('2.Distances'!$C$2:$C$9218,$AC$96*96+$AC$97+ 1) +$AF$96," ")," ")</f>
        <v xml:space="preserve"> </v>
      </c>
      <c r="AG97" s="43" t="str">
        <f ca="1">IFERROR(IF(ISNUMBER($AC$97),INDEX('1.Locations'!$J$2:$J$97,$AC$97 + 1) +$AG$96," ")," ")</f>
        <v xml:space="preserve"> </v>
      </c>
      <c r="AH97" s="43" t="str">
        <f ca="1">IFERROR(IF(ISNUMBER($AC$97),INDEX('1.Locations'!$K$2:$K$97,$AC$97 + 1) +$AH$96," ")," ")</f>
        <v xml:space="preserve"> </v>
      </c>
      <c r="AI97" s="45" t="str">
        <f ca="1">IFERROR(IF(AND(ISNUMBER($AC$97),$AC$97&lt;=95),INDEX('2.Distances'!$D$2:$D$9218,$AC$96*96+$AC$97+ 1) +$AI$96," ")," ")</f>
        <v xml:space="preserve"> </v>
      </c>
      <c r="AJ97" s="46" t="str">
        <f ca="1">IFERROR(IF(AND(ISNUMBER($AC$97),$AC$97&lt;=95),INDEX('2.Distances'!$D$2:$D$9218,$AC$96*96+$AC$97+ 1) +$AK$96," ")," ")</f>
        <v xml:space="preserve"> </v>
      </c>
      <c r="AK97" s="46" t="str">
        <f ca="1">IFERROR(IF(ISNUMBER($AJ$97),INDEX('1.Locations'!$I$2:$I$97,$AC$97 + 1) + MAX($AJ$97,INDEX('1.Locations'!$F$2:$F$97,$AC$97 + 1))," ")," ")</f>
        <v xml:space="preserve"> </v>
      </c>
      <c r="AL97" s="45" t="str">
        <f ca="1">IFERROR($AL$96 + INDEX('2.Distances'!$D$2:$D$9218,$AC$96*96+$AC$97+ 1) + INDEX('1.Locations'!$I$2:$I$97,$AC$97 + 1)," ")</f>
        <v xml:space="preserve"> </v>
      </c>
      <c r="AN97" s="24">
        <v>92</v>
      </c>
      <c r="AO97" s="25"/>
      <c r="AP97" s="43" t="str">
        <f ca="1">IFERROR(MATCH(INDIRECT("$AO$97"),'1.Locations'!$B$2:$B$97, 0) - 1," ")</f>
        <v xml:space="preserve"> </v>
      </c>
      <c r="AQ97" s="43" t="e">
        <f ca="1">IFERROR(IF(ISNUMBER($AP$97),INDEX('1.Locations'!$D$2:$D$97,$AP$97 + 1),NA()),NA())</f>
        <v>#N/A</v>
      </c>
      <c r="AR97" s="43" t="e">
        <f ca="1">IFERROR(IF(ISNUMBER($AP$97),INDEX('1.Locations'!$E$2:$E$97,$AP$97 + 1),NA()),NA())</f>
        <v>#N/A</v>
      </c>
      <c r="AS97" s="44" t="str">
        <f ca="1">IFERROR(IF(AND(ISNUMBER($AP$97),$AP$97&lt;=95),INDEX('2.Distances'!$C$2:$C$9218,$AP$96*96+$AP$97+ 1) +$AS$96," ")," ")</f>
        <v xml:space="preserve"> </v>
      </c>
      <c r="AT97" s="43" t="str">
        <f ca="1">IFERROR(IF(ISNUMBER($AP$97),INDEX('1.Locations'!$J$2:$J$97,$AP$97 + 1) +$AT$96," ")," ")</f>
        <v xml:space="preserve"> </v>
      </c>
      <c r="AU97" s="43" t="str">
        <f ca="1">IFERROR(IF(ISNUMBER($AP$97),INDEX('1.Locations'!$K$2:$K$97,$AP$97 + 1) +$AU$96," ")," ")</f>
        <v xml:space="preserve"> </v>
      </c>
      <c r="AV97" s="45" t="str">
        <f ca="1">IFERROR(IF(AND(ISNUMBER($AP$97),$AP$97&lt;=95),INDEX('2.Distances'!$D$2:$D$9218,$AP$96*96+$AP$97+ 1) +$AV$96," ")," ")</f>
        <v xml:space="preserve"> </v>
      </c>
      <c r="AW97" s="46" t="str">
        <f ca="1">IFERROR(IF(AND(ISNUMBER($AP$97),$AP$97&lt;=95),INDEX('2.Distances'!$D$2:$D$9218,$AP$96*96+$AP$97+ 1) +$AX$96," ")," ")</f>
        <v xml:space="preserve"> </v>
      </c>
      <c r="AX97" s="46" t="str">
        <f ca="1">IFERROR(IF(ISNUMBER($AW$97),INDEX('1.Locations'!$I$2:$I$97,$AP$97 + 1) + MAX($AW$97,INDEX('1.Locations'!$F$2:$F$97,$AP$97 + 1))," ")," ")</f>
        <v xml:space="preserve"> </v>
      </c>
      <c r="AY97" s="45" t="str">
        <f ca="1">IFERROR($AY$96 + INDEX('2.Distances'!$D$2:$D$9218,$AP$96*96+$AP$97+ 1) + INDEX('1.Locations'!$I$2:$I$97,$AP$97 + 1)," ")</f>
        <v xml:space="preserve"> </v>
      </c>
      <c r="BA97" s="24">
        <v>92</v>
      </c>
      <c r="BB97" s="25"/>
      <c r="BC97" s="43" t="str">
        <f ca="1">IFERROR(MATCH(INDIRECT("$BB$97"),'1.Locations'!$B$2:$B$97, 0) - 1," ")</f>
        <v xml:space="preserve"> </v>
      </c>
      <c r="BD97" s="43" t="e">
        <f ca="1">IFERROR(IF(ISNUMBER($BC$97),INDEX('1.Locations'!$D$2:$D$97,$BC$97 + 1),NA()),NA())</f>
        <v>#N/A</v>
      </c>
      <c r="BE97" s="43" t="e">
        <f ca="1">IFERROR(IF(ISNUMBER($BC$97),INDEX('1.Locations'!$E$2:$E$97,$BC$97 + 1),NA()),NA())</f>
        <v>#N/A</v>
      </c>
      <c r="BF97" s="44" t="str">
        <f ca="1">IFERROR(IF(AND(ISNUMBER($BC$97),$BC$97&lt;=95),INDEX('2.Distances'!$C$2:$C$9218,$BC$96*96+$BC$97+ 1) +$BF$96," ")," ")</f>
        <v xml:space="preserve"> </v>
      </c>
      <c r="BG97" s="43" t="str">
        <f ca="1">IFERROR(IF(ISNUMBER($BC$97),INDEX('1.Locations'!$J$2:$J$97,$BC$97 + 1) +$BG$96," ")," ")</f>
        <v xml:space="preserve"> </v>
      </c>
      <c r="BH97" s="43" t="str">
        <f ca="1">IFERROR(IF(ISNUMBER($BC$97),INDEX('1.Locations'!$K$2:$K$97,$BC$97 + 1) +$BH$96," ")," ")</f>
        <v xml:space="preserve"> </v>
      </c>
      <c r="BI97" s="45" t="str">
        <f ca="1">IFERROR(IF(AND(ISNUMBER($BC$97),$BC$97&lt;=95),INDEX('2.Distances'!$D$2:$D$9218,$BC$96*96+$BC$97+ 1) +$BI$96," ")," ")</f>
        <v xml:space="preserve"> </v>
      </c>
      <c r="BJ97" s="46" t="str">
        <f ca="1">IFERROR(IF(AND(ISNUMBER($BC$97),$BC$97&lt;=95),INDEX('2.Distances'!$D$2:$D$9218,$BC$96*96+$BC$97+ 1) +$BK$96," ")," ")</f>
        <v xml:space="preserve"> </v>
      </c>
      <c r="BK97" s="46" t="str">
        <f ca="1">IFERROR(IF(ISNUMBER($BJ$97),INDEX('1.Locations'!$I$2:$I$97,$BC$97 + 1) + MAX($BJ$97,INDEX('1.Locations'!$F$2:$F$97,$BC$97 + 1))," ")," ")</f>
        <v xml:space="preserve"> </v>
      </c>
      <c r="BL97" s="45" t="str">
        <f ca="1">IFERROR($BL$96 + INDEX('2.Distances'!$D$2:$D$9218,$BC$96*96+$BC$97+ 1) + INDEX('1.Locations'!$I$2:$I$97,$BC$97 + 1)," ")</f>
        <v xml:space="preserve"> </v>
      </c>
      <c r="BN97" s="24">
        <v>92</v>
      </c>
      <c r="BO97" s="25"/>
      <c r="BP97" s="43" t="str">
        <f ca="1">IFERROR(MATCH(INDIRECT("$BO$97"),'1.Locations'!$B$2:$B$97, 0) - 1," ")</f>
        <v xml:space="preserve"> </v>
      </c>
      <c r="BQ97" s="43" t="e">
        <f ca="1">IFERROR(IF(ISNUMBER($BP$97),INDEX('1.Locations'!$D$2:$D$97,$BP$97 + 1),NA()),NA())</f>
        <v>#N/A</v>
      </c>
      <c r="BR97" s="43" t="e">
        <f ca="1">IFERROR(IF(ISNUMBER($BP$97),INDEX('1.Locations'!$E$2:$E$97,$BP$97 + 1),NA()),NA())</f>
        <v>#N/A</v>
      </c>
      <c r="BS97" s="44" t="str">
        <f ca="1">IFERROR(IF(AND(ISNUMBER($BP$97),$BP$97&lt;=95),INDEX('2.Distances'!$C$2:$C$9218,$BP$96*96+$BP$97+ 1) +$BS$96," ")," ")</f>
        <v xml:space="preserve"> </v>
      </c>
      <c r="BT97" s="43" t="str">
        <f ca="1">IFERROR(IF(ISNUMBER($BP$97),INDEX('1.Locations'!$J$2:$J$97,$BP$97 + 1) +$BT$96," ")," ")</f>
        <v xml:space="preserve"> </v>
      </c>
      <c r="BU97" s="43" t="str">
        <f ca="1">IFERROR(IF(ISNUMBER($BP$97),INDEX('1.Locations'!$K$2:$K$97,$BP$97 + 1) +$BU$96," ")," ")</f>
        <v xml:space="preserve"> </v>
      </c>
      <c r="BV97" s="45" t="str">
        <f ca="1">IFERROR(IF(AND(ISNUMBER($BP$97),$BP$97&lt;=95),INDEX('2.Distances'!$D$2:$D$9218,$BP$96*96+$BP$97+ 1) +$BV$96," ")," ")</f>
        <v xml:space="preserve"> </v>
      </c>
      <c r="BW97" s="46" t="str">
        <f ca="1">IFERROR(IF(AND(ISNUMBER($BP$97),$BP$97&lt;=95),INDEX('2.Distances'!$D$2:$D$9218,$BP$96*96+$BP$97+ 1) +$BX$96," ")," ")</f>
        <v xml:space="preserve"> </v>
      </c>
      <c r="BX97" s="46" t="str">
        <f ca="1">IFERROR(IF(ISNUMBER($BW$97),INDEX('1.Locations'!$I$2:$I$97,$BP$97 + 1) + MAX($BW$97,INDEX('1.Locations'!$F$2:$F$97,$BP$97 + 1))," ")," ")</f>
        <v xml:space="preserve"> </v>
      </c>
      <c r="BY97" s="45" t="str">
        <f ca="1">IFERROR($BY$96 + INDEX('2.Distances'!$D$2:$D$9218,$BP$96*96+$BP$97+ 1) + INDEX('1.Locations'!$I$2:$I$97,$BP$97 + 1)," ")</f>
        <v xml:space="preserve"> </v>
      </c>
      <c r="CA97" s="24">
        <v>92</v>
      </c>
      <c r="CB97" s="25"/>
      <c r="CC97" s="43" t="str">
        <f ca="1">IFERROR(MATCH(INDIRECT("$CB$97"),'1.Locations'!$B$2:$B$97, 0) - 1," ")</f>
        <v xml:space="preserve"> </v>
      </c>
      <c r="CD97" s="43" t="e">
        <f ca="1">IFERROR(IF(ISNUMBER($CC$97),INDEX('1.Locations'!$D$2:$D$97,$CC$97 + 1),NA()),NA())</f>
        <v>#N/A</v>
      </c>
      <c r="CE97" s="43" t="e">
        <f ca="1">IFERROR(IF(ISNUMBER($CC$97),INDEX('1.Locations'!$E$2:$E$97,$CC$97 + 1),NA()),NA())</f>
        <v>#N/A</v>
      </c>
      <c r="CF97" s="44" t="str">
        <f ca="1">IFERROR(IF(AND(ISNUMBER($CC$97),$CC$97&lt;=95),INDEX('2.Distances'!$C$2:$C$9218,$CC$96*96+$CC$97+ 1) +$CF$96," ")," ")</f>
        <v xml:space="preserve"> </v>
      </c>
      <c r="CG97" s="43" t="str">
        <f ca="1">IFERROR(IF(ISNUMBER($CC$97),INDEX('1.Locations'!$J$2:$J$97,$CC$97 + 1) +$CG$96," ")," ")</f>
        <v xml:space="preserve"> </v>
      </c>
      <c r="CH97" s="43" t="str">
        <f ca="1">IFERROR(IF(ISNUMBER($CC$97),INDEX('1.Locations'!$K$2:$K$97,$CC$97 + 1) +$CH$96," ")," ")</f>
        <v xml:space="preserve"> </v>
      </c>
      <c r="CI97" s="45" t="str">
        <f ca="1">IFERROR(IF(AND(ISNUMBER($CC$97),$CC$97&lt;=95),INDEX('2.Distances'!$D$2:$D$9218,$CC$96*96+$CC$97+ 1) +$CI$96," ")," ")</f>
        <v xml:space="preserve"> </v>
      </c>
      <c r="CJ97" s="46" t="str">
        <f ca="1">IFERROR(IF(AND(ISNUMBER($CC$97),$CC$97&lt;=95),INDEX('2.Distances'!$D$2:$D$9218,$CC$96*96+$CC$97+ 1) +$CK$96," ")," ")</f>
        <v xml:space="preserve"> </v>
      </c>
      <c r="CK97" s="46" t="str">
        <f ca="1">IFERROR(IF(ISNUMBER($CJ$97),INDEX('1.Locations'!$I$2:$I$97,$CC$97 + 1) + MAX($CJ$97,INDEX('1.Locations'!$F$2:$F$97,$CC$97 + 1))," ")," ")</f>
        <v xml:space="preserve"> </v>
      </c>
      <c r="CL97" s="45" t="str">
        <f ca="1">IFERROR($CL$96 + INDEX('2.Distances'!$D$2:$D$9218,$CC$96*96+$CC$97+ 1) + INDEX('1.Locations'!$I$2:$I$97,$CC$97 + 1)," ")</f>
        <v xml:space="preserve"> </v>
      </c>
    </row>
    <row r="98" spans="1:90" x14ac:dyDescent="0.25">
      <c r="A98" s="24">
        <v>93</v>
      </c>
      <c r="B98" s="25"/>
      <c r="C98" s="43" t="str">
        <f ca="1">IFERROR(MATCH(INDIRECT("$B$98"),'1.Locations'!$B$2:$B$97, 0) - 1," ")</f>
        <v xml:space="preserve"> </v>
      </c>
      <c r="D98" s="43" t="e">
        <f ca="1">IFERROR(IF(ISNUMBER($C$98),INDEX('1.Locations'!$D$2:$D$97,$C$98 + 1),NA()),NA())</f>
        <v>#N/A</v>
      </c>
      <c r="E98" s="43" t="e">
        <f ca="1">IFERROR(IF(ISNUMBER($C$98),INDEX('1.Locations'!$E$2:$E$97,$C$98 + 1),NA()),NA())</f>
        <v>#N/A</v>
      </c>
      <c r="F98" s="44" t="str">
        <f ca="1">IFERROR(IF(AND(ISNUMBER($C$98),$C$98&lt;=95),INDEX('2.Distances'!$C$2:$C$9218,$C$97*96+$C$98+ 1) +$F$97," ")," ")</f>
        <v xml:space="preserve"> </v>
      </c>
      <c r="G98" s="43" t="str">
        <f ca="1">IFERROR(IF(ISNUMBER($C$98),INDEX('1.Locations'!$J$2:$J$97,$C$98 + 1) +$G$97," ")," ")</f>
        <v xml:space="preserve"> </v>
      </c>
      <c r="H98" s="43" t="str">
        <f ca="1">IFERROR(IF(ISNUMBER($C$98),INDEX('1.Locations'!$K$2:$K$97,$C$98 + 1) +$H$97," ")," ")</f>
        <v xml:space="preserve"> </v>
      </c>
      <c r="I98" s="45" t="str">
        <f ca="1">IFERROR(IF(AND(ISNUMBER($C$98),$C$98&lt;=95),INDEX('2.Distances'!$D$2:$D$9218,$C$97*96+$C$98+ 1) +$I$97," ")," ")</f>
        <v xml:space="preserve"> </v>
      </c>
      <c r="J98" s="46" t="str">
        <f ca="1">IFERROR(IF(AND(ISNUMBER($C$98),$C$98&lt;=95),INDEX('2.Distances'!$D$2:$D$9218,$C$97*96+$C$98+ 1) +$K$97," ")," ")</f>
        <v xml:space="preserve"> </v>
      </c>
      <c r="K98" s="46" t="str">
        <f ca="1">IFERROR(IF(ISNUMBER($J$98),INDEX('1.Locations'!$I$2:$I$97,$C$98 + 1) + MAX($J$98,INDEX('1.Locations'!$F$2:$F$97,$C$98 + 1))," ")," ")</f>
        <v xml:space="preserve"> </v>
      </c>
      <c r="L98" s="45" t="str">
        <f ca="1">IFERROR($L$97 + INDEX('2.Distances'!$D$2:$D$9218,$C$97*96+$C$98+ 1) + INDEX('1.Locations'!$I$2:$I$97,$C$98 + 1)," ")</f>
        <v xml:space="preserve"> </v>
      </c>
      <c r="N98" s="24">
        <v>93</v>
      </c>
      <c r="O98" s="25"/>
      <c r="P98" s="43" t="str">
        <f ca="1">IFERROR(MATCH(INDIRECT("$O$98"),'1.Locations'!$B$2:$B$97, 0) - 1," ")</f>
        <v xml:space="preserve"> </v>
      </c>
      <c r="Q98" s="43" t="e">
        <f ca="1">IFERROR(IF(ISNUMBER($P$98),INDEX('1.Locations'!$D$2:$D$97,$P$98 + 1),NA()),NA())</f>
        <v>#N/A</v>
      </c>
      <c r="R98" s="43" t="e">
        <f ca="1">IFERROR(IF(ISNUMBER($P$98),INDEX('1.Locations'!$E$2:$E$97,$P$98 + 1),NA()),NA())</f>
        <v>#N/A</v>
      </c>
      <c r="S98" s="44" t="str">
        <f ca="1">IFERROR(IF(AND(ISNUMBER($P$98),$P$98&lt;=95),INDEX('2.Distances'!$C$2:$C$9218,$P$97*96+$P$98+ 1) +$S$97," ")," ")</f>
        <v xml:space="preserve"> </v>
      </c>
      <c r="T98" s="43" t="str">
        <f ca="1">IFERROR(IF(ISNUMBER($P$98),INDEX('1.Locations'!$J$2:$J$97,$P$98 + 1) +$T$97," ")," ")</f>
        <v xml:space="preserve"> </v>
      </c>
      <c r="U98" s="43" t="str">
        <f ca="1">IFERROR(IF(ISNUMBER($P$98),INDEX('1.Locations'!$K$2:$K$97,$P$98 + 1) +$U$97," ")," ")</f>
        <v xml:space="preserve"> </v>
      </c>
      <c r="V98" s="45" t="str">
        <f ca="1">IFERROR(IF(AND(ISNUMBER($P$98),$P$98&lt;=95),INDEX('2.Distances'!$D$2:$D$9218,$P$97*96+$P$98+ 1) +$V$97," ")," ")</f>
        <v xml:space="preserve"> </v>
      </c>
      <c r="W98" s="46" t="str">
        <f ca="1">IFERROR(IF(AND(ISNUMBER($P$98),$P$98&lt;=95),INDEX('2.Distances'!$D$2:$D$9218,$P$97*96+$P$98+ 1) +$X$97," ")," ")</f>
        <v xml:space="preserve"> </v>
      </c>
      <c r="X98" s="46" t="str">
        <f ca="1">IFERROR(IF(ISNUMBER($W$98),INDEX('1.Locations'!$I$2:$I$97,$P$98 + 1) + MAX($W$98,INDEX('1.Locations'!$F$2:$F$97,$P$98 + 1))," ")," ")</f>
        <v xml:space="preserve"> </v>
      </c>
      <c r="Y98" s="45" t="str">
        <f ca="1">IFERROR($Y$97 + INDEX('2.Distances'!$D$2:$D$9218,$P$97*96+$P$98+ 1) + INDEX('1.Locations'!$I$2:$I$97,$P$98 + 1)," ")</f>
        <v xml:space="preserve"> </v>
      </c>
      <c r="AA98" s="24">
        <v>93</v>
      </c>
      <c r="AB98" s="25"/>
      <c r="AC98" s="43" t="str">
        <f ca="1">IFERROR(MATCH(INDIRECT("$AB$98"),'1.Locations'!$B$2:$B$97, 0) - 1," ")</f>
        <v xml:space="preserve"> </v>
      </c>
      <c r="AD98" s="43" t="e">
        <f ca="1">IFERROR(IF(ISNUMBER($AC$98),INDEX('1.Locations'!$D$2:$D$97,$AC$98 + 1),NA()),NA())</f>
        <v>#N/A</v>
      </c>
      <c r="AE98" s="43" t="e">
        <f ca="1">IFERROR(IF(ISNUMBER($AC$98),INDEX('1.Locations'!$E$2:$E$97,$AC$98 + 1),NA()),NA())</f>
        <v>#N/A</v>
      </c>
      <c r="AF98" s="44" t="str">
        <f ca="1">IFERROR(IF(AND(ISNUMBER($AC$98),$AC$98&lt;=95),INDEX('2.Distances'!$C$2:$C$9218,$AC$97*96+$AC$98+ 1) +$AF$97," ")," ")</f>
        <v xml:space="preserve"> </v>
      </c>
      <c r="AG98" s="43" t="str">
        <f ca="1">IFERROR(IF(ISNUMBER($AC$98),INDEX('1.Locations'!$J$2:$J$97,$AC$98 + 1) +$AG$97," ")," ")</f>
        <v xml:space="preserve"> </v>
      </c>
      <c r="AH98" s="43" t="str">
        <f ca="1">IFERROR(IF(ISNUMBER($AC$98),INDEX('1.Locations'!$K$2:$K$97,$AC$98 + 1) +$AH$97," ")," ")</f>
        <v xml:space="preserve"> </v>
      </c>
      <c r="AI98" s="45" t="str">
        <f ca="1">IFERROR(IF(AND(ISNUMBER($AC$98),$AC$98&lt;=95),INDEX('2.Distances'!$D$2:$D$9218,$AC$97*96+$AC$98+ 1) +$AI$97," ")," ")</f>
        <v xml:space="preserve"> </v>
      </c>
      <c r="AJ98" s="46" t="str">
        <f ca="1">IFERROR(IF(AND(ISNUMBER($AC$98),$AC$98&lt;=95),INDEX('2.Distances'!$D$2:$D$9218,$AC$97*96+$AC$98+ 1) +$AK$97," ")," ")</f>
        <v xml:space="preserve"> </v>
      </c>
      <c r="AK98" s="46" t="str">
        <f ca="1">IFERROR(IF(ISNUMBER($AJ$98),INDEX('1.Locations'!$I$2:$I$97,$AC$98 + 1) + MAX($AJ$98,INDEX('1.Locations'!$F$2:$F$97,$AC$98 + 1))," ")," ")</f>
        <v xml:space="preserve"> </v>
      </c>
      <c r="AL98" s="45" t="str">
        <f ca="1">IFERROR($AL$97 + INDEX('2.Distances'!$D$2:$D$9218,$AC$97*96+$AC$98+ 1) + INDEX('1.Locations'!$I$2:$I$97,$AC$98 + 1)," ")</f>
        <v xml:space="preserve"> </v>
      </c>
      <c r="AN98" s="24">
        <v>93</v>
      </c>
      <c r="AO98" s="25"/>
      <c r="AP98" s="43" t="str">
        <f ca="1">IFERROR(MATCH(INDIRECT("$AO$98"),'1.Locations'!$B$2:$B$97, 0) - 1," ")</f>
        <v xml:space="preserve"> </v>
      </c>
      <c r="AQ98" s="43" t="e">
        <f ca="1">IFERROR(IF(ISNUMBER($AP$98),INDEX('1.Locations'!$D$2:$D$97,$AP$98 + 1),NA()),NA())</f>
        <v>#N/A</v>
      </c>
      <c r="AR98" s="43" t="e">
        <f ca="1">IFERROR(IF(ISNUMBER($AP$98),INDEX('1.Locations'!$E$2:$E$97,$AP$98 + 1),NA()),NA())</f>
        <v>#N/A</v>
      </c>
      <c r="AS98" s="44" t="str">
        <f ca="1">IFERROR(IF(AND(ISNUMBER($AP$98),$AP$98&lt;=95),INDEX('2.Distances'!$C$2:$C$9218,$AP$97*96+$AP$98+ 1) +$AS$97," ")," ")</f>
        <v xml:space="preserve"> </v>
      </c>
      <c r="AT98" s="43" t="str">
        <f ca="1">IFERROR(IF(ISNUMBER($AP$98),INDEX('1.Locations'!$J$2:$J$97,$AP$98 + 1) +$AT$97," ")," ")</f>
        <v xml:space="preserve"> </v>
      </c>
      <c r="AU98" s="43" t="str">
        <f ca="1">IFERROR(IF(ISNUMBER($AP$98),INDEX('1.Locations'!$K$2:$K$97,$AP$98 + 1) +$AU$97," ")," ")</f>
        <v xml:space="preserve"> </v>
      </c>
      <c r="AV98" s="45" t="str">
        <f ca="1">IFERROR(IF(AND(ISNUMBER($AP$98),$AP$98&lt;=95),INDEX('2.Distances'!$D$2:$D$9218,$AP$97*96+$AP$98+ 1) +$AV$97," ")," ")</f>
        <v xml:space="preserve"> </v>
      </c>
      <c r="AW98" s="46" t="str">
        <f ca="1">IFERROR(IF(AND(ISNUMBER($AP$98),$AP$98&lt;=95),INDEX('2.Distances'!$D$2:$D$9218,$AP$97*96+$AP$98+ 1) +$AX$97," ")," ")</f>
        <v xml:space="preserve"> </v>
      </c>
      <c r="AX98" s="46" t="str">
        <f ca="1">IFERROR(IF(ISNUMBER($AW$98),INDEX('1.Locations'!$I$2:$I$97,$AP$98 + 1) + MAX($AW$98,INDEX('1.Locations'!$F$2:$F$97,$AP$98 + 1))," ")," ")</f>
        <v xml:space="preserve"> </v>
      </c>
      <c r="AY98" s="45" t="str">
        <f ca="1">IFERROR($AY$97 + INDEX('2.Distances'!$D$2:$D$9218,$AP$97*96+$AP$98+ 1) + INDEX('1.Locations'!$I$2:$I$97,$AP$98 + 1)," ")</f>
        <v xml:space="preserve"> </v>
      </c>
      <c r="BA98" s="24">
        <v>93</v>
      </c>
      <c r="BB98" s="25"/>
      <c r="BC98" s="43" t="str">
        <f ca="1">IFERROR(MATCH(INDIRECT("$BB$98"),'1.Locations'!$B$2:$B$97, 0) - 1," ")</f>
        <v xml:space="preserve"> </v>
      </c>
      <c r="BD98" s="43" t="e">
        <f ca="1">IFERROR(IF(ISNUMBER($BC$98),INDEX('1.Locations'!$D$2:$D$97,$BC$98 + 1),NA()),NA())</f>
        <v>#N/A</v>
      </c>
      <c r="BE98" s="43" t="e">
        <f ca="1">IFERROR(IF(ISNUMBER($BC$98),INDEX('1.Locations'!$E$2:$E$97,$BC$98 + 1),NA()),NA())</f>
        <v>#N/A</v>
      </c>
      <c r="BF98" s="44" t="str">
        <f ca="1">IFERROR(IF(AND(ISNUMBER($BC$98),$BC$98&lt;=95),INDEX('2.Distances'!$C$2:$C$9218,$BC$97*96+$BC$98+ 1) +$BF$97," ")," ")</f>
        <v xml:space="preserve"> </v>
      </c>
      <c r="BG98" s="43" t="str">
        <f ca="1">IFERROR(IF(ISNUMBER($BC$98),INDEX('1.Locations'!$J$2:$J$97,$BC$98 + 1) +$BG$97," ")," ")</f>
        <v xml:space="preserve"> </v>
      </c>
      <c r="BH98" s="43" t="str">
        <f ca="1">IFERROR(IF(ISNUMBER($BC$98),INDEX('1.Locations'!$K$2:$K$97,$BC$98 + 1) +$BH$97," ")," ")</f>
        <v xml:space="preserve"> </v>
      </c>
      <c r="BI98" s="45" t="str">
        <f ca="1">IFERROR(IF(AND(ISNUMBER($BC$98),$BC$98&lt;=95),INDEX('2.Distances'!$D$2:$D$9218,$BC$97*96+$BC$98+ 1) +$BI$97," ")," ")</f>
        <v xml:space="preserve"> </v>
      </c>
      <c r="BJ98" s="46" t="str">
        <f ca="1">IFERROR(IF(AND(ISNUMBER($BC$98),$BC$98&lt;=95),INDEX('2.Distances'!$D$2:$D$9218,$BC$97*96+$BC$98+ 1) +$BK$97," ")," ")</f>
        <v xml:space="preserve"> </v>
      </c>
      <c r="BK98" s="46" t="str">
        <f ca="1">IFERROR(IF(ISNUMBER($BJ$98),INDEX('1.Locations'!$I$2:$I$97,$BC$98 + 1) + MAX($BJ$98,INDEX('1.Locations'!$F$2:$F$97,$BC$98 + 1))," ")," ")</f>
        <v xml:space="preserve"> </v>
      </c>
      <c r="BL98" s="45" t="str">
        <f ca="1">IFERROR($BL$97 + INDEX('2.Distances'!$D$2:$D$9218,$BC$97*96+$BC$98+ 1) + INDEX('1.Locations'!$I$2:$I$97,$BC$98 + 1)," ")</f>
        <v xml:space="preserve"> </v>
      </c>
      <c r="BN98" s="24">
        <v>93</v>
      </c>
      <c r="BO98" s="25"/>
      <c r="BP98" s="43" t="str">
        <f ca="1">IFERROR(MATCH(INDIRECT("$BO$98"),'1.Locations'!$B$2:$B$97, 0) - 1," ")</f>
        <v xml:space="preserve"> </v>
      </c>
      <c r="BQ98" s="43" t="e">
        <f ca="1">IFERROR(IF(ISNUMBER($BP$98),INDEX('1.Locations'!$D$2:$D$97,$BP$98 + 1),NA()),NA())</f>
        <v>#N/A</v>
      </c>
      <c r="BR98" s="43" t="e">
        <f ca="1">IFERROR(IF(ISNUMBER($BP$98),INDEX('1.Locations'!$E$2:$E$97,$BP$98 + 1),NA()),NA())</f>
        <v>#N/A</v>
      </c>
      <c r="BS98" s="44" t="str">
        <f ca="1">IFERROR(IF(AND(ISNUMBER($BP$98),$BP$98&lt;=95),INDEX('2.Distances'!$C$2:$C$9218,$BP$97*96+$BP$98+ 1) +$BS$97," ")," ")</f>
        <v xml:space="preserve"> </v>
      </c>
      <c r="BT98" s="43" t="str">
        <f ca="1">IFERROR(IF(ISNUMBER($BP$98),INDEX('1.Locations'!$J$2:$J$97,$BP$98 + 1) +$BT$97," ")," ")</f>
        <v xml:space="preserve"> </v>
      </c>
      <c r="BU98" s="43" t="str">
        <f ca="1">IFERROR(IF(ISNUMBER($BP$98),INDEX('1.Locations'!$K$2:$K$97,$BP$98 + 1) +$BU$97," ")," ")</f>
        <v xml:space="preserve"> </v>
      </c>
      <c r="BV98" s="45" t="str">
        <f ca="1">IFERROR(IF(AND(ISNUMBER($BP$98),$BP$98&lt;=95),INDEX('2.Distances'!$D$2:$D$9218,$BP$97*96+$BP$98+ 1) +$BV$97," ")," ")</f>
        <v xml:space="preserve"> </v>
      </c>
      <c r="BW98" s="46" t="str">
        <f ca="1">IFERROR(IF(AND(ISNUMBER($BP$98),$BP$98&lt;=95),INDEX('2.Distances'!$D$2:$D$9218,$BP$97*96+$BP$98+ 1) +$BX$97," ")," ")</f>
        <v xml:space="preserve"> </v>
      </c>
      <c r="BX98" s="46" t="str">
        <f ca="1">IFERROR(IF(ISNUMBER($BW$98),INDEX('1.Locations'!$I$2:$I$97,$BP$98 + 1) + MAX($BW$98,INDEX('1.Locations'!$F$2:$F$97,$BP$98 + 1))," ")," ")</f>
        <v xml:space="preserve"> </v>
      </c>
      <c r="BY98" s="45" t="str">
        <f ca="1">IFERROR($BY$97 + INDEX('2.Distances'!$D$2:$D$9218,$BP$97*96+$BP$98+ 1) + INDEX('1.Locations'!$I$2:$I$97,$BP$98 + 1)," ")</f>
        <v xml:space="preserve"> </v>
      </c>
      <c r="CA98" s="24">
        <v>93</v>
      </c>
      <c r="CB98" s="25"/>
      <c r="CC98" s="43" t="str">
        <f ca="1">IFERROR(MATCH(INDIRECT("$CB$98"),'1.Locations'!$B$2:$B$97, 0) - 1," ")</f>
        <v xml:space="preserve"> </v>
      </c>
      <c r="CD98" s="43" t="e">
        <f ca="1">IFERROR(IF(ISNUMBER($CC$98),INDEX('1.Locations'!$D$2:$D$97,$CC$98 + 1),NA()),NA())</f>
        <v>#N/A</v>
      </c>
      <c r="CE98" s="43" t="e">
        <f ca="1">IFERROR(IF(ISNUMBER($CC$98),INDEX('1.Locations'!$E$2:$E$97,$CC$98 + 1),NA()),NA())</f>
        <v>#N/A</v>
      </c>
      <c r="CF98" s="44" t="str">
        <f ca="1">IFERROR(IF(AND(ISNUMBER($CC$98),$CC$98&lt;=95),INDEX('2.Distances'!$C$2:$C$9218,$CC$97*96+$CC$98+ 1) +$CF$97," ")," ")</f>
        <v xml:space="preserve"> </v>
      </c>
      <c r="CG98" s="43" t="str">
        <f ca="1">IFERROR(IF(ISNUMBER($CC$98),INDEX('1.Locations'!$J$2:$J$97,$CC$98 + 1) +$CG$97," ")," ")</f>
        <v xml:space="preserve"> </v>
      </c>
      <c r="CH98" s="43" t="str">
        <f ca="1">IFERROR(IF(ISNUMBER($CC$98),INDEX('1.Locations'!$K$2:$K$97,$CC$98 + 1) +$CH$97," ")," ")</f>
        <v xml:space="preserve"> </v>
      </c>
      <c r="CI98" s="45" t="str">
        <f ca="1">IFERROR(IF(AND(ISNUMBER($CC$98),$CC$98&lt;=95),INDEX('2.Distances'!$D$2:$D$9218,$CC$97*96+$CC$98+ 1) +$CI$97," ")," ")</f>
        <v xml:space="preserve"> </v>
      </c>
      <c r="CJ98" s="46" t="str">
        <f ca="1">IFERROR(IF(AND(ISNUMBER($CC$98),$CC$98&lt;=95),INDEX('2.Distances'!$D$2:$D$9218,$CC$97*96+$CC$98+ 1) +$CK$97," ")," ")</f>
        <v xml:space="preserve"> </v>
      </c>
      <c r="CK98" s="46" t="str">
        <f ca="1">IFERROR(IF(ISNUMBER($CJ$98),INDEX('1.Locations'!$I$2:$I$97,$CC$98 + 1) + MAX($CJ$98,INDEX('1.Locations'!$F$2:$F$97,$CC$98 + 1))," ")," ")</f>
        <v xml:space="preserve"> </v>
      </c>
      <c r="CL98" s="45" t="str">
        <f ca="1">IFERROR($CL$97 + INDEX('2.Distances'!$D$2:$D$9218,$CC$97*96+$CC$98+ 1) + INDEX('1.Locations'!$I$2:$I$97,$CC$98 + 1)," ")</f>
        <v xml:space="preserve"> </v>
      </c>
    </row>
    <row r="99" spans="1:90" x14ac:dyDescent="0.25">
      <c r="A99" s="24">
        <v>94</v>
      </c>
      <c r="B99" s="25"/>
      <c r="C99" s="43" t="str">
        <f ca="1">IFERROR(MATCH(INDIRECT("$B$99"),'1.Locations'!$B$2:$B$97, 0) - 1," ")</f>
        <v xml:space="preserve"> </v>
      </c>
      <c r="D99" s="43" t="e">
        <f ca="1">IFERROR(IF(ISNUMBER($C$99),INDEX('1.Locations'!$D$2:$D$97,$C$99 + 1),NA()),NA())</f>
        <v>#N/A</v>
      </c>
      <c r="E99" s="43" t="e">
        <f ca="1">IFERROR(IF(ISNUMBER($C$99),INDEX('1.Locations'!$E$2:$E$97,$C$99 + 1),NA()),NA())</f>
        <v>#N/A</v>
      </c>
      <c r="F99" s="44" t="str">
        <f ca="1">IFERROR(IF(AND(ISNUMBER($C$99),$C$99&lt;=95),INDEX('2.Distances'!$C$2:$C$9218,$C$98*96+$C$99+ 1) +$F$98," ")," ")</f>
        <v xml:space="preserve"> </v>
      </c>
      <c r="G99" s="43" t="str">
        <f ca="1">IFERROR(IF(ISNUMBER($C$99),INDEX('1.Locations'!$J$2:$J$97,$C$99 + 1) +$G$98," ")," ")</f>
        <v xml:space="preserve"> </v>
      </c>
      <c r="H99" s="43" t="str">
        <f ca="1">IFERROR(IF(ISNUMBER($C$99),INDEX('1.Locations'!$K$2:$K$97,$C$99 + 1) +$H$98," ")," ")</f>
        <v xml:space="preserve"> </v>
      </c>
      <c r="I99" s="45" t="str">
        <f ca="1">IFERROR(IF(AND(ISNUMBER($C$99),$C$99&lt;=95),INDEX('2.Distances'!$D$2:$D$9218,$C$98*96+$C$99+ 1) +$I$98," ")," ")</f>
        <v xml:space="preserve"> </v>
      </c>
      <c r="J99" s="46" t="str">
        <f ca="1">IFERROR(IF(AND(ISNUMBER($C$99),$C$99&lt;=95),INDEX('2.Distances'!$D$2:$D$9218,$C$98*96+$C$99+ 1) +$K$98," ")," ")</f>
        <v xml:space="preserve"> </v>
      </c>
      <c r="K99" s="46" t="str">
        <f ca="1">IFERROR(IF(ISNUMBER($J$99),INDEX('1.Locations'!$I$2:$I$97,$C$99 + 1) + MAX($J$99,INDEX('1.Locations'!$F$2:$F$97,$C$99 + 1))," ")," ")</f>
        <v xml:space="preserve"> </v>
      </c>
      <c r="L99" s="45" t="str">
        <f ca="1">IFERROR($L$98 + INDEX('2.Distances'!$D$2:$D$9218,$C$98*96+$C$99+ 1) + INDEX('1.Locations'!$I$2:$I$97,$C$99 + 1)," ")</f>
        <v xml:space="preserve"> </v>
      </c>
      <c r="N99" s="24">
        <v>94</v>
      </c>
      <c r="O99" s="25"/>
      <c r="P99" s="43" t="str">
        <f ca="1">IFERROR(MATCH(INDIRECT("$O$99"),'1.Locations'!$B$2:$B$97, 0) - 1," ")</f>
        <v xml:space="preserve"> </v>
      </c>
      <c r="Q99" s="43" t="e">
        <f ca="1">IFERROR(IF(ISNUMBER($P$99),INDEX('1.Locations'!$D$2:$D$97,$P$99 + 1),NA()),NA())</f>
        <v>#N/A</v>
      </c>
      <c r="R99" s="43" t="e">
        <f ca="1">IFERROR(IF(ISNUMBER($P$99),INDEX('1.Locations'!$E$2:$E$97,$P$99 + 1),NA()),NA())</f>
        <v>#N/A</v>
      </c>
      <c r="S99" s="44" t="str">
        <f ca="1">IFERROR(IF(AND(ISNUMBER($P$99),$P$99&lt;=95),INDEX('2.Distances'!$C$2:$C$9218,$P$98*96+$P$99+ 1) +$S$98," ")," ")</f>
        <v xml:space="preserve"> </v>
      </c>
      <c r="T99" s="43" t="str">
        <f ca="1">IFERROR(IF(ISNUMBER($P$99),INDEX('1.Locations'!$J$2:$J$97,$P$99 + 1) +$T$98," ")," ")</f>
        <v xml:space="preserve"> </v>
      </c>
      <c r="U99" s="43" t="str">
        <f ca="1">IFERROR(IF(ISNUMBER($P$99),INDEX('1.Locations'!$K$2:$K$97,$P$99 + 1) +$U$98," ")," ")</f>
        <v xml:space="preserve"> </v>
      </c>
      <c r="V99" s="45" t="str">
        <f ca="1">IFERROR(IF(AND(ISNUMBER($P$99),$P$99&lt;=95),INDEX('2.Distances'!$D$2:$D$9218,$P$98*96+$P$99+ 1) +$V$98," ")," ")</f>
        <v xml:space="preserve"> </v>
      </c>
      <c r="W99" s="46" t="str">
        <f ca="1">IFERROR(IF(AND(ISNUMBER($P$99),$P$99&lt;=95),INDEX('2.Distances'!$D$2:$D$9218,$P$98*96+$P$99+ 1) +$X$98," ")," ")</f>
        <v xml:space="preserve"> </v>
      </c>
      <c r="X99" s="46" t="str">
        <f ca="1">IFERROR(IF(ISNUMBER($W$99),INDEX('1.Locations'!$I$2:$I$97,$P$99 + 1) + MAX($W$99,INDEX('1.Locations'!$F$2:$F$97,$P$99 + 1))," ")," ")</f>
        <v xml:space="preserve"> </v>
      </c>
      <c r="Y99" s="45" t="str">
        <f ca="1">IFERROR($Y$98 + INDEX('2.Distances'!$D$2:$D$9218,$P$98*96+$P$99+ 1) + INDEX('1.Locations'!$I$2:$I$97,$P$99 + 1)," ")</f>
        <v xml:space="preserve"> </v>
      </c>
      <c r="AA99" s="24">
        <v>94</v>
      </c>
      <c r="AB99" s="25"/>
      <c r="AC99" s="43" t="str">
        <f ca="1">IFERROR(MATCH(INDIRECT("$AB$99"),'1.Locations'!$B$2:$B$97, 0) - 1," ")</f>
        <v xml:space="preserve"> </v>
      </c>
      <c r="AD99" s="43" t="e">
        <f ca="1">IFERROR(IF(ISNUMBER($AC$99),INDEX('1.Locations'!$D$2:$D$97,$AC$99 + 1),NA()),NA())</f>
        <v>#N/A</v>
      </c>
      <c r="AE99" s="43" t="e">
        <f ca="1">IFERROR(IF(ISNUMBER($AC$99),INDEX('1.Locations'!$E$2:$E$97,$AC$99 + 1),NA()),NA())</f>
        <v>#N/A</v>
      </c>
      <c r="AF99" s="44" t="str">
        <f ca="1">IFERROR(IF(AND(ISNUMBER($AC$99),$AC$99&lt;=95),INDEX('2.Distances'!$C$2:$C$9218,$AC$98*96+$AC$99+ 1) +$AF$98," ")," ")</f>
        <v xml:space="preserve"> </v>
      </c>
      <c r="AG99" s="43" t="str">
        <f ca="1">IFERROR(IF(ISNUMBER($AC$99),INDEX('1.Locations'!$J$2:$J$97,$AC$99 + 1) +$AG$98," ")," ")</f>
        <v xml:space="preserve"> </v>
      </c>
      <c r="AH99" s="43" t="str">
        <f ca="1">IFERROR(IF(ISNUMBER($AC$99),INDEX('1.Locations'!$K$2:$K$97,$AC$99 + 1) +$AH$98," ")," ")</f>
        <v xml:space="preserve"> </v>
      </c>
      <c r="AI99" s="45" t="str">
        <f ca="1">IFERROR(IF(AND(ISNUMBER($AC$99),$AC$99&lt;=95),INDEX('2.Distances'!$D$2:$D$9218,$AC$98*96+$AC$99+ 1) +$AI$98," ")," ")</f>
        <v xml:space="preserve"> </v>
      </c>
      <c r="AJ99" s="46" t="str">
        <f ca="1">IFERROR(IF(AND(ISNUMBER($AC$99),$AC$99&lt;=95),INDEX('2.Distances'!$D$2:$D$9218,$AC$98*96+$AC$99+ 1) +$AK$98," ")," ")</f>
        <v xml:space="preserve"> </v>
      </c>
      <c r="AK99" s="46" t="str">
        <f ca="1">IFERROR(IF(ISNUMBER($AJ$99),INDEX('1.Locations'!$I$2:$I$97,$AC$99 + 1) + MAX($AJ$99,INDEX('1.Locations'!$F$2:$F$97,$AC$99 + 1))," ")," ")</f>
        <v xml:space="preserve"> </v>
      </c>
      <c r="AL99" s="45" t="str">
        <f ca="1">IFERROR($AL$98 + INDEX('2.Distances'!$D$2:$D$9218,$AC$98*96+$AC$99+ 1) + INDEX('1.Locations'!$I$2:$I$97,$AC$99 + 1)," ")</f>
        <v xml:space="preserve"> </v>
      </c>
      <c r="AN99" s="24">
        <v>94</v>
      </c>
      <c r="AO99" s="25"/>
      <c r="AP99" s="43" t="str">
        <f ca="1">IFERROR(MATCH(INDIRECT("$AO$99"),'1.Locations'!$B$2:$B$97, 0) - 1," ")</f>
        <v xml:space="preserve"> </v>
      </c>
      <c r="AQ99" s="43" t="e">
        <f ca="1">IFERROR(IF(ISNUMBER($AP$99),INDEX('1.Locations'!$D$2:$D$97,$AP$99 + 1),NA()),NA())</f>
        <v>#N/A</v>
      </c>
      <c r="AR99" s="43" t="e">
        <f ca="1">IFERROR(IF(ISNUMBER($AP$99),INDEX('1.Locations'!$E$2:$E$97,$AP$99 + 1),NA()),NA())</f>
        <v>#N/A</v>
      </c>
      <c r="AS99" s="44" t="str">
        <f ca="1">IFERROR(IF(AND(ISNUMBER($AP$99),$AP$99&lt;=95),INDEX('2.Distances'!$C$2:$C$9218,$AP$98*96+$AP$99+ 1) +$AS$98," ")," ")</f>
        <v xml:space="preserve"> </v>
      </c>
      <c r="AT99" s="43" t="str">
        <f ca="1">IFERROR(IF(ISNUMBER($AP$99),INDEX('1.Locations'!$J$2:$J$97,$AP$99 + 1) +$AT$98," ")," ")</f>
        <v xml:space="preserve"> </v>
      </c>
      <c r="AU99" s="43" t="str">
        <f ca="1">IFERROR(IF(ISNUMBER($AP$99),INDEX('1.Locations'!$K$2:$K$97,$AP$99 + 1) +$AU$98," ")," ")</f>
        <v xml:space="preserve"> </v>
      </c>
      <c r="AV99" s="45" t="str">
        <f ca="1">IFERROR(IF(AND(ISNUMBER($AP$99),$AP$99&lt;=95),INDEX('2.Distances'!$D$2:$D$9218,$AP$98*96+$AP$99+ 1) +$AV$98," ")," ")</f>
        <v xml:space="preserve"> </v>
      </c>
      <c r="AW99" s="46" t="str">
        <f ca="1">IFERROR(IF(AND(ISNUMBER($AP$99),$AP$99&lt;=95),INDEX('2.Distances'!$D$2:$D$9218,$AP$98*96+$AP$99+ 1) +$AX$98," ")," ")</f>
        <v xml:space="preserve"> </v>
      </c>
      <c r="AX99" s="46" t="str">
        <f ca="1">IFERROR(IF(ISNUMBER($AW$99),INDEX('1.Locations'!$I$2:$I$97,$AP$99 + 1) + MAX($AW$99,INDEX('1.Locations'!$F$2:$F$97,$AP$99 + 1))," ")," ")</f>
        <v xml:space="preserve"> </v>
      </c>
      <c r="AY99" s="45" t="str">
        <f ca="1">IFERROR($AY$98 + INDEX('2.Distances'!$D$2:$D$9218,$AP$98*96+$AP$99+ 1) + INDEX('1.Locations'!$I$2:$I$97,$AP$99 + 1)," ")</f>
        <v xml:space="preserve"> </v>
      </c>
      <c r="BA99" s="24">
        <v>94</v>
      </c>
      <c r="BB99" s="25"/>
      <c r="BC99" s="43" t="str">
        <f ca="1">IFERROR(MATCH(INDIRECT("$BB$99"),'1.Locations'!$B$2:$B$97, 0) - 1," ")</f>
        <v xml:space="preserve"> </v>
      </c>
      <c r="BD99" s="43" t="e">
        <f ca="1">IFERROR(IF(ISNUMBER($BC$99),INDEX('1.Locations'!$D$2:$D$97,$BC$99 + 1),NA()),NA())</f>
        <v>#N/A</v>
      </c>
      <c r="BE99" s="43" t="e">
        <f ca="1">IFERROR(IF(ISNUMBER($BC$99),INDEX('1.Locations'!$E$2:$E$97,$BC$99 + 1),NA()),NA())</f>
        <v>#N/A</v>
      </c>
      <c r="BF99" s="44" t="str">
        <f ca="1">IFERROR(IF(AND(ISNUMBER($BC$99),$BC$99&lt;=95),INDEX('2.Distances'!$C$2:$C$9218,$BC$98*96+$BC$99+ 1) +$BF$98," ")," ")</f>
        <v xml:space="preserve"> </v>
      </c>
      <c r="BG99" s="43" t="str">
        <f ca="1">IFERROR(IF(ISNUMBER($BC$99),INDEX('1.Locations'!$J$2:$J$97,$BC$99 + 1) +$BG$98," ")," ")</f>
        <v xml:space="preserve"> </v>
      </c>
      <c r="BH99" s="43" t="str">
        <f ca="1">IFERROR(IF(ISNUMBER($BC$99),INDEX('1.Locations'!$K$2:$K$97,$BC$99 + 1) +$BH$98," ")," ")</f>
        <v xml:space="preserve"> </v>
      </c>
      <c r="BI99" s="45" t="str">
        <f ca="1">IFERROR(IF(AND(ISNUMBER($BC$99),$BC$99&lt;=95),INDEX('2.Distances'!$D$2:$D$9218,$BC$98*96+$BC$99+ 1) +$BI$98," ")," ")</f>
        <v xml:space="preserve"> </v>
      </c>
      <c r="BJ99" s="46" t="str">
        <f ca="1">IFERROR(IF(AND(ISNUMBER($BC$99),$BC$99&lt;=95),INDEX('2.Distances'!$D$2:$D$9218,$BC$98*96+$BC$99+ 1) +$BK$98," ")," ")</f>
        <v xml:space="preserve"> </v>
      </c>
      <c r="BK99" s="46" t="str">
        <f ca="1">IFERROR(IF(ISNUMBER($BJ$99),INDEX('1.Locations'!$I$2:$I$97,$BC$99 + 1) + MAX($BJ$99,INDEX('1.Locations'!$F$2:$F$97,$BC$99 + 1))," ")," ")</f>
        <v xml:space="preserve"> </v>
      </c>
      <c r="BL99" s="45" t="str">
        <f ca="1">IFERROR($BL$98 + INDEX('2.Distances'!$D$2:$D$9218,$BC$98*96+$BC$99+ 1) + INDEX('1.Locations'!$I$2:$I$97,$BC$99 + 1)," ")</f>
        <v xml:space="preserve"> </v>
      </c>
      <c r="BN99" s="24">
        <v>94</v>
      </c>
      <c r="BO99" s="25"/>
      <c r="BP99" s="43" t="str">
        <f ca="1">IFERROR(MATCH(INDIRECT("$BO$99"),'1.Locations'!$B$2:$B$97, 0) - 1," ")</f>
        <v xml:space="preserve"> </v>
      </c>
      <c r="BQ99" s="43" t="e">
        <f ca="1">IFERROR(IF(ISNUMBER($BP$99),INDEX('1.Locations'!$D$2:$D$97,$BP$99 + 1),NA()),NA())</f>
        <v>#N/A</v>
      </c>
      <c r="BR99" s="43" t="e">
        <f ca="1">IFERROR(IF(ISNUMBER($BP$99),INDEX('1.Locations'!$E$2:$E$97,$BP$99 + 1),NA()),NA())</f>
        <v>#N/A</v>
      </c>
      <c r="BS99" s="44" t="str">
        <f ca="1">IFERROR(IF(AND(ISNUMBER($BP$99),$BP$99&lt;=95),INDEX('2.Distances'!$C$2:$C$9218,$BP$98*96+$BP$99+ 1) +$BS$98," ")," ")</f>
        <v xml:space="preserve"> </v>
      </c>
      <c r="BT99" s="43" t="str">
        <f ca="1">IFERROR(IF(ISNUMBER($BP$99),INDEX('1.Locations'!$J$2:$J$97,$BP$99 + 1) +$BT$98," ")," ")</f>
        <v xml:space="preserve"> </v>
      </c>
      <c r="BU99" s="43" t="str">
        <f ca="1">IFERROR(IF(ISNUMBER($BP$99),INDEX('1.Locations'!$K$2:$K$97,$BP$99 + 1) +$BU$98," ")," ")</f>
        <v xml:space="preserve"> </v>
      </c>
      <c r="BV99" s="45" t="str">
        <f ca="1">IFERROR(IF(AND(ISNUMBER($BP$99),$BP$99&lt;=95),INDEX('2.Distances'!$D$2:$D$9218,$BP$98*96+$BP$99+ 1) +$BV$98," ")," ")</f>
        <v xml:space="preserve"> </v>
      </c>
      <c r="BW99" s="46" t="str">
        <f ca="1">IFERROR(IF(AND(ISNUMBER($BP$99),$BP$99&lt;=95),INDEX('2.Distances'!$D$2:$D$9218,$BP$98*96+$BP$99+ 1) +$BX$98," ")," ")</f>
        <v xml:space="preserve"> </v>
      </c>
      <c r="BX99" s="46" t="str">
        <f ca="1">IFERROR(IF(ISNUMBER($BW$99),INDEX('1.Locations'!$I$2:$I$97,$BP$99 + 1) + MAX($BW$99,INDEX('1.Locations'!$F$2:$F$97,$BP$99 + 1))," ")," ")</f>
        <v xml:space="preserve"> </v>
      </c>
      <c r="BY99" s="45" t="str">
        <f ca="1">IFERROR($BY$98 + INDEX('2.Distances'!$D$2:$D$9218,$BP$98*96+$BP$99+ 1) + INDEX('1.Locations'!$I$2:$I$97,$BP$99 + 1)," ")</f>
        <v xml:space="preserve"> </v>
      </c>
      <c r="CA99" s="24">
        <v>94</v>
      </c>
      <c r="CB99" s="25"/>
      <c r="CC99" s="43" t="str">
        <f ca="1">IFERROR(MATCH(INDIRECT("$CB$99"),'1.Locations'!$B$2:$B$97, 0) - 1," ")</f>
        <v xml:space="preserve"> </v>
      </c>
      <c r="CD99" s="43" t="e">
        <f ca="1">IFERROR(IF(ISNUMBER($CC$99),INDEX('1.Locations'!$D$2:$D$97,$CC$99 + 1),NA()),NA())</f>
        <v>#N/A</v>
      </c>
      <c r="CE99" s="43" t="e">
        <f ca="1">IFERROR(IF(ISNUMBER($CC$99),INDEX('1.Locations'!$E$2:$E$97,$CC$99 + 1),NA()),NA())</f>
        <v>#N/A</v>
      </c>
      <c r="CF99" s="44" t="str">
        <f ca="1">IFERROR(IF(AND(ISNUMBER($CC$99),$CC$99&lt;=95),INDEX('2.Distances'!$C$2:$C$9218,$CC$98*96+$CC$99+ 1) +$CF$98," ")," ")</f>
        <v xml:space="preserve"> </v>
      </c>
      <c r="CG99" s="43" t="str">
        <f ca="1">IFERROR(IF(ISNUMBER($CC$99),INDEX('1.Locations'!$J$2:$J$97,$CC$99 + 1) +$CG$98," ")," ")</f>
        <v xml:space="preserve"> </v>
      </c>
      <c r="CH99" s="43" t="str">
        <f ca="1">IFERROR(IF(ISNUMBER($CC$99),INDEX('1.Locations'!$K$2:$K$97,$CC$99 + 1) +$CH$98," ")," ")</f>
        <v xml:space="preserve"> </v>
      </c>
      <c r="CI99" s="45" t="str">
        <f ca="1">IFERROR(IF(AND(ISNUMBER($CC$99),$CC$99&lt;=95),INDEX('2.Distances'!$D$2:$D$9218,$CC$98*96+$CC$99+ 1) +$CI$98," ")," ")</f>
        <v xml:space="preserve"> </v>
      </c>
      <c r="CJ99" s="46" t="str">
        <f ca="1">IFERROR(IF(AND(ISNUMBER($CC$99),$CC$99&lt;=95),INDEX('2.Distances'!$D$2:$D$9218,$CC$98*96+$CC$99+ 1) +$CK$98," ")," ")</f>
        <v xml:space="preserve"> </v>
      </c>
      <c r="CK99" s="46" t="str">
        <f ca="1">IFERROR(IF(ISNUMBER($CJ$99),INDEX('1.Locations'!$I$2:$I$97,$CC$99 + 1) + MAX($CJ$99,INDEX('1.Locations'!$F$2:$F$97,$CC$99 + 1))," ")," ")</f>
        <v xml:space="preserve"> </v>
      </c>
      <c r="CL99" s="45" t="str">
        <f ca="1">IFERROR($CL$98 + INDEX('2.Distances'!$D$2:$D$9218,$CC$98*96+$CC$99+ 1) + INDEX('1.Locations'!$I$2:$I$97,$CC$99 + 1)," ")</f>
        <v xml:space="preserve"> </v>
      </c>
    </row>
    <row r="100" spans="1:90" x14ac:dyDescent="0.25">
      <c r="A100" s="24">
        <v>95</v>
      </c>
      <c r="B100" s="25"/>
      <c r="C100" s="43" t="str">
        <f ca="1">IFERROR(MATCH(INDIRECT("$B$100"),'1.Locations'!$B$2:$B$97, 0) - 1," ")</f>
        <v xml:space="preserve"> </v>
      </c>
      <c r="D100" s="43" t="e">
        <f ca="1">IFERROR(IF(ISNUMBER($C$100),INDEX('1.Locations'!$D$2:$D$97,$C$100 + 1),NA()),NA())</f>
        <v>#N/A</v>
      </c>
      <c r="E100" s="43" t="e">
        <f ca="1">IFERROR(IF(ISNUMBER($C$100),INDEX('1.Locations'!$E$2:$E$97,$C$100 + 1),NA()),NA())</f>
        <v>#N/A</v>
      </c>
      <c r="F100" s="44" t="str">
        <f ca="1">IFERROR(IF(AND(ISNUMBER($C$100),$C$100&lt;=95),INDEX('2.Distances'!$C$2:$C$9218,$C$99*96+$C$100+ 1) +$F$99," ")," ")</f>
        <v xml:space="preserve"> </v>
      </c>
      <c r="G100" s="43" t="str">
        <f ca="1">IFERROR(IF(ISNUMBER($C$100),INDEX('1.Locations'!$J$2:$J$97,$C$100 + 1) +$G$99," ")," ")</f>
        <v xml:space="preserve"> </v>
      </c>
      <c r="H100" s="43" t="str">
        <f ca="1">IFERROR(IF(ISNUMBER($C$100),INDEX('1.Locations'!$K$2:$K$97,$C$100 + 1) +$H$99," ")," ")</f>
        <v xml:space="preserve"> </v>
      </c>
      <c r="I100" s="45" t="str">
        <f ca="1">IFERROR(IF(AND(ISNUMBER($C$100),$C$100&lt;=95),INDEX('2.Distances'!$D$2:$D$9218,$C$99*96+$C$100+ 1) +$I$99," ")," ")</f>
        <v xml:space="preserve"> </v>
      </c>
      <c r="J100" s="46" t="str">
        <f ca="1">IFERROR(IF(AND(ISNUMBER($C$100),$C$100&lt;=95),INDEX('2.Distances'!$D$2:$D$9218,$C$99*96+$C$100+ 1) +$K$99," ")," ")</f>
        <v xml:space="preserve"> </v>
      </c>
      <c r="K100" s="46" t="str">
        <f ca="1">IFERROR(IF(ISNUMBER($J$100),INDEX('1.Locations'!$I$2:$I$97,$C$100 + 1) + MAX($J$100,INDEX('1.Locations'!$F$2:$F$97,$C$100 + 1))," ")," ")</f>
        <v xml:space="preserve"> </v>
      </c>
      <c r="L100" s="45" t="str">
        <f ca="1">IFERROR($L$99 + INDEX('2.Distances'!$D$2:$D$9218,$C$99*96+$C$100+ 1) + INDEX('1.Locations'!$I$2:$I$97,$C$100 + 1)," ")</f>
        <v xml:space="preserve"> </v>
      </c>
      <c r="N100" s="24">
        <v>95</v>
      </c>
      <c r="O100" s="25"/>
      <c r="P100" s="43" t="str">
        <f ca="1">IFERROR(MATCH(INDIRECT("$O$100"),'1.Locations'!$B$2:$B$97, 0) - 1," ")</f>
        <v xml:space="preserve"> </v>
      </c>
      <c r="Q100" s="43" t="e">
        <f ca="1">IFERROR(IF(ISNUMBER($P$100),INDEX('1.Locations'!$D$2:$D$97,$P$100 + 1),NA()),NA())</f>
        <v>#N/A</v>
      </c>
      <c r="R100" s="43" t="e">
        <f ca="1">IFERROR(IF(ISNUMBER($P$100),INDEX('1.Locations'!$E$2:$E$97,$P$100 + 1),NA()),NA())</f>
        <v>#N/A</v>
      </c>
      <c r="S100" s="44" t="str">
        <f ca="1">IFERROR(IF(AND(ISNUMBER($P$100),$P$100&lt;=95),INDEX('2.Distances'!$C$2:$C$9218,$P$99*96+$P$100+ 1) +$S$99," ")," ")</f>
        <v xml:space="preserve"> </v>
      </c>
      <c r="T100" s="43" t="str">
        <f ca="1">IFERROR(IF(ISNUMBER($P$100),INDEX('1.Locations'!$J$2:$J$97,$P$100 + 1) +$T$99," ")," ")</f>
        <v xml:space="preserve"> </v>
      </c>
      <c r="U100" s="43" t="str">
        <f ca="1">IFERROR(IF(ISNUMBER($P$100),INDEX('1.Locations'!$K$2:$K$97,$P$100 + 1) +$U$99," ")," ")</f>
        <v xml:space="preserve"> </v>
      </c>
      <c r="V100" s="45" t="str">
        <f ca="1">IFERROR(IF(AND(ISNUMBER($P$100),$P$100&lt;=95),INDEX('2.Distances'!$D$2:$D$9218,$P$99*96+$P$100+ 1) +$V$99," ")," ")</f>
        <v xml:space="preserve"> </v>
      </c>
      <c r="W100" s="46" t="str">
        <f ca="1">IFERROR(IF(AND(ISNUMBER($P$100),$P$100&lt;=95),INDEX('2.Distances'!$D$2:$D$9218,$P$99*96+$P$100+ 1) +$X$99," ")," ")</f>
        <v xml:space="preserve"> </v>
      </c>
      <c r="X100" s="46" t="str">
        <f ca="1">IFERROR(IF(ISNUMBER($W$100),INDEX('1.Locations'!$I$2:$I$97,$P$100 + 1) + MAX($W$100,INDEX('1.Locations'!$F$2:$F$97,$P$100 + 1))," ")," ")</f>
        <v xml:space="preserve"> </v>
      </c>
      <c r="Y100" s="45" t="str">
        <f ca="1">IFERROR($Y$99 + INDEX('2.Distances'!$D$2:$D$9218,$P$99*96+$P$100+ 1) + INDEX('1.Locations'!$I$2:$I$97,$P$100 + 1)," ")</f>
        <v xml:space="preserve"> </v>
      </c>
      <c r="AA100" s="24">
        <v>95</v>
      </c>
      <c r="AB100" s="25"/>
      <c r="AC100" s="43" t="str">
        <f ca="1">IFERROR(MATCH(INDIRECT("$AB$100"),'1.Locations'!$B$2:$B$97, 0) - 1," ")</f>
        <v xml:space="preserve"> </v>
      </c>
      <c r="AD100" s="43" t="e">
        <f ca="1">IFERROR(IF(ISNUMBER($AC$100),INDEX('1.Locations'!$D$2:$D$97,$AC$100 + 1),NA()),NA())</f>
        <v>#N/A</v>
      </c>
      <c r="AE100" s="43" t="e">
        <f ca="1">IFERROR(IF(ISNUMBER($AC$100),INDEX('1.Locations'!$E$2:$E$97,$AC$100 + 1),NA()),NA())</f>
        <v>#N/A</v>
      </c>
      <c r="AF100" s="44" t="str">
        <f ca="1">IFERROR(IF(AND(ISNUMBER($AC$100),$AC$100&lt;=95),INDEX('2.Distances'!$C$2:$C$9218,$AC$99*96+$AC$100+ 1) +$AF$99," ")," ")</f>
        <v xml:space="preserve"> </v>
      </c>
      <c r="AG100" s="43" t="str">
        <f ca="1">IFERROR(IF(ISNUMBER($AC$100),INDEX('1.Locations'!$J$2:$J$97,$AC$100 + 1) +$AG$99," ")," ")</f>
        <v xml:space="preserve"> </v>
      </c>
      <c r="AH100" s="43" t="str">
        <f ca="1">IFERROR(IF(ISNUMBER($AC$100),INDEX('1.Locations'!$K$2:$K$97,$AC$100 + 1) +$AH$99," ")," ")</f>
        <v xml:space="preserve"> </v>
      </c>
      <c r="AI100" s="45" t="str">
        <f ca="1">IFERROR(IF(AND(ISNUMBER($AC$100),$AC$100&lt;=95),INDEX('2.Distances'!$D$2:$D$9218,$AC$99*96+$AC$100+ 1) +$AI$99," ")," ")</f>
        <v xml:space="preserve"> </v>
      </c>
      <c r="AJ100" s="46" t="str">
        <f ca="1">IFERROR(IF(AND(ISNUMBER($AC$100),$AC$100&lt;=95),INDEX('2.Distances'!$D$2:$D$9218,$AC$99*96+$AC$100+ 1) +$AK$99," ")," ")</f>
        <v xml:space="preserve"> </v>
      </c>
      <c r="AK100" s="46" t="str">
        <f ca="1">IFERROR(IF(ISNUMBER($AJ$100),INDEX('1.Locations'!$I$2:$I$97,$AC$100 + 1) + MAX($AJ$100,INDEX('1.Locations'!$F$2:$F$97,$AC$100 + 1))," ")," ")</f>
        <v xml:space="preserve"> </v>
      </c>
      <c r="AL100" s="45" t="str">
        <f ca="1">IFERROR($AL$99 + INDEX('2.Distances'!$D$2:$D$9218,$AC$99*96+$AC$100+ 1) + INDEX('1.Locations'!$I$2:$I$97,$AC$100 + 1)," ")</f>
        <v xml:space="preserve"> </v>
      </c>
      <c r="AN100" s="24">
        <v>95</v>
      </c>
      <c r="AO100" s="25"/>
      <c r="AP100" s="43" t="str">
        <f ca="1">IFERROR(MATCH(INDIRECT("$AO$100"),'1.Locations'!$B$2:$B$97, 0) - 1," ")</f>
        <v xml:space="preserve"> </v>
      </c>
      <c r="AQ100" s="43" t="e">
        <f ca="1">IFERROR(IF(ISNUMBER($AP$100),INDEX('1.Locations'!$D$2:$D$97,$AP$100 + 1),NA()),NA())</f>
        <v>#N/A</v>
      </c>
      <c r="AR100" s="43" t="e">
        <f ca="1">IFERROR(IF(ISNUMBER($AP$100),INDEX('1.Locations'!$E$2:$E$97,$AP$100 + 1),NA()),NA())</f>
        <v>#N/A</v>
      </c>
      <c r="AS100" s="44" t="str">
        <f ca="1">IFERROR(IF(AND(ISNUMBER($AP$100),$AP$100&lt;=95),INDEX('2.Distances'!$C$2:$C$9218,$AP$99*96+$AP$100+ 1) +$AS$99," ")," ")</f>
        <v xml:space="preserve"> </v>
      </c>
      <c r="AT100" s="43" t="str">
        <f ca="1">IFERROR(IF(ISNUMBER($AP$100),INDEX('1.Locations'!$J$2:$J$97,$AP$100 + 1) +$AT$99," ")," ")</f>
        <v xml:space="preserve"> </v>
      </c>
      <c r="AU100" s="43" t="str">
        <f ca="1">IFERROR(IF(ISNUMBER($AP$100),INDEX('1.Locations'!$K$2:$K$97,$AP$100 + 1) +$AU$99," ")," ")</f>
        <v xml:space="preserve"> </v>
      </c>
      <c r="AV100" s="45" t="str">
        <f ca="1">IFERROR(IF(AND(ISNUMBER($AP$100),$AP$100&lt;=95),INDEX('2.Distances'!$D$2:$D$9218,$AP$99*96+$AP$100+ 1) +$AV$99," ")," ")</f>
        <v xml:space="preserve"> </v>
      </c>
      <c r="AW100" s="46" t="str">
        <f ca="1">IFERROR(IF(AND(ISNUMBER($AP$100),$AP$100&lt;=95),INDEX('2.Distances'!$D$2:$D$9218,$AP$99*96+$AP$100+ 1) +$AX$99," ")," ")</f>
        <v xml:space="preserve"> </v>
      </c>
      <c r="AX100" s="46" t="str">
        <f ca="1">IFERROR(IF(ISNUMBER($AW$100),INDEX('1.Locations'!$I$2:$I$97,$AP$100 + 1) + MAX($AW$100,INDEX('1.Locations'!$F$2:$F$97,$AP$100 + 1))," ")," ")</f>
        <v xml:space="preserve"> </v>
      </c>
      <c r="AY100" s="45" t="str">
        <f ca="1">IFERROR($AY$99 + INDEX('2.Distances'!$D$2:$D$9218,$AP$99*96+$AP$100+ 1) + INDEX('1.Locations'!$I$2:$I$97,$AP$100 + 1)," ")</f>
        <v xml:space="preserve"> </v>
      </c>
      <c r="BA100" s="24">
        <v>95</v>
      </c>
      <c r="BB100" s="25"/>
      <c r="BC100" s="43" t="str">
        <f ca="1">IFERROR(MATCH(INDIRECT("$BB$100"),'1.Locations'!$B$2:$B$97, 0) - 1," ")</f>
        <v xml:space="preserve"> </v>
      </c>
      <c r="BD100" s="43" t="e">
        <f ca="1">IFERROR(IF(ISNUMBER($BC$100),INDEX('1.Locations'!$D$2:$D$97,$BC$100 + 1),NA()),NA())</f>
        <v>#N/A</v>
      </c>
      <c r="BE100" s="43" t="e">
        <f ca="1">IFERROR(IF(ISNUMBER($BC$100),INDEX('1.Locations'!$E$2:$E$97,$BC$100 + 1),NA()),NA())</f>
        <v>#N/A</v>
      </c>
      <c r="BF100" s="44" t="str">
        <f ca="1">IFERROR(IF(AND(ISNUMBER($BC$100),$BC$100&lt;=95),INDEX('2.Distances'!$C$2:$C$9218,$BC$99*96+$BC$100+ 1) +$BF$99," ")," ")</f>
        <v xml:space="preserve"> </v>
      </c>
      <c r="BG100" s="43" t="str">
        <f ca="1">IFERROR(IF(ISNUMBER($BC$100),INDEX('1.Locations'!$J$2:$J$97,$BC$100 + 1) +$BG$99," ")," ")</f>
        <v xml:space="preserve"> </v>
      </c>
      <c r="BH100" s="43" t="str">
        <f ca="1">IFERROR(IF(ISNUMBER($BC$100),INDEX('1.Locations'!$K$2:$K$97,$BC$100 + 1) +$BH$99," ")," ")</f>
        <v xml:space="preserve"> </v>
      </c>
      <c r="BI100" s="45" t="str">
        <f ca="1">IFERROR(IF(AND(ISNUMBER($BC$100),$BC$100&lt;=95),INDEX('2.Distances'!$D$2:$D$9218,$BC$99*96+$BC$100+ 1) +$BI$99," ")," ")</f>
        <v xml:space="preserve"> </v>
      </c>
      <c r="BJ100" s="46" t="str">
        <f ca="1">IFERROR(IF(AND(ISNUMBER($BC$100),$BC$100&lt;=95),INDEX('2.Distances'!$D$2:$D$9218,$BC$99*96+$BC$100+ 1) +$BK$99," ")," ")</f>
        <v xml:space="preserve"> </v>
      </c>
      <c r="BK100" s="46" t="str">
        <f ca="1">IFERROR(IF(ISNUMBER($BJ$100),INDEX('1.Locations'!$I$2:$I$97,$BC$100 + 1) + MAX($BJ$100,INDEX('1.Locations'!$F$2:$F$97,$BC$100 + 1))," ")," ")</f>
        <v xml:space="preserve"> </v>
      </c>
      <c r="BL100" s="45" t="str">
        <f ca="1">IFERROR($BL$99 + INDEX('2.Distances'!$D$2:$D$9218,$BC$99*96+$BC$100+ 1) + INDEX('1.Locations'!$I$2:$I$97,$BC$100 + 1)," ")</f>
        <v xml:space="preserve"> </v>
      </c>
      <c r="BN100" s="24">
        <v>95</v>
      </c>
      <c r="BO100" s="25"/>
      <c r="BP100" s="43" t="str">
        <f ca="1">IFERROR(MATCH(INDIRECT("$BO$100"),'1.Locations'!$B$2:$B$97, 0) - 1," ")</f>
        <v xml:space="preserve"> </v>
      </c>
      <c r="BQ100" s="43" t="e">
        <f ca="1">IFERROR(IF(ISNUMBER($BP$100),INDEX('1.Locations'!$D$2:$D$97,$BP$100 + 1),NA()),NA())</f>
        <v>#N/A</v>
      </c>
      <c r="BR100" s="43" t="e">
        <f ca="1">IFERROR(IF(ISNUMBER($BP$100),INDEX('1.Locations'!$E$2:$E$97,$BP$100 + 1),NA()),NA())</f>
        <v>#N/A</v>
      </c>
      <c r="BS100" s="44" t="str">
        <f ca="1">IFERROR(IF(AND(ISNUMBER($BP$100),$BP$100&lt;=95),INDEX('2.Distances'!$C$2:$C$9218,$BP$99*96+$BP$100+ 1) +$BS$99," ")," ")</f>
        <v xml:space="preserve"> </v>
      </c>
      <c r="BT100" s="43" t="str">
        <f ca="1">IFERROR(IF(ISNUMBER($BP$100),INDEX('1.Locations'!$J$2:$J$97,$BP$100 + 1) +$BT$99," ")," ")</f>
        <v xml:space="preserve"> </v>
      </c>
      <c r="BU100" s="43" t="str">
        <f ca="1">IFERROR(IF(ISNUMBER($BP$100),INDEX('1.Locations'!$K$2:$K$97,$BP$100 + 1) +$BU$99," ")," ")</f>
        <v xml:space="preserve"> </v>
      </c>
      <c r="BV100" s="45" t="str">
        <f ca="1">IFERROR(IF(AND(ISNUMBER($BP$100),$BP$100&lt;=95),INDEX('2.Distances'!$D$2:$D$9218,$BP$99*96+$BP$100+ 1) +$BV$99," ")," ")</f>
        <v xml:space="preserve"> </v>
      </c>
      <c r="BW100" s="46" t="str">
        <f ca="1">IFERROR(IF(AND(ISNUMBER($BP$100),$BP$100&lt;=95),INDEX('2.Distances'!$D$2:$D$9218,$BP$99*96+$BP$100+ 1) +$BX$99," ")," ")</f>
        <v xml:space="preserve"> </v>
      </c>
      <c r="BX100" s="46" t="str">
        <f ca="1">IFERROR(IF(ISNUMBER($BW$100),INDEX('1.Locations'!$I$2:$I$97,$BP$100 + 1) + MAX($BW$100,INDEX('1.Locations'!$F$2:$F$97,$BP$100 + 1))," ")," ")</f>
        <v xml:space="preserve"> </v>
      </c>
      <c r="BY100" s="45" t="str">
        <f ca="1">IFERROR($BY$99 + INDEX('2.Distances'!$D$2:$D$9218,$BP$99*96+$BP$100+ 1) + INDEX('1.Locations'!$I$2:$I$97,$BP$100 + 1)," ")</f>
        <v xml:space="preserve"> </v>
      </c>
      <c r="CA100" s="24">
        <v>95</v>
      </c>
      <c r="CB100" s="25"/>
      <c r="CC100" s="43" t="str">
        <f ca="1">IFERROR(MATCH(INDIRECT("$CB$100"),'1.Locations'!$B$2:$B$97, 0) - 1," ")</f>
        <v xml:space="preserve"> </v>
      </c>
      <c r="CD100" s="43" t="e">
        <f ca="1">IFERROR(IF(ISNUMBER($CC$100),INDEX('1.Locations'!$D$2:$D$97,$CC$100 + 1),NA()),NA())</f>
        <v>#N/A</v>
      </c>
      <c r="CE100" s="43" t="e">
        <f ca="1">IFERROR(IF(ISNUMBER($CC$100),INDEX('1.Locations'!$E$2:$E$97,$CC$100 + 1),NA()),NA())</f>
        <v>#N/A</v>
      </c>
      <c r="CF100" s="44" t="str">
        <f ca="1">IFERROR(IF(AND(ISNUMBER($CC$100),$CC$100&lt;=95),INDEX('2.Distances'!$C$2:$C$9218,$CC$99*96+$CC$100+ 1) +$CF$99," ")," ")</f>
        <v xml:space="preserve"> </v>
      </c>
      <c r="CG100" s="43" t="str">
        <f ca="1">IFERROR(IF(ISNUMBER($CC$100),INDEX('1.Locations'!$J$2:$J$97,$CC$100 + 1) +$CG$99," ")," ")</f>
        <v xml:space="preserve"> </v>
      </c>
      <c r="CH100" s="43" t="str">
        <f ca="1">IFERROR(IF(ISNUMBER($CC$100),INDEX('1.Locations'!$K$2:$K$97,$CC$100 + 1) +$CH$99," ")," ")</f>
        <v xml:space="preserve"> </v>
      </c>
      <c r="CI100" s="45" t="str">
        <f ca="1">IFERROR(IF(AND(ISNUMBER($CC$100),$CC$100&lt;=95),INDEX('2.Distances'!$D$2:$D$9218,$CC$99*96+$CC$100+ 1) +$CI$99," ")," ")</f>
        <v xml:space="preserve"> </v>
      </c>
      <c r="CJ100" s="46" t="str">
        <f ca="1">IFERROR(IF(AND(ISNUMBER($CC$100),$CC$100&lt;=95),INDEX('2.Distances'!$D$2:$D$9218,$CC$99*96+$CC$100+ 1) +$CK$99," ")," ")</f>
        <v xml:space="preserve"> </v>
      </c>
      <c r="CK100" s="46" t="str">
        <f ca="1">IFERROR(IF(ISNUMBER($CJ$100),INDEX('1.Locations'!$I$2:$I$97,$CC$100 + 1) + MAX($CJ$100,INDEX('1.Locations'!$F$2:$F$97,$CC$100 + 1))," ")," ")</f>
        <v xml:space="preserve"> </v>
      </c>
      <c r="CL100" s="45" t="str">
        <f ca="1">IFERROR($CL$99 + INDEX('2.Distances'!$D$2:$D$9218,$CC$99*96+$CC$100+ 1) + INDEX('1.Locations'!$I$2:$I$97,$CC$100 + 1)," ")</f>
        <v xml:space="preserve"> </v>
      </c>
    </row>
    <row r="101" spans="1:90" x14ac:dyDescent="0.25">
      <c r="A101" s="20">
        <v>96</v>
      </c>
      <c r="B101" s="19"/>
      <c r="C101" s="39" t="str">
        <f ca="1">IFERROR(MATCH(INDIRECT("$B$101"),'1.Locations'!$B$2:$B$97, 0) - 1," ")</f>
        <v xml:space="preserve"> </v>
      </c>
      <c r="D101" s="39" t="e">
        <f ca="1">IFERROR(IF(ISNUMBER($C$101),INDEX('1.Locations'!$D$2:$D$97,$C$101 + 1),NA()),NA())</f>
        <v>#N/A</v>
      </c>
      <c r="E101" s="39" t="e">
        <f ca="1">IFERROR(IF(ISNUMBER($C$101),INDEX('1.Locations'!$E$2:$E$97,$C$101 + 1),NA()),NA())</f>
        <v>#N/A</v>
      </c>
      <c r="F101" s="40" t="str">
        <f ca="1">IFERROR(IF(AND(ISNUMBER($C$101),$C$101&lt;=95),INDEX('2.Distances'!$C$2:$C$9218,$C$100*96+$C$101+ 1) +$F$100," ")," ")</f>
        <v xml:space="preserve"> </v>
      </c>
      <c r="G101" s="39" t="str">
        <f ca="1">IFERROR(IF(ISNUMBER($C$101),INDEX('1.Locations'!$J$2:$J$97,$C$101 + 1) +$G$100," ")," ")</f>
        <v xml:space="preserve"> </v>
      </c>
      <c r="H101" s="39" t="str">
        <f ca="1">IFERROR(IF(ISNUMBER($C$101),INDEX('1.Locations'!$K$2:$K$97,$C$101 + 1) +$H$100," ")," ")</f>
        <v xml:space="preserve"> </v>
      </c>
      <c r="I101" s="41" t="str">
        <f ca="1">IFERROR(IF(AND(ISNUMBER($C$101),$C$101&lt;=95),INDEX('2.Distances'!$D$2:$D$9218,$C$100*96+$C$101+ 1) +$I$100," ")," ")</f>
        <v xml:space="preserve"> </v>
      </c>
      <c r="J101" s="42" t="str">
        <f ca="1">IFERROR(IF(AND(ISNUMBER($C$101),$C$101&lt;=95),INDEX('2.Distances'!$D$2:$D$9218,$C$100*96+$C$101+ 1) +$K$100," ")," ")</f>
        <v xml:space="preserve"> </v>
      </c>
      <c r="K101" s="42" t="str">
        <f ca="1">IFERROR(IF(ISNUMBER($J$101),INDEX('1.Locations'!$I$2:$I$97,$C$101 + 1) + MAX($J$101,INDEX('1.Locations'!$F$2:$F$97,$C$101 + 1))," ")," ")</f>
        <v xml:space="preserve"> </v>
      </c>
      <c r="L101" s="41" t="str">
        <f ca="1">IFERROR($L$100 + INDEX('2.Distances'!$D$2:$D$9218,$C$100*96+$C$101+ 1) + INDEX('1.Locations'!$I$2:$I$97,$C$101 + 1)," ")</f>
        <v xml:space="preserve"> </v>
      </c>
      <c r="N101" s="20">
        <v>96</v>
      </c>
      <c r="O101" s="19"/>
      <c r="P101" s="39" t="str">
        <f ca="1">IFERROR(MATCH(INDIRECT("$O$101"),'1.Locations'!$B$2:$B$97, 0) - 1," ")</f>
        <v xml:space="preserve"> </v>
      </c>
      <c r="Q101" s="39" t="e">
        <f ca="1">IFERROR(IF(ISNUMBER($P$101),INDEX('1.Locations'!$D$2:$D$97,$P$101 + 1),NA()),NA())</f>
        <v>#N/A</v>
      </c>
      <c r="R101" s="39" t="e">
        <f ca="1">IFERROR(IF(ISNUMBER($P$101),INDEX('1.Locations'!$E$2:$E$97,$P$101 + 1),NA()),NA())</f>
        <v>#N/A</v>
      </c>
      <c r="S101" s="40" t="str">
        <f ca="1">IFERROR(IF(AND(ISNUMBER($P$101),$P$101&lt;=95),INDEX('2.Distances'!$C$2:$C$9218,$P$100*96+$P$101+ 1) +$S$100," ")," ")</f>
        <v xml:space="preserve"> </v>
      </c>
      <c r="T101" s="39" t="str">
        <f ca="1">IFERROR(IF(ISNUMBER($P$101),INDEX('1.Locations'!$J$2:$J$97,$P$101 + 1) +$T$100," ")," ")</f>
        <v xml:space="preserve"> </v>
      </c>
      <c r="U101" s="39" t="str">
        <f ca="1">IFERROR(IF(ISNUMBER($P$101),INDEX('1.Locations'!$K$2:$K$97,$P$101 + 1) +$U$100," ")," ")</f>
        <v xml:space="preserve"> </v>
      </c>
      <c r="V101" s="41" t="str">
        <f ca="1">IFERROR(IF(AND(ISNUMBER($P$101),$P$101&lt;=95),INDEX('2.Distances'!$D$2:$D$9218,$P$100*96+$P$101+ 1) +$V$100," ")," ")</f>
        <v xml:space="preserve"> </v>
      </c>
      <c r="W101" s="42" t="str">
        <f ca="1">IFERROR(IF(AND(ISNUMBER($P$101),$P$101&lt;=95),INDEX('2.Distances'!$D$2:$D$9218,$P$100*96+$P$101+ 1) +$X$100," ")," ")</f>
        <v xml:space="preserve"> </v>
      </c>
      <c r="X101" s="42" t="str">
        <f ca="1">IFERROR(IF(ISNUMBER($W$101),INDEX('1.Locations'!$I$2:$I$97,$P$101 + 1) + MAX($W$101,INDEX('1.Locations'!$F$2:$F$97,$P$101 + 1))," ")," ")</f>
        <v xml:space="preserve"> </v>
      </c>
      <c r="Y101" s="41" t="str">
        <f ca="1">IFERROR($Y$100 + INDEX('2.Distances'!$D$2:$D$9218,$P$100*96+$P$101+ 1) + INDEX('1.Locations'!$I$2:$I$97,$P$101 + 1)," ")</f>
        <v xml:space="preserve"> </v>
      </c>
      <c r="AA101" s="20">
        <v>96</v>
      </c>
      <c r="AB101" s="19"/>
      <c r="AC101" s="39" t="str">
        <f ca="1">IFERROR(MATCH(INDIRECT("$AB$101"),'1.Locations'!$B$2:$B$97, 0) - 1," ")</f>
        <v xml:space="preserve"> </v>
      </c>
      <c r="AD101" s="39" t="e">
        <f ca="1">IFERROR(IF(ISNUMBER($AC$101),INDEX('1.Locations'!$D$2:$D$97,$AC$101 + 1),NA()),NA())</f>
        <v>#N/A</v>
      </c>
      <c r="AE101" s="39" t="e">
        <f ca="1">IFERROR(IF(ISNUMBER($AC$101),INDEX('1.Locations'!$E$2:$E$97,$AC$101 + 1),NA()),NA())</f>
        <v>#N/A</v>
      </c>
      <c r="AF101" s="40" t="str">
        <f ca="1">IFERROR(IF(AND(ISNUMBER($AC$101),$AC$101&lt;=95),INDEX('2.Distances'!$C$2:$C$9218,$AC$100*96+$AC$101+ 1) +$AF$100," ")," ")</f>
        <v xml:space="preserve"> </v>
      </c>
      <c r="AG101" s="39" t="str">
        <f ca="1">IFERROR(IF(ISNUMBER($AC$101),INDEX('1.Locations'!$J$2:$J$97,$AC$101 + 1) +$AG$100," ")," ")</f>
        <v xml:space="preserve"> </v>
      </c>
      <c r="AH101" s="39" t="str">
        <f ca="1">IFERROR(IF(ISNUMBER($AC$101),INDEX('1.Locations'!$K$2:$K$97,$AC$101 + 1) +$AH$100," ")," ")</f>
        <v xml:space="preserve"> </v>
      </c>
      <c r="AI101" s="41" t="str">
        <f ca="1">IFERROR(IF(AND(ISNUMBER($AC$101),$AC$101&lt;=95),INDEX('2.Distances'!$D$2:$D$9218,$AC$100*96+$AC$101+ 1) +$AI$100," ")," ")</f>
        <v xml:space="preserve"> </v>
      </c>
      <c r="AJ101" s="42" t="str">
        <f ca="1">IFERROR(IF(AND(ISNUMBER($AC$101),$AC$101&lt;=95),INDEX('2.Distances'!$D$2:$D$9218,$AC$100*96+$AC$101+ 1) +$AK$100," ")," ")</f>
        <v xml:space="preserve"> </v>
      </c>
      <c r="AK101" s="42" t="str">
        <f ca="1">IFERROR(IF(ISNUMBER($AJ$101),INDEX('1.Locations'!$I$2:$I$97,$AC$101 + 1) + MAX($AJ$101,INDEX('1.Locations'!$F$2:$F$97,$AC$101 + 1))," ")," ")</f>
        <v xml:space="preserve"> </v>
      </c>
      <c r="AL101" s="41" t="str">
        <f ca="1">IFERROR($AL$100 + INDEX('2.Distances'!$D$2:$D$9218,$AC$100*96+$AC$101+ 1) + INDEX('1.Locations'!$I$2:$I$97,$AC$101 + 1)," ")</f>
        <v xml:space="preserve"> </v>
      </c>
      <c r="AN101" s="20">
        <v>96</v>
      </c>
      <c r="AO101" s="19"/>
      <c r="AP101" s="39" t="str">
        <f ca="1">IFERROR(MATCH(INDIRECT("$AO$101"),'1.Locations'!$B$2:$B$97, 0) - 1," ")</f>
        <v xml:space="preserve"> </v>
      </c>
      <c r="AQ101" s="39" t="e">
        <f ca="1">IFERROR(IF(ISNUMBER($AP$101),INDEX('1.Locations'!$D$2:$D$97,$AP$101 + 1),NA()),NA())</f>
        <v>#N/A</v>
      </c>
      <c r="AR101" s="39" t="e">
        <f ca="1">IFERROR(IF(ISNUMBER($AP$101),INDEX('1.Locations'!$E$2:$E$97,$AP$101 + 1),NA()),NA())</f>
        <v>#N/A</v>
      </c>
      <c r="AS101" s="40" t="str">
        <f ca="1">IFERROR(IF(AND(ISNUMBER($AP$101),$AP$101&lt;=95),INDEX('2.Distances'!$C$2:$C$9218,$AP$100*96+$AP$101+ 1) +$AS$100," ")," ")</f>
        <v xml:space="preserve"> </v>
      </c>
      <c r="AT101" s="39" t="str">
        <f ca="1">IFERROR(IF(ISNUMBER($AP$101),INDEX('1.Locations'!$J$2:$J$97,$AP$101 + 1) +$AT$100," ")," ")</f>
        <v xml:space="preserve"> </v>
      </c>
      <c r="AU101" s="39" t="str">
        <f ca="1">IFERROR(IF(ISNUMBER($AP$101),INDEX('1.Locations'!$K$2:$K$97,$AP$101 + 1) +$AU$100," ")," ")</f>
        <v xml:space="preserve"> </v>
      </c>
      <c r="AV101" s="41" t="str">
        <f ca="1">IFERROR(IF(AND(ISNUMBER($AP$101),$AP$101&lt;=95),INDEX('2.Distances'!$D$2:$D$9218,$AP$100*96+$AP$101+ 1) +$AV$100," ")," ")</f>
        <v xml:space="preserve"> </v>
      </c>
      <c r="AW101" s="42" t="str">
        <f ca="1">IFERROR(IF(AND(ISNUMBER($AP$101),$AP$101&lt;=95),INDEX('2.Distances'!$D$2:$D$9218,$AP$100*96+$AP$101+ 1) +$AX$100," ")," ")</f>
        <v xml:space="preserve"> </v>
      </c>
      <c r="AX101" s="42" t="str">
        <f ca="1">IFERROR(IF(ISNUMBER($AW$101),INDEX('1.Locations'!$I$2:$I$97,$AP$101 + 1) + MAX($AW$101,INDEX('1.Locations'!$F$2:$F$97,$AP$101 + 1))," ")," ")</f>
        <v xml:space="preserve"> </v>
      </c>
      <c r="AY101" s="41" t="str">
        <f ca="1">IFERROR($AY$100 + INDEX('2.Distances'!$D$2:$D$9218,$AP$100*96+$AP$101+ 1) + INDEX('1.Locations'!$I$2:$I$97,$AP$101 + 1)," ")</f>
        <v xml:space="preserve"> </v>
      </c>
      <c r="BA101" s="20">
        <v>96</v>
      </c>
      <c r="BB101" s="19"/>
      <c r="BC101" s="39" t="str">
        <f ca="1">IFERROR(MATCH(INDIRECT("$BB$101"),'1.Locations'!$B$2:$B$97, 0) - 1," ")</f>
        <v xml:space="preserve"> </v>
      </c>
      <c r="BD101" s="39" t="e">
        <f ca="1">IFERROR(IF(ISNUMBER($BC$101),INDEX('1.Locations'!$D$2:$D$97,$BC$101 + 1),NA()),NA())</f>
        <v>#N/A</v>
      </c>
      <c r="BE101" s="39" t="e">
        <f ca="1">IFERROR(IF(ISNUMBER($BC$101),INDEX('1.Locations'!$E$2:$E$97,$BC$101 + 1),NA()),NA())</f>
        <v>#N/A</v>
      </c>
      <c r="BF101" s="40" t="str">
        <f ca="1">IFERROR(IF(AND(ISNUMBER($BC$101),$BC$101&lt;=95),INDEX('2.Distances'!$C$2:$C$9218,$BC$100*96+$BC$101+ 1) +$BF$100," ")," ")</f>
        <v xml:space="preserve"> </v>
      </c>
      <c r="BG101" s="39" t="str">
        <f ca="1">IFERROR(IF(ISNUMBER($BC$101),INDEX('1.Locations'!$J$2:$J$97,$BC$101 + 1) +$BG$100," ")," ")</f>
        <v xml:space="preserve"> </v>
      </c>
      <c r="BH101" s="39" t="str">
        <f ca="1">IFERROR(IF(ISNUMBER($BC$101),INDEX('1.Locations'!$K$2:$K$97,$BC$101 + 1) +$BH$100," ")," ")</f>
        <v xml:space="preserve"> </v>
      </c>
      <c r="BI101" s="41" t="str">
        <f ca="1">IFERROR(IF(AND(ISNUMBER($BC$101),$BC$101&lt;=95),INDEX('2.Distances'!$D$2:$D$9218,$BC$100*96+$BC$101+ 1) +$BI$100," ")," ")</f>
        <v xml:space="preserve"> </v>
      </c>
      <c r="BJ101" s="42" t="str">
        <f ca="1">IFERROR(IF(AND(ISNUMBER($BC$101),$BC$101&lt;=95),INDEX('2.Distances'!$D$2:$D$9218,$BC$100*96+$BC$101+ 1) +$BK$100," ")," ")</f>
        <v xml:space="preserve"> </v>
      </c>
      <c r="BK101" s="42" t="str">
        <f ca="1">IFERROR(IF(ISNUMBER($BJ$101),INDEX('1.Locations'!$I$2:$I$97,$BC$101 + 1) + MAX($BJ$101,INDEX('1.Locations'!$F$2:$F$97,$BC$101 + 1))," ")," ")</f>
        <v xml:space="preserve"> </v>
      </c>
      <c r="BL101" s="41" t="str">
        <f ca="1">IFERROR($BL$100 + INDEX('2.Distances'!$D$2:$D$9218,$BC$100*96+$BC$101+ 1) + INDEX('1.Locations'!$I$2:$I$97,$BC$101 + 1)," ")</f>
        <v xml:space="preserve"> </v>
      </c>
      <c r="BN101" s="20">
        <v>96</v>
      </c>
      <c r="BO101" s="19"/>
      <c r="BP101" s="39" t="str">
        <f ca="1">IFERROR(MATCH(INDIRECT("$BO$101"),'1.Locations'!$B$2:$B$97, 0) - 1," ")</f>
        <v xml:space="preserve"> </v>
      </c>
      <c r="BQ101" s="39" t="e">
        <f ca="1">IFERROR(IF(ISNUMBER($BP$101),INDEX('1.Locations'!$D$2:$D$97,$BP$101 + 1),NA()),NA())</f>
        <v>#N/A</v>
      </c>
      <c r="BR101" s="39" t="e">
        <f ca="1">IFERROR(IF(ISNUMBER($BP$101),INDEX('1.Locations'!$E$2:$E$97,$BP$101 + 1),NA()),NA())</f>
        <v>#N/A</v>
      </c>
      <c r="BS101" s="40" t="str">
        <f ca="1">IFERROR(IF(AND(ISNUMBER($BP$101),$BP$101&lt;=95),INDEX('2.Distances'!$C$2:$C$9218,$BP$100*96+$BP$101+ 1) +$BS$100," ")," ")</f>
        <v xml:space="preserve"> </v>
      </c>
      <c r="BT101" s="39" t="str">
        <f ca="1">IFERROR(IF(ISNUMBER($BP$101),INDEX('1.Locations'!$J$2:$J$97,$BP$101 + 1) +$BT$100," ")," ")</f>
        <v xml:space="preserve"> </v>
      </c>
      <c r="BU101" s="39" t="str">
        <f ca="1">IFERROR(IF(ISNUMBER($BP$101),INDEX('1.Locations'!$K$2:$K$97,$BP$101 + 1) +$BU$100," ")," ")</f>
        <v xml:space="preserve"> </v>
      </c>
      <c r="BV101" s="41" t="str">
        <f ca="1">IFERROR(IF(AND(ISNUMBER($BP$101),$BP$101&lt;=95),INDEX('2.Distances'!$D$2:$D$9218,$BP$100*96+$BP$101+ 1) +$BV$100," ")," ")</f>
        <v xml:space="preserve"> </v>
      </c>
      <c r="BW101" s="42" t="str">
        <f ca="1">IFERROR(IF(AND(ISNUMBER($BP$101),$BP$101&lt;=95),INDEX('2.Distances'!$D$2:$D$9218,$BP$100*96+$BP$101+ 1) +$BX$100," ")," ")</f>
        <v xml:space="preserve"> </v>
      </c>
      <c r="BX101" s="42" t="str">
        <f ca="1">IFERROR(IF(ISNUMBER($BW$101),INDEX('1.Locations'!$I$2:$I$97,$BP$101 + 1) + MAX($BW$101,INDEX('1.Locations'!$F$2:$F$97,$BP$101 + 1))," ")," ")</f>
        <v xml:space="preserve"> </v>
      </c>
      <c r="BY101" s="41" t="str">
        <f ca="1">IFERROR($BY$100 + INDEX('2.Distances'!$D$2:$D$9218,$BP$100*96+$BP$101+ 1) + INDEX('1.Locations'!$I$2:$I$97,$BP$101 + 1)," ")</f>
        <v xml:space="preserve"> </v>
      </c>
      <c r="CA101" s="20">
        <v>96</v>
      </c>
      <c r="CB101" s="19"/>
      <c r="CC101" s="39" t="str">
        <f ca="1">IFERROR(MATCH(INDIRECT("$CB$101"),'1.Locations'!$B$2:$B$97, 0) - 1," ")</f>
        <v xml:space="preserve"> </v>
      </c>
      <c r="CD101" s="39" t="e">
        <f ca="1">IFERROR(IF(ISNUMBER($CC$101),INDEX('1.Locations'!$D$2:$D$97,$CC$101 + 1),NA()),NA())</f>
        <v>#N/A</v>
      </c>
      <c r="CE101" s="39" t="e">
        <f ca="1">IFERROR(IF(ISNUMBER($CC$101),INDEX('1.Locations'!$E$2:$E$97,$CC$101 + 1),NA()),NA())</f>
        <v>#N/A</v>
      </c>
      <c r="CF101" s="40" t="str">
        <f ca="1">IFERROR(IF(AND(ISNUMBER($CC$101),$CC$101&lt;=95),INDEX('2.Distances'!$C$2:$C$9218,$CC$100*96+$CC$101+ 1) +$CF$100," ")," ")</f>
        <v xml:space="preserve"> </v>
      </c>
      <c r="CG101" s="39" t="str">
        <f ca="1">IFERROR(IF(ISNUMBER($CC$101),INDEX('1.Locations'!$J$2:$J$97,$CC$101 + 1) +$CG$100," ")," ")</f>
        <v xml:space="preserve"> </v>
      </c>
      <c r="CH101" s="39" t="str">
        <f ca="1">IFERROR(IF(ISNUMBER($CC$101),INDEX('1.Locations'!$K$2:$K$97,$CC$101 + 1) +$CH$100," ")," ")</f>
        <v xml:space="preserve"> </v>
      </c>
      <c r="CI101" s="41" t="str">
        <f ca="1">IFERROR(IF(AND(ISNUMBER($CC$101),$CC$101&lt;=95),INDEX('2.Distances'!$D$2:$D$9218,$CC$100*96+$CC$101+ 1) +$CI$100," ")," ")</f>
        <v xml:space="preserve"> </v>
      </c>
      <c r="CJ101" s="42" t="str">
        <f ca="1">IFERROR(IF(AND(ISNUMBER($CC$101),$CC$101&lt;=95),INDEX('2.Distances'!$D$2:$D$9218,$CC$100*96+$CC$101+ 1) +$CK$100," ")," ")</f>
        <v xml:space="preserve"> </v>
      </c>
      <c r="CK101" s="42" t="str">
        <f ca="1">IFERROR(IF(ISNUMBER($CJ$101),INDEX('1.Locations'!$I$2:$I$97,$CC$101 + 1) + MAX($CJ$101,INDEX('1.Locations'!$F$2:$F$97,$CC$101 + 1))," ")," ")</f>
        <v xml:space="preserve"> </v>
      </c>
      <c r="CL101" s="41" t="str">
        <f ca="1">IFERROR($CL$100 + INDEX('2.Distances'!$D$2:$D$9218,$CC$100*96+$CC$101+ 1) + INDEX('1.Locations'!$I$2:$I$97,$CC$101 + 1)," ")</f>
        <v xml:space="preserve"> </v>
      </c>
    </row>
    <row r="103" spans="1:90" x14ac:dyDescent="0.25">
      <c r="A103" s="13" t="s">
        <v>184</v>
      </c>
    </row>
  </sheetData>
  <conditionalFormatting sqref="J6:J101">
    <cfRule type="cellIs" dxfId="1435" priority="42" stopIfTrue="1" operator="equal">
      <formula>" "</formula>
    </cfRule>
  </conditionalFormatting>
  <conditionalFormatting sqref="K6:K101">
    <cfRule type="cellIs" dxfId="1434" priority="41" stopIfTrue="1" operator="equal">
      <formula>" "</formula>
    </cfRule>
  </conditionalFormatting>
  <conditionalFormatting sqref="F6:F101">
    <cfRule type="cellIs" dxfId="1239" priority="40" stopIfTrue="1" operator="equal">
      <formula>" "</formula>
    </cfRule>
  </conditionalFormatting>
  <conditionalFormatting sqref="G6:G101">
    <cfRule type="cellIs" dxfId="1237" priority="39" stopIfTrue="1" operator="equal">
      <formula>" "</formula>
    </cfRule>
  </conditionalFormatting>
  <conditionalFormatting sqref="I6:I101">
    <cfRule type="cellIs" dxfId="1235" priority="38" stopIfTrue="1" operator="equal">
      <formula>" "</formula>
    </cfRule>
  </conditionalFormatting>
  <conditionalFormatting sqref="L6:L101">
    <cfRule type="cellIs" dxfId="1233" priority="37" stopIfTrue="1" operator="equal">
      <formula>" "</formula>
    </cfRule>
  </conditionalFormatting>
  <conditionalFormatting sqref="J3">
    <cfRule type="expression" dxfId="1231" priority="241" stopIfTrue="1">
      <formula>ISERROR($I$3)</formula>
    </cfRule>
  </conditionalFormatting>
  <conditionalFormatting sqref="W6:W101">
    <cfRule type="cellIs" dxfId="1230" priority="36" stopIfTrue="1" operator="equal">
      <formula>" "</formula>
    </cfRule>
  </conditionalFormatting>
  <conditionalFormatting sqref="X6:X101">
    <cfRule type="cellIs" dxfId="1229" priority="35" stopIfTrue="1" operator="equal">
      <formula>" "</formula>
    </cfRule>
  </conditionalFormatting>
  <conditionalFormatting sqref="S6:S101">
    <cfRule type="cellIs" dxfId="1034" priority="34" stopIfTrue="1" operator="equal">
      <formula>" "</formula>
    </cfRule>
  </conditionalFormatting>
  <conditionalFormatting sqref="T6:T101">
    <cfRule type="cellIs" dxfId="1032" priority="33" stopIfTrue="1" operator="equal">
      <formula>" "</formula>
    </cfRule>
  </conditionalFormatting>
  <conditionalFormatting sqref="V6:V101">
    <cfRule type="cellIs" dxfId="1030" priority="32" stopIfTrue="1" operator="equal">
      <formula>" "</formula>
    </cfRule>
  </conditionalFormatting>
  <conditionalFormatting sqref="Y6:Y101">
    <cfRule type="cellIs" dxfId="1028" priority="31" stopIfTrue="1" operator="equal">
      <formula>" "</formula>
    </cfRule>
  </conditionalFormatting>
  <conditionalFormatting sqref="W3">
    <cfRule type="expression" dxfId="1026" priority="440" stopIfTrue="1">
      <formula>ISERROR($V$3)</formula>
    </cfRule>
  </conditionalFormatting>
  <conditionalFormatting sqref="AJ6:AJ101">
    <cfRule type="cellIs" dxfId="1025" priority="30" stopIfTrue="1" operator="equal">
      <formula>" "</formula>
    </cfRule>
  </conditionalFormatting>
  <conditionalFormatting sqref="AK6:AK101">
    <cfRule type="cellIs" dxfId="1024" priority="29" stopIfTrue="1" operator="equal">
      <formula>" "</formula>
    </cfRule>
  </conditionalFormatting>
  <conditionalFormatting sqref="AF6:AF101">
    <cfRule type="cellIs" dxfId="829" priority="28" stopIfTrue="1" operator="equal">
      <formula>" "</formula>
    </cfRule>
  </conditionalFormatting>
  <conditionalFormatting sqref="AG6:AG101">
    <cfRule type="cellIs" dxfId="827" priority="27" stopIfTrue="1" operator="equal">
      <formula>" "</formula>
    </cfRule>
  </conditionalFormatting>
  <conditionalFormatting sqref="AI6:AI101">
    <cfRule type="cellIs" dxfId="825" priority="26" stopIfTrue="1" operator="equal">
      <formula>" "</formula>
    </cfRule>
  </conditionalFormatting>
  <conditionalFormatting sqref="AL6:AL101">
    <cfRule type="cellIs" dxfId="823" priority="25" stopIfTrue="1" operator="equal">
      <formula>" "</formula>
    </cfRule>
  </conditionalFormatting>
  <conditionalFormatting sqref="AJ3">
    <cfRule type="expression" dxfId="821" priority="639" stopIfTrue="1">
      <formula>ISERROR($AI$3)</formula>
    </cfRule>
  </conditionalFormatting>
  <conditionalFormatting sqref="AW6:AW101">
    <cfRule type="cellIs" dxfId="820" priority="24" stopIfTrue="1" operator="equal">
      <formula>" "</formula>
    </cfRule>
  </conditionalFormatting>
  <conditionalFormatting sqref="AX6:AX101">
    <cfRule type="cellIs" dxfId="819" priority="23" stopIfTrue="1" operator="equal">
      <formula>" "</formula>
    </cfRule>
  </conditionalFormatting>
  <conditionalFormatting sqref="AS6:AS101">
    <cfRule type="cellIs" dxfId="624" priority="22" stopIfTrue="1" operator="equal">
      <formula>" "</formula>
    </cfRule>
  </conditionalFormatting>
  <conditionalFormatting sqref="AT6:AT101">
    <cfRule type="cellIs" dxfId="622" priority="21" stopIfTrue="1" operator="equal">
      <formula>" "</formula>
    </cfRule>
  </conditionalFormatting>
  <conditionalFormatting sqref="AV6:AV101">
    <cfRule type="cellIs" dxfId="620" priority="20" stopIfTrue="1" operator="equal">
      <formula>" "</formula>
    </cfRule>
  </conditionalFormatting>
  <conditionalFormatting sqref="AY6:AY101">
    <cfRule type="cellIs" dxfId="618" priority="19" stopIfTrue="1" operator="equal">
      <formula>" "</formula>
    </cfRule>
  </conditionalFormatting>
  <conditionalFormatting sqref="AW3">
    <cfRule type="expression" dxfId="616" priority="838" stopIfTrue="1">
      <formula>ISERROR($AV$3)</formula>
    </cfRule>
  </conditionalFormatting>
  <conditionalFormatting sqref="BJ6:BJ101">
    <cfRule type="cellIs" dxfId="615" priority="18" stopIfTrue="1" operator="equal">
      <formula>" "</formula>
    </cfRule>
  </conditionalFormatting>
  <conditionalFormatting sqref="BK6:BK101">
    <cfRule type="cellIs" dxfId="614" priority="17" stopIfTrue="1" operator="equal">
      <formula>" "</formula>
    </cfRule>
  </conditionalFormatting>
  <conditionalFormatting sqref="BF6:BF101">
    <cfRule type="cellIs" dxfId="419" priority="16" stopIfTrue="1" operator="equal">
      <formula>" "</formula>
    </cfRule>
  </conditionalFormatting>
  <conditionalFormatting sqref="BG6:BG101">
    <cfRule type="cellIs" dxfId="417" priority="15" stopIfTrue="1" operator="equal">
      <formula>" "</formula>
    </cfRule>
  </conditionalFormatting>
  <conditionalFormatting sqref="BI6:BI101">
    <cfRule type="cellIs" dxfId="415" priority="14" stopIfTrue="1" operator="equal">
      <formula>" "</formula>
    </cfRule>
  </conditionalFormatting>
  <conditionalFormatting sqref="BL6:BL101">
    <cfRule type="cellIs" dxfId="413" priority="13" stopIfTrue="1" operator="equal">
      <formula>" "</formula>
    </cfRule>
  </conditionalFormatting>
  <conditionalFormatting sqref="BJ3">
    <cfRule type="expression" dxfId="411" priority="1037" stopIfTrue="1">
      <formula>ISERROR($BI$3)</formula>
    </cfRule>
  </conditionalFormatting>
  <conditionalFormatting sqref="BW6:BW101">
    <cfRule type="cellIs" dxfId="410" priority="12" stopIfTrue="1" operator="equal">
      <formula>" "</formula>
    </cfRule>
  </conditionalFormatting>
  <conditionalFormatting sqref="BX6:BX101">
    <cfRule type="cellIs" dxfId="409" priority="11" stopIfTrue="1" operator="equal">
      <formula>" "</formula>
    </cfRule>
  </conditionalFormatting>
  <conditionalFormatting sqref="BS6:BS101">
    <cfRule type="cellIs" dxfId="214" priority="10" stopIfTrue="1" operator="equal">
      <formula>" "</formula>
    </cfRule>
  </conditionalFormatting>
  <conditionalFormatting sqref="BT6:BT101">
    <cfRule type="cellIs" dxfId="212" priority="9" stopIfTrue="1" operator="equal">
      <formula>" "</formula>
    </cfRule>
  </conditionalFormatting>
  <conditionalFormatting sqref="BV6:BV101">
    <cfRule type="cellIs" dxfId="210" priority="8" stopIfTrue="1" operator="equal">
      <formula>" "</formula>
    </cfRule>
  </conditionalFormatting>
  <conditionalFormatting sqref="BY6:BY101">
    <cfRule type="cellIs" dxfId="208" priority="7" stopIfTrue="1" operator="equal">
      <formula>" "</formula>
    </cfRule>
  </conditionalFormatting>
  <conditionalFormatting sqref="BW3">
    <cfRule type="expression" dxfId="206" priority="1236" stopIfTrue="1">
      <formula>ISERROR($BV$3)</formula>
    </cfRule>
  </conditionalFormatting>
  <conditionalFormatting sqref="CJ6:CJ101">
    <cfRule type="cellIs" dxfId="205" priority="6" stopIfTrue="1" operator="equal">
      <formula>" "</formula>
    </cfRule>
  </conditionalFormatting>
  <conditionalFormatting sqref="CK6:CK101">
    <cfRule type="cellIs" dxfId="204" priority="5" stopIfTrue="1" operator="equal">
      <formula>" "</formula>
    </cfRule>
  </conditionalFormatting>
  <conditionalFormatting sqref="CF6:CF101">
    <cfRule type="cellIs" dxfId="9" priority="4" stopIfTrue="1" operator="equal">
      <formula>" "</formula>
    </cfRule>
  </conditionalFormatting>
  <conditionalFormatting sqref="CG6:CG101">
    <cfRule type="cellIs" dxfId="7" priority="3" stopIfTrue="1" operator="equal">
      <formula>" "</formula>
    </cfRule>
  </conditionalFormatting>
  <conditionalFormatting sqref="CI6:CI101">
    <cfRule type="cellIs" dxfId="5" priority="2" stopIfTrue="1" operator="equal">
      <formula>" "</formula>
    </cfRule>
  </conditionalFormatting>
  <conditionalFormatting sqref="CL6:CL101">
    <cfRule type="cellIs" dxfId="3" priority="1" stopIfTrue="1" operator="equal">
      <formula>" "</formula>
    </cfRule>
  </conditionalFormatting>
  <conditionalFormatting sqref="CJ3">
    <cfRule type="expression" dxfId="1" priority="1435" stopIfTrue="1">
      <formula>ISERROR($CI$3)</formula>
    </cfRule>
  </conditionalFormatting>
  <conditionalFormatting sqref="B1">
    <cfRule type="expression" dxfId="0" priority="1436" stopIfTrue="1">
      <formula>ISERROR($B$1)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stopIfTrue="1" operator="lessThan" id="{00000000-0000-0000-0000-000000000000}">
            <xm:f>INDEX('1.Locations'!$F$2:$F$97,$C$5 + 1)</xm:f>
            <x14:dxf>
              <fill>
                <patternFill>
                  <bgColor indexed="52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44" stopIfTrue="1" id="{00000000-0000-0000-0000-000000000000}">
            <xm:f>(60 * HOUR($K$5) + MINUTE($K$5)) &gt;(60 * HOUR(INDEX('1.Locations'!$G$2:$G$97,$C$5 + 1)) +MINUTE(INDEX('1.Locations'!$G$2:$G$97,$C$5 + 1)))</xm:f>
            <x14:dxf>
              <fill>
                <patternFill>
                  <bgColor indexed="1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cellIs" priority="45" stopIfTrue="1" operator="lessThan" id="{00000000-0000-0000-0000-000000000000}">
            <xm:f>INDEX('1.Locations'!$F$2:$F$97,$C$6 + 1)</xm:f>
            <x14:dxf>
              <fill>
                <patternFill>
                  <bgColor indexed="52"/>
                </patternFill>
              </fill>
            </x14:dxf>
          </x14:cfRule>
          <xm:sqref>J6</xm:sqref>
        </x14:conditionalFormatting>
        <x14:conditionalFormatting xmlns:xm="http://schemas.microsoft.com/office/excel/2006/main">
          <x14:cfRule type="expression" priority="46" stopIfTrue="1" id="{00000000-0000-0000-0000-000000000000}">
            <xm:f>(60 * HOUR($K$6) + MINUTE($K$6)) &gt;(60 * HOUR(INDEX('1.Locations'!$G$2:$G$97,$C$6 + 1)) +MINUTE(INDEX('1.Locations'!$G$2:$G$97,$C$6 + 1)))</xm:f>
            <x14:dxf>
              <fill>
                <patternFill>
                  <bgColor indexed="10"/>
                </patternFill>
              </fill>
            </x14:dxf>
          </x14:cfRule>
          <xm:sqref>K6</xm:sqref>
        </x14:conditionalFormatting>
        <x14:conditionalFormatting xmlns:xm="http://schemas.microsoft.com/office/excel/2006/main">
          <x14:cfRule type="cellIs" priority="47" stopIfTrue="1" operator="lessThan" id="{00000000-0000-0000-0000-000000000000}">
            <xm:f>INDEX('1.Locations'!$F$2:$F$97,$C$7 + 1)</xm:f>
            <x14:dxf>
              <fill>
                <patternFill>
                  <bgColor indexed="52"/>
                </patternFill>
              </fill>
            </x14:dxf>
          </x14:cfRule>
          <xm:sqref>J7</xm:sqref>
        </x14:conditionalFormatting>
        <x14:conditionalFormatting xmlns:xm="http://schemas.microsoft.com/office/excel/2006/main">
          <x14:cfRule type="expression" priority="48" stopIfTrue="1" id="{00000000-0000-0000-0000-000000000000}">
            <xm:f>(60 * HOUR($K$7) + MINUTE($K$7)) &gt;(60 * HOUR(INDEX('1.Locations'!$G$2:$G$97,$C$7 + 1)) +MINUTE(INDEX('1.Locations'!$G$2:$G$97,$C$7 + 1)))</xm:f>
            <x14:dxf>
              <fill>
                <patternFill>
                  <bgColor indexed="10"/>
                </patternFill>
              </fill>
            </x14:dxf>
          </x14:cfRule>
          <xm:sqref>K7</xm:sqref>
        </x14:conditionalFormatting>
        <x14:conditionalFormatting xmlns:xm="http://schemas.microsoft.com/office/excel/2006/main">
          <x14:cfRule type="cellIs" priority="49" stopIfTrue="1" operator="lessThan" id="{00000000-0000-0000-0000-000000000000}">
            <xm:f>INDEX('1.Locations'!$F$2:$F$97,$C$8 + 1)</xm:f>
            <x14:dxf>
              <fill>
                <patternFill>
                  <bgColor indexed="52"/>
                </patternFill>
              </fill>
            </x14:dxf>
          </x14:cfRule>
          <xm:sqref>J8</xm:sqref>
        </x14:conditionalFormatting>
        <x14:conditionalFormatting xmlns:xm="http://schemas.microsoft.com/office/excel/2006/main">
          <x14:cfRule type="expression" priority="50" stopIfTrue="1" id="{00000000-0000-0000-0000-000000000000}">
            <xm:f>(60 * HOUR($K$8) + MINUTE($K$8)) &gt;(60 * HOUR(INDEX('1.Locations'!$G$2:$G$97,$C$8 + 1)) +MINUTE(INDEX('1.Locations'!$G$2:$G$97,$C$8 + 1)))</xm:f>
            <x14:dxf>
              <fill>
                <patternFill>
                  <bgColor indexed="10"/>
                </patternFill>
              </fill>
            </x14:dxf>
          </x14:cfRule>
          <xm:sqref>K8</xm:sqref>
        </x14:conditionalFormatting>
        <x14:conditionalFormatting xmlns:xm="http://schemas.microsoft.com/office/excel/2006/main">
          <x14:cfRule type="cellIs" priority="51" stopIfTrue="1" operator="lessThan" id="{00000000-0000-0000-0000-000000000000}">
            <xm:f>INDEX('1.Locations'!$F$2:$F$97,$C$9 + 1)</xm:f>
            <x14:dxf>
              <fill>
                <patternFill>
                  <bgColor indexed="52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52" stopIfTrue="1" id="{00000000-0000-0000-0000-000000000000}">
            <xm:f>(60 * HOUR($K$9) + MINUTE($K$9)) &gt;(60 * HOUR(INDEX('1.Locations'!$G$2:$G$97,$C$9 + 1)) +MINUTE(INDEX('1.Locations'!$G$2:$G$97,$C$9 + 1)))</xm:f>
            <x14:dxf>
              <fill>
                <patternFill>
                  <bgColor indexed="1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cellIs" priority="53" stopIfTrue="1" operator="lessThan" id="{00000000-0000-0000-0000-000000000000}">
            <xm:f>INDEX('1.Locations'!$F$2:$F$97,$C$10 + 1)</xm:f>
            <x14:dxf>
              <fill>
                <patternFill>
                  <bgColor indexed="52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54" stopIfTrue="1" id="{00000000-0000-0000-0000-000000000000}">
            <xm:f>(60 * HOUR($K$10) + MINUTE($K$10)) &gt;(60 * HOUR(INDEX('1.Locations'!$G$2:$G$97,$C$10 + 1)) +MINUTE(INDEX('1.Locations'!$G$2:$G$97,$C$10 + 1)))</xm:f>
            <x14:dxf>
              <fill>
                <patternFill>
                  <bgColor indexed="1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cellIs" priority="55" stopIfTrue="1" operator="lessThan" id="{00000000-0000-0000-0000-000000000000}">
            <xm:f>INDEX('1.Locations'!$F$2:$F$97,$C$11 + 1)</xm:f>
            <x14:dxf>
              <fill>
                <patternFill>
                  <bgColor indexed="52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56" stopIfTrue="1" id="{00000000-0000-0000-0000-000000000000}">
            <xm:f>(60 * HOUR($K$11) + MINUTE($K$11)) &gt;(60 * HOUR(INDEX('1.Locations'!$G$2:$G$97,$C$11 + 1)) +MINUTE(INDEX('1.Locations'!$G$2:$G$97,$C$11 + 1)))</xm:f>
            <x14:dxf>
              <fill>
                <patternFill>
                  <bgColor indexed="10"/>
                </patternFill>
              </fill>
            </x14:dxf>
          </x14:cfRule>
          <xm:sqref>K11</xm:sqref>
        </x14:conditionalFormatting>
        <x14:conditionalFormatting xmlns:xm="http://schemas.microsoft.com/office/excel/2006/main">
          <x14:cfRule type="cellIs" priority="57" stopIfTrue="1" operator="lessThan" id="{00000000-0000-0000-0000-000000000000}">
            <xm:f>INDEX('1.Locations'!$F$2:$F$97,$C$12 + 1)</xm:f>
            <x14:dxf>
              <fill>
                <patternFill>
                  <bgColor indexed="52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8" stopIfTrue="1" id="{00000000-0000-0000-0000-000000000000}">
            <xm:f>(60 * HOUR($K$12) + MINUTE($K$12)) &gt;(60 * HOUR(INDEX('1.Locations'!$G$2:$G$97,$C$12 + 1)) +MINUTE(INDEX('1.Locations'!$G$2:$G$97,$C$12 + 1)))</xm:f>
            <x14:dxf>
              <fill>
                <patternFill>
                  <bgColor indexed="10"/>
                </patternFill>
              </fill>
            </x14:dxf>
          </x14:cfRule>
          <xm:sqref>K12</xm:sqref>
        </x14:conditionalFormatting>
        <x14:conditionalFormatting xmlns:xm="http://schemas.microsoft.com/office/excel/2006/main">
          <x14:cfRule type="cellIs" priority="59" stopIfTrue="1" operator="lessThan" id="{00000000-0000-0000-0000-000000000000}">
            <xm:f>INDEX('1.Locations'!$F$2:$F$97,$C$13 + 1)</xm:f>
            <x14:dxf>
              <fill>
                <patternFill>
                  <bgColor indexed="52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60" stopIfTrue="1" id="{00000000-0000-0000-0000-000000000000}">
            <xm:f>(60 * HOUR($K$13) + MINUTE($K$13)) &gt;(60 * HOUR(INDEX('1.Locations'!$G$2:$G$97,$C$13 + 1)) +MINUTE(INDEX('1.Locations'!$G$2:$G$97,$C$13 + 1)))</xm:f>
            <x14:dxf>
              <fill>
                <patternFill>
                  <bgColor indexed="10"/>
                </patternFill>
              </fill>
            </x14:dxf>
          </x14:cfRule>
          <xm:sqref>K13</xm:sqref>
        </x14:conditionalFormatting>
        <x14:conditionalFormatting xmlns:xm="http://schemas.microsoft.com/office/excel/2006/main">
          <x14:cfRule type="cellIs" priority="61" stopIfTrue="1" operator="lessThan" id="{00000000-0000-0000-0000-000000000000}">
            <xm:f>INDEX('1.Locations'!$F$2:$F$97,$C$14 + 1)</xm:f>
            <x14:dxf>
              <fill>
                <patternFill>
                  <bgColor indexed="52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62" stopIfTrue="1" id="{00000000-0000-0000-0000-000000000000}">
            <xm:f>(60 * HOUR($K$14) + MINUTE($K$14)) &gt;(60 * HOUR(INDEX('1.Locations'!$G$2:$G$97,$C$14 + 1)) +MINUTE(INDEX('1.Locations'!$G$2:$G$97,$C$14 + 1)))</xm:f>
            <x14:dxf>
              <fill>
                <patternFill>
                  <bgColor indexed="10"/>
                </patternFill>
              </fill>
            </x14:dxf>
          </x14:cfRule>
          <xm:sqref>K14</xm:sqref>
        </x14:conditionalFormatting>
        <x14:conditionalFormatting xmlns:xm="http://schemas.microsoft.com/office/excel/2006/main">
          <x14:cfRule type="cellIs" priority="63" stopIfTrue="1" operator="lessThan" id="{00000000-0000-0000-0000-000000000000}">
            <xm:f>INDEX('1.Locations'!$F$2:$F$97,$C$15 + 1)</xm:f>
            <x14:dxf>
              <fill>
                <patternFill>
                  <bgColor indexed="52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64" stopIfTrue="1" id="{00000000-0000-0000-0000-000000000000}">
            <xm:f>(60 * HOUR($K$15) + MINUTE($K$15)) &gt;(60 * HOUR(INDEX('1.Locations'!$G$2:$G$97,$C$15 + 1)) +MINUTE(INDEX('1.Locations'!$G$2:$G$97,$C$15 + 1)))</xm:f>
            <x14:dxf>
              <fill>
                <patternFill>
                  <bgColor indexed="10"/>
                </patternFill>
              </fill>
            </x14:dxf>
          </x14:cfRule>
          <xm:sqref>K15</xm:sqref>
        </x14:conditionalFormatting>
        <x14:conditionalFormatting xmlns:xm="http://schemas.microsoft.com/office/excel/2006/main">
          <x14:cfRule type="cellIs" priority="65" stopIfTrue="1" operator="lessThan" id="{00000000-0000-0000-0000-000000000000}">
            <xm:f>INDEX('1.Locations'!$F$2:$F$97,$C$16 + 1)</xm:f>
            <x14:dxf>
              <fill>
                <patternFill>
                  <bgColor indexed="52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66" stopIfTrue="1" id="{00000000-0000-0000-0000-000000000000}">
            <xm:f>(60 * HOUR($K$16) + MINUTE($K$16)) &gt;(60 * HOUR(INDEX('1.Locations'!$G$2:$G$97,$C$16 + 1)) +MINUTE(INDEX('1.Locations'!$G$2:$G$97,$C$16 + 1)))</xm:f>
            <x14:dxf>
              <fill>
                <patternFill>
                  <bgColor indexed="10"/>
                </patternFill>
              </fill>
            </x14:dxf>
          </x14:cfRule>
          <xm:sqref>K16</xm:sqref>
        </x14:conditionalFormatting>
        <x14:conditionalFormatting xmlns:xm="http://schemas.microsoft.com/office/excel/2006/main">
          <x14:cfRule type="cellIs" priority="67" stopIfTrue="1" operator="lessThan" id="{00000000-0000-0000-0000-000000000000}">
            <xm:f>INDEX('1.Locations'!$F$2:$F$97,$C$17 + 1)</xm:f>
            <x14:dxf>
              <fill>
                <patternFill>
                  <bgColor indexed="52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68" stopIfTrue="1" id="{00000000-0000-0000-0000-000000000000}">
            <xm:f>(60 * HOUR($K$17) + MINUTE($K$17)) &gt;(60 * HOUR(INDEX('1.Locations'!$G$2:$G$97,$C$17 + 1)) +MINUTE(INDEX('1.Locations'!$G$2:$G$97,$C$17 + 1)))</xm:f>
            <x14:dxf>
              <fill>
                <patternFill>
                  <bgColor indexed="10"/>
                </patternFill>
              </fill>
            </x14:dxf>
          </x14:cfRule>
          <xm:sqref>K17</xm:sqref>
        </x14:conditionalFormatting>
        <x14:conditionalFormatting xmlns:xm="http://schemas.microsoft.com/office/excel/2006/main">
          <x14:cfRule type="cellIs" priority="69" stopIfTrue="1" operator="lessThan" id="{00000000-0000-0000-0000-000000000000}">
            <xm:f>INDEX('1.Locations'!$F$2:$F$97,$C$18 + 1)</xm:f>
            <x14:dxf>
              <fill>
                <patternFill>
                  <bgColor indexed="52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70" stopIfTrue="1" id="{00000000-0000-0000-0000-000000000000}">
            <xm:f>(60 * HOUR($K$18) + MINUTE($K$18)) &gt;(60 * HOUR(INDEX('1.Locations'!$G$2:$G$97,$C$18 + 1)) +MINUTE(INDEX('1.Locations'!$G$2:$G$97,$C$18 + 1)))</xm:f>
            <x14:dxf>
              <fill>
                <patternFill>
                  <bgColor indexed="10"/>
                </patternFill>
              </fill>
            </x14:dxf>
          </x14:cfRule>
          <xm:sqref>K18</xm:sqref>
        </x14:conditionalFormatting>
        <x14:conditionalFormatting xmlns:xm="http://schemas.microsoft.com/office/excel/2006/main">
          <x14:cfRule type="cellIs" priority="71" stopIfTrue="1" operator="lessThan" id="{00000000-0000-0000-0000-000000000000}">
            <xm:f>INDEX('1.Locations'!$F$2:$F$97,$C$19 + 1)</xm:f>
            <x14:dxf>
              <fill>
                <patternFill>
                  <bgColor indexed="52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72" stopIfTrue="1" id="{00000000-0000-0000-0000-000000000000}">
            <xm:f>(60 * HOUR($K$19) + MINUTE($K$19)) &gt;(60 * HOUR(INDEX('1.Locations'!$G$2:$G$97,$C$19 + 1)) +MINUTE(INDEX('1.Locations'!$G$2:$G$97,$C$19 + 1)))</xm:f>
            <x14:dxf>
              <fill>
                <patternFill>
                  <bgColor indexed="10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cellIs" priority="73" stopIfTrue="1" operator="lessThan" id="{00000000-0000-0000-0000-000000000000}">
            <xm:f>INDEX('1.Locations'!$F$2:$F$97,$C$20 + 1)</xm:f>
            <x14:dxf>
              <fill>
                <patternFill>
                  <bgColor indexed="52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74" stopIfTrue="1" id="{00000000-0000-0000-0000-000000000000}">
            <xm:f>(60 * HOUR($K$20) + MINUTE($K$20)) &gt;(60 * HOUR(INDEX('1.Locations'!$G$2:$G$97,$C$20 + 1)) +MINUTE(INDEX('1.Locations'!$G$2:$G$97,$C$20 + 1)))</xm:f>
            <x14:dxf>
              <fill>
                <patternFill>
                  <bgColor indexed="10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cellIs" priority="75" stopIfTrue="1" operator="lessThan" id="{00000000-0000-0000-0000-000000000000}">
            <xm:f>INDEX('1.Locations'!$F$2:$F$97,$C$21 + 1)</xm:f>
            <x14:dxf>
              <fill>
                <patternFill>
                  <bgColor indexed="52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76" stopIfTrue="1" id="{00000000-0000-0000-0000-000000000000}">
            <xm:f>(60 * HOUR($K$21) + MINUTE($K$21)) &gt;(60 * HOUR(INDEX('1.Locations'!$G$2:$G$97,$C$21 + 1)) +MINUTE(INDEX('1.Locations'!$G$2:$G$97,$C$21 + 1)))</xm:f>
            <x14:dxf>
              <fill>
                <patternFill>
                  <bgColor indexed="10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cellIs" priority="77" stopIfTrue="1" operator="lessThan" id="{00000000-0000-0000-0000-000000000000}">
            <xm:f>INDEX('1.Locations'!$F$2:$F$97,$C$22 + 1)</xm:f>
            <x14:dxf>
              <fill>
                <patternFill>
                  <bgColor indexed="52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78" stopIfTrue="1" id="{00000000-0000-0000-0000-000000000000}">
            <xm:f>(60 * HOUR($K$22) + MINUTE($K$22)) &gt;(60 * HOUR(INDEX('1.Locations'!$G$2:$G$97,$C$22 + 1)) +MINUTE(INDEX('1.Locations'!$G$2:$G$97,$C$22 + 1)))</xm:f>
            <x14:dxf>
              <fill>
                <patternFill>
                  <bgColor indexed="10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cellIs" priority="79" stopIfTrue="1" operator="lessThan" id="{00000000-0000-0000-0000-000000000000}">
            <xm:f>INDEX('1.Locations'!$F$2:$F$97,$C$23 + 1)</xm:f>
            <x14:dxf>
              <fill>
                <patternFill>
                  <bgColor indexed="52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80" stopIfTrue="1" id="{00000000-0000-0000-0000-000000000000}">
            <xm:f>(60 * HOUR($K$23) + MINUTE($K$23)) &gt;(60 * HOUR(INDEX('1.Locations'!$G$2:$G$97,$C$23 + 1)) +MINUTE(INDEX('1.Locations'!$G$2:$G$97,$C$23 + 1)))</xm:f>
            <x14:dxf>
              <fill>
                <patternFill>
                  <bgColor indexed="10"/>
                </patternFill>
              </fill>
            </x14:dxf>
          </x14:cfRule>
          <xm:sqref>K23</xm:sqref>
        </x14:conditionalFormatting>
        <x14:conditionalFormatting xmlns:xm="http://schemas.microsoft.com/office/excel/2006/main">
          <x14:cfRule type="cellIs" priority="81" stopIfTrue="1" operator="lessThan" id="{00000000-0000-0000-0000-000000000000}">
            <xm:f>INDEX('1.Locations'!$F$2:$F$97,$C$24 + 1)</xm:f>
            <x14:dxf>
              <fill>
                <patternFill>
                  <bgColor indexed="52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82" stopIfTrue="1" id="{00000000-0000-0000-0000-000000000000}">
            <xm:f>(60 * HOUR($K$24) + MINUTE($K$24)) &gt;(60 * HOUR(INDEX('1.Locations'!$G$2:$G$97,$C$24 + 1)) +MINUTE(INDEX('1.Locations'!$G$2:$G$97,$C$24 + 1)))</xm:f>
            <x14:dxf>
              <fill>
                <patternFill>
                  <bgColor indexed="10"/>
                </patternFill>
              </fill>
            </x14:dxf>
          </x14:cfRule>
          <xm:sqref>K24</xm:sqref>
        </x14:conditionalFormatting>
        <x14:conditionalFormatting xmlns:xm="http://schemas.microsoft.com/office/excel/2006/main">
          <x14:cfRule type="cellIs" priority="83" stopIfTrue="1" operator="lessThan" id="{00000000-0000-0000-0000-000000000000}">
            <xm:f>INDEX('1.Locations'!$F$2:$F$97,$C$25 + 1)</xm:f>
            <x14:dxf>
              <fill>
                <patternFill>
                  <bgColor indexed="52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84" stopIfTrue="1" id="{00000000-0000-0000-0000-000000000000}">
            <xm:f>(60 * HOUR($K$25) + MINUTE($K$25)) &gt;(60 * HOUR(INDEX('1.Locations'!$G$2:$G$97,$C$25 + 1)) +MINUTE(INDEX('1.Locations'!$G$2:$G$97,$C$25 + 1)))</xm:f>
            <x14:dxf>
              <fill>
                <patternFill>
                  <bgColor indexed="10"/>
                </patternFill>
              </fill>
            </x14:dxf>
          </x14:cfRule>
          <xm:sqref>K25</xm:sqref>
        </x14:conditionalFormatting>
        <x14:conditionalFormatting xmlns:xm="http://schemas.microsoft.com/office/excel/2006/main">
          <x14:cfRule type="cellIs" priority="85" stopIfTrue="1" operator="lessThan" id="{00000000-0000-0000-0000-000000000000}">
            <xm:f>INDEX('1.Locations'!$F$2:$F$97,$C$26 + 1)</xm:f>
            <x14:dxf>
              <fill>
                <patternFill>
                  <bgColor indexed="52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86" stopIfTrue="1" id="{00000000-0000-0000-0000-000000000000}">
            <xm:f>(60 * HOUR($K$26) + MINUTE($K$26)) &gt;(60 * HOUR(INDEX('1.Locations'!$G$2:$G$97,$C$26 + 1)) +MINUTE(INDEX('1.Locations'!$G$2:$G$97,$C$26 + 1)))</xm:f>
            <x14:dxf>
              <fill>
                <patternFill>
                  <bgColor indexed="10"/>
                </patternFill>
              </fill>
            </x14:dxf>
          </x14:cfRule>
          <xm:sqref>K26</xm:sqref>
        </x14:conditionalFormatting>
        <x14:conditionalFormatting xmlns:xm="http://schemas.microsoft.com/office/excel/2006/main">
          <x14:cfRule type="cellIs" priority="87" stopIfTrue="1" operator="lessThan" id="{00000000-0000-0000-0000-000000000000}">
            <xm:f>INDEX('1.Locations'!$F$2:$F$97,$C$27 + 1)</xm:f>
            <x14:dxf>
              <fill>
                <patternFill>
                  <bgColor indexed="52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88" stopIfTrue="1" id="{00000000-0000-0000-0000-000000000000}">
            <xm:f>(60 * HOUR($K$27) + MINUTE($K$27)) &gt;(60 * HOUR(INDEX('1.Locations'!$G$2:$G$97,$C$27 + 1)) +MINUTE(INDEX('1.Locations'!$G$2:$G$97,$C$27 + 1)))</xm:f>
            <x14:dxf>
              <fill>
                <patternFill>
                  <bgColor indexed="10"/>
                </patternFill>
              </fill>
            </x14:dxf>
          </x14:cfRule>
          <xm:sqref>K27</xm:sqref>
        </x14:conditionalFormatting>
        <x14:conditionalFormatting xmlns:xm="http://schemas.microsoft.com/office/excel/2006/main">
          <x14:cfRule type="cellIs" priority="89" stopIfTrue="1" operator="lessThan" id="{00000000-0000-0000-0000-000000000000}">
            <xm:f>INDEX('1.Locations'!$F$2:$F$97,$C$28 + 1)</xm:f>
            <x14:dxf>
              <fill>
                <patternFill>
                  <bgColor indexed="52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90" stopIfTrue="1" id="{00000000-0000-0000-0000-000000000000}">
            <xm:f>(60 * HOUR($K$28) + MINUTE($K$28)) &gt;(60 * HOUR(INDEX('1.Locations'!$G$2:$G$97,$C$28 + 1)) +MINUTE(INDEX('1.Locations'!$G$2:$G$97,$C$28 + 1)))</xm:f>
            <x14:dxf>
              <fill>
                <patternFill>
                  <bgColor indexed="10"/>
                </patternFill>
              </fill>
            </x14:dxf>
          </x14:cfRule>
          <xm:sqref>K28</xm:sqref>
        </x14:conditionalFormatting>
        <x14:conditionalFormatting xmlns:xm="http://schemas.microsoft.com/office/excel/2006/main">
          <x14:cfRule type="cellIs" priority="91" stopIfTrue="1" operator="lessThan" id="{00000000-0000-0000-0000-000000000000}">
            <xm:f>INDEX('1.Locations'!$F$2:$F$97,$C$29 + 1)</xm:f>
            <x14:dxf>
              <fill>
                <patternFill>
                  <bgColor indexed="52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92" stopIfTrue="1" id="{00000000-0000-0000-0000-000000000000}">
            <xm:f>(60 * HOUR($K$29) + MINUTE($K$29)) &gt;(60 * HOUR(INDEX('1.Locations'!$G$2:$G$97,$C$29 + 1)) +MINUTE(INDEX('1.Locations'!$G$2:$G$97,$C$29 + 1)))</xm:f>
            <x14:dxf>
              <fill>
                <patternFill>
                  <bgColor indexed="10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cellIs" priority="93" stopIfTrue="1" operator="lessThan" id="{00000000-0000-0000-0000-000000000000}">
            <xm:f>INDEX('1.Locations'!$F$2:$F$97,$C$30 + 1)</xm:f>
            <x14:dxf>
              <fill>
                <patternFill>
                  <bgColor indexed="52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94" stopIfTrue="1" id="{00000000-0000-0000-0000-000000000000}">
            <xm:f>(60 * HOUR($K$30) + MINUTE($K$30)) &gt;(60 * HOUR(INDEX('1.Locations'!$G$2:$G$97,$C$30 + 1)) +MINUTE(INDEX('1.Locations'!$G$2:$G$97,$C$30 + 1)))</xm:f>
            <x14:dxf>
              <fill>
                <patternFill>
                  <bgColor indexed="10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cellIs" priority="95" stopIfTrue="1" operator="lessThan" id="{00000000-0000-0000-0000-000000000000}">
            <xm:f>INDEX('1.Locations'!$F$2:$F$97,$C$31 + 1)</xm:f>
            <x14:dxf>
              <fill>
                <patternFill>
                  <bgColor indexed="52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96" stopIfTrue="1" id="{00000000-0000-0000-0000-000000000000}">
            <xm:f>(60 * HOUR($K$31) + MINUTE($K$31)) &gt;(60 * HOUR(INDEX('1.Locations'!$G$2:$G$97,$C$31 + 1)) +MINUTE(INDEX('1.Locations'!$G$2:$G$97,$C$31 + 1)))</xm:f>
            <x14:dxf>
              <fill>
                <patternFill>
                  <bgColor indexed="10"/>
                </patternFill>
              </fill>
            </x14:dxf>
          </x14:cfRule>
          <xm:sqref>K31</xm:sqref>
        </x14:conditionalFormatting>
        <x14:conditionalFormatting xmlns:xm="http://schemas.microsoft.com/office/excel/2006/main">
          <x14:cfRule type="cellIs" priority="97" stopIfTrue="1" operator="lessThan" id="{00000000-0000-0000-0000-000000000000}">
            <xm:f>INDEX('1.Locations'!$F$2:$F$97,$C$32 + 1)</xm:f>
            <x14:dxf>
              <fill>
                <patternFill>
                  <bgColor indexed="52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98" stopIfTrue="1" id="{00000000-0000-0000-0000-000000000000}">
            <xm:f>(60 * HOUR($K$32) + MINUTE($K$32)) &gt;(60 * HOUR(INDEX('1.Locations'!$G$2:$G$97,$C$32 + 1)) +MINUTE(INDEX('1.Locations'!$G$2:$G$97,$C$32 + 1)))</xm:f>
            <x14:dxf>
              <fill>
                <patternFill>
                  <bgColor indexed="10"/>
                </patternFill>
              </fill>
            </x14:dxf>
          </x14:cfRule>
          <xm:sqref>K32</xm:sqref>
        </x14:conditionalFormatting>
        <x14:conditionalFormatting xmlns:xm="http://schemas.microsoft.com/office/excel/2006/main">
          <x14:cfRule type="cellIs" priority="99" stopIfTrue="1" operator="lessThan" id="{00000000-0000-0000-0000-000000000000}">
            <xm:f>INDEX('1.Locations'!$F$2:$F$97,$C$33 + 1)</xm:f>
            <x14:dxf>
              <fill>
                <patternFill>
                  <bgColor indexed="52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100" stopIfTrue="1" id="{00000000-0000-0000-0000-000000000000}">
            <xm:f>(60 * HOUR($K$33) + MINUTE($K$33)) &gt;(60 * HOUR(INDEX('1.Locations'!$G$2:$G$97,$C$33 + 1)) +MINUTE(INDEX('1.Locations'!$G$2:$G$97,$C$33 + 1)))</xm:f>
            <x14:dxf>
              <fill>
                <patternFill>
                  <bgColor indexed="10"/>
                </patternFill>
              </fill>
            </x14:dxf>
          </x14:cfRule>
          <xm:sqref>K33</xm:sqref>
        </x14:conditionalFormatting>
        <x14:conditionalFormatting xmlns:xm="http://schemas.microsoft.com/office/excel/2006/main">
          <x14:cfRule type="cellIs" priority="101" stopIfTrue="1" operator="lessThan" id="{00000000-0000-0000-0000-000000000000}">
            <xm:f>INDEX('1.Locations'!$F$2:$F$97,$C$34 + 1)</xm:f>
            <x14:dxf>
              <fill>
                <patternFill>
                  <bgColor indexed="52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102" stopIfTrue="1" id="{00000000-0000-0000-0000-000000000000}">
            <xm:f>(60 * HOUR($K$34) + MINUTE($K$34)) &gt;(60 * HOUR(INDEX('1.Locations'!$G$2:$G$97,$C$34 + 1)) +MINUTE(INDEX('1.Locations'!$G$2:$G$97,$C$34 + 1)))</xm:f>
            <x14:dxf>
              <fill>
                <patternFill>
                  <bgColor indexed="10"/>
                </patternFill>
              </fill>
            </x14:dxf>
          </x14:cfRule>
          <xm:sqref>K34</xm:sqref>
        </x14:conditionalFormatting>
        <x14:conditionalFormatting xmlns:xm="http://schemas.microsoft.com/office/excel/2006/main">
          <x14:cfRule type="cellIs" priority="103" stopIfTrue="1" operator="lessThan" id="{00000000-0000-0000-0000-000000000000}">
            <xm:f>INDEX('1.Locations'!$F$2:$F$97,$C$35 + 1)</xm:f>
            <x14:dxf>
              <fill>
                <patternFill>
                  <bgColor indexed="52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104" stopIfTrue="1" id="{00000000-0000-0000-0000-000000000000}">
            <xm:f>(60 * HOUR($K$35) + MINUTE($K$35)) &gt;(60 * HOUR(INDEX('1.Locations'!$G$2:$G$97,$C$35 + 1)) +MINUTE(INDEX('1.Locations'!$G$2:$G$97,$C$35 + 1)))</xm:f>
            <x14:dxf>
              <fill>
                <patternFill>
                  <bgColor indexed="10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cellIs" priority="105" stopIfTrue="1" operator="lessThan" id="{00000000-0000-0000-0000-000000000000}">
            <xm:f>INDEX('1.Locations'!$F$2:$F$97,$C$36 + 1)</xm:f>
            <x14:dxf>
              <fill>
                <patternFill>
                  <bgColor indexed="52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106" stopIfTrue="1" id="{00000000-0000-0000-0000-000000000000}">
            <xm:f>(60 * HOUR($K$36) + MINUTE($K$36)) &gt;(60 * HOUR(INDEX('1.Locations'!$G$2:$G$97,$C$36 + 1)) +MINUTE(INDEX('1.Locations'!$G$2:$G$97,$C$36 + 1)))</xm:f>
            <x14:dxf>
              <fill>
                <patternFill>
                  <bgColor indexed="10"/>
                </patternFill>
              </fill>
            </x14:dxf>
          </x14:cfRule>
          <xm:sqref>K36</xm:sqref>
        </x14:conditionalFormatting>
        <x14:conditionalFormatting xmlns:xm="http://schemas.microsoft.com/office/excel/2006/main">
          <x14:cfRule type="cellIs" priority="107" stopIfTrue="1" operator="lessThan" id="{00000000-0000-0000-0000-000000000000}">
            <xm:f>INDEX('1.Locations'!$F$2:$F$97,$C$37 + 1)</xm:f>
            <x14:dxf>
              <fill>
                <patternFill>
                  <bgColor indexed="52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108" stopIfTrue="1" id="{00000000-0000-0000-0000-000000000000}">
            <xm:f>(60 * HOUR($K$37) + MINUTE($K$37)) &gt;(60 * HOUR(INDEX('1.Locations'!$G$2:$G$97,$C$37 + 1)) +MINUTE(INDEX('1.Locations'!$G$2:$G$97,$C$37 + 1)))</xm:f>
            <x14:dxf>
              <fill>
                <patternFill>
                  <bgColor indexed="10"/>
                </patternFill>
              </fill>
            </x14:dxf>
          </x14:cfRule>
          <xm:sqref>K37</xm:sqref>
        </x14:conditionalFormatting>
        <x14:conditionalFormatting xmlns:xm="http://schemas.microsoft.com/office/excel/2006/main">
          <x14:cfRule type="cellIs" priority="109" stopIfTrue="1" operator="lessThan" id="{00000000-0000-0000-0000-000000000000}">
            <xm:f>INDEX('1.Locations'!$F$2:$F$97,$C$38 + 1)</xm:f>
            <x14:dxf>
              <fill>
                <patternFill>
                  <bgColor indexed="52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110" stopIfTrue="1" id="{00000000-0000-0000-0000-000000000000}">
            <xm:f>(60 * HOUR($K$38) + MINUTE($K$38)) &gt;(60 * HOUR(INDEX('1.Locations'!$G$2:$G$97,$C$38 + 1)) +MINUTE(INDEX('1.Locations'!$G$2:$G$97,$C$38 + 1)))</xm:f>
            <x14:dxf>
              <fill>
                <patternFill>
                  <bgColor indexed="10"/>
                </patternFill>
              </fill>
            </x14:dxf>
          </x14:cfRule>
          <xm:sqref>K38</xm:sqref>
        </x14:conditionalFormatting>
        <x14:conditionalFormatting xmlns:xm="http://schemas.microsoft.com/office/excel/2006/main">
          <x14:cfRule type="cellIs" priority="111" stopIfTrue="1" operator="lessThan" id="{00000000-0000-0000-0000-000000000000}">
            <xm:f>INDEX('1.Locations'!$F$2:$F$97,$C$39 + 1)</xm:f>
            <x14:dxf>
              <fill>
                <patternFill>
                  <bgColor indexed="52"/>
                </patternFill>
              </fill>
            </x14:dxf>
          </x14:cfRule>
          <xm:sqref>J39</xm:sqref>
        </x14:conditionalFormatting>
        <x14:conditionalFormatting xmlns:xm="http://schemas.microsoft.com/office/excel/2006/main">
          <x14:cfRule type="expression" priority="112" stopIfTrue="1" id="{00000000-0000-0000-0000-000000000000}">
            <xm:f>(60 * HOUR($K$39) + MINUTE($K$39)) &gt;(60 * HOUR(INDEX('1.Locations'!$G$2:$G$97,$C$39 + 1)) +MINUTE(INDEX('1.Locations'!$G$2:$G$97,$C$39 + 1)))</xm:f>
            <x14:dxf>
              <fill>
                <patternFill>
                  <bgColor indexed="10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cellIs" priority="113" stopIfTrue="1" operator="lessThan" id="{00000000-0000-0000-0000-000000000000}">
            <xm:f>INDEX('1.Locations'!$F$2:$F$97,$C$40 + 1)</xm:f>
            <x14:dxf>
              <fill>
                <patternFill>
                  <bgColor indexed="52"/>
                </patternFill>
              </fill>
            </x14:dxf>
          </x14:cfRule>
          <xm:sqref>J40</xm:sqref>
        </x14:conditionalFormatting>
        <x14:conditionalFormatting xmlns:xm="http://schemas.microsoft.com/office/excel/2006/main">
          <x14:cfRule type="expression" priority="114" stopIfTrue="1" id="{00000000-0000-0000-0000-000000000000}">
            <xm:f>(60 * HOUR($K$40) + MINUTE($K$40)) &gt;(60 * HOUR(INDEX('1.Locations'!$G$2:$G$97,$C$40 + 1)) +MINUTE(INDEX('1.Locations'!$G$2:$G$97,$C$40 + 1)))</xm:f>
            <x14:dxf>
              <fill>
                <patternFill>
                  <bgColor indexed="10"/>
                </patternFill>
              </fill>
            </x14:dxf>
          </x14:cfRule>
          <xm:sqref>K40</xm:sqref>
        </x14:conditionalFormatting>
        <x14:conditionalFormatting xmlns:xm="http://schemas.microsoft.com/office/excel/2006/main">
          <x14:cfRule type="cellIs" priority="115" stopIfTrue="1" operator="lessThan" id="{00000000-0000-0000-0000-000000000000}">
            <xm:f>INDEX('1.Locations'!$F$2:$F$97,$C$41 + 1)</xm:f>
            <x14:dxf>
              <fill>
                <patternFill>
                  <bgColor indexed="52"/>
                </patternFill>
              </fill>
            </x14:dxf>
          </x14:cfRule>
          <xm:sqref>J41</xm:sqref>
        </x14:conditionalFormatting>
        <x14:conditionalFormatting xmlns:xm="http://schemas.microsoft.com/office/excel/2006/main">
          <x14:cfRule type="expression" priority="116" stopIfTrue="1" id="{00000000-0000-0000-0000-000000000000}">
            <xm:f>(60 * HOUR($K$41) + MINUTE($K$41)) &gt;(60 * HOUR(INDEX('1.Locations'!$G$2:$G$97,$C$41 + 1)) +MINUTE(INDEX('1.Locations'!$G$2:$G$97,$C$41 + 1)))</xm:f>
            <x14:dxf>
              <fill>
                <patternFill>
                  <bgColor indexed="10"/>
                </patternFill>
              </fill>
            </x14:dxf>
          </x14:cfRule>
          <xm:sqref>K41</xm:sqref>
        </x14:conditionalFormatting>
        <x14:conditionalFormatting xmlns:xm="http://schemas.microsoft.com/office/excel/2006/main">
          <x14:cfRule type="cellIs" priority="117" stopIfTrue="1" operator="lessThan" id="{00000000-0000-0000-0000-000000000000}">
            <xm:f>INDEX('1.Locations'!$F$2:$F$97,$C$42 + 1)</xm:f>
            <x14:dxf>
              <fill>
                <patternFill>
                  <bgColor indexed="52"/>
                </patternFill>
              </fill>
            </x14:dxf>
          </x14:cfRule>
          <xm:sqref>J42</xm:sqref>
        </x14:conditionalFormatting>
        <x14:conditionalFormatting xmlns:xm="http://schemas.microsoft.com/office/excel/2006/main">
          <x14:cfRule type="expression" priority="118" stopIfTrue="1" id="{00000000-0000-0000-0000-000000000000}">
            <xm:f>(60 * HOUR($K$42) + MINUTE($K$42)) &gt;(60 * HOUR(INDEX('1.Locations'!$G$2:$G$97,$C$42 + 1)) +MINUTE(INDEX('1.Locations'!$G$2:$G$97,$C$42 + 1)))</xm:f>
            <x14:dxf>
              <fill>
                <patternFill>
                  <bgColor indexed="10"/>
                </patternFill>
              </fill>
            </x14:dxf>
          </x14:cfRule>
          <xm:sqref>K42</xm:sqref>
        </x14:conditionalFormatting>
        <x14:conditionalFormatting xmlns:xm="http://schemas.microsoft.com/office/excel/2006/main">
          <x14:cfRule type="cellIs" priority="119" stopIfTrue="1" operator="lessThan" id="{00000000-0000-0000-0000-000000000000}">
            <xm:f>INDEX('1.Locations'!$F$2:$F$97,$C$43 + 1)</xm:f>
            <x14:dxf>
              <fill>
                <patternFill>
                  <bgColor indexed="52"/>
                </patternFill>
              </fill>
            </x14:dxf>
          </x14:cfRule>
          <xm:sqref>J43</xm:sqref>
        </x14:conditionalFormatting>
        <x14:conditionalFormatting xmlns:xm="http://schemas.microsoft.com/office/excel/2006/main">
          <x14:cfRule type="expression" priority="120" stopIfTrue="1" id="{00000000-0000-0000-0000-000000000000}">
            <xm:f>(60 * HOUR($K$43) + MINUTE($K$43)) &gt;(60 * HOUR(INDEX('1.Locations'!$G$2:$G$97,$C$43 + 1)) +MINUTE(INDEX('1.Locations'!$G$2:$G$97,$C$43 + 1)))</xm:f>
            <x14:dxf>
              <fill>
                <patternFill>
                  <bgColor indexed="10"/>
                </patternFill>
              </fill>
            </x14:dxf>
          </x14:cfRule>
          <xm:sqref>K43</xm:sqref>
        </x14:conditionalFormatting>
        <x14:conditionalFormatting xmlns:xm="http://schemas.microsoft.com/office/excel/2006/main">
          <x14:cfRule type="cellIs" priority="121" stopIfTrue="1" operator="lessThan" id="{00000000-0000-0000-0000-000000000000}">
            <xm:f>INDEX('1.Locations'!$F$2:$F$97,$C$44 + 1)</xm:f>
            <x14:dxf>
              <fill>
                <patternFill>
                  <bgColor indexed="52"/>
                </patternFill>
              </fill>
            </x14:dxf>
          </x14:cfRule>
          <xm:sqref>J44</xm:sqref>
        </x14:conditionalFormatting>
        <x14:conditionalFormatting xmlns:xm="http://schemas.microsoft.com/office/excel/2006/main">
          <x14:cfRule type="expression" priority="122" stopIfTrue="1" id="{00000000-0000-0000-0000-000000000000}">
            <xm:f>(60 * HOUR($K$44) + MINUTE($K$44)) &gt;(60 * HOUR(INDEX('1.Locations'!$G$2:$G$97,$C$44 + 1)) +MINUTE(INDEX('1.Locations'!$G$2:$G$97,$C$44 + 1)))</xm:f>
            <x14:dxf>
              <fill>
                <patternFill>
                  <bgColor indexed="10"/>
                </patternFill>
              </fill>
            </x14:dxf>
          </x14:cfRule>
          <xm:sqref>K44</xm:sqref>
        </x14:conditionalFormatting>
        <x14:conditionalFormatting xmlns:xm="http://schemas.microsoft.com/office/excel/2006/main">
          <x14:cfRule type="cellIs" priority="123" stopIfTrue="1" operator="lessThan" id="{00000000-0000-0000-0000-000000000000}">
            <xm:f>INDEX('1.Locations'!$F$2:$F$97,$C$45 + 1)</xm:f>
            <x14:dxf>
              <fill>
                <patternFill>
                  <bgColor indexed="52"/>
                </patternFill>
              </fill>
            </x14:dxf>
          </x14:cfRule>
          <xm:sqref>J45</xm:sqref>
        </x14:conditionalFormatting>
        <x14:conditionalFormatting xmlns:xm="http://schemas.microsoft.com/office/excel/2006/main">
          <x14:cfRule type="expression" priority="124" stopIfTrue="1" id="{00000000-0000-0000-0000-000000000000}">
            <xm:f>(60 * HOUR($K$45) + MINUTE($K$45)) &gt;(60 * HOUR(INDEX('1.Locations'!$G$2:$G$97,$C$45 + 1)) +MINUTE(INDEX('1.Locations'!$G$2:$G$97,$C$45 + 1)))</xm:f>
            <x14:dxf>
              <fill>
                <patternFill>
                  <bgColor indexed="10"/>
                </patternFill>
              </fill>
            </x14:dxf>
          </x14:cfRule>
          <xm:sqref>K45</xm:sqref>
        </x14:conditionalFormatting>
        <x14:conditionalFormatting xmlns:xm="http://schemas.microsoft.com/office/excel/2006/main">
          <x14:cfRule type="cellIs" priority="125" stopIfTrue="1" operator="lessThan" id="{00000000-0000-0000-0000-000000000000}">
            <xm:f>INDEX('1.Locations'!$F$2:$F$97,$C$46 + 1)</xm:f>
            <x14:dxf>
              <fill>
                <patternFill>
                  <bgColor indexed="52"/>
                </patternFill>
              </fill>
            </x14:dxf>
          </x14:cfRule>
          <xm:sqref>J46</xm:sqref>
        </x14:conditionalFormatting>
        <x14:conditionalFormatting xmlns:xm="http://schemas.microsoft.com/office/excel/2006/main">
          <x14:cfRule type="expression" priority="126" stopIfTrue="1" id="{00000000-0000-0000-0000-000000000000}">
            <xm:f>(60 * HOUR($K$46) + MINUTE($K$46)) &gt;(60 * HOUR(INDEX('1.Locations'!$G$2:$G$97,$C$46 + 1)) +MINUTE(INDEX('1.Locations'!$G$2:$G$97,$C$46 + 1)))</xm:f>
            <x14:dxf>
              <fill>
                <patternFill>
                  <bgColor indexed="10"/>
                </patternFill>
              </fill>
            </x14:dxf>
          </x14:cfRule>
          <xm:sqref>K46</xm:sqref>
        </x14:conditionalFormatting>
        <x14:conditionalFormatting xmlns:xm="http://schemas.microsoft.com/office/excel/2006/main">
          <x14:cfRule type="cellIs" priority="127" stopIfTrue="1" operator="lessThan" id="{00000000-0000-0000-0000-000000000000}">
            <xm:f>INDEX('1.Locations'!$F$2:$F$97,$C$47 + 1)</xm:f>
            <x14:dxf>
              <fill>
                <patternFill>
                  <bgColor indexed="52"/>
                </patternFill>
              </fill>
            </x14:dxf>
          </x14:cfRule>
          <xm:sqref>J47</xm:sqref>
        </x14:conditionalFormatting>
        <x14:conditionalFormatting xmlns:xm="http://schemas.microsoft.com/office/excel/2006/main">
          <x14:cfRule type="expression" priority="128" stopIfTrue="1" id="{00000000-0000-0000-0000-000000000000}">
            <xm:f>(60 * HOUR($K$47) + MINUTE($K$47)) &gt;(60 * HOUR(INDEX('1.Locations'!$G$2:$G$97,$C$47 + 1)) +MINUTE(INDEX('1.Locations'!$G$2:$G$97,$C$47 + 1)))</xm:f>
            <x14:dxf>
              <fill>
                <patternFill>
                  <bgColor indexed="10"/>
                </patternFill>
              </fill>
            </x14:dxf>
          </x14:cfRule>
          <xm:sqref>K47</xm:sqref>
        </x14:conditionalFormatting>
        <x14:conditionalFormatting xmlns:xm="http://schemas.microsoft.com/office/excel/2006/main">
          <x14:cfRule type="cellIs" priority="129" stopIfTrue="1" operator="lessThan" id="{00000000-0000-0000-0000-000000000000}">
            <xm:f>INDEX('1.Locations'!$F$2:$F$97,$C$48 + 1)</xm:f>
            <x14:dxf>
              <fill>
                <patternFill>
                  <bgColor indexed="52"/>
                </patternFill>
              </fill>
            </x14:dxf>
          </x14:cfRule>
          <xm:sqref>J48</xm:sqref>
        </x14:conditionalFormatting>
        <x14:conditionalFormatting xmlns:xm="http://schemas.microsoft.com/office/excel/2006/main">
          <x14:cfRule type="expression" priority="130" stopIfTrue="1" id="{00000000-0000-0000-0000-000000000000}">
            <xm:f>(60 * HOUR($K$48) + MINUTE($K$48)) &gt;(60 * HOUR(INDEX('1.Locations'!$G$2:$G$97,$C$48 + 1)) +MINUTE(INDEX('1.Locations'!$G$2:$G$97,$C$48 + 1)))</xm:f>
            <x14:dxf>
              <fill>
                <patternFill>
                  <bgColor indexed="10"/>
                </patternFill>
              </fill>
            </x14:dxf>
          </x14:cfRule>
          <xm:sqref>K48</xm:sqref>
        </x14:conditionalFormatting>
        <x14:conditionalFormatting xmlns:xm="http://schemas.microsoft.com/office/excel/2006/main">
          <x14:cfRule type="cellIs" priority="131" stopIfTrue="1" operator="lessThan" id="{00000000-0000-0000-0000-000000000000}">
            <xm:f>INDEX('1.Locations'!$F$2:$F$97,$C$49 + 1)</xm:f>
            <x14:dxf>
              <fill>
                <patternFill>
                  <bgColor indexed="52"/>
                </patternFill>
              </fill>
            </x14:dxf>
          </x14:cfRule>
          <xm:sqref>J49</xm:sqref>
        </x14:conditionalFormatting>
        <x14:conditionalFormatting xmlns:xm="http://schemas.microsoft.com/office/excel/2006/main">
          <x14:cfRule type="expression" priority="132" stopIfTrue="1" id="{00000000-0000-0000-0000-000000000000}">
            <xm:f>(60 * HOUR($K$49) + MINUTE($K$49)) &gt;(60 * HOUR(INDEX('1.Locations'!$G$2:$G$97,$C$49 + 1)) +MINUTE(INDEX('1.Locations'!$G$2:$G$97,$C$49 + 1)))</xm:f>
            <x14:dxf>
              <fill>
                <patternFill>
                  <bgColor indexed="10"/>
                </patternFill>
              </fill>
            </x14:dxf>
          </x14:cfRule>
          <xm:sqref>K49</xm:sqref>
        </x14:conditionalFormatting>
        <x14:conditionalFormatting xmlns:xm="http://schemas.microsoft.com/office/excel/2006/main">
          <x14:cfRule type="cellIs" priority="133" stopIfTrue="1" operator="lessThan" id="{00000000-0000-0000-0000-000000000000}">
            <xm:f>INDEX('1.Locations'!$F$2:$F$97,$C$50 + 1)</xm:f>
            <x14:dxf>
              <fill>
                <patternFill>
                  <bgColor indexed="52"/>
                </patternFill>
              </fill>
            </x14:dxf>
          </x14:cfRule>
          <xm:sqref>J50</xm:sqref>
        </x14:conditionalFormatting>
        <x14:conditionalFormatting xmlns:xm="http://schemas.microsoft.com/office/excel/2006/main">
          <x14:cfRule type="expression" priority="134" stopIfTrue="1" id="{00000000-0000-0000-0000-000000000000}">
            <xm:f>(60 * HOUR($K$50) + MINUTE($K$50)) &gt;(60 * HOUR(INDEX('1.Locations'!$G$2:$G$97,$C$50 + 1)) +MINUTE(INDEX('1.Locations'!$G$2:$G$97,$C$50 + 1)))</xm:f>
            <x14:dxf>
              <fill>
                <patternFill>
                  <bgColor indexed="10"/>
                </patternFill>
              </fill>
            </x14:dxf>
          </x14:cfRule>
          <xm:sqref>K50</xm:sqref>
        </x14:conditionalFormatting>
        <x14:conditionalFormatting xmlns:xm="http://schemas.microsoft.com/office/excel/2006/main">
          <x14:cfRule type="cellIs" priority="135" stopIfTrue="1" operator="lessThan" id="{00000000-0000-0000-0000-000000000000}">
            <xm:f>INDEX('1.Locations'!$F$2:$F$97,$C$51 + 1)</xm:f>
            <x14:dxf>
              <fill>
                <patternFill>
                  <bgColor indexed="52"/>
                </patternFill>
              </fill>
            </x14:dxf>
          </x14:cfRule>
          <xm:sqref>J51</xm:sqref>
        </x14:conditionalFormatting>
        <x14:conditionalFormatting xmlns:xm="http://schemas.microsoft.com/office/excel/2006/main">
          <x14:cfRule type="expression" priority="136" stopIfTrue="1" id="{00000000-0000-0000-0000-000000000000}">
            <xm:f>(60 * HOUR($K$51) + MINUTE($K$51)) &gt;(60 * HOUR(INDEX('1.Locations'!$G$2:$G$97,$C$51 + 1)) +MINUTE(INDEX('1.Locations'!$G$2:$G$97,$C$51 + 1)))</xm:f>
            <x14:dxf>
              <fill>
                <patternFill>
                  <bgColor indexed="10"/>
                </patternFill>
              </fill>
            </x14:dxf>
          </x14:cfRule>
          <xm:sqref>K51</xm:sqref>
        </x14:conditionalFormatting>
        <x14:conditionalFormatting xmlns:xm="http://schemas.microsoft.com/office/excel/2006/main">
          <x14:cfRule type="cellIs" priority="137" stopIfTrue="1" operator="lessThan" id="{00000000-0000-0000-0000-000000000000}">
            <xm:f>INDEX('1.Locations'!$F$2:$F$97,$C$52 + 1)</xm:f>
            <x14:dxf>
              <fill>
                <patternFill>
                  <bgColor indexed="52"/>
                </patternFill>
              </fill>
            </x14:dxf>
          </x14:cfRule>
          <xm:sqref>J52</xm:sqref>
        </x14:conditionalFormatting>
        <x14:conditionalFormatting xmlns:xm="http://schemas.microsoft.com/office/excel/2006/main">
          <x14:cfRule type="expression" priority="138" stopIfTrue="1" id="{00000000-0000-0000-0000-000000000000}">
            <xm:f>(60 * HOUR($K$52) + MINUTE($K$52)) &gt;(60 * HOUR(INDEX('1.Locations'!$G$2:$G$97,$C$52 + 1)) +MINUTE(INDEX('1.Locations'!$G$2:$G$97,$C$52 + 1)))</xm:f>
            <x14:dxf>
              <fill>
                <patternFill>
                  <bgColor indexed="10"/>
                </patternFill>
              </fill>
            </x14:dxf>
          </x14:cfRule>
          <xm:sqref>K52</xm:sqref>
        </x14:conditionalFormatting>
        <x14:conditionalFormatting xmlns:xm="http://schemas.microsoft.com/office/excel/2006/main">
          <x14:cfRule type="cellIs" priority="139" stopIfTrue="1" operator="lessThan" id="{00000000-0000-0000-0000-000000000000}">
            <xm:f>INDEX('1.Locations'!$F$2:$F$97,$C$53 + 1)</xm:f>
            <x14:dxf>
              <fill>
                <patternFill>
                  <bgColor indexed="52"/>
                </patternFill>
              </fill>
            </x14:dxf>
          </x14:cfRule>
          <xm:sqref>J53</xm:sqref>
        </x14:conditionalFormatting>
        <x14:conditionalFormatting xmlns:xm="http://schemas.microsoft.com/office/excel/2006/main">
          <x14:cfRule type="expression" priority="140" stopIfTrue="1" id="{00000000-0000-0000-0000-000000000000}">
            <xm:f>(60 * HOUR($K$53) + MINUTE($K$53)) &gt;(60 * HOUR(INDEX('1.Locations'!$G$2:$G$97,$C$53 + 1)) +MINUTE(INDEX('1.Locations'!$G$2:$G$97,$C$53 + 1)))</xm:f>
            <x14:dxf>
              <fill>
                <patternFill>
                  <bgColor indexed="10"/>
                </patternFill>
              </fill>
            </x14:dxf>
          </x14:cfRule>
          <xm:sqref>K53</xm:sqref>
        </x14:conditionalFormatting>
        <x14:conditionalFormatting xmlns:xm="http://schemas.microsoft.com/office/excel/2006/main">
          <x14:cfRule type="cellIs" priority="141" stopIfTrue="1" operator="lessThan" id="{00000000-0000-0000-0000-000000000000}">
            <xm:f>INDEX('1.Locations'!$F$2:$F$97,$C$54 + 1)</xm:f>
            <x14:dxf>
              <fill>
                <patternFill>
                  <bgColor indexed="52"/>
                </patternFill>
              </fill>
            </x14:dxf>
          </x14:cfRule>
          <xm:sqref>J54</xm:sqref>
        </x14:conditionalFormatting>
        <x14:conditionalFormatting xmlns:xm="http://schemas.microsoft.com/office/excel/2006/main">
          <x14:cfRule type="expression" priority="142" stopIfTrue="1" id="{00000000-0000-0000-0000-000000000000}">
            <xm:f>(60 * HOUR($K$54) + MINUTE($K$54)) &gt;(60 * HOUR(INDEX('1.Locations'!$G$2:$G$97,$C$54 + 1)) +MINUTE(INDEX('1.Locations'!$G$2:$G$97,$C$54 + 1)))</xm:f>
            <x14:dxf>
              <fill>
                <patternFill>
                  <bgColor indexed="10"/>
                </patternFill>
              </fill>
            </x14:dxf>
          </x14:cfRule>
          <xm:sqref>K54</xm:sqref>
        </x14:conditionalFormatting>
        <x14:conditionalFormatting xmlns:xm="http://schemas.microsoft.com/office/excel/2006/main">
          <x14:cfRule type="cellIs" priority="143" stopIfTrue="1" operator="lessThan" id="{00000000-0000-0000-0000-000000000000}">
            <xm:f>INDEX('1.Locations'!$F$2:$F$97,$C$55 + 1)</xm:f>
            <x14:dxf>
              <fill>
                <patternFill>
                  <bgColor indexed="52"/>
                </patternFill>
              </fill>
            </x14:dxf>
          </x14:cfRule>
          <xm:sqref>J55</xm:sqref>
        </x14:conditionalFormatting>
        <x14:conditionalFormatting xmlns:xm="http://schemas.microsoft.com/office/excel/2006/main">
          <x14:cfRule type="expression" priority="144" stopIfTrue="1" id="{00000000-0000-0000-0000-000000000000}">
            <xm:f>(60 * HOUR($K$55) + MINUTE($K$55)) &gt;(60 * HOUR(INDEX('1.Locations'!$G$2:$G$97,$C$55 + 1)) +MINUTE(INDEX('1.Locations'!$G$2:$G$97,$C$55 + 1)))</xm:f>
            <x14:dxf>
              <fill>
                <patternFill>
                  <bgColor indexed="10"/>
                </patternFill>
              </fill>
            </x14:dxf>
          </x14:cfRule>
          <xm:sqref>K55</xm:sqref>
        </x14:conditionalFormatting>
        <x14:conditionalFormatting xmlns:xm="http://schemas.microsoft.com/office/excel/2006/main">
          <x14:cfRule type="cellIs" priority="145" stopIfTrue="1" operator="lessThan" id="{00000000-0000-0000-0000-000000000000}">
            <xm:f>INDEX('1.Locations'!$F$2:$F$97,$C$56 + 1)</xm:f>
            <x14:dxf>
              <fill>
                <patternFill>
                  <bgColor indexed="52"/>
                </patternFill>
              </fill>
            </x14:dxf>
          </x14:cfRule>
          <xm:sqref>J56</xm:sqref>
        </x14:conditionalFormatting>
        <x14:conditionalFormatting xmlns:xm="http://schemas.microsoft.com/office/excel/2006/main">
          <x14:cfRule type="expression" priority="146" stopIfTrue="1" id="{00000000-0000-0000-0000-000000000000}">
            <xm:f>(60 * HOUR($K$56) + MINUTE($K$56)) &gt;(60 * HOUR(INDEX('1.Locations'!$G$2:$G$97,$C$56 + 1)) +MINUTE(INDEX('1.Locations'!$G$2:$G$97,$C$56 + 1)))</xm:f>
            <x14:dxf>
              <fill>
                <patternFill>
                  <bgColor indexed="10"/>
                </patternFill>
              </fill>
            </x14:dxf>
          </x14:cfRule>
          <xm:sqref>K56</xm:sqref>
        </x14:conditionalFormatting>
        <x14:conditionalFormatting xmlns:xm="http://schemas.microsoft.com/office/excel/2006/main">
          <x14:cfRule type="cellIs" priority="147" stopIfTrue="1" operator="lessThan" id="{00000000-0000-0000-0000-000000000000}">
            <xm:f>INDEX('1.Locations'!$F$2:$F$97,$C$57 + 1)</xm:f>
            <x14:dxf>
              <fill>
                <patternFill>
                  <bgColor indexed="52"/>
                </patternFill>
              </fill>
            </x14:dxf>
          </x14:cfRule>
          <xm:sqref>J57</xm:sqref>
        </x14:conditionalFormatting>
        <x14:conditionalFormatting xmlns:xm="http://schemas.microsoft.com/office/excel/2006/main">
          <x14:cfRule type="expression" priority="148" stopIfTrue="1" id="{00000000-0000-0000-0000-000000000000}">
            <xm:f>(60 * HOUR($K$57) + MINUTE($K$57)) &gt;(60 * HOUR(INDEX('1.Locations'!$G$2:$G$97,$C$57 + 1)) +MINUTE(INDEX('1.Locations'!$G$2:$G$97,$C$57 + 1)))</xm:f>
            <x14:dxf>
              <fill>
                <patternFill>
                  <bgColor indexed="10"/>
                </patternFill>
              </fill>
            </x14:dxf>
          </x14:cfRule>
          <xm:sqref>K57</xm:sqref>
        </x14:conditionalFormatting>
        <x14:conditionalFormatting xmlns:xm="http://schemas.microsoft.com/office/excel/2006/main">
          <x14:cfRule type="cellIs" priority="149" stopIfTrue="1" operator="lessThan" id="{00000000-0000-0000-0000-000000000000}">
            <xm:f>INDEX('1.Locations'!$F$2:$F$97,$C$58 + 1)</xm:f>
            <x14:dxf>
              <fill>
                <patternFill>
                  <bgColor indexed="52"/>
                </patternFill>
              </fill>
            </x14:dxf>
          </x14:cfRule>
          <xm:sqref>J58</xm:sqref>
        </x14:conditionalFormatting>
        <x14:conditionalFormatting xmlns:xm="http://schemas.microsoft.com/office/excel/2006/main">
          <x14:cfRule type="expression" priority="150" stopIfTrue="1" id="{00000000-0000-0000-0000-000000000000}">
            <xm:f>(60 * HOUR($K$58) + MINUTE($K$58)) &gt;(60 * HOUR(INDEX('1.Locations'!$G$2:$G$97,$C$58 + 1)) +MINUTE(INDEX('1.Locations'!$G$2:$G$97,$C$58 + 1)))</xm:f>
            <x14:dxf>
              <fill>
                <patternFill>
                  <bgColor indexed="10"/>
                </patternFill>
              </fill>
            </x14:dxf>
          </x14:cfRule>
          <xm:sqref>K58</xm:sqref>
        </x14:conditionalFormatting>
        <x14:conditionalFormatting xmlns:xm="http://schemas.microsoft.com/office/excel/2006/main">
          <x14:cfRule type="cellIs" priority="151" stopIfTrue="1" operator="lessThan" id="{00000000-0000-0000-0000-000000000000}">
            <xm:f>INDEX('1.Locations'!$F$2:$F$97,$C$59 + 1)</xm:f>
            <x14:dxf>
              <fill>
                <patternFill>
                  <bgColor indexed="52"/>
                </patternFill>
              </fill>
            </x14:dxf>
          </x14:cfRule>
          <xm:sqref>J59</xm:sqref>
        </x14:conditionalFormatting>
        <x14:conditionalFormatting xmlns:xm="http://schemas.microsoft.com/office/excel/2006/main">
          <x14:cfRule type="expression" priority="152" stopIfTrue="1" id="{00000000-0000-0000-0000-000000000000}">
            <xm:f>(60 * HOUR($K$59) + MINUTE($K$59)) &gt;(60 * HOUR(INDEX('1.Locations'!$G$2:$G$97,$C$59 + 1)) +MINUTE(INDEX('1.Locations'!$G$2:$G$97,$C$59 + 1)))</xm:f>
            <x14:dxf>
              <fill>
                <patternFill>
                  <bgColor indexed="10"/>
                </patternFill>
              </fill>
            </x14:dxf>
          </x14:cfRule>
          <xm:sqref>K59</xm:sqref>
        </x14:conditionalFormatting>
        <x14:conditionalFormatting xmlns:xm="http://schemas.microsoft.com/office/excel/2006/main">
          <x14:cfRule type="cellIs" priority="153" stopIfTrue="1" operator="lessThan" id="{00000000-0000-0000-0000-000000000000}">
            <xm:f>INDEX('1.Locations'!$F$2:$F$97,$C$60 + 1)</xm:f>
            <x14:dxf>
              <fill>
                <patternFill>
                  <bgColor indexed="52"/>
                </patternFill>
              </fill>
            </x14:dxf>
          </x14:cfRule>
          <xm:sqref>J60</xm:sqref>
        </x14:conditionalFormatting>
        <x14:conditionalFormatting xmlns:xm="http://schemas.microsoft.com/office/excel/2006/main">
          <x14:cfRule type="expression" priority="154" stopIfTrue="1" id="{00000000-0000-0000-0000-000000000000}">
            <xm:f>(60 * HOUR($K$60) + MINUTE($K$60)) &gt;(60 * HOUR(INDEX('1.Locations'!$G$2:$G$97,$C$60 + 1)) +MINUTE(INDEX('1.Locations'!$G$2:$G$97,$C$60 + 1)))</xm:f>
            <x14:dxf>
              <fill>
                <patternFill>
                  <bgColor indexed="10"/>
                </patternFill>
              </fill>
            </x14:dxf>
          </x14:cfRule>
          <xm:sqref>K60</xm:sqref>
        </x14:conditionalFormatting>
        <x14:conditionalFormatting xmlns:xm="http://schemas.microsoft.com/office/excel/2006/main">
          <x14:cfRule type="cellIs" priority="155" stopIfTrue="1" operator="lessThan" id="{00000000-0000-0000-0000-000000000000}">
            <xm:f>INDEX('1.Locations'!$F$2:$F$97,$C$61 + 1)</xm:f>
            <x14:dxf>
              <fill>
                <patternFill>
                  <bgColor indexed="52"/>
                </patternFill>
              </fill>
            </x14:dxf>
          </x14:cfRule>
          <xm:sqref>J61</xm:sqref>
        </x14:conditionalFormatting>
        <x14:conditionalFormatting xmlns:xm="http://schemas.microsoft.com/office/excel/2006/main">
          <x14:cfRule type="expression" priority="156" stopIfTrue="1" id="{00000000-0000-0000-0000-000000000000}">
            <xm:f>(60 * HOUR($K$61) + MINUTE($K$61)) &gt;(60 * HOUR(INDEX('1.Locations'!$G$2:$G$97,$C$61 + 1)) +MINUTE(INDEX('1.Locations'!$G$2:$G$97,$C$61 + 1)))</xm:f>
            <x14:dxf>
              <fill>
                <patternFill>
                  <bgColor indexed="10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cellIs" priority="157" stopIfTrue="1" operator="lessThan" id="{00000000-0000-0000-0000-000000000000}">
            <xm:f>INDEX('1.Locations'!$F$2:$F$97,$C$62 + 1)</xm:f>
            <x14:dxf>
              <fill>
                <patternFill>
                  <bgColor indexed="52"/>
                </patternFill>
              </fill>
            </x14:dxf>
          </x14:cfRule>
          <xm:sqref>J62</xm:sqref>
        </x14:conditionalFormatting>
        <x14:conditionalFormatting xmlns:xm="http://schemas.microsoft.com/office/excel/2006/main">
          <x14:cfRule type="expression" priority="158" stopIfTrue="1" id="{00000000-0000-0000-0000-000000000000}">
            <xm:f>(60 * HOUR($K$62) + MINUTE($K$62)) &gt;(60 * HOUR(INDEX('1.Locations'!$G$2:$G$97,$C$62 + 1)) +MINUTE(INDEX('1.Locations'!$G$2:$G$97,$C$62 + 1)))</xm:f>
            <x14:dxf>
              <fill>
                <patternFill>
                  <bgColor indexed="10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cellIs" priority="159" stopIfTrue="1" operator="lessThan" id="{00000000-0000-0000-0000-000000000000}">
            <xm:f>INDEX('1.Locations'!$F$2:$F$97,$C$63 + 1)</xm:f>
            <x14:dxf>
              <fill>
                <patternFill>
                  <bgColor indexed="52"/>
                </patternFill>
              </fill>
            </x14:dxf>
          </x14:cfRule>
          <xm:sqref>J63</xm:sqref>
        </x14:conditionalFormatting>
        <x14:conditionalFormatting xmlns:xm="http://schemas.microsoft.com/office/excel/2006/main">
          <x14:cfRule type="expression" priority="160" stopIfTrue="1" id="{00000000-0000-0000-0000-000000000000}">
            <xm:f>(60 * HOUR($K$63) + MINUTE($K$63)) &gt;(60 * HOUR(INDEX('1.Locations'!$G$2:$G$97,$C$63 + 1)) +MINUTE(INDEX('1.Locations'!$G$2:$G$97,$C$63 + 1)))</xm:f>
            <x14:dxf>
              <fill>
                <patternFill>
                  <bgColor indexed="10"/>
                </patternFill>
              </fill>
            </x14:dxf>
          </x14:cfRule>
          <xm:sqref>K63</xm:sqref>
        </x14:conditionalFormatting>
        <x14:conditionalFormatting xmlns:xm="http://schemas.microsoft.com/office/excel/2006/main">
          <x14:cfRule type="cellIs" priority="161" stopIfTrue="1" operator="lessThan" id="{00000000-0000-0000-0000-000000000000}">
            <xm:f>INDEX('1.Locations'!$F$2:$F$97,$C$64 + 1)</xm:f>
            <x14:dxf>
              <fill>
                <patternFill>
                  <bgColor indexed="52"/>
                </patternFill>
              </fill>
            </x14:dxf>
          </x14:cfRule>
          <xm:sqref>J64</xm:sqref>
        </x14:conditionalFormatting>
        <x14:conditionalFormatting xmlns:xm="http://schemas.microsoft.com/office/excel/2006/main">
          <x14:cfRule type="expression" priority="162" stopIfTrue="1" id="{00000000-0000-0000-0000-000000000000}">
            <xm:f>(60 * HOUR($K$64) + MINUTE($K$64)) &gt;(60 * HOUR(INDEX('1.Locations'!$G$2:$G$97,$C$64 + 1)) +MINUTE(INDEX('1.Locations'!$G$2:$G$97,$C$64 + 1)))</xm:f>
            <x14:dxf>
              <fill>
                <patternFill>
                  <bgColor indexed="10"/>
                </patternFill>
              </fill>
            </x14:dxf>
          </x14:cfRule>
          <xm:sqref>K64</xm:sqref>
        </x14:conditionalFormatting>
        <x14:conditionalFormatting xmlns:xm="http://schemas.microsoft.com/office/excel/2006/main">
          <x14:cfRule type="cellIs" priority="163" stopIfTrue="1" operator="lessThan" id="{00000000-0000-0000-0000-000000000000}">
            <xm:f>INDEX('1.Locations'!$F$2:$F$97,$C$65 + 1)</xm:f>
            <x14:dxf>
              <fill>
                <patternFill>
                  <bgColor indexed="52"/>
                </patternFill>
              </fill>
            </x14:dxf>
          </x14:cfRule>
          <xm:sqref>J65</xm:sqref>
        </x14:conditionalFormatting>
        <x14:conditionalFormatting xmlns:xm="http://schemas.microsoft.com/office/excel/2006/main">
          <x14:cfRule type="expression" priority="164" stopIfTrue="1" id="{00000000-0000-0000-0000-000000000000}">
            <xm:f>(60 * HOUR($K$65) + MINUTE($K$65)) &gt;(60 * HOUR(INDEX('1.Locations'!$G$2:$G$97,$C$65 + 1)) +MINUTE(INDEX('1.Locations'!$G$2:$G$97,$C$65 + 1)))</xm:f>
            <x14:dxf>
              <fill>
                <patternFill>
                  <bgColor indexed="10"/>
                </patternFill>
              </fill>
            </x14:dxf>
          </x14:cfRule>
          <xm:sqref>K65</xm:sqref>
        </x14:conditionalFormatting>
        <x14:conditionalFormatting xmlns:xm="http://schemas.microsoft.com/office/excel/2006/main">
          <x14:cfRule type="cellIs" priority="165" stopIfTrue="1" operator="lessThan" id="{00000000-0000-0000-0000-000000000000}">
            <xm:f>INDEX('1.Locations'!$F$2:$F$97,$C$66 + 1)</xm:f>
            <x14:dxf>
              <fill>
                <patternFill>
                  <bgColor indexed="52"/>
                </patternFill>
              </fill>
            </x14:dxf>
          </x14:cfRule>
          <xm:sqref>J66</xm:sqref>
        </x14:conditionalFormatting>
        <x14:conditionalFormatting xmlns:xm="http://schemas.microsoft.com/office/excel/2006/main">
          <x14:cfRule type="expression" priority="166" stopIfTrue="1" id="{00000000-0000-0000-0000-000000000000}">
            <xm:f>(60 * HOUR($K$66) + MINUTE($K$66)) &gt;(60 * HOUR(INDEX('1.Locations'!$G$2:$G$97,$C$66 + 1)) +MINUTE(INDEX('1.Locations'!$G$2:$G$97,$C$66 + 1)))</xm:f>
            <x14:dxf>
              <fill>
                <patternFill>
                  <bgColor indexed="10"/>
                </patternFill>
              </fill>
            </x14:dxf>
          </x14:cfRule>
          <xm:sqref>K66</xm:sqref>
        </x14:conditionalFormatting>
        <x14:conditionalFormatting xmlns:xm="http://schemas.microsoft.com/office/excel/2006/main">
          <x14:cfRule type="cellIs" priority="167" stopIfTrue="1" operator="lessThan" id="{00000000-0000-0000-0000-000000000000}">
            <xm:f>INDEX('1.Locations'!$F$2:$F$97,$C$67 + 1)</xm:f>
            <x14:dxf>
              <fill>
                <patternFill>
                  <bgColor indexed="52"/>
                </patternFill>
              </fill>
            </x14:dxf>
          </x14:cfRule>
          <xm:sqref>J67</xm:sqref>
        </x14:conditionalFormatting>
        <x14:conditionalFormatting xmlns:xm="http://schemas.microsoft.com/office/excel/2006/main">
          <x14:cfRule type="expression" priority="168" stopIfTrue="1" id="{00000000-0000-0000-0000-000000000000}">
            <xm:f>(60 * HOUR($K$67) + MINUTE($K$67)) &gt;(60 * HOUR(INDEX('1.Locations'!$G$2:$G$97,$C$67 + 1)) +MINUTE(INDEX('1.Locations'!$G$2:$G$97,$C$67 + 1)))</xm:f>
            <x14:dxf>
              <fill>
                <patternFill>
                  <bgColor indexed="10"/>
                </patternFill>
              </fill>
            </x14:dxf>
          </x14:cfRule>
          <xm:sqref>K67</xm:sqref>
        </x14:conditionalFormatting>
        <x14:conditionalFormatting xmlns:xm="http://schemas.microsoft.com/office/excel/2006/main">
          <x14:cfRule type="cellIs" priority="169" stopIfTrue="1" operator="lessThan" id="{00000000-0000-0000-0000-000000000000}">
            <xm:f>INDEX('1.Locations'!$F$2:$F$97,$C$68 + 1)</xm:f>
            <x14:dxf>
              <fill>
                <patternFill>
                  <bgColor indexed="52"/>
                </patternFill>
              </fill>
            </x14:dxf>
          </x14:cfRule>
          <xm:sqref>J68</xm:sqref>
        </x14:conditionalFormatting>
        <x14:conditionalFormatting xmlns:xm="http://schemas.microsoft.com/office/excel/2006/main">
          <x14:cfRule type="expression" priority="170" stopIfTrue="1" id="{00000000-0000-0000-0000-000000000000}">
            <xm:f>(60 * HOUR($K$68) + MINUTE($K$68)) &gt;(60 * HOUR(INDEX('1.Locations'!$G$2:$G$97,$C$68 + 1)) +MINUTE(INDEX('1.Locations'!$G$2:$G$97,$C$68 + 1)))</xm:f>
            <x14:dxf>
              <fill>
                <patternFill>
                  <bgColor indexed="10"/>
                </patternFill>
              </fill>
            </x14:dxf>
          </x14:cfRule>
          <xm:sqref>K68</xm:sqref>
        </x14:conditionalFormatting>
        <x14:conditionalFormatting xmlns:xm="http://schemas.microsoft.com/office/excel/2006/main">
          <x14:cfRule type="cellIs" priority="171" stopIfTrue="1" operator="lessThan" id="{00000000-0000-0000-0000-000000000000}">
            <xm:f>INDEX('1.Locations'!$F$2:$F$97,$C$69 + 1)</xm:f>
            <x14:dxf>
              <fill>
                <patternFill>
                  <bgColor indexed="52"/>
                </patternFill>
              </fill>
            </x14:dxf>
          </x14:cfRule>
          <xm:sqref>J69</xm:sqref>
        </x14:conditionalFormatting>
        <x14:conditionalFormatting xmlns:xm="http://schemas.microsoft.com/office/excel/2006/main">
          <x14:cfRule type="expression" priority="172" stopIfTrue="1" id="{00000000-0000-0000-0000-000000000000}">
            <xm:f>(60 * HOUR($K$69) + MINUTE($K$69)) &gt;(60 * HOUR(INDEX('1.Locations'!$G$2:$G$97,$C$69 + 1)) +MINUTE(INDEX('1.Locations'!$G$2:$G$97,$C$69 + 1)))</xm:f>
            <x14:dxf>
              <fill>
                <patternFill>
                  <bgColor indexed="10"/>
                </patternFill>
              </fill>
            </x14:dxf>
          </x14:cfRule>
          <xm:sqref>K69</xm:sqref>
        </x14:conditionalFormatting>
        <x14:conditionalFormatting xmlns:xm="http://schemas.microsoft.com/office/excel/2006/main">
          <x14:cfRule type="cellIs" priority="173" stopIfTrue="1" operator="lessThan" id="{00000000-0000-0000-0000-000000000000}">
            <xm:f>INDEX('1.Locations'!$F$2:$F$97,$C$70 + 1)</xm:f>
            <x14:dxf>
              <fill>
                <patternFill>
                  <bgColor indexed="52"/>
                </patternFill>
              </fill>
            </x14:dxf>
          </x14:cfRule>
          <xm:sqref>J70</xm:sqref>
        </x14:conditionalFormatting>
        <x14:conditionalFormatting xmlns:xm="http://schemas.microsoft.com/office/excel/2006/main">
          <x14:cfRule type="expression" priority="174" stopIfTrue="1" id="{00000000-0000-0000-0000-000000000000}">
            <xm:f>(60 * HOUR($K$70) + MINUTE($K$70)) &gt;(60 * HOUR(INDEX('1.Locations'!$G$2:$G$97,$C$70 + 1)) +MINUTE(INDEX('1.Locations'!$G$2:$G$97,$C$70 + 1)))</xm:f>
            <x14:dxf>
              <fill>
                <patternFill>
                  <bgColor indexed="10"/>
                </patternFill>
              </fill>
            </x14:dxf>
          </x14:cfRule>
          <xm:sqref>K70</xm:sqref>
        </x14:conditionalFormatting>
        <x14:conditionalFormatting xmlns:xm="http://schemas.microsoft.com/office/excel/2006/main">
          <x14:cfRule type="cellIs" priority="175" stopIfTrue="1" operator="lessThan" id="{00000000-0000-0000-0000-000000000000}">
            <xm:f>INDEX('1.Locations'!$F$2:$F$97,$C$71 + 1)</xm:f>
            <x14:dxf>
              <fill>
                <patternFill>
                  <bgColor indexed="52"/>
                </patternFill>
              </fill>
            </x14:dxf>
          </x14:cfRule>
          <xm:sqref>J71</xm:sqref>
        </x14:conditionalFormatting>
        <x14:conditionalFormatting xmlns:xm="http://schemas.microsoft.com/office/excel/2006/main">
          <x14:cfRule type="expression" priority="176" stopIfTrue="1" id="{00000000-0000-0000-0000-000000000000}">
            <xm:f>(60 * HOUR($K$71) + MINUTE($K$71)) &gt;(60 * HOUR(INDEX('1.Locations'!$G$2:$G$97,$C$71 + 1)) +MINUTE(INDEX('1.Locations'!$G$2:$G$97,$C$71 + 1)))</xm:f>
            <x14:dxf>
              <fill>
                <patternFill>
                  <bgColor indexed="10"/>
                </patternFill>
              </fill>
            </x14:dxf>
          </x14:cfRule>
          <xm:sqref>K71</xm:sqref>
        </x14:conditionalFormatting>
        <x14:conditionalFormatting xmlns:xm="http://schemas.microsoft.com/office/excel/2006/main">
          <x14:cfRule type="cellIs" priority="177" stopIfTrue="1" operator="lessThan" id="{00000000-0000-0000-0000-000000000000}">
            <xm:f>INDEX('1.Locations'!$F$2:$F$97,$C$72 + 1)</xm:f>
            <x14:dxf>
              <fill>
                <patternFill>
                  <bgColor indexed="52"/>
                </patternFill>
              </fill>
            </x14:dxf>
          </x14:cfRule>
          <xm:sqref>J72</xm:sqref>
        </x14:conditionalFormatting>
        <x14:conditionalFormatting xmlns:xm="http://schemas.microsoft.com/office/excel/2006/main">
          <x14:cfRule type="expression" priority="178" stopIfTrue="1" id="{00000000-0000-0000-0000-000000000000}">
            <xm:f>(60 * HOUR($K$72) + MINUTE($K$72)) &gt;(60 * HOUR(INDEX('1.Locations'!$G$2:$G$97,$C$72 + 1)) +MINUTE(INDEX('1.Locations'!$G$2:$G$97,$C$72 + 1)))</xm:f>
            <x14:dxf>
              <fill>
                <patternFill>
                  <bgColor indexed="10"/>
                </patternFill>
              </fill>
            </x14:dxf>
          </x14:cfRule>
          <xm:sqref>K72</xm:sqref>
        </x14:conditionalFormatting>
        <x14:conditionalFormatting xmlns:xm="http://schemas.microsoft.com/office/excel/2006/main">
          <x14:cfRule type="cellIs" priority="179" stopIfTrue="1" operator="lessThan" id="{00000000-0000-0000-0000-000000000000}">
            <xm:f>INDEX('1.Locations'!$F$2:$F$97,$C$73 + 1)</xm:f>
            <x14:dxf>
              <fill>
                <patternFill>
                  <bgColor indexed="52"/>
                </patternFill>
              </fill>
            </x14:dxf>
          </x14:cfRule>
          <xm:sqref>J73</xm:sqref>
        </x14:conditionalFormatting>
        <x14:conditionalFormatting xmlns:xm="http://schemas.microsoft.com/office/excel/2006/main">
          <x14:cfRule type="expression" priority="180" stopIfTrue="1" id="{00000000-0000-0000-0000-000000000000}">
            <xm:f>(60 * HOUR($K$73) + MINUTE($K$73)) &gt;(60 * HOUR(INDEX('1.Locations'!$G$2:$G$97,$C$73 + 1)) +MINUTE(INDEX('1.Locations'!$G$2:$G$97,$C$73 + 1)))</xm:f>
            <x14:dxf>
              <fill>
                <patternFill>
                  <bgColor indexed="10"/>
                </patternFill>
              </fill>
            </x14:dxf>
          </x14:cfRule>
          <xm:sqref>K73</xm:sqref>
        </x14:conditionalFormatting>
        <x14:conditionalFormatting xmlns:xm="http://schemas.microsoft.com/office/excel/2006/main">
          <x14:cfRule type="cellIs" priority="181" stopIfTrue="1" operator="lessThan" id="{00000000-0000-0000-0000-000000000000}">
            <xm:f>INDEX('1.Locations'!$F$2:$F$97,$C$74 + 1)</xm:f>
            <x14:dxf>
              <fill>
                <patternFill>
                  <bgColor indexed="52"/>
                </patternFill>
              </fill>
            </x14:dxf>
          </x14:cfRule>
          <xm:sqref>J74</xm:sqref>
        </x14:conditionalFormatting>
        <x14:conditionalFormatting xmlns:xm="http://schemas.microsoft.com/office/excel/2006/main">
          <x14:cfRule type="expression" priority="182" stopIfTrue="1" id="{00000000-0000-0000-0000-000000000000}">
            <xm:f>(60 * HOUR($K$74) + MINUTE($K$74)) &gt;(60 * HOUR(INDEX('1.Locations'!$G$2:$G$97,$C$74 + 1)) +MINUTE(INDEX('1.Locations'!$G$2:$G$97,$C$74 + 1)))</xm:f>
            <x14:dxf>
              <fill>
                <patternFill>
                  <bgColor indexed="10"/>
                </patternFill>
              </fill>
            </x14:dxf>
          </x14:cfRule>
          <xm:sqref>K74</xm:sqref>
        </x14:conditionalFormatting>
        <x14:conditionalFormatting xmlns:xm="http://schemas.microsoft.com/office/excel/2006/main">
          <x14:cfRule type="cellIs" priority="183" stopIfTrue="1" operator="lessThan" id="{00000000-0000-0000-0000-000000000000}">
            <xm:f>INDEX('1.Locations'!$F$2:$F$97,$C$75 + 1)</xm:f>
            <x14:dxf>
              <fill>
                <patternFill>
                  <bgColor indexed="52"/>
                </patternFill>
              </fill>
            </x14:dxf>
          </x14:cfRule>
          <xm:sqref>J75</xm:sqref>
        </x14:conditionalFormatting>
        <x14:conditionalFormatting xmlns:xm="http://schemas.microsoft.com/office/excel/2006/main">
          <x14:cfRule type="expression" priority="184" stopIfTrue="1" id="{00000000-0000-0000-0000-000000000000}">
            <xm:f>(60 * HOUR($K$75) + MINUTE($K$75)) &gt;(60 * HOUR(INDEX('1.Locations'!$G$2:$G$97,$C$75 + 1)) +MINUTE(INDEX('1.Locations'!$G$2:$G$97,$C$75 + 1)))</xm:f>
            <x14:dxf>
              <fill>
                <patternFill>
                  <bgColor indexed="10"/>
                </patternFill>
              </fill>
            </x14:dxf>
          </x14:cfRule>
          <xm:sqref>K75</xm:sqref>
        </x14:conditionalFormatting>
        <x14:conditionalFormatting xmlns:xm="http://schemas.microsoft.com/office/excel/2006/main">
          <x14:cfRule type="cellIs" priority="185" stopIfTrue="1" operator="lessThan" id="{00000000-0000-0000-0000-000000000000}">
            <xm:f>INDEX('1.Locations'!$F$2:$F$97,$C$76 + 1)</xm:f>
            <x14:dxf>
              <fill>
                <patternFill>
                  <bgColor indexed="52"/>
                </patternFill>
              </fill>
            </x14:dxf>
          </x14:cfRule>
          <xm:sqref>J76</xm:sqref>
        </x14:conditionalFormatting>
        <x14:conditionalFormatting xmlns:xm="http://schemas.microsoft.com/office/excel/2006/main">
          <x14:cfRule type="expression" priority="186" stopIfTrue="1" id="{00000000-0000-0000-0000-000000000000}">
            <xm:f>(60 * HOUR($K$76) + MINUTE($K$76)) &gt;(60 * HOUR(INDEX('1.Locations'!$G$2:$G$97,$C$76 + 1)) +MINUTE(INDEX('1.Locations'!$G$2:$G$97,$C$76 + 1)))</xm:f>
            <x14:dxf>
              <fill>
                <patternFill>
                  <bgColor indexed="10"/>
                </patternFill>
              </fill>
            </x14:dxf>
          </x14:cfRule>
          <xm:sqref>K76</xm:sqref>
        </x14:conditionalFormatting>
        <x14:conditionalFormatting xmlns:xm="http://schemas.microsoft.com/office/excel/2006/main">
          <x14:cfRule type="cellIs" priority="187" stopIfTrue="1" operator="lessThan" id="{00000000-0000-0000-0000-000000000000}">
            <xm:f>INDEX('1.Locations'!$F$2:$F$97,$C$77 + 1)</xm:f>
            <x14:dxf>
              <fill>
                <patternFill>
                  <bgColor indexed="52"/>
                </patternFill>
              </fill>
            </x14:dxf>
          </x14:cfRule>
          <xm:sqref>J77</xm:sqref>
        </x14:conditionalFormatting>
        <x14:conditionalFormatting xmlns:xm="http://schemas.microsoft.com/office/excel/2006/main">
          <x14:cfRule type="expression" priority="188" stopIfTrue="1" id="{00000000-0000-0000-0000-000000000000}">
            <xm:f>(60 * HOUR($K$77) + MINUTE($K$77)) &gt;(60 * HOUR(INDEX('1.Locations'!$G$2:$G$97,$C$77 + 1)) +MINUTE(INDEX('1.Locations'!$G$2:$G$97,$C$77 + 1)))</xm:f>
            <x14:dxf>
              <fill>
                <patternFill>
                  <bgColor indexed="10"/>
                </patternFill>
              </fill>
            </x14:dxf>
          </x14:cfRule>
          <xm:sqref>K77</xm:sqref>
        </x14:conditionalFormatting>
        <x14:conditionalFormatting xmlns:xm="http://schemas.microsoft.com/office/excel/2006/main">
          <x14:cfRule type="cellIs" priority="189" stopIfTrue="1" operator="lessThan" id="{00000000-0000-0000-0000-000000000000}">
            <xm:f>INDEX('1.Locations'!$F$2:$F$97,$C$78 + 1)</xm:f>
            <x14:dxf>
              <fill>
                <patternFill>
                  <bgColor indexed="52"/>
                </patternFill>
              </fill>
            </x14:dxf>
          </x14:cfRule>
          <xm:sqref>J78</xm:sqref>
        </x14:conditionalFormatting>
        <x14:conditionalFormatting xmlns:xm="http://schemas.microsoft.com/office/excel/2006/main">
          <x14:cfRule type="expression" priority="190" stopIfTrue="1" id="{00000000-0000-0000-0000-000000000000}">
            <xm:f>(60 * HOUR($K$78) + MINUTE($K$78)) &gt;(60 * HOUR(INDEX('1.Locations'!$G$2:$G$97,$C$78 + 1)) +MINUTE(INDEX('1.Locations'!$G$2:$G$97,$C$78 + 1)))</xm:f>
            <x14:dxf>
              <fill>
                <patternFill>
                  <bgColor indexed="10"/>
                </patternFill>
              </fill>
            </x14:dxf>
          </x14:cfRule>
          <xm:sqref>K78</xm:sqref>
        </x14:conditionalFormatting>
        <x14:conditionalFormatting xmlns:xm="http://schemas.microsoft.com/office/excel/2006/main">
          <x14:cfRule type="cellIs" priority="191" stopIfTrue="1" operator="lessThan" id="{00000000-0000-0000-0000-000000000000}">
            <xm:f>INDEX('1.Locations'!$F$2:$F$97,$C$79 + 1)</xm:f>
            <x14:dxf>
              <fill>
                <patternFill>
                  <bgColor indexed="52"/>
                </patternFill>
              </fill>
            </x14:dxf>
          </x14:cfRule>
          <xm:sqref>J79</xm:sqref>
        </x14:conditionalFormatting>
        <x14:conditionalFormatting xmlns:xm="http://schemas.microsoft.com/office/excel/2006/main">
          <x14:cfRule type="expression" priority="192" stopIfTrue="1" id="{00000000-0000-0000-0000-000000000000}">
            <xm:f>(60 * HOUR($K$79) + MINUTE($K$79)) &gt;(60 * HOUR(INDEX('1.Locations'!$G$2:$G$97,$C$79 + 1)) +MINUTE(INDEX('1.Locations'!$G$2:$G$97,$C$79 + 1)))</xm:f>
            <x14:dxf>
              <fill>
                <patternFill>
                  <bgColor indexed="10"/>
                </patternFill>
              </fill>
            </x14:dxf>
          </x14:cfRule>
          <xm:sqref>K79</xm:sqref>
        </x14:conditionalFormatting>
        <x14:conditionalFormatting xmlns:xm="http://schemas.microsoft.com/office/excel/2006/main">
          <x14:cfRule type="cellIs" priority="193" stopIfTrue="1" operator="lessThan" id="{00000000-0000-0000-0000-000000000000}">
            <xm:f>INDEX('1.Locations'!$F$2:$F$97,$C$80 + 1)</xm:f>
            <x14:dxf>
              <fill>
                <patternFill>
                  <bgColor indexed="52"/>
                </patternFill>
              </fill>
            </x14:dxf>
          </x14:cfRule>
          <xm:sqref>J80</xm:sqref>
        </x14:conditionalFormatting>
        <x14:conditionalFormatting xmlns:xm="http://schemas.microsoft.com/office/excel/2006/main">
          <x14:cfRule type="expression" priority="194" stopIfTrue="1" id="{00000000-0000-0000-0000-000000000000}">
            <xm:f>(60 * HOUR($K$80) + MINUTE($K$80)) &gt;(60 * HOUR(INDEX('1.Locations'!$G$2:$G$97,$C$80 + 1)) +MINUTE(INDEX('1.Locations'!$G$2:$G$97,$C$80 + 1)))</xm:f>
            <x14:dxf>
              <fill>
                <patternFill>
                  <bgColor indexed="10"/>
                </patternFill>
              </fill>
            </x14:dxf>
          </x14:cfRule>
          <xm:sqref>K80</xm:sqref>
        </x14:conditionalFormatting>
        <x14:conditionalFormatting xmlns:xm="http://schemas.microsoft.com/office/excel/2006/main">
          <x14:cfRule type="cellIs" priority="195" stopIfTrue="1" operator="lessThan" id="{00000000-0000-0000-0000-000000000000}">
            <xm:f>INDEX('1.Locations'!$F$2:$F$97,$C$81 + 1)</xm:f>
            <x14:dxf>
              <fill>
                <patternFill>
                  <bgColor indexed="52"/>
                </patternFill>
              </fill>
            </x14:dxf>
          </x14:cfRule>
          <xm:sqref>J81</xm:sqref>
        </x14:conditionalFormatting>
        <x14:conditionalFormatting xmlns:xm="http://schemas.microsoft.com/office/excel/2006/main">
          <x14:cfRule type="expression" priority="196" stopIfTrue="1" id="{00000000-0000-0000-0000-000000000000}">
            <xm:f>(60 * HOUR($K$81) + MINUTE($K$81)) &gt;(60 * HOUR(INDEX('1.Locations'!$G$2:$G$97,$C$81 + 1)) +MINUTE(INDEX('1.Locations'!$G$2:$G$97,$C$81 + 1)))</xm:f>
            <x14:dxf>
              <fill>
                <patternFill>
                  <bgColor indexed="10"/>
                </patternFill>
              </fill>
            </x14:dxf>
          </x14:cfRule>
          <xm:sqref>K81</xm:sqref>
        </x14:conditionalFormatting>
        <x14:conditionalFormatting xmlns:xm="http://schemas.microsoft.com/office/excel/2006/main">
          <x14:cfRule type="cellIs" priority="197" stopIfTrue="1" operator="lessThan" id="{00000000-0000-0000-0000-000000000000}">
            <xm:f>INDEX('1.Locations'!$F$2:$F$97,$C$82 + 1)</xm:f>
            <x14:dxf>
              <fill>
                <patternFill>
                  <bgColor indexed="52"/>
                </patternFill>
              </fill>
            </x14:dxf>
          </x14:cfRule>
          <xm:sqref>J82</xm:sqref>
        </x14:conditionalFormatting>
        <x14:conditionalFormatting xmlns:xm="http://schemas.microsoft.com/office/excel/2006/main">
          <x14:cfRule type="expression" priority="198" stopIfTrue="1" id="{00000000-0000-0000-0000-000000000000}">
            <xm:f>(60 * HOUR($K$82) + MINUTE($K$82)) &gt;(60 * HOUR(INDEX('1.Locations'!$G$2:$G$97,$C$82 + 1)) +MINUTE(INDEX('1.Locations'!$G$2:$G$97,$C$82 + 1)))</xm:f>
            <x14:dxf>
              <fill>
                <patternFill>
                  <bgColor indexed="10"/>
                </patternFill>
              </fill>
            </x14:dxf>
          </x14:cfRule>
          <xm:sqref>K82</xm:sqref>
        </x14:conditionalFormatting>
        <x14:conditionalFormatting xmlns:xm="http://schemas.microsoft.com/office/excel/2006/main">
          <x14:cfRule type="cellIs" priority="199" stopIfTrue="1" operator="lessThan" id="{00000000-0000-0000-0000-000000000000}">
            <xm:f>INDEX('1.Locations'!$F$2:$F$97,$C$83 + 1)</xm:f>
            <x14:dxf>
              <fill>
                <patternFill>
                  <bgColor indexed="52"/>
                </patternFill>
              </fill>
            </x14:dxf>
          </x14:cfRule>
          <xm:sqref>J83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(60 * HOUR($K$83) + MINUTE($K$83)) &gt;(60 * HOUR(INDEX('1.Locations'!$G$2:$G$97,$C$83 + 1)) +MINUTE(INDEX('1.Locations'!$G$2:$G$97,$C$83 + 1)))</xm:f>
            <x14:dxf>
              <fill>
                <patternFill>
                  <bgColor indexed="10"/>
                </patternFill>
              </fill>
            </x14:dxf>
          </x14:cfRule>
          <xm:sqref>K83</xm:sqref>
        </x14:conditionalFormatting>
        <x14:conditionalFormatting xmlns:xm="http://schemas.microsoft.com/office/excel/2006/main">
          <x14:cfRule type="cellIs" priority="201" stopIfTrue="1" operator="lessThan" id="{00000000-0000-0000-0000-000000000000}">
            <xm:f>INDEX('1.Locations'!$F$2:$F$97,$C$84 + 1)</xm:f>
            <x14:dxf>
              <fill>
                <patternFill>
                  <bgColor indexed="52"/>
                </patternFill>
              </fill>
            </x14:dxf>
          </x14:cfRule>
          <xm:sqref>J84</xm:sqref>
        </x14:conditionalFormatting>
        <x14:conditionalFormatting xmlns:xm="http://schemas.microsoft.com/office/excel/2006/main">
          <x14:cfRule type="expression" priority="202" stopIfTrue="1" id="{00000000-0000-0000-0000-000000000000}">
            <xm:f>(60 * HOUR($K$84) + MINUTE($K$84)) &gt;(60 * HOUR(INDEX('1.Locations'!$G$2:$G$97,$C$84 + 1)) +MINUTE(INDEX('1.Locations'!$G$2:$G$97,$C$84 + 1)))</xm:f>
            <x14:dxf>
              <fill>
                <patternFill>
                  <bgColor indexed="10"/>
                </patternFill>
              </fill>
            </x14:dxf>
          </x14:cfRule>
          <xm:sqref>K84</xm:sqref>
        </x14:conditionalFormatting>
        <x14:conditionalFormatting xmlns:xm="http://schemas.microsoft.com/office/excel/2006/main">
          <x14:cfRule type="cellIs" priority="203" stopIfTrue="1" operator="lessThan" id="{00000000-0000-0000-0000-000000000000}">
            <xm:f>INDEX('1.Locations'!$F$2:$F$97,$C$85 + 1)</xm:f>
            <x14:dxf>
              <fill>
                <patternFill>
                  <bgColor indexed="52"/>
                </patternFill>
              </fill>
            </x14:dxf>
          </x14:cfRule>
          <xm:sqref>J85</xm:sqref>
        </x14:conditionalFormatting>
        <x14:conditionalFormatting xmlns:xm="http://schemas.microsoft.com/office/excel/2006/main">
          <x14:cfRule type="expression" priority="204" stopIfTrue="1" id="{00000000-0000-0000-0000-000000000000}">
            <xm:f>(60 * HOUR($K$85) + MINUTE($K$85)) &gt;(60 * HOUR(INDEX('1.Locations'!$G$2:$G$97,$C$85 + 1)) +MINUTE(INDEX('1.Locations'!$G$2:$G$97,$C$85 + 1)))</xm:f>
            <x14:dxf>
              <fill>
                <patternFill>
                  <bgColor indexed="10"/>
                </patternFill>
              </fill>
            </x14:dxf>
          </x14:cfRule>
          <xm:sqref>K85</xm:sqref>
        </x14:conditionalFormatting>
        <x14:conditionalFormatting xmlns:xm="http://schemas.microsoft.com/office/excel/2006/main">
          <x14:cfRule type="cellIs" priority="205" stopIfTrue="1" operator="lessThan" id="{00000000-0000-0000-0000-000000000000}">
            <xm:f>INDEX('1.Locations'!$F$2:$F$97,$C$86 + 1)</xm:f>
            <x14:dxf>
              <fill>
                <patternFill>
                  <bgColor indexed="52"/>
                </patternFill>
              </fill>
            </x14:dxf>
          </x14:cfRule>
          <xm:sqref>J86</xm:sqref>
        </x14:conditionalFormatting>
        <x14:conditionalFormatting xmlns:xm="http://schemas.microsoft.com/office/excel/2006/main">
          <x14:cfRule type="expression" priority="206" stopIfTrue="1" id="{00000000-0000-0000-0000-000000000000}">
            <xm:f>(60 * HOUR($K$86) + MINUTE($K$86)) &gt;(60 * HOUR(INDEX('1.Locations'!$G$2:$G$97,$C$86 + 1)) +MINUTE(INDEX('1.Locations'!$G$2:$G$97,$C$86 + 1)))</xm:f>
            <x14:dxf>
              <fill>
                <patternFill>
                  <bgColor indexed="10"/>
                </patternFill>
              </fill>
            </x14:dxf>
          </x14:cfRule>
          <xm:sqref>K86</xm:sqref>
        </x14:conditionalFormatting>
        <x14:conditionalFormatting xmlns:xm="http://schemas.microsoft.com/office/excel/2006/main">
          <x14:cfRule type="cellIs" priority="207" stopIfTrue="1" operator="lessThan" id="{00000000-0000-0000-0000-000000000000}">
            <xm:f>INDEX('1.Locations'!$F$2:$F$97,$C$87 + 1)</xm:f>
            <x14:dxf>
              <fill>
                <patternFill>
                  <bgColor indexed="52"/>
                </patternFill>
              </fill>
            </x14:dxf>
          </x14:cfRule>
          <xm:sqref>J87</xm:sqref>
        </x14:conditionalFormatting>
        <x14:conditionalFormatting xmlns:xm="http://schemas.microsoft.com/office/excel/2006/main">
          <x14:cfRule type="expression" priority="208" stopIfTrue="1" id="{00000000-0000-0000-0000-000000000000}">
            <xm:f>(60 * HOUR($K$87) + MINUTE($K$87)) &gt;(60 * HOUR(INDEX('1.Locations'!$G$2:$G$97,$C$87 + 1)) +MINUTE(INDEX('1.Locations'!$G$2:$G$97,$C$87 + 1)))</xm:f>
            <x14:dxf>
              <fill>
                <patternFill>
                  <bgColor indexed="10"/>
                </patternFill>
              </fill>
            </x14:dxf>
          </x14:cfRule>
          <xm:sqref>K87</xm:sqref>
        </x14:conditionalFormatting>
        <x14:conditionalFormatting xmlns:xm="http://schemas.microsoft.com/office/excel/2006/main">
          <x14:cfRule type="cellIs" priority="209" stopIfTrue="1" operator="lessThan" id="{00000000-0000-0000-0000-000000000000}">
            <xm:f>INDEX('1.Locations'!$F$2:$F$97,$C$88 + 1)</xm:f>
            <x14:dxf>
              <fill>
                <patternFill>
                  <bgColor indexed="52"/>
                </patternFill>
              </fill>
            </x14:dxf>
          </x14:cfRule>
          <xm:sqref>J88</xm:sqref>
        </x14:conditionalFormatting>
        <x14:conditionalFormatting xmlns:xm="http://schemas.microsoft.com/office/excel/2006/main">
          <x14:cfRule type="expression" priority="210" stopIfTrue="1" id="{00000000-0000-0000-0000-000000000000}">
            <xm:f>(60 * HOUR($K$88) + MINUTE($K$88)) &gt;(60 * HOUR(INDEX('1.Locations'!$G$2:$G$97,$C$88 + 1)) +MINUTE(INDEX('1.Locations'!$G$2:$G$97,$C$88 + 1)))</xm:f>
            <x14:dxf>
              <fill>
                <patternFill>
                  <bgColor indexed="10"/>
                </patternFill>
              </fill>
            </x14:dxf>
          </x14:cfRule>
          <xm:sqref>K88</xm:sqref>
        </x14:conditionalFormatting>
        <x14:conditionalFormatting xmlns:xm="http://schemas.microsoft.com/office/excel/2006/main">
          <x14:cfRule type="cellIs" priority="211" stopIfTrue="1" operator="lessThan" id="{00000000-0000-0000-0000-000000000000}">
            <xm:f>INDEX('1.Locations'!$F$2:$F$97,$C$89 + 1)</xm:f>
            <x14:dxf>
              <fill>
                <patternFill>
                  <bgColor indexed="52"/>
                </patternFill>
              </fill>
            </x14:dxf>
          </x14:cfRule>
          <xm:sqref>J89</xm:sqref>
        </x14:conditionalFormatting>
        <x14:conditionalFormatting xmlns:xm="http://schemas.microsoft.com/office/excel/2006/main">
          <x14:cfRule type="expression" priority="212" stopIfTrue="1" id="{00000000-0000-0000-0000-000000000000}">
            <xm:f>(60 * HOUR($K$89) + MINUTE($K$89)) &gt;(60 * HOUR(INDEX('1.Locations'!$G$2:$G$97,$C$89 + 1)) +MINUTE(INDEX('1.Locations'!$G$2:$G$97,$C$89 + 1)))</xm:f>
            <x14:dxf>
              <fill>
                <patternFill>
                  <bgColor indexed="10"/>
                </patternFill>
              </fill>
            </x14:dxf>
          </x14:cfRule>
          <xm:sqref>K89</xm:sqref>
        </x14:conditionalFormatting>
        <x14:conditionalFormatting xmlns:xm="http://schemas.microsoft.com/office/excel/2006/main">
          <x14:cfRule type="cellIs" priority="213" stopIfTrue="1" operator="lessThan" id="{00000000-0000-0000-0000-000000000000}">
            <xm:f>INDEX('1.Locations'!$F$2:$F$97,$C$90 + 1)</xm:f>
            <x14:dxf>
              <fill>
                <patternFill>
                  <bgColor indexed="52"/>
                </patternFill>
              </fill>
            </x14:dxf>
          </x14:cfRule>
          <xm:sqref>J90</xm:sqref>
        </x14:conditionalFormatting>
        <x14:conditionalFormatting xmlns:xm="http://schemas.microsoft.com/office/excel/2006/main">
          <x14:cfRule type="expression" priority="214" stopIfTrue="1" id="{00000000-0000-0000-0000-000000000000}">
            <xm:f>(60 * HOUR($K$90) + MINUTE($K$90)) &gt;(60 * HOUR(INDEX('1.Locations'!$G$2:$G$97,$C$90 + 1)) +MINUTE(INDEX('1.Locations'!$G$2:$G$97,$C$90 + 1)))</xm:f>
            <x14:dxf>
              <fill>
                <patternFill>
                  <bgColor indexed="10"/>
                </patternFill>
              </fill>
            </x14:dxf>
          </x14:cfRule>
          <xm:sqref>K90</xm:sqref>
        </x14:conditionalFormatting>
        <x14:conditionalFormatting xmlns:xm="http://schemas.microsoft.com/office/excel/2006/main">
          <x14:cfRule type="cellIs" priority="215" stopIfTrue="1" operator="lessThan" id="{00000000-0000-0000-0000-000000000000}">
            <xm:f>INDEX('1.Locations'!$F$2:$F$97,$C$91 + 1)</xm:f>
            <x14:dxf>
              <fill>
                <patternFill>
                  <bgColor indexed="52"/>
                </patternFill>
              </fill>
            </x14:dxf>
          </x14:cfRule>
          <xm:sqref>J91</xm:sqref>
        </x14:conditionalFormatting>
        <x14:conditionalFormatting xmlns:xm="http://schemas.microsoft.com/office/excel/2006/main">
          <x14:cfRule type="expression" priority="216" stopIfTrue="1" id="{00000000-0000-0000-0000-000000000000}">
            <xm:f>(60 * HOUR($K$91) + MINUTE($K$91)) &gt;(60 * HOUR(INDEX('1.Locations'!$G$2:$G$97,$C$91 + 1)) +MINUTE(INDEX('1.Locations'!$G$2:$G$97,$C$91 + 1)))</xm:f>
            <x14:dxf>
              <fill>
                <patternFill>
                  <bgColor indexed="10"/>
                </patternFill>
              </fill>
            </x14:dxf>
          </x14:cfRule>
          <xm:sqref>K91</xm:sqref>
        </x14:conditionalFormatting>
        <x14:conditionalFormatting xmlns:xm="http://schemas.microsoft.com/office/excel/2006/main">
          <x14:cfRule type="cellIs" priority="217" stopIfTrue="1" operator="lessThan" id="{00000000-0000-0000-0000-000000000000}">
            <xm:f>INDEX('1.Locations'!$F$2:$F$97,$C$92 + 1)</xm:f>
            <x14:dxf>
              <fill>
                <patternFill>
                  <bgColor indexed="52"/>
                </patternFill>
              </fill>
            </x14:dxf>
          </x14:cfRule>
          <xm:sqref>J92</xm:sqref>
        </x14:conditionalFormatting>
        <x14:conditionalFormatting xmlns:xm="http://schemas.microsoft.com/office/excel/2006/main">
          <x14:cfRule type="expression" priority="218" stopIfTrue="1" id="{00000000-0000-0000-0000-000000000000}">
            <xm:f>(60 * HOUR($K$92) + MINUTE($K$92)) &gt;(60 * HOUR(INDEX('1.Locations'!$G$2:$G$97,$C$92 + 1)) +MINUTE(INDEX('1.Locations'!$G$2:$G$97,$C$92 + 1)))</xm:f>
            <x14:dxf>
              <fill>
                <patternFill>
                  <bgColor indexed="10"/>
                </patternFill>
              </fill>
            </x14:dxf>
          </x14:cfRule>
          <xm:sqref>K92</xm:sqref>
        </x14:conditionalFormatting>
        <x14:conditionalFormatting xmlns:xm="http://schemas.microsoft.com/office/excel/2006/main">
          <x14:cfRule type="cellIs" priority="219" stopIfTrue="1" operator="lessThan" id="{00000000-0000-0000-0000-000000000000}">
            <xm:f>INDEX('1.Locations'!$F$2:$F$97,$C$93 + 1)</xm:f>
            <x14:dxf>
              <fill>
                <patternFill>
                  <bgColor indexed="52"/>
                </patternFill>
              </fill>
            </x14:dxf>
          </x14:cfRule>
          <xm:sqref>J93</xm:sqref>
        </x14:conditionalFormatting>
        <x14:conditionalFormatting xmlns:xm="http://schemas.microsoft.com/office/excel/2006/main">
          <x14:cfRule type="expression" priority="220" stopIfTrue="1" id="{00000000-0000-0000-0000-000000000000}">
            <xm:f>(60 * HOUR($K$93) + MINUTE($K$93)) &gt;(60 * HOUR(INDEX('1.Locations'!$G$2:$G$97,$C$93 + 1)) +MINUTE(INDEX('1.Locations'!$G$2:$G$97,$C$93 + 1)))</xm:f>
            <x14:dxf>
              <fill>
                <patternFill>
                  <bgColor indexed="10"/>
                </patternFill>
              </fill>
            </x14:dxf>
          </x14:cfRule>
          <xm:sqref>K93</xm:sqref>
        </x14:conditionalFormatting>
        <x14:conditionalFormatting xmlns:xm="http://schemas.microsoft.com/office/excel/2006/main">
          <x14:cfRule type="cellIs" priority="221" stopIfTrue="1" operator="lessThan" id="{00000000-0000-0000-0000-000000000000}">
            <xm:f>INDEX('1.Locations'!$F$2:$F$97,$C$94 + 1)</xm:f>
            <x14:dxf>
              <fill>
                <patternFill>
                  <bgColor indexed="52"/>
                </patternFill>
              </fill>
            </x14:dxf>
          </x14:cfRule>
          <xm:sqref>J94</xm:sqref>
        </x14:conditionalFormatting>
        <x14:conditionalFormatting xmlns:xm="http://schemas.microsoft.com/office/excel/2006/main">
          <x14:cfRule type="expression" priority="222" stopIfTrue="1" id="{00000000-0000-0000-0000-000000000000}">
            <xm:f>(60 * HOUR($K$94) + MINUTE($K$94)) &gt;(60 * HOUR(INDEX('1.Locations'!$G$2:$G$97,$C$94 + 1)) +MINUTE(INDEX('1.Locations'!$G$2:$G$97,$C$94 + 1)))</xm:f>
            <x14:dxf>
              <fill>
                <patternFill>
                  <bgColor indexed="10"/>
                </patternFill>
              </fill>
            </x14:dxf>
          </x14:cfRule>
          <xm:sqref>K94</xm:sqref>
        </x14:conditionalFormatting>
        <x14:conditionalFormatting xmlns:xm="http://schemas.microsoft.com/office/excel/2006/main">
          <x14:cfRule type="cellIs" priority="223" stopIfTrue="1" operator="lessThan" id="{00000000-0000-0000-0000-000000000000}">
            <xm:f>INDEX('1.Locations'!$F$2:$F$97,$C$95 + 1)</xm:f>
            <x14:dxf>
              <fill>
                <patternFill>
                  <bgColor indexed="52"/>
                </patternFill>
              </fill>
            </x14:dxf>
          </x14:cfRule>
          <xm:sqref>J95</xm:sqref>
        </x14:conditionalFormatting>
        <x14:conditionalFormatting xmlns:xm="http://schemas.microsoft.com/office/excel/2006/main">
          <x14:cfRule type="expression" priority="224" stopIfTrue="1" id="{00000000-0000-0000-0000-000000000000}">
            <xm:f>(60 * HOUR($K$95) + MINUTE($K$95)) &gt;(60 * HOUR(INDEX('1.Locations'!$G$2:$G$97,$C$95 + 1)) +MINUTE(INDEX('1.Locations'!$G$2:$G$97,$C$95 + 1)))</xm:f>
            <x14:dxf>
              <fill>
                <patternFill>
                  <bgColor indexed="10"/>
                </patternFill>
              </fill>
            </x14:dxf>
          </x14:cfRule>
          <xm:sqref>K95</xm:sqref>
        </x14:conditionalFormatting>
        <x14:conditionalFormatting xmlns:xm="http://schemas.microsoft.com/office/excel/2006/main">
          <x14:cfRule type="cellIs" priority="225" stopIfTrue="1" operator="lessThan" id="{00000000-0000-0000-0000-000000000000}">
            <xm:f>INDEX('1.Locations'!$F$2:$F$97,$C$96 + 1)</xm:f>
            <x14:dxf>
              <fill>
                <patternFill>
                  <bgColor indexed="52"/>
                </patternFill>
              </fill>
            </x14:dxf>
          </x14:cfRule>
          <xm:sqref>J96</xm:sqref>
        </x14:conditionalFormatting>
        <x14:conditionalFormatting xmlns:xm="http://schemas.microsoft.com/office/excel/2006/main">
          <x14:cfRule type="expression" priority="226" stopIfTrue="1" id="{00000000-0000-0000-0000-000000000000}">
            <xm:f>(60 * HOUR($K$96) + MINUTE($K$96)) &gt;(60 * HOUR(INDEX('1.Locations'!$G$2:$G$97,$C$96 + 1)) +MINUTE(INDEX('1.Locations'!$G$2:$G$97,$C$96 + 1)))</xm:f>
            <x14:dxf>
              <fill>
                <patternFill>
                  <bgColor indexed="10"/>
                </patternFill>
              </fill>
            </x14:dxf>
          </x14:cfRule>
          <xm:sqref>K96</xm:sqref>
        </x14:conditionalFormatting>
        <x14:conditionalFormatting xmlns:xm="http://schemas.microsoft.com/office/excel/2006/main">
          <x14:cfRule type="cellIs" priority="227" stopIfTrue="1" operator="lessThan" id="{00000000-0000-0000-0000-000000000000}">
            <xm:f>INDEX('1.Locations'!$F$2:$F$97,$C$97 + 1)</xm:f>
            <x14:dxf>
              <fill>
                <patternFill>
                  <bgColor indexed="52"/>
                </patternFill>
              </fill>
            </x14:dxf>
          </x14:cfRule>
          <xm:sqref>J97</xm:sqref>
        </x14:conditionalFormatting>
        <x14:conditionalFormatting xmlns:xm="http://schemas.microsoft.com/office/excel/2006/main">
          <x14:cfRule type="expression" priority="228" stopIfTrue="1" id="{00000000-0000-0000-0000-000000000000}">
            <xm:f>(60 * HOUR($K$97) + MINUTE($K$97)) &gt;(60 * HOUR(INDEX('1.Locations'!$G$2:$G$97,$C$97 + 1)) +MINUTE(INDEX('1.Locations'!$G$2:$G$97,$C$97 + 1)))</xm:f>
            <x14:dxf>
              <fill>
                <patternFill>
                  <bgColor indexed="10"/>
                </patternFill>
              </fill>
            </x14:dxf>
          </x14:cfRule>
          <xm:sqref>K97</xm:sqref>
        </x14:conditionalFormatting>
        <x14:conditionalFormatting xmlns:xm="http://schemas.microsoft.com/office/excel/2006/main">
          <x14:cfRule type="cellIs" priority="229" stopIfTrue="1" operator="lessThan" id="{00000000-0000-0000-0000-000000000000}">
            <xm:f>INDEX('1.Locations'!$F$2:$F$97,$C$98 + 1)</xm:f>
            <x14:dxf>
              <fill>
                <patternFill>
                  <bgColor indexed="52"/>
                </patternFill>
              </fill>
            </x14:dxf>
          </x14:cfRule>
          <xm:sqref>J98</xm:sqref>
        </x14:conditionalFormatting>
        <x14:conditionalFormatting xmlns:xm="http://schemas.microsoft.com/office/excel/2006/main">
          <x14:cfRule type="expression" priority="230" stopIfTrue="1" id="{00000000-0000-0000-0000-000000000000}">
            <xm:f>(60 * HOUR($K$98) + MINUTE($K$98)) &gt;(60 * HOUR(INDEX('1.Locations'!$G$2:$G$97,$C$98 + 1)) +MINUTE(INDEX('1.Locations'!$G$2:$G$97,$C$98 + 1)))</xm:f>
            <x14:dxf>
              <fill>
                <patternFill>
                  <bgColor indexed="10"/>
                </patternFill>
              </fill>
            </x14:dxf>
          </x14:cfRule>
          <xm:sqref>K98</xm:sqref>
        </x14:conditionalFormatting>
        <x14:conditionalFormatting xmlns:xm="http://schemas.microsoft.com/office/excel/2006/main">
          <x14:cfRule type="cellIs" priority="231" stopIfTrue="1" operator="lessThan" id="{00000000-0000-0000-0000-000000000000}">
            <xm:f>INDEX('1.Locations'!$F$2:$F$97,$C$99 + 1)</xm:f>
            <x14:dxf>
              <fill>
                <patternFill>
                  <bgColor indexed="52"/>
                </patternFill>
              </fill>
            </x14:dxf>
          </x14:cfRule>
          <xm:sqref>J99</xm:sqref>
        </x14:conditionalFormatting>
        <x14:conditionalFormatting xmlns:xm="http://schemas.microsoft.com/office/excel/2006/main">
          <x14:cfRule type="expression" priority="232" stopIfTrue="1" id="{00000000-0000-0000-0000-000000000000}">
            <xm:f>(60 * HOUR($K$99) + MINUTE($K$99)) &gt;(60 * HOUR(INDEX('1.Locations'!$G$2:$G$97,$C$99 + 1)) +MINUTE(INDEX('1.Locations'!$G$2:$G$97,$C$99 + 1)))</xm:f>
            <x14:dxf>
              <fill>
                <patternFill>
                  <bgColor indexed="10"/>
                </patternFill>
              </fill>
            </x14:dxf>
          </x14:cfRule>
          <xm:sqref>K99</xm:sqref>
        </x14:conditionalFormatting>
        <x14:conditionalFormatting xmlns:xm="http://schemas.microsoft.com/office/excel/2006/main">
          <x14:cfRule type="cellIs" priority="233" stopIfTrue="1" operator="lessThan" id="{00000000-0000-0000-0000-000000000000}">
            <xm:f>INDEX('1.Locations'!$F$2:$F$97,$C$100 + 1)</xm:f>
            <x14:dxf>
              <fill>
                <patternFill>
                  <bgColor indexed="52"/>
                </patternFill>
              </fill>
            </x14:dxf>
          </x14:cfRule>
          <xm:sqref>J100</xm:sqref>
        </x14:conditionalFormatting>
        <x14:conditionalFormatting xmlns:xm="http://schemas.microsoft.com/office/excel/2006/main">
          <x14:cfRule type="expression" priority="234" stopIfTrue="1" id="{00000000-0000-0000-0000-000000000000}">
            <xm:f>(60 * HOUR($K$100) + MINUTE($K$100)) &gt;(60 * HOUR(INDEX('1.Locations'!$G$2:$G$97,$C$100 + 1)) +MINUTE(INDEX('1.Locations'!$G$2:$G$97,$C$100 + 1)))</xm:f>
            <x14:dxf>
              <fill>
                <patternFill>
                  <bgColor indexed="10"/>
                </patternFill>
              </fill>
            </x14:dxf>
          </x14:cfRule>
          <xm:sqref>K100</xm:sqref>
        </x14:conditionalFormatting>
        <x14:conditionalFormatting xmlns:xm="http://schemas.microsoft.com/office/excel/2006/main">
          <x14:cfRule type="cellIs" priority="235" stopIfTrue="1" operator="lessThan" id="{00000000-0000-0000-0000-000000000000}">
            <xm:f>INDEX('1.Locations'!$F$2:$F$97,$C$101 + 1)</xm:f>
            <x14:dxf>
              <fill>
                <patternFill>
                  <bgColor indexed="52"/>
                </patternFill>
              </fill>
            </x14:dxf>
          </x14:cfRule>
          <xm:sqref>J101</xm:sqref>
        </x14:conditionalFormatting>
        <x14:conditionalFormatting xmlns:xm="http://schemas.microsoft.com/office/excel/2006/main">
          <x14:cfRule type="expression" priority="236" stopIfTrue="1" id="{00000000-0000-0000-0000-000000000000}">
            <xm:f>(60 * HOUR($K$101) + MINUTE($K$101)) &gt;(60 * HOUR(INDEX('1.Locations'!$G$2:$G$97,$C$101 + 1)) +MINUTE(INDEX('1.Locations'!$G$2:$G$97,$C$101 + 1)))</xm:f>
            <x14:dxf>
              <fill>
                <patternFill>
                  <bgColor indexed="10"/>
                </patternFill>
              </fill>
            </x14:dxf>
          </x14:cfRule>
          <xm:sqref>K101</xm:sqref>
        </x14:conditionalFormatting>
        <x14:conditionalFormatting xmlns:xm="http://schemas.microsoft.com/office/excel/2006/main">
          <x14:cfRule type="cellIs" priority="237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F6:F101</xm:sqref>
        </x14:conditionalFormatting>
        <x14:conditionalFormatting xmlns:xm="http://schemas.microsoft.com/office/excel/2006/main">
          <x14:cfRule type="cellIs" priority="238" stopIfTrue="1" operator="greaterThan" id="{00000000-0000-0000-0000-000000000000}">
            <xm:f>'3.Vehicles'!$C$2</xm:f>
            <x14:dxf>
              <fill>
                <patternFill>
                  <bgColor indexed="10"/>
                </patternFill>
              </fill>
            </x14:dxf>
          </x14:cfRule>
          <xm:sqref>G6:G101</xm:sqref>
        </x14:conditionalFormatting>
        <x14:conditionalFormatting xmlns:xm="http://schemas.microsoft.com/office/excel/2006/main">
          <x14:cfRule type="cellIs" priority="239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I6:I101</xm:sqref>
        </x14:conditionalFormatting>
        <x14:conditionalFormatting xmlns:xm="http://schemas.microsoft.com/office/excel/2006/main">
          <x14:cfRule type="cellIs" priority="240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L6:L101</xm:sqref>
        </x14:conditionalFormatting>
        <x14:conditionalFormatting xmlns:xm="http://schemas.microsoft.com/office/excel/2006/main">
          <x14:cfRule type="cellIs" priority="242" stopIfTrue="1" operator="lessThan" id="{00000000-0000-0000-0000-000000000000}">
            <xm:f>INDEX('1.Locations'!$F$2:$F$97,$P$5 + 1)</xm:f>
            <x14:dxf>
              <fill>
                <patternFill>
                  <bgColor indexed="52"/>
                </patternFill>
              </fill>
            </x14:dxf>
          </x14:cfRule>
          <xm:sqref>W5</xm:sqref>
        </x14:conditionalFormatting>
        <x14:conditionalFormatting xmlns:xm="http://schemas.microsoft.com/office/excel/2006/main">
          <x14:cfRule type="expression" priority="243" stopIfTrue="1" id="{00000000-0000-0000-0000-000000000000}">
            <xm:f>(60 * HOUR($X$5) + MINUTE($X$5)) &gt;(60 * HOUR(INDEX('1.Locations'!$G$2:$G$97,$P$5 + 1)) +MINUTE(INDEX('1.Locations'!$G$2:$G$97,$P$5 + 1)))</xm:f>
            <x14:dxf>
              <fill>
                <patternFill>
                  <bgColor indexed="10"/>
                </patternFill>
              </fill>
            </x14:dxf>
          </x14:cfRule>
          <xm:sqref>X5</xm:sqref>
        </x14:conditionalFormatting>
        <x14:conditionalFormatting xmlns:xm="http://schemas.microsoft.com/office/excel/2006/main">
          <x14:cfRule type="cellIs" priority="244" stopIfTrue="1" operator="lessThan" id="{00000000-0000-0000-0000-000000000000}">
            <xm:f>INDEX('1.Locations'!$F$2:$F$97,$P$6 + 1)</xm:f>
            <x14:dxf>
              <fill>
                <patternFill>
                  <bgColor indexed="52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245" stopIfTrue="1" id="{00000000-0000-0000-0000-000000000000}">
            <xm:f>(60 * HOUR($X$6) + MINUTE($X$6)) &gt;(60 * HOUR(INDEX('1.Locations'!$G$2:$G$97,$P$6 + 1)) +MINUTE(INDEX('1.Locations'!$G$2:$G$97,$P$6 + 1)))</xm:f>
            <x14:dxf>
              <fill>
                <patternFill>
                  <bgColor indexed="10"/>
                </patternFill>
              </fill>
            </x14:dxf>
          </x14:cfRule>
          <xm:sqref>X6</xm:sqref>
        </x14:conditionalFormatting>
        <x14:conditionalFormatting xmlns:xm="http://schemas.microsoft.com/office/excel/2006/main">
          <x14:cfRule type="cellIs" priority="246" stopIfTrue="1" operator="lessThan" id="{00000000-0000-0000-0000-000000000000}">
            <xm:f>INDEX('1.Locations'!$F$2:$F$97,$P$7 + 1)</xm:f>
            <x14:dxf>
              <fill>
                <patternFill>
                  <bgColor indexed="52"/>
                </patternFill>
              </fill>
            </x14:dxf>
          </x14:cfRule>
          <xm:sqref>W7</xm:sqref>
        </x14:conditionalFormatting>
        <x14:conditionalFormatting xmlns:xm="http://schemas.microsoft.com/office/excel/2006/main">
          <x14:cfRule type="expression" priority="247" stopIfTrue="1" id="{00000000-0000-0000-0000-000000000000}">
            <xm:f>(60 * HOUR($X$7) + MINUTE($X$7)) &gt;(60 * HOUR(INDEX('1.Locations'!$G$2:$G$97,$P$7 + 1)) +MINUTE(INDEX('1.Locations'!$G$2:$G$97,$P$7 + 1)))</xm:f>
            <x14:dxf>
              <fill>
                <patternFill>
                  <bgColor indexed="10"/>
                </patternFill>
              </fill>
            </x14:dxf>
          </x14:cfRule>
          <xm:sqref>X7</xm:sqref>
        </x14:conditionalFormatting>
        <x14:conditionalFormatting xmlns:xm="http://schemas.microsoft.com/office/excel/2006/main">
          <x14:cfRule type="cellIs" priority="248" stopIfTrue="1" operator="lessThan" id="{00000000-0000-0000-0000-000000000000}">
            <xm:f>INDEX('1.Locations'!$F$2:$F$97,$P$8 + 1)</xm:f>
            <x14:dxf>
              <fill>
                <patternFill>
                  <bgColor indexed="52"/>
                </patternFill>
              </fill>
            </x14:dxf>
          </x14:cfRule>
          <xm:sqref>W8</xm:sqref>
        </x14:conditionalFormatting>
        <x14:conditionalFormatting xmlns:xm="http://schemas.microsoft.com/office/excel/2006/main">
          <x14:cfRule type="expression" priority="249" stopIfTrue="1" id="{00000000-0000-0000-0000-000000000000}">
            <xm:f>(60 * HOUR($X$8) + MINUTE($X$8)) &gt;(60 * HOUR(INDEX('1.Locations'!$G$2:$G$97,$P$8 + 1)) +MINUTE(INDEX('1.Locations'!$G$2:$G$97,$P$8 + 1)))</xm:f>
            <x14:dxf>
              <fill>
                <patternFill>
                  <bgColor indexed="10"/>
                </patternFill>
              </fill>
            </x14:dxf>
          </x14:cfRule>
          <xm:sqref>X8</xm:sqref>
        </x14:conditionalFormatting>
        <x14:conditionalFormatting xmlns:xm="http://schemas.microsoft.com/office/excel/2006/main">
          <x14:cfRule type="cellIs" priority="250" stopIfTrue="1" operator="lessThan" id="{00000000-0000-0000-0000-000000000000}">
            <xm:f>INDEX('1.Locations'!$F$2:$F$97,$P$9 + 1)</xm:f>
            <x14:dxf>
              <fill>
                <patternFill>
                  <bgColor indexed="52"/>
                </patternFill>
              </fill>
            </x14:dxf>
          </x14:cfRule>
          <xm:sqref>W9</xm:sqref>
        </x14:conditionalFormatting>
        <x14:conditionalFormatting xmlns:xm="http://schemas.microsoft.com/office/excel/2006/main">
          <x14:cfRule type="expression" priority="251" stopIfTrue="1" id="{00000000-0000-0000-0000-000000000000}">
            <xm:f>(60 * HOUR($X$9) + MINUTE($X$9)) &gt;(60 * HOUR(INDEX('1.Locations'!$G$2:$G$97,$P$9 + 1)) +MINUTE(INDEX('1.Locations'!$G$2:$G$97,$P$9 + 1)))</xm:f>
            <x14:dxf>
              <fill>
                <patternFill>
                  <bgColor indexed="10"/>
                </patternFill>
              </fill>
            </x14:dxf>
          </x14:cfRule>
          <xm:sqref>X9</xm:sqref>
        </x14:conditionalFormatting>
        <x14:conditionalFormatting xmlns:xm="http://schemas.microsoft.com/office/excel/2006/main">
          <x14:cfRule type="cellIs" priority="252" stopIfTrue="1" operator="lessThan" id="{00000000-0000-0000-0000-000000000000}">
            <xm:f>INDEX('1.Locations'!$F$2:$F$97,$P$10 + 1)</xm:f>
            <x14:dxf>
              <fill>
                <patternFill>
                  <bgColor indexed="52"/>
                </patternFill>
              </fill>
            </x14:dxf>
          </x14:cfRule>
          <xm:sqref>W10</xm:sqref>
        </x14:conditionalFormatting>
        <x14:conditionalFormatting xmlns:xm="http://schemas.microsoft.com/office/excel/2006/main">
          <x14:cfRule type="expression" priority="253" stopIfTrue="1" id="{00000000-0000-0000-0000-000000000000}">
            <xm:f>(60 * HOUR($X$10) + MINUTE($X$10)) &gt;(60 * HOUR(INDEX('1.Locations'!$G$2:$G$97,$P$10 + 1)) +MINUTE(INDEX('1.Locations'!$G$2:$G$97,$P$10 + 1)))</xm:f>
            <x14:dxf>
              <fill>
                <patternFill>
                  <bgColor indexed="10"/>
                </patternFill>
              </fill>
            </x14:dxf>
          </x14:cfRule>
          <xm:sqref>X10</xm:sqref>
        </x14:conditionalFormatting>
        <x14:conditionalFormatting xmlns:xm="http://schemas.microsoft.com/office/excel/2006/main">
          <x14:cfRule type="cellIs" priority="254" stopIfTrue="1" operator="lessThan" id="{00000000-0000-0000-0000-000000000000}">
            <xm:f>INDEX('1.Locations'!$F$2:$F$97,$P$11 + 1)</xm:f>
            <x14:dxf>
              <fill>
                <patternFill>
                  <bgColor indexed="52"/>
                </patternFill>
              </fill>
            </x14:dxf>
          </x14:cfRule>
          <xm:sqref>W11</xm:sqref>
        </x14:conditionalFormatting>
        <x14:conditionalFormatting xmlns:xm="http://schemas.microsoft.com/office/excel/2006/main">
          <x14:cfRule type="expression" priority="255" stopIfTrue="1" id="{00000000-0000-0000-0000-000000000000}">
            <xm:f>(60 * HOUR($X$11) + MINUTE($X$11)) &gt;(60 * HOUR(INDEX('1.Locations'!$G$2:$G$97,$P$11 + 1)) +MINUTE(INDEX('1.Locations'!$G$2:$G$97,$P$11 + 1)))</xm:f>
            <x14:dxf>
              <fill>
                <patternFill>
                  <bgColor indexed="10"/>
                </patternFill>
              </fill>
            </x14:dxf>
          </x14:cfRule>
          <xm:sqref>X11</xm:sqref>
        </x14:conditionalFormatting>
        <x14:conditionalFormatting xmlns:xm="http://schemas.microsoft.com/office/excel/2006/main">
          <x14:cfRule type="cellIs" priority="256" stopIfTrue="1" operator="lessThan" id="{00000000-0000-0000-0000-000000000000}">
            <xm:f>INDEX('1.Locations'!$F$2:$F$97,$P$12 + 1)</xm:f>
            <x14:dxf>
              <fill>
                <patternFill>
                  <bgColor indexed="52"/>
                </patternFill>
              </fill>
            </x14:dxf>
          </x14:cfRule>
          <xm:sqref>W12</xm:sqref>
        </x14:conditionalFormatting>
        <x14:conditionalFormatting xmlns:xm="http://schemas.microsoft.com/office/excel/2006/main">
          <x14:cfRule type="expression" priority="257" stopIfTrue="1" id="{00000000-0000-0000-0000-000000000000}">
            <xm:f>(60 * HOUR($X$12) + MINUTE($X$12)) &gt;(60 * HOUR(INDEX('1.Locations'!$G$2:$G$97,$P$12 + 1)) +MINUTE(INDEX('1.Locations'!$G$2:$G$97,$P$12 + 1)))</xm:f>
            <x14:dxf>
              <fill>
                <patternFill>
                  <bgColor indexed="10"/>
                </patternFill>
              </fill>
            </x14:dxf>
          </x14:cfRule>
          <xm:sqref>X12</xm:sqref>
        </x14:conditionalFormatting>
        <x14:conditionalFormatting xmlns:xm="http://schemas.microsoft.com/office/excel/2006/main">
          <x14:cfRule type="cellIs" priority="258" stopIfTrue="1" operator="lessThan" id="{00000000-0000-0000-0000-000000000000}">
            <xm:f>INDEX('1.Locations'!$F$2:$F$97,$P$13 + 1)</xm:f>
            <x14:dxf>
              <fill>
                <patternFill>
                  <bgColor indexed="52"/>
                </patternFill>
              </fill>
            </x14:dxf>
          </x14:cfRule>
          <xm:sqref>W13</xm:sqref>
        </x14:conditionalFormatting>
        <x14:conditionalFormatting xmlns:xm="http://schemas.microsoft.com/office/excel/2006/main">
          <x14:cfRule type="expression" priority="259" stopIfTrue="1" id="{00000000-0000-0000-0000-000000000000}">
            <xm:f>(60 * HOUR($X$13) + MINUTE($X$13)) &gt;(60 * HOUR(INDEX('1.Locations'!$G$2:$G$97,$P$13 + 1)) +MINUTE(INDEX('1.Locations'!$G$2:$G$97,$P$13 + 1)))</xm:f>
            <x14:dxf>
              <fill>
                <patternFill>
                  <bgColor indexed="10"/>
                </patternFill>
              </fill>
            </x14:dxf>
          </x14:cfRule>
          <xm:sqref>X13</xm:sqref>
        </x14:conditionalFormatting>
        <x14:conditionalFormatting xmlns:xm="http://schemas.microsoft.com/office/excel/2006/main">
          <x14:cfRule type="cellIs" priority="260" stopIfTrue="1" operator="lessThan" id="{00000000-0000-0000-0000-000000000000}">
            <xm:f>INDEX('1.Locations'!$F$2:$F$97,$P$14 + 1)</xm:f>
            <x14:dxf>
              <fill>
                <patternFill>
                  <bgColor indexed="52"/>
                </patternFill>
              </fill>
            </x14:dxf>
          </x14:cfRule>
          <xm:sqref>W14</xm:sqref>
        </x14:conditionalFormatting>
        <x14:conditionalFormatting xmlns:xm="http://schemas.microsoft.com/office/excel/2006/main">
          <x14:cfRule type="expression" priority="261" stopIfTrue="1" id="{00000000-0000-0000-0000-000000000000}">
            <xm:f>(60 * HOUR($X$14) + MINUTE($X$14)) &gt;(60 * HOUR(INDEX('1.Locations'!$G$2:$G$97,$P$14 + 1)) +MINUTE(INDEX('1.Locations'!$G$2:$G$97,$P$14 + 1)))</xm:f>
            <x14:dxf>
              <fill>
                <patternFill>
                  <bgColor indexed="10"/>
                </patternFill>
              </fill>
            </x14:dxf>
          </x14:cfRule>
          <xm:sqref>X14</xm:sqref>
        </x14:conditionalFormatting>
        <x14:conditionalFormatting xmlns:xm="http://schemas.microsoft.com/office/excel/2006/main">
          <x14:cfRule type="cellIs" priority="262" stopIfTrue="1" operator="lessThan" id="{00000000-0000-0000-0000-000000000000}">
            <xm:f>INDEX('1.Locations'!$F$2:$F$97,$P$15 + 1)</xm:f>
            <x14:dxf>
              <fill>
                <patternFill>
                  <bgColor indexed="52"/>
                </patternFill>
              </fill>
            </x14:dxf>
          </x14:cfRule>
          <xm:sqref>W15</xm:sqref>
        </x14:conditionalFormatting>
        <x14:conditionalFormatting xmlns:xm="http://schemas.microsoft.com/office/excel/2006/main">
          <x14:cfRule type="expression" priority="263" stopIfTrue="1" id="{00000000-0000-0000-0000-000000000000}">
            <xm:f>(60 * HOUR($X$15) + MINUTE($X$15)) &gt;(60 * HOUR(INDEX('1.Locations'!$G$2:$G$97,$P$15 + 1)) +MINUTE(INDEX('1.Locations'!$G$2:$G$97,$P$15 + 1)))</xm:f>
            <x14:dxf>
              <fill>
                <patternFill>
                  <bgColor indexed="10"/>
                </patternFill>
              </fill>
            </x14:dxf>
          </x14:cfRule>
          <xm:sqref>X15</xm:sqref>
        </x14:conditionalFormatting>
        <x14:conditionalFormatting xmlns:xm="http://schemas.microsoft.com/office/excel/2006/main">
          <x14:cfRule type="cellIs" priority="264" stopIfTrue="1" operator="lessThan" id="{00000000-0000-0000-0000-000000000000}">
            <xm:f>INDEX('1.Locations'!$F$2:$F$97,$P$16 + 1)</xm:f>
            <x14:dxf>
              <fill>
                <patternFill>
                  <bgColor indexed="52"/>
                </patternFill>
              </fill>
            </x14:dxf>
          </x14:cfRule>
          <xm:sqref>W16</xm:sqref>
        </x14:conditionalFormatting>
        <x14:conditionalFormatting xmlns:xm="http://schemas.microsoft.com/office/excel/2006/main">
          <x14:cfRule type="expression" priority="265" stopIfTrue="1" id="{00000000-0000-0000-0000-000000000000}">
            <xm:f>(60 * HOUR($X$16) + MINUTE($X$16)) &gt;(60 * HOUR(INDEX('1.Locations'!$G$2:$G$97,$P$16 + 1)) +MINUTE(INDEX('1.Locations'!$G$2:$G$97,$P$16 + 1)))</xm:f>
            <x14:dxf>
              <fill>
                <patternFill>
                  <bgColor indexed="10"/>
                </patternFill>
              </fill>
            </x14:dxf>
          </x14:cfRule>
          <xm:sqref>X16</xm:sqref>
        </x14:conditionalFormatting>
        <x14:conditionalFormatting xmlns:xm="http://schemas.microsoft.com/office/excel/2006/main">
          <x14:cfRule type="cellIs" priority="266" stopIfTrue="1" operator="lessThan" id="{00000000-0000-0000-0000-000000000000}">
            <xm:f>INDEX('1.Locations'!$F$2:$F$97,$P$17 + 1)</xm:f>
            <x14:dxf>
              <fill>
                <patternFill>
                  <bgColor indexed="52"/>
                </patternFill>
              </fill>
            </x14:dxf>
          </x14:cfRule>
          <xm:sqref>W17</xm:sqref>
        </x14:conditionalFormatting>
        <x14:conditionalFormatting xmlns:xm="http://schemas.microsoft.com/office/excel/2006/main">
          <x14:cfRule type="expression" priority="267" stopIfTrue="1" id="{00000000-0000-0000-0000-000000000000}">
            <xm:f>(60 * HOUR($X$17) + MINUTE($X$17)) &gt;(60 * HOUR(INDEX('1.Locations'!$G$2:$G$97,$P$17 + 1)) +MINUTE(INDEX('1.Locations'!$G$2:$G$97,$P$17 + 1)))</xm:f>
            <x14:dxf>
              <fill>
                <patternFill>
                  <bgColor indexed="10"/>
                </patternFill>
              </fill>
            </x14:dxf>
          </x14:cfRule>
          <xm:sqref>X17</xm:sqref>
        </x14:conditionalFormatting>
        <x14:conditionalFormatting xmlns:xm="http://schemas.microsoft.com/office/excel/2006/main">
          <x14:cfRule type="cellIs" priority="268" stopIfTrue="1" operator="lessThan" id="{00000000-0000-0000-0000-000000000000}">
            <xm:f>INDEX('1.Locations'!$F$2:$F$97,$P$18 + 1)</xm:f>
            <x14:dxf>
              <fill>
                <patternFill>
                  <bgColor indexed="52"/>
                </patternFill>
              </fill>
            </x14:dxf>
          </x14:cfRule>
          <xm:sqref>W18</xm:sqref>
        </x14:conditionalFormatting>
        <x14:conditionalFormatting xmlns:xm="http://schemas.microsoft.com/office/excel/2006/main">
          <x14:cfRule type="expression" priority="269" stopIfTrue="1" id="{00000000-0000-0000-0000-000000000000}">
            <xm:f>(60 * HOUR($X$18) + MINUTE($X$18)) &gt;(60 * HOUR(INDEX('1.Locations'!$G$2:$G$97,$P$18 + 1)) +MINUTE(INDEX('1.Locations'!$G$2:$G$97,$P$18 + 1)))</xm:f>
            <x14:dxf>
              <fill>
                <patternFill>
                  <bgColor indexed="10"/>
                </patternFill>
              </fill>
            </x14:dxf>
          </x14:cfRule>
          <xm:sqref>X18</xm:sqref>
        </x14:conditionalFormatting>
        <x14:conditionalFormatting xmlns:xm="http://schemas.microsoft.com/office/excel/2006/main">
          <x14:cfRule type="cellIs" priority="270" stopIfTrue="1" operator="lessThan" id="{00000000-0000-0000-0000-000000000000}">
            <xm:f>INDEX('1.Locations'!$F$2:$F$97,$P$19 + 1)</xm:f>
            <x14:dxf>
              <fill>
                <patternFill>
                  <bgColor indexed="52"/>
                </patternFill>
              </fill>
            </x14:dxf>
          </x14:cfRule>
          <xm:sqref>W19</xm:sqref>
        </x14:conditionalFormatting>
        <x14:conditionalFormatting xmlns:xm="http://schemas.microsoft.com/office/excel/2006/main">
          <x14:cfRule type="expression" priority="271" stopIfTrue="1" id="{00000000-0000-0000-0000-000000000000}">
            <xm:f>(60 * HOUR($X$19) + MINUTE($X$19)) &gt;(60 * HOUR(INDEX('1.Locations'!$G$2:$G$97,$P$19 + 1)) +MINUTE(INDEX('1.Locations'!$G$2:$G$97,$P$19 + 1)))</xm:f>
            <x14:dxf>
              <fill>
                <patternFill>
                  <bgColor indexed="10"/>
                </patternFill>
              </fill>
            </x14:dxf>
          </x14:cfRule>
          <xm:sqref>X19</xm:sqref>
        </x14:conditionalFormatting>
        <x14:conditionalFormatting xmlns:xm="http://schemas.microsoft.com/office/excel/2006/main">
          <x14:cfRule type="cellIs" priority="272" stopIfTrue="1" operator="lessThan" id="{00000000-0000-0000-0000-000000000000}">
            <xm:f>INDEX('1.Locations'!$F$2:$F$97,$P$20 + 1)</xm:f>
            <x14:dxf>
              <fill>
                <patternFill>
                  <bgColor indexed="52"/>
                </patternFill>
              </fill>
            </x14:dxf>
          </x14:cfRule>
          <xm:sqref>W20</xm:sqref>
        </x14:conditionalFormatting>
        <x14:conditionalFormatting xmlns:xm="http://schemas.microsoft.com/office/excel/2006/main">
          <x14:cfRule type="expression" priority="273" stopIfTrue="1" id="{00000000-0000-0000-0000-000000000000}">
            <xm:f>(60 * HOUR($X$20) + MINUTE($X$20)) &gt;(60 * HOUR(INDEX('1.Locations'!$G$2:$G$97,$P$20 + 1)) +MINUTE(INDEX('1.Locations'!$G$2:$G$97,$P$20 + 1)))</xm:f>
            <x14:dxf>
              <fill>
                <patternFill>
                  <bgColor indexed="10"/>
                </patternFill>
              </fill>
            </x14:dxf>
          </x14:cfRule>
          <xm:sqref>X20</xm:sqref>
        </x14:conditionalFormatting>
        <x14:conditionalFormatting xmlns:xm="http://schemas.microsoft.com/office/excel/2006/main">
          <x14:cfRule type="cellIs" priority="274" stopIfTrue="1" operator="lessThan" id="{00000000-0000-0000-0000-000000000000}">
            <xm:f>INDEX('1.Locations'!$F$2:$F$97,$P$21 + 1)</xm:f>
            <x14:dxf>
              <fill>
                <patternFill>
                  <bgColor indexed="52"/>
                </patternFill>
              </fill>
            </x14:dxf>
          </x14:cfRule>
          <xm:sqref>W21</xm:sqref>
        </x14:conditionalFormatting>
        <x14:conditionalFormatting xmlns:xm="http://schemas.microsoft.com/office/excel/2006/main">
          <x14:cfRule type="expression" priority="275" stopIfTrue="1" id="{00000000-0000-0000-0000-000000000000}">
            <xm:f>(60 * HOUR($X$21) + MINUTE($X$21)) &gt;(60 * HOUR(INDEX('1.Locations'!$G$2:$G$97,$P$21 + 1)) +MINUTE(INDEX('1.Locations'!$G$2:$G$97,$P$21 + 1)))</xm:f>
            <x14:dxf>
              <fill>
                <patternFill>
                  <bgColor indexed="10"/>
                </patternFill>
              </fill>
            </x14:dxf>
          </x14:cfRule>
          <xm:sqref>X21</xm:sqref>
        </x14:conditionalFormatting>
        <x14:conditionalFormatting xmlns:xm="http://schemas.microsoft.com/office/excel/2006/main">
          <x14:cfRule type="cellIs" priority="276" stopIfTrue="1" operator="lessThan" id="{00000000-0000-0000-0000-000000000000}">
            <xm:f>INDEX('1.Locations'!$F$2:$F$97,$P$22 + 1)</xm:f>
            <x14:dxf>
              <fill>
                <patternFill>
                  <bgColor indexed="52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expression" priority="277" stopIfTrue="1" id="{00000000-0000-0000-0000-000000000000}">
            <xm:f>(60 * HOUR($X$22) + MINUTE($X$22)) &gt;(60 * HOUR(INDEX('1.Locations'!$G$2:$G$97,$P$22 + 1)) +MINUTE(INDEX('1.Locations'!$G$2:$G$97,$P$22 + 1)))</xm:f>
            <x14:dxf>
              <fill>
                <patternFill>
                  <bgColor indexed="10"/>
                </patternFill>
              </fill>
            </x14:dxf>
          </x14:cfRule>
          <xm:sqref>X22</xm:sqref>
        </x14:conditionalFormatting>
        <x14:conditionalFormatting xmlns:xm="http://schemas.microsoft.com/office/excel/2006/main">
          <x14:cfRule type="cellIs" priority="278" stopIfTrue="1" operator="lessThan" id="{00000000-0000-0000-0000-000000000000}">
            <xm:f>INDEX('1.Locations'!$F$2:$F$97,$P$23 + 1)</xm:f>
            <x14:dxf>
              <fill>
                <patternFill>
                  <bgColor indexed="52"/>
                </patternFill>
              </fill>
            </x14:dxf>
          </x14:cfRule>
          <xm:sqref>W23</xm:sqref>
        </x14:conditionalFormatting>
        <x14:conditionalFormatting xmlns:xm="http://schemas.microsoft.com/office/excel/2006/main">
          <x14:cfRule type="expression" priority="279" stopIfTrue="1" id="{00000000-0000-0000-0000-000000000000}">
            <xm:f>(60 * HOUR($X$23) + MINUTE($X$23)) &gt;(60 * HOUR(INDEX('1.Locations'!$G$2:$G$97,$P$23 + 1)) +MINUTE(INDEX('1.Locations'!$G$2:$G$97,$P$23 + 1)))</xm:f>
            <x14:dxf>
              <fill>
                <patternFill>
                  <bgColor indexed="10"/>
                </patternFill>
              </fill>
            </x14:dxf>
          </x14:cfRule>
          <xm:sqref>X23</xm:sqref>
        </x14:conditionalFormatting>
        <x14:conditionalFormatting xmlns:xm="http://schemas.microsoft.com/office/excel/2006/main">
          <x14:cfRule type="cellIs" priority="280" stopIfTrue="1" operator="lessThan" id="{00000000-0000-0000-0000-000000000000}">
            <xm:f>INDEX('1.Locations'!$F$2:$F$97,$P$24 + 1)</xm:f>
            <x14:dxf>
              <fill>
                <patternFill>
                  <bgColor indexed="52"/>
                </patternFill>
              </fill>
            </x14:dxf>
          </x14:cfRule>
          <xm:sqref>W24</xm:sqref>
        </x14:conditionalFormatting>
        <x14:conditionalFormatting xmlns:xm="http://schemas.microsoft.com/office/excel/2006/main">
          <x14:cfRule type="expression" priority="281" stopIfTrue="1" id="{00000000-0000-0000-0000-000000000000}">
            <xm:f>(60 * HOUR($X$24) + MINUTE($X$24)) &gt;(60 * HOUR(INDEX('1.Locations'!$G$2:$G$97,$P$24 + 1)) +MINUTE(INDEX('1.Locations'!$G$2:$G$97,$P$24 + 1)))</xm:f>
            <x14:dxf>
              <fill>
                <patternFill>
                  <bgColor indexed="10"/>
                </patternFill>
              </fill>
            </x14:dxf>
          </x14:cfRule>
          <xm:sqref>X24</xm:sqref>
        </x14:conditionalFormatting>
        <x14:conditionalFormatting xmlns:xm="http://schemas.microsoft.com/office/excel/2006/main">
          <x14:cfRule type="cellIs" priority="282" stopIfTrue="1" operator="lessThan" id="{00000000-0000-0000-0000-000000000000}">
            <xm:f>INDEX('1.Locations'!$F$2:$F$97,$P$25 + 1)</xm:f>
            <x14:dxf>
              <fill>
                <patternFill>
                  <bgColor indexed="52"/>
                </patternFill>
              </fill>
            </x14:dxf>
          </x14:cfRule>
          <xm:sqref>W25</xm:sqref>
        </x14:conditionalFormatting>
        <x14:conditionalFormatting xmlns:xm="http://schemas.microsoft.com/office/excel/2006/main">
          <x14:cfRule type="expression" priority="283" stopIfTrue="1" id="{00000000-0000-0000-0000-000000000000}">
            <xm:f>(60 * HOUR($X$25) + MINUTE($X$25)) &gt;(60 * HOUR(INDEX('1.Locations'!$G$2:$G$97,$P$25 + 1)) +MINUTE(INDEX('1.Locations'!$G$2:$G$97,$P$25 + 1)))</xm:f>
            <x14:dxf>
              <fill>
                <patternFill>
                  <bgColor indexed="10"/>
                </patternFill>
              </fill>
            </x14:dxf>
          </x14:cfRule>
          <xm:sqref>X25</xm:sqref>
        </x14:conditionalFormatting>
        <x14:conditionalFormatting xmlns:xm="http://schemas.microsoft.com/office/excel/2006/main">
          <x14:cfRule type="cellIs" priority="284" stopIfTrue="1" operator="lessThan" id="{00000000-0000-0000-0000-000000000000}">
            <xm:f>INDEX('1.Locations'!$F$2:$F$97,$P$26 + 1)</xm:f>
            <x14:dxf>
              <fill>
                <patternFill>
                  <bgColor indexed="52"/>
                </patternFill>
              </fill>
            </x14:dxf>
          </x14:cfRule>
          <xm:sqref>W26</xm:sqref>
        </x14:conditionalFormatting>
        <x14:conditionalFormatting xmlns:xm="http://schemas.microsoft.com/office/excel/2006/main">
          <x14:cfRule type="expression" priority="285" stopIfTrue="1" id="{00000000-0000-0000-0000-000000000000}">
            <xm:f>(60 * HOUR($X$26) + MINUTE($X$26)) &gt;(60 * HOUR(INDEX('1.Locations'!$G$2:$G$97,$P$26 + 1)) +MINUTE(INDEX('1.Locations'!$G$2:$G$97,$P$26 + 1)))</xm:f>
            <x14:dxf>
              <fill>
                <patternFill>
                  <bgColor indexed="10"/>
                </patternFill>
              </fill>
            </x14:dxf>
          </x14:cfRule>
          <xm:sqref>X26</xm:sqref>
        </x14:conditionalFormatting>
        <x14:conditionalFormatting xmlns:xm="http://schemas.microsoft.com/office/excel/2006/main">
          <x14:cfRule type="cellIs" priority="286" stopIfTrue="1" operator="lessThan" id="{00000000-0000-0000-0000-000000000000}">
            <xm:f>INDEX('1.Locations'!$F$2:$F$97,$P$27 + 1)</xm:f>
            <x14:dxf>
              <fill>
                <patternFill>
                  <bgColor indexed="52"/>
                </patternFill>
              </fill>
            </x14:dxf>
          </x14:cfRule>
          <xm:sqref>W27</xm:sqref>
        </x14:conditionalFormatting>
        <x14:conditionalFormatting xmlns:xm="http://schemas.microsoft.com/office/excel/2006/main">
          <x14:cfRule type="expression" priority="287" stopIfTrue="1" id="{00000000-0000-0000-0000-000000000000}">
            <xm:f>(60 * HOUR($X$27) + MINUTE($X$27)) &gt;(60 * HOUR(INDEX('1.Locations'!$G$2:$G$97,$P$27 + 1)) +MINUTE(INDEX('1.Locations'!$G$2:$G$97,$P$27 + 1)))</xm:f>
            <x14:dxf>
              <fill>
                <patternFill>
                  <bgColor indexed="10"/>
                </patternFill>
              </fill>
            </x14:dxf>
          </x14:cfRule>
          <xm:sqref>X27</xm:sqref>
        </x14:conditionalFormatting>
        <x14:conditionalFormatting xmlns:xm="http://schemas.microsoft.com/office/excel/2006/main">
          <x14:cfRule type="cellIs" priority="288" stopIfTrue="1" operator="lessThan" id="{00000000-0000-0000-0000-000000000000}">
            <xm:f>INDEX('1.Locations'!$F$2:$F$97,$P$28 + 1)</xm:f>
            <x14:dxf>
              <fill>
                <patternFill>
                  <bgColor indexed="52"/>
                </patternFill>
              </fill>
            </x14:dxf>
          </x14:cfRule>
          <xm:sqref>W28</xm:sqref>
        </x14:conditionalFormatting>
        <x14:conditionalFormatting xmlns:xm="http://schemas.microsoft.com/office/excel/2006/main">
          <x14:cfRule type="expression" priority="289" stopIfTrue="1" id="{00000000-0000-0000-0000-000000000000}">
            <xm:f>(60 * HOUR($X$28) + MINUTE($X$28)) &gt;(60 * HOUR(INDEX('1.Locations'!$G$2:$G$97,$P$28 + 1)) +MINUTE(INDEX('1.Locations'!$G$2:$G$97,$P$28 + 1)))</xm:f>
            <x14:dxf>
              <fill>
                <patternFill>
                  <bgColor indexed="10"/>
                </patternFill>
              </fill>
            </x14:dxf>
          </x14:cfRule>
          <xm:sqref>X28</xm:sqref>
        </x14:conditionalFormatting>
        <x14:conditionalFormatting xmlns:xm="http://schemas.microsoft.com/office/excel/2006/main">
          <x14:cfRule type="cellIs" priority="290" stopIfTrue="1" operator="lessThan" id="{00000000-0000-0000-0000-000000000000}">
            <xm:f>INDEX('1.Locations'!$F$2:$F$97,$P$29 + 1)</xm:f>
            <x14:dxf>
              <fill>
                <patternFill>
                  <bgColor indexed="52"/>
                </patternFill>
              </fill>
            </x14:dxf>
          </x14:cfRule>
          <xm:sqref>W29</xm:sqref>
        </x14:conditionalFormatting>
        <x14:conditionalFormatting xmlns:xm="http://schemas.microsoft.com/office/excel/2006/main">
          <x14:cfRule type="expression" priority="291" stopIfTrue="1" id="{00000000-0000-0000-0000-000000000000}">
            <xm:f>(60 * HOUR($X$29) + MINUTE($X$29)) &gt;(60 * HOUR(INDEX('1.Locations'!$G$2:$G$97,$P$29 + 1)) +MINUTE(INDEX('1.Locations'!$G$2:$G$97,$P$29 + 1)))</xm:f>
            <x14:dxf>
              <fill>
                <patternFill>
                  <bgColor indexed="10"/>
                </patternFill>
              </fill>
            </x14:dxf>
          </x14:cfRule>
          <xm:sqref>X29</xm:sqref>
        </x14:conditionalFormatting>
        <x14:conditionalFormatting xmlns:xm="http://schemas.microsoft.com/office/excel/2006/main">
          <x14:cfRule type="cellIs" priority="292" stopIfTrue="1" operator="lessThan" id="{00000000-0000-0000-0000-000000000000}">
            <xm:f>INDEX('1.Locations'!$F$2:$F$97,$P$30 + 1)</xm:f>
            <x14:dxf>
              <fill>
                <patternFill>
                  <bgColor indexed="52"/>
                </patternFill>
              </fill>
            </x14:dxf>
          </x14:cfRule>
          <xm:sqref>W30</xm:sqref>
        </x14:conditionalFormatting>
        <x14:conditionalFormatting xmlns:xm="http://schemas.microsoft.com/office/excel/2006/main">
          <x14:cfRule type="expression" priority="293" stopIfTrue="1" id="{00000000-0000-0000-0000-000000000000}">
            <xm:f>(60 * HOUR($X$30) + MINUTE($X$30)) &gt;(60 * HOUR(INDEX('1.Locations'!$G$2:$G$97,$P$30 + 1)) +MINUTE(INDEX('1.Locations'!$G$2:$G$97,$P$30 + 1)))</xm:f>
            <x14:dxf>
              <fill>
                <patternFill>
                  <bgColor indexed="10"/>
                </patternFill>
              </fill>
            </x14:dxf>
          </x14:cfRule>
          <xm:sqref>X30</xm:sqref>
        </x14:conditionalFormatting>
        <x14:conditionalFormatting xmlns:xm="http://schemas.microsoft.com/office/excel/2006/main">
          <x14:cfRule type="cellIs" priority="294" stopIfTrue="1" operator="lessThan" id="{00000000-0000-0000-0000-000000000000}">
            <xm:f>INDEX('1.Locations'!$F$2:$F$97,$P$31 + 1)</xm:f>
            <x14:dxf>
              <fill>
                <patternFill>
                  <bgColor indexed="52"/>
                </patternFill>
              </fill>
            </x14:dxf>
          </x14:cfRule>
          <xm:sqref>W31</xm:sqref>
        </x14:conditionalFormatting>
        <x14:conditionalFormatting xmlns:xm="http://schemas.microsoft.com/office/excel/2006/main">
          <x14:cfRule type="expression" priority="295" stopIfTrue="1" id="{00000000-0000-0000-0000-000000000000}">
            <xm:f>(60 * HOUR($X$31) + MINUTE($X$31)) &gt;(60 * HOUR(INDEX('1.Locations'!$G$2:$G$97,$P$31 + 1)) +MINUTE(INDEX('1.Locations'!$G$2:$G$97,$P$31 + 1)))</xm:f>
            <x14:dxf>
              <fill>
                <patternFill>
                  <bgColor indexed="10"/>
                </patternFill>
              </fill>
            </x14:dxf>
          </x14:cfRule>
          <xm:sqref>X31</xm:sqref>
        </x14:conditionalFormatting>
        <x14:conditionalFormatting xmlns:xm="http://schemas.microsoft.com/office/excel/2006/main">
          <x14:cfRule type="cellIs" priority="296" stopIfTrue="1" operator="lessThan" id="{00000000-0000-0000-0000-000000000000}">
            <xm:f>INDEX('1.Locations'!$F$2:$F$97,$P$32 + 1)</xm:f>
            <x14:dxf>
              <fill>
                <patternFill>
                  <bgColor indexed="52"/>
                </patternFill>
              </fill>
            </x14:dxf>
          </x14:cfRule>
          <xm:sqref>W32</xm:sqref>
        </x14:conditionalFormatting>
        <x14:conditionalFormatting xmlns:xm="http://schemas.microsoft.com/office/excel/2006/main">
          <x14:cfRule type="expression" priority="297" stopIfTrue="1" id="{00000000-0000-0000-0000-000000000000}">
            <xm:f>(60 * HOUR($X$32) + MINUTE($X$32)) &gt;(60 * HOUR(INDEX('1.Locations'!$G$2:$G$97,$P$32 + 1)) +MINUTE(INDEX('1.Locations'!$G$2:$G$97,$P$32 + 1)))</xm:f>
            <x14:dxf>
              <fill>
                <patternFill>
                  <bgColor indexed="10"/>
                </patternFill>
              </fill>
            </x14:dxf>
          </x14:cfRule>
          <xm:sqref>X32</xm:sqref>
        </x14:conditionalFormatting>
        <x14:conditionalFormatting xmlns:xm="http://schemas.microsoft.com/office/excel/2006/main">
          <x14:cfRule type="cellIs" priority="298" stopIfTrue="1" operator="lessThan" id="{00000000-0000-0000-0000-000000000000}">
            <xm:f>INDEX('1.Locations'!$F$2:$F$97,$P$33 + 1)</xm:f>
            <x14:dxf>
              <fill>
                <patternFill>
                  <bgColor indexed="52"/>
                </patternFill>
              </fill>
            </x14:dxf>
          </x14:cfRule>
          <xm:sqref>W33</xm:sqref>
        </x14:conditionalFormatting>
        <x14:conditionalFormatting xmlns:xm="http://schemas.microsoft.com/office/excel/2006/main">
          <x14:cfRule type="expression" priority="299" stopIfTrue="1" id="{00000000-0000-0000-0000-000000000000}">
            <xm:f>(60 * HOUR($X$33) + MINUTE($X$33)) &gt;(60 * HOUR(INDEX('1.Locations'!$G$2:$G$97,$P$33 + 1)) +MINUTE(INDEX('1.Locations'!$G$2:$G$97,$P$33 + 1)))</xm:f>
            <x14:dxf>
              <fill>
                <patternFill>
                  <bgColor indexed="10"/>
                </patternFill>
              </fill>
            </x14:dxf>
          </x14:cfRule>
          <xm:sqref>X33</xm:sqref>
        </x14:conditionalFormatting>
        <x14:conditionalFormatting xmlns:xm="http://schemas.microsoft.com/office/excel/2006/main">
          <x14:cfRule type="cellIs" priority="300" stopIfTrue="1" operator="lessThan" id="{00000000-0000-0000-0000-000000000000}">
            <xm:f>INDEX('1.Locations'!$F$2:$F$97,$P$34 + 1)</xm:f>
            <x14:dxf>
              <fill>
                <patternFill>
                  <bgColor indexed="52"/>
                </patternFill>
              </fill>
            </x14:dxf>
          </x14:cfRule>
          <xm:sqref>W34</xm:sqref>
        </x14:conditionalFormatting>
        <x14:conditionalFormatting xmlns:xm="http://schemas.microsoft.com/office/excel/2006/main">
          <x14:cfRule type="expression" priority="301" stopIfTrue="1" id="{00000000-0000-0000-0000-000000000000}">
            <xm:f>(60 * HOUR($X$34) + MINUTE($X$34)) &gt;(60 * HOUR(INDEX('1.Locations'!$G$2:$G$97,$P$34 + 1)) +MINUTE(INDEX('1.Locations'!$G$2:$G$97,$P$34 + 1)))</xm:f>
            <x14:dxf>
              <fill>
                <patternFill>
                  <bgColor indexed="10"/>
                </patternFill>
              </fill>
            </x14:dxf>
          </x14:cfRule>
          <xm:sqref>X34</xm:sqref>
        </x14:conditionalFormatting>
        <x14:conditionalFormatting xmlns:xm="http://schemas.microsoft.com/office/excel/2006/main">
          <x14:cfRule type="cellIs" priority="302" stopIfTrue="1" operator="lessThan" id="{00000000-0000-0000-0000-000000000000}">
            <xm:f>INDEX('1.Locations'!$F$2:$F$97,$P$35 + 1)</xm:f>
            <x14:dxf>
              <fill>
                <patternFill>
                  <bgColor indexed="52"/>
                </patternFill>
              </fill>
            </x14:dxf>
          </x14:cfRule>
          <xm:sqref>W35</xm:sqref>
        </x14:conditionalFormatting>
        <x14:conditionalFormatting xmlns:xm="http://schemas.microsoft.com/office/excel/2006/main">
          <x14:cfRule type="expression" priority="303" stopIfTrue="1" id="{00000000-0000-0000-0000-000000000000}">
            <xm:f>(60 * HOUR($X$35) + MINUTE($X$35)) &gt;(60 * HOUR(INDEX('1.Locations'!$G$2:$G$97,$P$35 + 1)) +MINUTE(INDEX('1.Locations'!$G$2:$G$97,$P$35 + 1)))</xm:f>
            <x14:dxf>
              <fill>
                <patternFill>
                  <bgColor indexed="10"/>
                </patternFill>
              </fill>
            </x14:dxf>
          </x14:cfRule>
          <xm:sqref>X35</xm:sqref>
        </x14:conditionalFormatting>
        <x14:conditionalFormatting xmlns:xm="http://schemas.microsoft.com/office/excel/2006/main">
          <x14:cfRule type="cellIs" priority="304" stopIfTrue="1" operator="lessThan" id="{00000000-0000-0000-0000-000000000000}">
            <xm:f>INDEX('1.Locations'!$F$2:$F$97,$P$36 + 1)</xm:f>
            <x14:dxf>
              <fill>
                <patternFill>
                  <bgColor indexed="52"/>
                </patternFill>
              </fill>
            </x14:dxf>
          </x14:cfRule>
          <xm:sqref>W36</xm:sqref>
        </x14:conditionalFormatting>
        <x14:conditionalFormatting xmlns:xm="http://schemas.microsoft.com/office/excel/2006/main">
          <x14:cfRule type="expression" priority="305" stopIfTrue="1" id="{00000000-0000-0000-0000-000000000000}">
            <xm:f>(60 * HOUR($X$36) + MINUTE($X$36)) &gt;(60 * HOUR(INDEX('1.Locations'!$G$2:$G$97,$P$36 + 1)) +MINUTE(INDEX('1.Locations'!$G$2:$G$97,$P$36 + 1)))</xm:f>
            <x14:dxf>
              <fill>
                <patternFill>
                  <bgColor indexed="10"/>
                </patternFill>
              </fill>
            </x14:dxf>
          </x14:cfRule>
          <xm:sqref>X36</xm:sqref>
        </x14:conditionalFormatting>
        <x14:conditionalFormatting xmlns:xm="http://schemas.microsoft.com/office/excel/2006/main">
          <x14:cfRule type="cellIs" priority="306" stopIfTrue="1" operator="lessThan" id="{00000000-0000-0000-0000-000000000000}">
            <xm:f>INDEX('1.Locations'!$F$2:$F$97,$P$37 + 1)</xm:f>
            <x14:dxf>
              <fill>
                <patternFill>
                  <bgColor indexed="52"/>
                </patternFill>
              </fill>
            </x14:dxf>
          </x14:cfRule>
          <xm:sqref>W37</xm:sqref>
        </x14:conditionalFormatting>
        <x14:conditionalFormatting xmlns:xm="http://schemas.microsoft.com/office/excel/2006/main">
          <x14:cfRule type="expression" priority="307" stopIfTrue="1" id="{00000000-0000-0000-0000-000000000000}">
            <xm:f>(60 * HOUR($X$37) + MINUTE($X$37)) &gt;(60 * HOUR(INDEX('1.Locations'!$G$2:$G$97,$P$37 + 1)) +MINUTE(INDEX('1.Locations'!$G$2:$G$97,$P$37 + 1)))</xm:f>
            <x14:dxf>
              <fill>
                <patternFill>
                  <bgColor indexed="10"/>
                </patternFill>
              </fill>
            </x14:dxf>
          </x14:cfRule>
          <xm:sqref>X37</xm:sqref>
        </x14:conditionalFormatting>
        <x14:conditionalFormatting xmlns:xm="http://schemas.microsoft.com/office/excel/2006/main">
          <x14:cfRule type="cellIs" priority="308" stopIfTrue="1" operator="lessThan" id="{00000000-0000-0000-0000-000000000000}">
            <xm:f>INDEX('1.Locations'!$F$2:$F$97,$P$38 + 1)</xm:f>
            <x14:dxf>
              <fill>
                <patternFill>
                  <bgColor indexed="52"/>
                </patternFill>
              </fill>
            </x14:dxf>
          </x14:cfRule>
          <xm:sqref>W38</xm:sqref>
        </x14:conditionalFormatting>
        <x14:conditionalFormatting xmlns:xm="http://schemas.microsoft.com/office/excel/2006/main">
          <x14:cfRule type="expression" priority="309" stopIfTrue="1" id="{00000000-0000-0000-0000-000000000000}">
            <xm:f>(60 * HOUR($X$38) + MINUTE($X$38)) &gt;(60 * HOUR(INDEX('1.Locations'!$G$2:$G$97,$P$38 + 1)) +MINUTE(INDEX('1.Locations'!$G$2:$G$97,$P$38 + 1)))</xm:f>
            <x14:dxf>
              <fill>
                <patternFill>
                  <bgColor indexed="10"/>
                </patternFill>
              </fill>
            </x14:dxf>
          </x14:cfRule>
          <xm:sqref>X38</xm:sqref>
        </x14:conditionalFormatting>
        <x14:conditionalFormatting xmlns:xm="http://schemas.microsoft.com/office/excel/2006/main">
          <x14:cfRule type="cellIs" priority="310" stopIfTrue="1" operator="lessThan" id="{00000000-0000-0000-0000-000000000000}">
            <xm:f>INDEX('1.Locations'!$F$2:$F$97,$P$39 + 1)</xm:f>
            <x14:dxf>
              <fill>
                <patternFill>
                  <bgColor indexed="52"/>
                </patternFill>
              </fill>
            </x14:dxf>
          </x14:cfRule>
          <xm:sqref>W39</xm:sqref>
        </x14:conditionalFormatting>
        <x14:conditionalFormatting xmlns:xm="http://schemas.microsoft.com/office/excel/2006/main">
          <x14:cfRule type="expression" priority="311" stopIfTrue="1" id="{00000000-0000-0000-0000-000000000000}">
            <xm:f>(60 * HOUR($X$39) + MINUTE($X$39)) &gt;(60 * HOUR(INDEX('1.Locations'!$G$2:$G$97,$P$39 + 1)) +MINUTE(INDEX('1.Locations'!$G$2:$G$97,$P$39 + 1)))</xm:f>
            <x14:dxf>
              <fill>
                <patternFill>
                  <bgColor indexed="10"/>
                </patternFill>
              </fill>
            </x14:dxf>
          </x14:cfRule>
          <xm:sqref>X39</xm:sqref>
        </x14:conditionalFormatting>
        <x14:conditionalFormatting xmlns:xm="http://schemas.microsoft.com/office/excel/2006/main">
          <x14:cfRule type="cellIs" priority="312" stopIfTrue="1" operator="lessThan" id="{00000000-0000-0000-0000-000000000000}">
            <xm:f>INDEX('1.Locations'!$F$2:$F$97,$P$40 + 1)</xm:f>
            <x14:dxf>
              <fill>
                <patternFill>
                  <bgColor indexed="52"/>
                </patternFill>
              </fill>
            </x14:dxf>
          </x14:cfRule>
          <xm:sqref>W40</xm:sqref>
        </x14:conditionalFormatting>
        <x14:conditionalFormatting xmlns:xm="http://schemas.microsoft.com/office/excel/2006/main">
          <x14:cfRule type="expression" priority="313" stopIfTrue="1" id="{00000000-0000-0000-0000-000000000000}">
            <xm:f>(60 * HOUR($X$40) + MINUTE($X$40)) &gt;(60 * HOUR(INDEX('1.Locations'!$G$2:$G$97,$P$40 + 1)) +MINUTE(INDEX('1.Locations'!$G$2:$G$97,$P$40 + 1)))</xm:f>
            <x14:dxf>
              <fill>
                <patternFill>
                  <bgColor indexed="10"/>
                </patternFill>
              </fill>
            </x14:dxf>
          </x14:cfRule>
          <xm:sqref>X40</xm:sqref>
        </x14:conditionalFormatting>
        <x14:conditionalFormatting xmlns:xm="http://schemas.microsoft.com/office/excel/2006/main">
          <x14:cfRule type="cellIs" priority="314" stopIfTrue="1" operator="lessThan" id="{00000000-0000-0000-0000-000000000000}">
            <xm:f>INDEX('1.Locations'!$F$2:$F$97,$P$41 + 1)</xm:f>
            <x14:dxf>
              <fill>
                <patternFill>
                  <bgColor indexed="52"/>
                </patternFill>
              </fill>
            </x14:dxf>
          </x14:cfRule>
          <xm:sqref>W41</xm:sqref>
        </x14:conditionalFormatting>
        <x14:conditionalFormatting xmlns:xm="http://schemas.microsoft.com/office/excel/2006/main">
          <x14:cfRule type="expression" priority="315" stopIfTrue="1" id="{00000000-0000-0000-0000-000000000000}">
            <xm:f>(60 * HOUR($X$41) + MINUTE($X$41)) &gt;(60 * HOUR(INDEX('1.Locations'!$G$2:$G$97,$P$41 + 1)) +MINUTE(INDEX('1.Locations'!$G$2:$G$97,$P$41 + 1)))</xm:f>
            <x14:dxf>
              <fill>
                <patternFill>
                  <bgColor indexed="10"/>
                </patternFill>
              </fill>
            </x14:dxf>
          </x14:cfRule>
          <xm:sqref>X41</xm:sqref>
        </x14:conditionalFormatting>
        <x14:conditionalFormatting xmlns:xm="http://schemas.microsoft.com/office/excel/2006/main">
          <x14:cfRule type="cellIs" priority="316" stopIfTrue="1" operator="lessThan" id="{00000000-0000-0000-0000-000000000000}">
            <xm:f>INDEX('1.Locations'!$F$2:$F$97,$P$42 + 1)</xm:f>
            <x14:dxf>
              <fill>
                <patternFill>
                  <bgColor indexed="52"/>
                </patternFill>
              </fill>
            </x14:dxf>
          </x14:cfRule>
          <xm:sqref>W42</xm:sqref>
        </x14:conditionalFormatting>
        <x14:conditionalFormatting xmlns:xm="http://schemas.microsoft.com/office/excel/2006/main">
          <x14:cfRule type="expression" priority="317" stopIfTrue="1" id="{00000000-0000-0000-0000-000000000000}">
            <xm:f>(60 * HOUR($X$42) + MINUTE($X$42)) &gt;(60 * HOUR(INDEX('1.Locations'!$G$2:$G$97,$P$42 + 1)) +MINUTE(INDEX('1.Locations'!$G$2:$G$97,$P$42 + 1)))</xm:f>
            <x14:dxf>
              <fill>
                <patternFill>
                  <bgColor indexed="10"/>
                </patternFill>
              </fill>
            </x14:dxf>
          </x14:cfRule>
          <xm:sqref>X42</xm:sqref>
        </x14:conditionalFormatting>
        <x14:conditionalFormatting xmlns:xm="http://schemas.microsoft.com/office/excel/2006/main">
          <x14:cfRule type="cellIs" priority="318" stopIfTrue="1" operator="lessThan" id="{00000000-0000-0000-0000-000000000000}">
            <xm:f>INDEX('1.Locations'!$F$2:$F$97,$P$43 + 1)</xm:f>
            <x14:dxf>
              <fill>
                <patternFill>
                  <bgColor indexed="52"/>
                </patternFill>
              </fill>
            </x14:dxf>
          </x14:cfRule>
          <xm:sqref>W43</xm:sqref>
        </x14:conditionalFormatting>
        <x14:conditionalFormatting xmlns:xm="http://schemas.microsoft.com/office/excel/2006/main">
          <x14:cfRule type="expression" priority="319" stopIfTrue="1" id="{00000000-0000-0000-0000-000000000000}">
            <xm:f>(60 * HOUR($X$43) + MINUTE($X$43)) &gt;(60 * HOUR(INDEX('1.Locations'!$G$2:$G$97,$P$43 + 1)) +MINUTE(INDEX('1.Locations'!$G$2:$G$97,$P$43 + 1)))</xm:f>
            <x14:dxf>
              <fill>
                <patternFill>
                  <bgColor indexed="10"/>
                </patternFill>
              </fill>
            </x14:dxf>
          </x14:cfRule>
          <xm:sqref>X43</xm:sqref>
        </x14:conditionalFormatting>
        <x14:conditionalFormatting xmlns:xm="http://schemas.microsoft.com/office/excel/2006/main">
          <x14:cfRule type="cellIs" priority="320" stopIfTrue="1" operator="lessThan" id="{00000000-0000-0000-0000-000000000000}">
            <xm:f>INDEX('1.Locations'!$F$2:$F$97,$P$44 + 1)</xm:f>
            <x14:dxf>
              <fill>
                <patternFill>
                  <bgColor indexed="52"/>
                </patternFill>
              </fill>
            </x14:dxf>
          </x14:cfRule>
          <xm:sqref>W44</xm:sqref>
        </x14:conditionalFormatting>
        <x14:conditionalFormatting xmlns:xm="http://schemas.microsoft.com/office/excel/2006/main">
          <x14:cfRule type="expression" priority="321" stopIfTrue="1" id="{00000000-0000-0000-0000-000000000000}">
            <xm:f>(60 * HOUR($X$44) + MINUTE($X$44)) &gt;(60 * HOUR(INDEX('1.Locations'!$G$2:$G$97,$P$44 + 1)) +MINUTE(INDEX('1.Locations'!$G$2:$G$97,$P$44 + 1)))</xm:f>
            <x14:dxf>
              <fill>
                <patternFill>
                  <bgColor indexed="10"/>
                </patternFill>
              </fill>
            </x14:dxf>
          </x14:cfRule>
          <xm:sqref>X44</xm:sqref>
        </x14:conditionalFormatting>
        <x14:conditionalFormatting xmlns:xm="http://schemas.microsoft.com/office/excel/2006/main">
          <x14:cfRule type="cellIs" priority="322" stopIfTrue="1" operator="lessThan" id="{00000000-0000-0000-0000-000000000000}">
            <xm:f>INDEX('1.Locations'!$F$2:$F$97,$P$45 + 1)</xm:f>
            <x14:dxf>
              <fill>
                <patternFill>
                  <bgColor indexed="52"/>
                </patternFill>
              </fill>
            </x14:dxf>
          </x14:cfRule>
          <xm:sqref>W45</xm:sqref>
        </x14:conditionalFormatting>
        <x14:conditionalFormatting xmlns:xm="http://schemas.microsoft.com/office/excel/2006/main">
          <x14:cfRule type="expression" priority="323" stopIfTrue="1" id="{00000000-0000-0000-0000-000000000000}">
            <xm:f>(60 * HOUR($X$45) + MINUTE($X$45)) &gt;(60 * HOUR(INDEX('1.Locations'!$G$2:$G$97,$P$45 + 1)) +MINUTE(INDEX('1.Locations'!$G$2:$G$97,$P$45 + 1)))</xm:f>
            <x14:dxf>
              <fill>
                <patternFill>
                  <bgColor indexed="10"/>
                </patternFill>
              </fill>
            </x14:dxf>
          </x14:cfRule>
          <xm:sqref>X45</xm:sqref>
        </x14:conditionalFormatting>
        <x14:conditionalFormatting xmlns:xm="http://schemas.microsoft.com/office/excel/2006/main">
          <x14:cfRule type="cellIs" priority="324" stopIfTrue="1" operator="lessThan" id="{00000000-0000-0000-0000-000000000000}">
            <xm:f>INDEX('1.Locations'!$F$2:$F$97,$P$46 + 1)</xm:f>
            <x14:dxf>
              <fill>
                <patternFill>
                  <bgColor indexed="52"/>
                </patternFill>
              </fill>
            </x14:dxf>
          </x14:cfRule>
          <xm:sqref>W46</xm:sqref>
        </x14:conditionalFormatting>
        <x14:conditionalFormatting xmlns:xm="http://schemas.microsoft.com/office/excel/2006/main">
          <x14:cfRule type="expression" priority="325" stopIfTrue="1" id="{00000000-0000-0000-0000-000000000000}">
            <xm:f>(60 * HOUR($X$46) + MINUTE($X$46)) &gt;(60 * HOUR(INDEX('1.Locations'!$G$2:$G$97,$P$46 + 1)) +MINUTE(INDEX('1.Locations'!$G$2:$G$97,$P$46 + 1)))</xm:f>
            <x14:dxf>
              <fill>
                <patternFill>
                  <bgColor indexed="10"/>
                </patternFill>
              </fill>
            </x14:dxf>
          </x14:cfRule>
          <xm:sqref>X46</xm:sqref>
        </x14:conditionalFormatting>
        <x14:conditionalFormatting xmlns:xm="http://schemas.microsoft.com/office/excel/2006/main">
          <x14:cfRule type="cellIs" priority="326" stopIfTrue="1" operator="lessThan" id="{00000000-0000-0000-0000-000000000000}">
            <xm:f>INDEX('1.Locations'!$F$2:$F$97,$P$47 + 1)</xm:f>
            <x14:dxf>
              <fill>
                <patternFill>
                  <bgColor indexed="52"/>
                </patternFill>
              </fill>
            </x14:dxf>
          </x14:cfRule>
          <xm:sqref>W47</xm:sqref>
        </x14:conditionalFormatting>
        <x14:conditionalFormatting xmlns:xm="http://schemas.microsoft.com/office/excel/2006/main">
          <x14:cfRule type="expression" priority="327" stopIfTrue="1" id="{00000000-0000-0000-0000-000000000000}">
            <xm:f>(60 * HOUR($X$47) + MINUTE($X$47)) &gt;(60 * HOUR(INDEX('1.Locations'!$G$2:$G$97,$P$47 + 1)) +MINUTE(INDEX('1.Locations'!$G$2:$G$97,$P$47 + 1)))</xm:f>
            <x14:dxf>
              <fill>
                <patternFill>
                  <bgColor indexed="10"/>
                </patternFill>
              </fill>
            </x14:dxf>
          </x14:cfRule>
          <xm:sqref>X47</xm:sqref>
        </x14:conditionalFormatting>
        <x14:conditionalFormatting xmlns:xm="http://schemas.microsoft.com/office/excel/2006/main">
          <x14:cfRule type="cellIs" priority="328" stopIfTrue="1" operator="lessThan" id="{00000000-0000-0000-0000-000000000000}">
            <xm:f>INDEX('1.Locations'!$F$2:$F$97,$P$48 + 1)</xm:f>
            <x14:dxf>
              <fill>
                <patternFill>
                  <bgColor indexed="52"/>
                </patternFill>
              </fill>
            </x14:dxf>
          </x14:cfRule>
          <xm:sqref>W48</xm:sqref>
        </x14:conditionalFormatting>
        <x14:conditionalFormatting xmlns:xm="http://schemas.microsoft.com/office/excel/2006/main">
          <x14:cfRule type="expression" priority="329" stopIfTrue="1" id="{00000000-0000-0000-0000-000000000000}">
            <xm:f>(60 * HOUR($X$48) + MINUTE($X$48)) &gt;(60 * HOUR(INDEX('1.Locations'!$G$2:$G$97,$P$48 + 1)) +MINUTE(INDEX('1.Locations'!$G$2:$G$97,$P$48 + 1)))</xm:f>
            <x14:dxf>
              <fill>
                <patternFill>
                  <bgColor indexed="10"/>
                </patternFill>
              </fill>
            </x14:dxf>
          </x14:cfRule>
          <xm:sqref>X48</xm:sqref>
        </x14:conditionalFormatting>
        <x14:conditionalFormatting xmlns:xm="http://schemas.microsoft.com/office/excel/2006/main">
          <x14:cfRule type="cellIs" priority="330" stopIfTrue="1" operator="lessThan" id="{00000000-0000-0000-0000-000000000000}">
            <xm:f>INDEX('1.Locations'!$F$2:$F$97,$P$49 + 1)</xm:f>
            <x14:dxf>
              <fill>
                <patternFill>
                  <bgColor indexed="52"/>
                </patternFill>
              </fill>
            </x14:dxf>
          </x14:cfRule>
          <xm:sqref>W49</xm:sqref>
        </x14:conditionalFormatting>
        <x14:conditionalFormatting xmlns:xm="http://schemas.microsoft.com/office/excel/2006/main">
          <x14:cfRule type="expression" priority="331" stopIfTrue="1" id="{00000000-0000-0000-0000-000000000000}">
            <xm:f>(60 * HOUR($X$49) + MINUTE($X$49)) &gt;(60 * HOUR(INDEX('1.Locations'!$G$2:$G$97,$P$49 + 1)) +MINUTE(INDEX('1.Locations'!$G$2:$G$97,$P$49 + 1)))</xm:f>
            <x14:dxf>
              <fill>
                <patternFill>
                  <bgColor indexed="10"/>
                </patternFill>
              </fill>
            </x14:dxf>
          </x14:cfRule>
          <xm:sqref>X49</xm:sqref>
        </x14:conditionalFormatting>
        <x14:conditionalFormatting xmlns:xm="http://schemas.microsoft.com/office/excel/2006/main">
          <x14:cfRule type="cellIs" priority="332" stopIfTrue="1" operator="lessThan" id="{00000000-0000-0000-0000-000000000000}">
            <xm:f>INDEX('1.Locations'!$F$2:$F$97,$P$50 + 1)</xm:f>
            <x14:dxf>
              <fill>
                <patternFill>
                  <bgColor indexed="52"/>
                </patternFill>
              </fill>
            </x14:dxf>
          </x14:cfRule>
          <xm:sqref>W50</xm:sqref>
        </x14:conditionalFormatting>
        <x14:conditionalFormatting xmlns:xm="http://schemas.microsoft.com/office/excel/2006/main">
          <x14:cfRule type="expression" priority="333" stopIfTrue="1" id="{00000000-0000-0000-0000-000000000000}">
            <xm:f>(60 * HOUR($X$50) + MINUTE($X$50)) &gt;(60 * HOUR(INDEX('1.Locations'!$G$2:$G$97,$P$50 + 1)) +MINUTE(INDEX('1.Locations'!$G$2:$G$97,$P$50 + 1)))</xm:f>
            <x14:dxf>
              <fill>
                <patternFill>
                  <bgColor indexed="10"/>
                </patternFill>
              </fill>
            </x14:dxf>
          </x14:cfRule>
          <xm:sqref>X50</xm:sqref>
        </x14:conditionalFormatting>
        <x14:conditionalFormatting xmlns:xm="http://schemas.microsoft.com/office/excel/2006/main">
          <x14:cfRule type="cellIs" priority="334" stopIfTrue="1" operator="lessThan" id="{00000000-0000-0000-0000-000000000000}">
            <xm:f>INDEX('1.Locations'!$F$2:$F$97,$P$51 + 1)</xm:f>
            <x14:dxf>
              <fill>
                <patternFill>
                  <bgColor indexed="52"/>
                </patternFill>
              </fill>
            </x14:dxf>
          </x14:cfRule>
          <xm:sqref>W51</xm:sqref>
        </x14:conditionalFormatting>
        <x14:conditionalFormatting xmlns:xm="http://schemas.microsoft.com/office/excel/2006/main">
          <x14:cfRule type="expression" priority="335" stopIfTrue="1" id="{00000000-0000-0000-0000-000000000000}">
            <xm:f>(60 * HOUR($X$51) + MINUTE($X$51)) &gt;(60 * HOUR(INDEX('1.Locations'!$G$2:$G$97,$P$51 + 1)) +MINUTE(INDEX('1.Locations'!$G$2:$G$97,$P$51 + 1)))</xm:f>
            <x14:dxf>
              <fill>
                <patternFill>
                  <bgColor indexed="10"/>
                </patternFill>
              </fill>
            </x14:dxf>
          </x14:cfRule>
          <xm:sqref>X51</xm:sqref>
        </x14:conditionalFormatting>
        <x14:conditionalFormatting xmlns:xm="http://schemas.microsoft.com/office/excel/2006/main">
          <x14:cfRule type="cellIs" priority="336" stopIfTrue="1" operator="lessThan" id="{00000000-0000-0000-0000-000000000000}">
            <xm:f>INDEX('1.Locations'!$F$2:$F$97,$P$52 + 1)</xm:f>
            <x14:dxf>
              <fill>
                <patternFill>
                  <bgColor indexed="52"/>
                </patternFill>
              </fill>
            </x14:dxf>
          </x14:cfRule>
          <xm:sqref>W52</xm:sqref>
        </x14:conditionalFormatting>
        <x14:conditionalFormatting xmlns:xm="http://schemas.microsoft.com/office/excel/2006/main">
          <x14:cfRule type="expression" priority="337" stopIfTrue="1" id="{00000000-0000-0000-0000-000000000000}">
            <xm:f>(60 * HOUR($X$52) + MINUTE($X$52)) &gt;(60 * HOUR(INDEX('1.Locations'!$G$2:$G$97,$P$52 + 1)) +MINUTE(INDEX('1.Locations'!$G$2:$G$97,$P$52 + 1)))</xm:f>
            <x14:dxf>
              <fill>
                <patternFill>
                  <bgColor indexed="10"/>
                </patternFill>
              </fill>
            </x14:dxf>
          </x14:cfRule>
          <xm:sqref>X52</xm:sqref>
        </x14:conditionalFormatting>
        <x14:conditionalFormatting xmlns:xm="http://schemas.microsoft.com/office/excel/2006/main">
          <x14:cfRule type="cellIs" priority="338" stopIfTrue="1" operator="lessThan" id="{00000000-0000-0000-0000-000000000000}">
            <xm:f>INDEX('1.Locations'!$F$2:$F$97,$P$53 + 1)</xm:f>
            <x14:dxf>
              <fill>
                <patternFill>
                  <bgColor indexed="52"/>
                </patternFill>
              </fill>
            </x14:dxf>
          </x14:cfRule>
          <xm:sqref>W53</xm:sqref>
        </x14:conditionalFormatting>
        <x14:conditionalFormatting xmlns:xm="http://schemas.microsoft.com/office/excel/2006/main">
          <x14:cfRule type="expression" priority="339" stopIfTrue="1" id="{00000000-0000-0000-0000-000000000000}">
            <xm:f>(60 * HOUR($X$53) + MINUTE($X$53)) &gt;(60 * HOUR(INDEX('1.Locations'!$G$2:$G$97,$P$53 + 1)) +MINUTE(INDEX('1.Locations'!$G$2:$G$97,$P$53 + 1)))</xm:f>
            <x14:dxf>
              <fill>
                <patternFill>
                  <bgColor indexed="10"/>
                </patternFill>
              </fill>
            </x14:dxf>
          </x14:cfRule>
          <xm:sqref>X53</xm:sqref>
        </x14:conditionalFormatting>
        <x14:conditionalFormatting xmlns:xm="http://schemas.microsoft.com/office/excel/2006/main">
          <x14:cfRule type="cellIs" priority="340" stopIfTrue="1" operator="lessThan" id="{00000000-0000-0000-0000-000000000000}">
            <xm:f>INDEX('1.Locations'!$F$2:$F$97,$P$54 + 1)</xm:f>
            <x14:dxf>
              <fill>
                <patternFill>
                  <bgColor indexed="52"/>
                </patternFill>
              </fill>
            </x14:dxf>
          </x14:cfRule>
          <xm:sqref>W54</xm:sqref>
        </x14:conditionalFormatting>
        <x14:conditionalFormatting xmlns:xm="http://schemas.microsoft.com/office/excel/2006/main">
          <x14:cfRule type="expression" priority="341" stopIfTrue="1" id="{00000000-0000-0000-0000-000000000000}">
            <xm:f>(60 * HOUR($X$54) + MINUTE($X$54)) &gt;(60 * HOUR(INDEX('1.Locations'!$G$2:$G$97,$P$54 + 1)) +MINUTE(INDEX('1.Locations'!$G$2:$G$97,$P$54 + 1)))</xm:f>
            <x14:dxf>
              <fill>
                <patternFill>
                  <bgColor indexed="10"/>
                </patternFill>
              </fill>
            </x14:dxf>
          </x14:cfRule>
          <xm:sqref>X54</xm:sqref>
        </x14:conditionalFormatting>
        <x14:conditionalFormatting xmlns:xm="http://schemas.microsoft.com/office/excel/2006/main">
          <x14:cfRule type="cellIs" priority="342" stopIfTrue="1" operator="lessThan" id="{00000000-0000-0000-0000-000000000000}">
            <xm:f>INDEX('1.Locations'!$F$2:$F$97,$P$55 + 1)</xm:f>
            <x14:dxf>
              <fill>
                <patternFill>
                  <bgColor indexed="52"/>
                </patternFill>
              </fill>
            </x14:dxf>
          </x14:cfRule>
          <xm:sqref>W55</xm:sqref>
        </x14:conditionalFormatting>
        <x14:conditionalFormatting xmlns:xm="http://schemas.microsoft.com/office/excel/2006/main">
          <x14:cfRule type="expression" priority="343" stopIfTrue="1" id="{00000000-0000-0000-0000-000000000000}">
            <xm:f>(60 * HOUR($X$55) + MINUTE($X$55)) &gt;(60 * HOUR(INDEX('1.Locations'!$G$2:$G$97,$P$55 + 1)) +MINUTE(INDEX('1.Locations'!$G$2:$G$97,$P$55 + 1)))</xm:f>
            <x14:dxf>
              <fill>
                <patternFill>
                  <bgColor indexed="10"/>
                </patternFill>
              </fill>
            </x14:dxf>
          </x14:cfRule>
          <xm:sqref>X55</xm:sqref>
        </x14:conditionalFormatting>
        <x14:conditionalFormatting xmlns:xm="http://schemas.microsoft.com/office/excel/2006/main">
          <x14:cfRule type="cellIs" priority="344" stopIfTrue="1" operator="lessThan" id="{00000000-0000-0000-0000-000000000000}">
            <xm:f>INDEX('1.Locations'!$F$2:$F$97,$P$56 + 1)</xm:f>
            <x14:dxf>
              <fill>
                <patternFill>
                  <bgColor indexed="52"/>
                </patternFill>
              </fill>
            </x14:dxf>
          </x14:cfRule>
          <xm:sqref>W56</xm:sqref>
        </x14:conditionalFormatting>
        <x14:conditionalFormatting xmlns:xm="http://schemas.microsoft.com/office/excel/2006/main">
          <x14:cfRule type="expression" priority="345" stopIfTrue="1" id="{00000000-0000-0000-0000-000000000000}">
            <xm:f>(60 * HOUR($X$56) + MINUTE($X$56)) &gt;(60 * HOUR(INDEX('1.Locations'!$G$2:$G$97,$P$56 + 1)) +MINUTE(INDEX('1.Locations'!$G$2:$G$97,$P$56 + 1)))</xm:f>
            <x14:dxf>
              <fill>
                <patternFill>
                  <bgColor indexed="10"/>
                </patternFill>
              </fill>
            </x14:dxf>
          </x14:cfRule>
          <xm:sqref>X56</xm:sqref>
        </x14:conditionalFormatting>
        <x14:conditionalFormatting xmlns:xm="http://schemas.microsoft.com/office/excel/2006/main">
          <x14:cfRule type="cellIs" priority="346" stopIfTrue="1" operator="lessThan" id="{00000000-0000-0000-0000-000000000000}">
            <xm:f>INDEX('1.Locations'!$F$2:$F$97,$P$57 + 1)</xm:f>
            <x14:dxf>
              <fill>
                <patternFill>
                  <bgColor indexed="52"/>
                </patternFill>
              </fill>
            </x14:dxf>
          </x14:cfRule>
          <xm:sqref>W57</xm:sqref>
        </x14:conditionalFormatting>
        <x14:conditionalFormatting xmlns:xm="http://schemas.microsoft.com/office/excel/2006/main">
          <x14:cfRule type="expression" priority="347" stopIfTrue="1" id="{00000000-0000-0000-0000-000000000000}">
            <xm:f>(60 * HOUR($X$57) + MINUTE($X$57)) &gt;(60 * HOUR(INDEX('1.Locations'!$G$2:$G$97,$P$57 + 1)) +MINUTE(INDEX('1.Locations'!$G$2:$G$97,$P$57 + 1)))</xm:f>
            <x14:dxf>
              <fill>
                <patternFill>
                  <bgColor indexed="10"/>
                </patternFill>
              </fill>
            </x14:dxf>
          </x14:cfRule>
          <xm:sqref>X57</xm:sqref>
        </x14:conditionalFormatting>
        <x14:conditionalFormatting xmlns:xm="http://schemas.microsoft.com/office/excel/2006/main">
          <x14:cfRule type="cellIs" priority="348" stopIfTrue="1" operator="lessThan" id="{00000000-0000-0000-0000-000000000000}">
            <xm:f>INDEX('1.Locations'!$F$2:$F$97,$P$58 + 1)</xm:f>
            <x14:dxf>
              <fill>
                <patternFill>
                  <bgColor indexed="52"/>
                </patternFill>
              </fill>
            </x14:dxf>
          </x14:cfRule>
          <xm:sqref>W58</xm:sqref>
        </x14:conditionalFormatting>
        <x14:conditionalFormatting xmlns:xm="http://schemas.microsoft.com/office/excel/2006/main">
          <x14:cfRule type="expression" priority="349" stopIfTrue="1" id="{00000000-0000-0000-0000-000000000000}">
            <xm:f>(60 * HOUR($X$58) + MINUTE($X$58)) &gt;(60 * HOUR(INDEX('1.Locations'!$G$2:$G$97,$P$58 + 1)) +MINUTE(INDEX('1.Locations'!$G$2:$G$97,$P$58 + 1)))</xm:f>
            <x14:dxf>
              <fill>
                <patternFill>
                  <bgColor indexed="10"/>
                </patternFill>
              </fill>
            </x14:dxf>
          </x14:cfRule>
          <xm:sqref>X58</xm:sqref>
        </x14:conditionalFormatting>
        <x14:conditionalFormatting xmlns:xm="http://schemas.microsoft.com/office/excel/2006/main">
          <x14:cfRule type="cellIs" priority="350" stopIfTrue="1" operator="lessThan" id="{00000000-0000-0000-0000-000000000000}">
            <xm:f>INDEX('1.Locations'!$F$2:$F$97,$P$59 + 1)</xm:f>
            <x14:dxf>
              <fill>
                <patternFill>
                  <bgColor indexed="52"/>
                </patternFill>
              </fill>
            </x14:dxf>
          </x14:cfRule>
          <xm:sqref>W59</xm:sqref>
        </x14:conditionalFormatting>
        <x14:conditionalFormatting xmlns:xm="http://schemas.microsoft.com/office/excel/2006/main">
          <x14:cfRule type="expression" priority="351" stopIfTrue="1" id="{00000000-0000-0000-0000-000000000000}">
            <xm:f>(60 * HOUR($X$59) + MINUTE($X$59)) &gt;(60 * HOUR(INDEX('1.Locations'!$G$2:$G$97,$P$59 + 1)) +MINUTE(INDEX('1.Locations'!$G$2:$G$97,$P$59 + 1)))</xm:f>
            <x14:dxf>
              <fill>
                <patternFill>
                  <bgColor indexed="10"/>
                </patternFill>
              </fill>
            </x14:dxf>
          </x14:cfRule>
          <xm:sqref>X59</xm:sqref>
        </x14:conditionalFormatting>
        <x14:conditionalFormatting xmlns:xm="http://schemas.microsoft.com/office/excel/2006/main">
          <x14:cfRule type="cellIs" priority="352" stopIfTrue="1" operator="lessThan" id="{00000000-0000-0000-0000-000000000000}">
            <xm:f>INDEX('1.Locations'!$F$2:$F$97,$P$60 + 1)</xm:f>
            <x14:dxf>
              <fill>
                <patternFill>
                  <bgColor indexed="52"/>
                </patternFill>
              </fill>
            </x14:dxf>
          </x14:cfRule>
          <xm:sqref>W60</xm:sqref>
        </x14:conditionalFormatting>
        <x14:conditionalFormatting xmlns:xm="http://schemas.microsoft.com/office/excel/2006/main">
          <x14:cfRule type="expression" priority="353" stopIfTrue="1" id="{00000000-0000-0000-0000-000000000000}">
            <xm:f>(60 * HOUR($X$60) + MINUTE($X$60)) &gt;(60 * HOUR(INDEX('1.Locations'!$G$2:$G$97,$P$60 + 1)) +MINUTE(INDEX('1.Locations'!$G$2:$G$97,$P$60 + 1)))</xm:f>
            <x14:dxf>
              <fill>
                <patternFill>
                  <bgColor indexed="10"/>
                </patternFill>
              </fill>
            </x14:dxf>
          </x14:cfRule>
          <xm:sqref>X60</xm:sqref>
        </x14:conditionalFormatting>
        <x14:conditionalFormatting xmlns:xm="http://schemas.microsoft.com/office/excel/2006/main">
          <x14:cfRule type="cellIs" priority="354" stopIfTrue="1" operator="lessThan" id="{00000000-0000-0000-0000-000000000000}">
            <xm:f>INDEX('1.Locations'!$F$2:$F$97,$P$61 + 1)</xm:f>
            <x14:dxf>
              <fill>
                <patternFill>
                  <bgColor indexed="52"/>
                </patternFill>
              </fill>
            </x14:dxf>
          </x14:cfRule>
          <xm:sqref>W61</xm:sqref>
        </x14:conditionalFormatting>
        <x14:conditionalFormatting xmlns:xm="http://schemas.microsoft.com/office/excel/2006/main">
          <x14:cfRule type="expression" priority="355" stopIfTrue="1" id="{00000000-0000-0000-0000-000000000000}">
            <xm:f>(60 * HOUR($X$61) + MINUTE($X$61)) &gt;(60 * HOUR(INDEX('1.Locations'!$G$2:$G$97,$P$61 + 1)) +MINUTE(INDEX('1.Locations'!$G$2:$G$97,$P$61 + 1)))</xm:f>
            <x14:dxf>
              <fill>
                <patternFill>
                  <bgColor indexed="10"/>
                </patternFill>
              </fill>
            </x14:dxf>
          </x14:cfRule>
          <xm:sqref>X61</xm:sqref>
        </x14:conditionalFormatting>
        <x14:conditionalFormatting xmlns:xm="http://schemas.microsoft.com/office/excel/2006/main">
          <x14:cfRule type="cellIs" priority="356" stopIfTrue="1" operator="lessThan" id="{00000000-0000-0000-0000-000000000000}">
            <xm:f>INDEX('1.Locations'!$F$2:$F$97,$P$62 + 1)</xm:f>
            <x14:dxf>
              <fill>
                <patternFill>
                  <bgColor indexed="52"/>
                </patternFill>
              </fill>
            </x14:dxf>
          </x14:cfRule>
          <xm:sqref>W62</xm:sqref>
        </x14:conditionalFormatting>
        <x14:conditionalFormatting xmlns:xm="http://schemas.microsoft.com/office/excel/2006/main">
          <x14:cfRule type="expression" priority="357" stopIfTrue="1" id="{00000000-0000-0000-0000-000000000000}">
            <xm:f>(60 * HOUR($X$62) + MINUTE($X$62)) &gt;(60 * HOUR(INDEX('1.Locations'!$G$2:$G$97,$P$62 + 1)) +MINUTE(INDEX('1.Locations'!$G$2:$G$97,$P$62 + 1)))</xm:f>
            <x14:dxf>
              <fill>
                <patternFill>
                  <bgColor indexed="10"/>
                </patternFill>
              </fill>
            </x14:dxf>
          </x14:cfRule>
          <xm:sqref>X62</xm:sqref>
        </x14:conditionalFormatting>
        <x14:conditionalFormatting xmlns:xm="http://schemas.microsoft.com/office/excel/2006/main">
          <x14:cfRule type="cellIs" priority="358" stopIfTrue="1" operator="lessThan" id="{00000000-0000-0000-0000-000000000000}">
            <xm:f>INDEX('1.Locations'!$F$2:$F$97,$P$63 + 1)</xm:f>
            <x14:dxf>
              <fill>
                <patternFill>
                  <bgColor indexed="52"/>
                </patternFill>
              </fill>
            </x14:dxf>
          </x14:cfRule>
          <xm:sqref>W63</xm:sqref>
        </x14:conditionalFormatting>
        <x14:conditionalFormatting xmlns:xm="http://schemas.microsoft.com/office/excel/2006/main">
          <x14:cfRule type="expression" priority="359" stopIfTrue="1" id="{00000000-0000-0000-0000-000000000000}">
            <xm:f>(60 * HOUR($X$63) + MINUTE($X$63)) &gt;(60 * HOUR(INDEX('1.Locations'!$G$2:$G$97,$P$63 + 1)) +MINUTE(INDEX('1.Locations'!$G$2:$G$97,$P$63 + 1)))</xm:f>
            <x14:dxf>
              <fill>
                <patternFill>
                  <bgColor indexed="10"/>
                </patternFill>
              </fill>
            </x14:dxf>
          </x14:cfRule>
          <xm:sqref>X63</xm:sqref>
        </x14:conditionalFormatting>
        <x14:conditionalFormatting xmlns:xm="http://schemas.microsoft.com/office/excel/2006/main">
          <x14:cfRule type="cellIs" priority="360" stopIfTrue="1" operator="lessThan" id="{00000000-0000-0000-0000-000000000000}">
            <xm:f>INDEX('1.Locations'!$F$2:$F$97,$P$64 + 1)</xm:f>
            <x14:dxf>
              <fill>
                <patternFill>
                  <bgColor indexed="52"/>
                </patternFill>
              </fill>
            </x14:dxf>
          </x14:cfRule>
          <xm:sqref>W64</xm:sqref>
        </x14:conditionalFormatting>
        <x14:conditionalFormatting xmlns:xm="http://schemas.microsoft.com/office/excel/2006/main">
          <x14:cfRule type="expression" priority="361" stopIfTrue="1" id="{00000000-0000-0000-0000-000000000000}">
            <xm:f>(60 * HOUR($X$64) + MINUTE($X$64)) &gt;(60 * HOUR(INDEX('1.Locations'!$G$2:$G$97,$P$64 + 1)) +MINUTE(INDEX('1.Locations'!$G$2:$G$97,$P$64 + 1)))</xm:f>
            <x14:dxf>
              <fill>
                <patternFill>
                  <bgColor indexed="10"/>
                </patternFill>
              </fill>
            </x14:dxf>
          </x14:cfRule>
          <xm:sqref>X64</xm:sqref>
        </x14:conditionalFormatting>
        <x14:conditionalFormatting xmlns:xm="http://schemas.microsoft.com/office/excel/2006/main">
          <x14:cfRule type="cellIs" priority="362" stopIfTrue="1" operator="lessThan" id="{00000000-0000-0000-0000-000000000000}">
            <xm:f>INDEX('1.Locations'!$F$2:$F$97,$P$65 + 1)</xm:f>
            <x14:dxf>
              <fill>
                <patternFill>
                  <bgColor indexed="52"/>
                </patternFill>
              </fill>
            </x14:dxf>
          </x14:cfRule>
          <xm:sqref>W65</xm:sqref>
        </x14:conditionalFormatting>
        <x14:conditionalFormatting xmlns:xm="http://schemas.microsoft.com/office/excel/2006/main">
          <x14:cfRule type="expression" priority="363" stopIfTrue="1" id="{00000000-0000-0000-0000-000000000000}">
            <xm:f>(60 * HOUR($X$65) + MINUTE($X$65)) &gt;(60 * HOUR(INDEX('1.Locations'!$G$2:$G$97,$P$65 + 1)) +MINUTE(INDEX('1.Locations'!$G$2:$G$97,$P$65 + 1)))</xm:f>
            <x14:dxf>
              <fill>
                <patternFill>
                  <bgColor indexed="10"/>
                </patternFill>
              </fill>
            </x14:dxf>
          </x14:cfRule>
          <xm:sqref>X65</xm:sqref>
        </x14:conditionalFormatting>
        <x14:conditionalFormatting xmlns:xm="http://schemas.microsoft.com/office/excel/2006/main">
          <x14:cfRule type="cellIs" priority="364" stopIfTrue="1" operator="lessThan" id="{00000000-0000-0000-0000-000000000000}">
            <xm:f>INDEX('1.Locations'!$F$2:$F$97,$P$66 + 1)</xm:f>
            <x14:dxf>
              <fill>
                <patternFill>
                  <bgColor indexed="52"/>
                </patternFill>
              </fill>
            </x14:dxf>
          </x14:cfRule>
          <xm:sqref>W66</xm:sqref>
        </x14:conditionalFormatting>
        <x14:conditionalFormatting xmlns:xm="http://schemas.microsoft.com/office/excel/2006/main">
          <x14:cfRule type="expression" priority="365" stopIfTrue="1" id="{00000000-0000-0000-0000-000000000000}">
            <xm:f>(60 * HOUR($X$66) + MINUTE($X$66)) &gt;(60 * HOUR(INDEX('1.Locations'!$G$2:$G$97,$P$66 + 1)) +MINUTE(INDEX('1.Locations'!$G$2:$G$97,$P$66 + 1)))</xm:f>
            <x14:dxf>
              <fill>
                <patternFill>
                  <bgColor indexed="10"/>
                </patternFill>
              </fill>
            </x14:dxf>
          </x14:cfRule>
          <xm:sqref>X66</xm:sqref>
        </x14:conditionalFormatting>
        <x14:conditionalFormatting xmlns:xm="http://schemas.microsoft.com/office/excel/2006/main">
          <x14:cfRule type="cellIs" priority="366" stopIfTrue="1" operator="lessThan" id="{00000000-0000-0000-0000-000000000000}">
            <xm:f>INDEX('1.Locations'!$F$2:$F$97,$P$67 + 1)</xm:f>
            <x14:dxf>
              <fill>
                <patternFill>
                  <bgColor indexed="52"/>
                </patternFill>
              </fill>
            </x14:dxf>
          </x14:cfRule>
          <xm:sqref>W67</xm:sqref>
        </x14:conditionalFormatting>
        <x14:conditionalFormatting xmlns:xm="http://schemas.microsoft.com/office/excel/2006/main">
          <x14:cfRule type="expression" priority="367" stopIfTrue="1" id="{00000000-0000-0000-0000-000000000000}">
            <xm:f>(60 * HOUR($X$67) + MINUTE($X$67)) &gt;(60 * HOUR(INDEX('1.Locations'!$G$2:$G$97,$P$67 + 1)) +MINUTE(INDEX('1.Locations'!$G$2:$G$97,$P$67 + 1)))</xm:f>
            <x14:dxf>
              <fill>
                <patternFill>
                  <bgColor indexed="10"/>
                </patternFill>
              </fill>
            </x14:dxf>
          </x14:cfRule>
          <xm:sqref>X67</xm:sqref>
        </x14:conditionalFormatting>
        <x14:conditionalFormatting xmlns:xm="http://schemas.microsoft.com/office/excel/2006/main">
          <x14:cfRule type="cellIs" priority="368" stopIfTrue="1" operator="lessThan" id="{00000000-0000-0000-0000-000000000000}">
            <xm:f>INDEX('1.Locations'!$F$2:$F$97,$P$68 + 1)</xm:f>
            <x14:dxf>
              <fill>
                <patternFill>
                  <bgColor indexed="52"/>
                </patternFill>
              </fill>
            </x14:dxf>
          </x14:cfRule>
          <xm:sqref>W68</xm:sqref>
        </x14:conditionalFormatting>
        <x14:conditionalFormatting xmlns:xm="http://schemas.microsoft.com/office/excel/2006/main">
          <x14:cfRule type="expression" priority="369" stopIfTrue="1" id="{00000000-0000-0000-0000-000000000000}">
            <xm:f>(60 * HOUR($X$68) + MINUTE($X$68)) &gt;(60 * HOUR(INDEX('1.Locations'!$G$2:$G$97,$P$68 + 1)) +MINUTE(INDEX('1.Locations'!$G$2:$G$97,$P$68 + 1)))</xm:f>
            <x14:dxf>
              <fill>
                <patternFill>
                  <bgColor indexed="10"/>
                </patternFill>
              </fill>
            </x14:dxf>
          </x14:cfRule>
          <xm:sqref>X68</xm:sqref>
        </x14:conditionalFormatting>
        <x14:conditionalFormatting xmlns:xm="http://schemas.microsoft.com/office/excel/2006/main">
          <x14:cfRule type="cellIs" priority="370" stopIfTrue="1" operator="lessThan" id="{00000000-0000-0000-0000-000000000000}">
            <xm:f>INDEX('1.Locations'!$F$2:$F$97,$P$69 + 1)</xm:f>
            <x14:dxf>
              <fill>
                <patternFill>
                  <bgColor indexed="52"/>
                </patternFill>
              </fill>
            </x14:dxf>
          </x14:cfRule>
          <xm:sqref>W69</xm:sqref>
        </x14:conditionalFormatting>
        <x14:conditionalFormatting xmlns:xm="http://schemas.microsoft.com/office/excel/2006/main">
          <x14:cfRule type="expression" priority="371" stopIfTrue="1" id="{00000000-0000-0000-0000-000000000000}">
            <xm:f>(60 * HOUR($X$69) + MINUTE($X$69)) &gt;(60 * HOUR(INDEX('1.Locations'!$G$2:$G$97,$P$69 + 1)) +MINUTE(INDEX('1.Locations'!$G$2:$G$97,$P$69 + 1)))</xm:f>
            <x14:dxf>
              <fill>
                <patternFill>
                  <bgColor indexed="10"/>
                </patternFill>
              </fill>
            </x14:dxf>
          </x14:cfRule>
          <xm:sqref>X69</xm:sqref>
        </x14:conditionalFormatting>
        <x14:conditionalFormatting xmlns:xm="http://schemas.microsoft.com/office/excel/2006/main">
          <x14:cfRule type="cellIs" priority="372" stopIfTrue="1" operator="lessThan" id="{00000000-0000-0000-0000-000000000000}">
            <xm:f>INDEX('1.Locations'!$F$2:$F$97,$P$70 + 1)</xm:f>
            <x14:dxf>
              <fill>
                <patternFill>
                  <bgColor indexed="52"/>
                </patternFill>
              </fill>
            </x14:dxf>
          </x14:cfRule>
          <xm:sqref>W70</xm:sqref>
        </x14:conditionalFormatting>
        <x14:conditionalFormatting xmlns:xm="http://schemas.microsoft.com/office/excel/2006/main">
          <x14:cfRule type="expression" priority="373" stopIfTrue="1" id="{00000000-0000-0000-0000-000000000000}">
            <xm:f>(60 * HOUR($X$70) + MINUTE($X$70)) &gt;(60 * HOUR(INDEX('1.Locations'!$G$2:$G$97,$P$70 + 1)) +MINUTE(INDEX('1.Locations'!$G$2:$G$97,$P$70 + 1)))</xm:f>
            <x14:dxf>
              <fill>
                <patternFill>
                  <bgColor indexed="10"/>
                </patternFill>
              </fill>
            </x14:dxf>
          </x14:cfRule>
          <xm:sqref>X70</xm:sqref>
        </x14:conditionalFormatting>
        <x14:conditionalFormatting xmlns:xm="http://schemas.microsoft.com/office/excel/2006/main">
          <x14:cfRule type="cellIs" priority="374" stopIfTrue="1" operator="lessThan" id="{00000000-0000-0000-0000-000000000000}">
            <xm:f>INDEX('1.Locations'!$F$2:$F$97,$P$71 + 1)</xm:f>
            <x14:dxf>
              <fill>
                <patternFill>
                  <bgColor indexed="52"/>
                </patternFill>
              </fill>
            </x14:dxf>
          </x14:cfRule>
          <xm:sqref>W71</xm:sqref>
        </x14:conditionalFormatting>
        <x14:conditionalFormatting xmlns:xm="http://schemas.microsoft.com/office/excel/2006/main">
          <x14:cfRule type="expression" priority="375" stopIfTrue="1" id="{00000000-0000-0000-0000-000000000000}">
            <xm:f>(60 * HOUR($X$71) + MINUTE($X$71)) &gt;(60 * HOUR(INDEX('1.Locations'!$G$2:$G$97,$P$71 + 1)) +MINUTE(INDEX('1.Locations'!$G$2:$G$97,$P$71 + 1)))</xm:f>
            <x14:dxf>
              <fill>
                <patternFill>
                  <bgColor indexed="10"/>
                </patternFill>
              </fill>
            </x14:dxf>
          </x14:cfRule>
          <xm:sqref>X71</xm:sqref>
        </x14:conditionalFormatting>
        <x14:conditionalFormatting xmlns:xm="http://schemas.microsoft.com/office/excel/2006/main">
          <x14:cfRule type="cellIs" priority="376" stopIfTrue="1" operator="lessThan" id="{00000000-0000-0000-0000-000000000000}">
            <xm:f>INDEX('1.Locations'!$F$2:$F$97,$P$72 + 1)</xm:f>
            <x14:dxf>
              <fill>
                <patternFill>
                  <bgColor indexed="52"/>
                </patternFill>
              </fill>
            </x14:dxf>
          </x14:cfRule>
          <xm:sqref>W72</xm:sqref>
        </x14:conditionalFormatting>
        <x14:conditionalFormatting xmlns:xm="http://schemas.microsoft.com/office/excel/2006/main">
          <x14:cfRule type="expression" priority="377" stopIfTrue="1" id="{00000000-0000-0000-0000-000000000000}">
            <xm:f>(60 * HOUR($X$72) + MINUTE($X$72)) &gt;(60 * HOUR(INDEX('1.Locations'!$G$2:$G$97,$P$72 + 1)) +MINUTE(INDEX('1.Locations'!$G$2:$G$97,$P$72 + 1)))</xm:f>
            <x14:dxf>
              <fill>
                <patternFill>
                  <bgColor indexed="10"/>
                </patternFill>
              </fill>
            </x14:dxf>
          </x14:cfRule>
          <xm:sqref>X72</xm:sqref>
        </x14:conditionalFormatting>
        <x14:conditionalFormatting xmlns:xm="http://schemas.microsoft.com/office/excel/2006/main">
          <x14:cfRule type="cellIs" priority="378" stopIfTrue="1" operator="lessThan" id="{00000000-0000-0000-0000-000000000000}">
            <xm:f>INDEX('1.Locations'!$F$2:$F$97,$P$73 + 1)</xm:f>
            <x14:dxf>
              <fill>
                <patternFill>
                  <bgColor indexed="52"/>
                </patternFill>
              </fill>
            </x14:dxf>
          </x14:cfRule>
          <xm:sqref>W73</xm:sqref>
        </x14:conditionalFormatting>
        <x14:conditionalFormatting xmlns:xm="http://schemas.microsoft.com/office/excel/2006/main">
          <x14:cfRule type="expression" priority="379" stopIfTrue="1" id="{00000000-0000-0000-0000-000000000000}">
            <xm:f>(60 * HOUR($X$73) + MINUTE($X$73)) &gt;(60 * HOUR(INDEX('1.Locations'!$G$2:$G$97,$P$73 + 1)) +MINUTE(INDEX('1.Locations'!$G$2:$G$97,$P$73 + 1)))</xm:f>
            <x14:dxf>
              <fill>
                <patternFill>
                  <bgColor indexed="10"/>
                </patternFill>
              </fill>
            </x14:dxf>
          </x14:cfRule>
          <xm:sqref>X73</xm:sqref>
        </x14:conditionalFormatting>
        <x14:conditionalFormatting xmlns:xm="http://schemas.microsoft.com/office/excel/2006/main">
          <x14:cfRule type="cellIs" priority="380" stopIfTrue="1" operator="lessThan" id="{00000000-0000-0000-0000-000000000000}">
            <xm:f>INDEX('1.Locations'!$F$2:$F$97,$P$74 + 1)</xm:f>
            <x14:dxf>
              <fill>
                <patternFill>
                  <bgColor indexed="52"/>
                </patternFill>
              </fill>
            </x14:dxf>
          </x14:cfRule>
          <xm:sqref>W74</xm:sqref>
        </x14:conditionalFormatting>
        <x14:conditionalFormatting xmlns:xm="http://schemas.microsoft.com/office/excel/2006/main">
          <x14:cfRule type="expression" priority="381" stopIfTrue="1" id="{00000000-0000-0000-0000-000000000000}">
            <xm:f>(60 * HOUR($X$74) + MINUTE($X$74)) &gt;(60 * HOUR(INDEX('1.Locations'!$G$2:$G$97,$P$74 + 1)) +MINUTE(INDEX('1.Locations'!$G$2:$G$97,$P$74 + 1)))</xm:f>
            <x14:dxf>
              <fill>
                <patternFill>
                  <bgColor indexed="10"/>
                </patternFill>
              </fill>
            </x14:dxf>
          </x14:cfRule>
          <xm:sqref>X74</xm:sqref>
        </x14:conditionalFormatting>
        <x14:conditionalFormatting xmlns:xm="http://schemas.microsoft.com/office/excel/2006/main">
          <x14:cfRule type="cellIs" priority="382" stopIfTrue="1" operator="lessThan" id="{00000000-0000-0000-0000-000000000000}">
            <xm:f>INDEX('1.Locations'!$F$2:$F$97,$P$75 + 1)</xm:f>
            <x14:dxf>
              <fill>
                <patternFill>
                  <bgColor indexed="52"/>
                </patternFill>
              </fill>
            </x14:dxf>
          </x14:cfRule>
          <xm:sqref>W75</xm:sqref>
        </x14:conditionalFormatting>
        <x14:conditionalFormatting xmlns:xm="http://schemas.microsoft.com/office/excel/2006/main">
          <x14:cfRule type="expression" priority="383" stopIfTrue="1" id="{00000000-0000-0000-0000-000000000000}">
            <xm:f>(60 * HOUR($X$75) + MINUTE($X$75)) &gt;(60 * HOUR(INDEX('1.Locations'!$G$2:$G$97,$P$75 + 1)) +MINUTE(INDEX('1.Locations'!$G$2:$G$97,$P$75 + 1)))</xm:f>
            <x14:dxf>
              <fill>
                <patternFill>
                  <bgColor indexed="10"/>
                </patternFill>
              </fill>
            </x14:dxf>
          </x14:cfRule>
          <xm:sqref>X75</xm:sqref>
        </x14:conditionalFormatting>
        <x14:conditionalFormatting xmlns:xm="http://schemas.microsoft.com/office/excel/2006/main">
          <x14:cfRule type="cellIs" priority="384" stopIfTrue="1" operator="lessThan" id="{00000000-0000-0000-0000-000000000000}">
            <xm:f>INDEX('1.Locations'!$F$2:$F$97,$P$76 + 1)</xm:f>
            <x14:dxf>
              <fill>
                <patternFill>
                  <bgColor indexed="52"/>
                </patternFill>
              </fill>
            </x14:dxf>
          </x14:cfRule>
          <xm:sqref>W76</xm:sqref>
        </x14:conditionalFormatting>
        <x14:conditionalFormatting xmlns:xm="http://schemas.microsoft.com/office/excel/2006/main">
          <x14:cfRule type="expression" priority="385" stopIfTrue="1" id="{00000000-0000-0000-0000-000000000000}">
            <xm:f>(60 * HOUR($X$76) + MINUTE($X$76)) &gt;(60 * HOUR(INDEX('1.Locations'!$G$2:$G$97,$P$76 + 1)) +MINUTE(INDEX('1.Locations'!$G$2:$G$97,$P$76 + 1)))</xm:f>
            <x14:dxf>
              <fill>
                <patternFill>
                  <bgColor indexed="10"/>
                </patternFill>
              </fill>
            </x14:dxf>
          </x14:cfRule>
          <xm:sqref>X76</xm:sqref>
        </x14:conditionalFormatting>
        <x14:conditionalFormatting xmlns:xm="http://schemas.microsoft.com/office/excel/2006/main">
          <x14:cfRule type="cellIs" priority="386" stopIfTrue="1" operator="lessThan" id="{00000000-0000-0000-0000-000000000000}">
            <xm:f>INDEX('1.Locations'!$F$2:$F$97,$P$77 + 1)</xm:f>
            <x14:dxf>
              <fill>
                <patternFill>
                  <bgColor indexed="52"/>
                </patternFill>
              </fill>
            </x14:dxf>
          </x14:cfRule>
          <xm:sqref>W77</xm:sqref>
        </x14:conditionalFormatting>
        <x14:conditionalFormatting xmlns:xm="http://schemas.microsoft.com/office/excel/2006/main">
          <x14:cfRule type="expression" priority="387" stopIfTrue="1" id="{00000000-0000-0000-0000-000000000000}">
            <xm:f>(60 * HOUR($X$77) + MINUTE($X$77)) &gt;(60 * HOUR(INDEX('1.Locations'!$G$2:$G$97,$P$77 + 1)) +MINUTE(INDEX('1.Locations'!$G$2:$G$97,$P$77 + 1)))</xm:f>
            <x14:dxf>
              <fill>
                <patternFill>
                  <bgColor indexed="10"/>
                </patternFill>
              </fill>
            </x14:dxf>
          </x14:cfRule>
          <xm:sqref>X77</xm:sqref>
        </x14:conditionalFormatting>
        <x14:conditionalFormatting xmlns:xm="http://schemas.microsoft.com/office/excel/2006/main">
          <x14:cfRule type="cellIs" priority="388" stopIfTrue="1" operator="lessThan" id="{00000000-0000-0000-0000-000000000000}">
            <xm:f>INDEX('1.Locations'!$F$2:$F$97,$P$78 + 1)</xm:f>
            <x14:dxf>
              <fill>
                <patternFill>
                  <bgColor indexed="52"/>
                </patternFill>
              </fill>
            </x14:dxf>
          </x14:cfRule>
          <xm:sqref>W78</xm:sqref>
        </x14:conditionalFormatting>
        <x14:conditionalFormatting xmlns:xm="http://schemas.microsoft.com/office/excel/2006/main">
          <x14:cfRule type="expression" priority="389" stopIfTrue="1" id="{00000000-0000-0000-0000-000000000000}">
            <xm:f>(60 * HOUR($X$78) + MINUTE($X$78)) &gt;(60 * HOUR(INDEX('1.Locations'!$G$2:$G$97,$P$78 + 1)) +MINUTE(INDEX('1.Locations'!$G$2:$G$97,$P$78 + 1)))</xm:f>
            <x14:dxf>
              <fill>
                <patternFill>
                  <bgColor indexed="10"/>
                </patternFill>
              </fill>
            </x14:dxf>
          </x14:cfRule>
          <xm:sqref>X78</xm:sqref>
        </x14:conditionalFormatting>
        <x14:conditionalFormatting xmlns:xm="http://schemas.microsoft.com/office/excel/2006/main">
          <x14:cfRule type="cellIs" priority="390" stopIfTrue="1" operator="lessThan" id="{00000000-0000-0000-0000-000000000000}">
            <xm:f>INDEX('1.Locations'!$F$2:$F$97,$P$79 + 1)</xm:f>
            <x14:dxf>
              <fill>
                <patternFill>
                  <bgColor indexed="52"/>
                </patternFill>
              </fill>
            </x14:dxf>
          </x14:cfRule>
          <xm:sqref>W79</xm:sqref>
        </x14:conditionalFormatting>
        <x14:conditionalFormatting xmlns:xm="http://schemas.microsoft.com/office/excel/2006/main">
          <x14:cfRule type="expression" priority="391" stopIfTrue="1" id="{00000000-0000-0000-0000-000000000000}">
            <xm:f>(60 * HOUR($X$79) + MINUTE($X$79)) &gt;(60 * HOUR(INDEX('1.Locations'!$G$2:$G$97,$P$79 + 1)) +MINUTE(INDEX('1.Locations'!$G$2:$G$97,$P$79 + 1)))</xm:f>
            <x14:dxf>
              <fill>
                <patternFill>
                  <bgColor indexed="10"/>
                </patternFill>
              </fill>
            </x14:dxf>
          </x14:cfRule>
          <xm:sqref>X79</xm:sqref>
        </x14:conditionalFormatting>
        <x14:conditionalFormatting xmlns:xm="http://schemas.microsoft.com/office/excel/2006/main">
          <x14:cfRule type="cellIs" priority="392" stopIfTrue="1" operator="lessThan" id="{00000000-0000-0000-0000-000000000000}">
            <xm:f>INDEX('1.Locations'!$F$2:$F$97,$P$80 + 1)</xm:f>
            <x14:dxf>
              <fill>
                <patternFill>
                  <bgColor indexed="52"/>
                </patternFill>
              </fill>
            </x14:dxf>
          </x14:cfRule>
          <xm:sqref>W80</xm:sqref>
        </x14:conditionalFormatting>
        <x14:conditionalFormatting xmlns:xm="http://schemas.microsoft.com/office/excel/2006/main">
          <x14:cfRule type="expression" priority="393" stopIfTrue="1" id="{00000000-0000-0000-0000-000000000000}">
            <xm:f>(60 * HOUR($X$80) + MINUTE($X$80)) &gt;(60 * HOUR(INDEX('1.Locations'!$G$2:$G$97,$P$80 + 1)) +MINUTE(INDEX('1.Locations'!$G$2:$G$97,$P$80 + 1)))</xm:f>
            <x14:dxf>
              <fill>
                <patternFill>
                  <bgColor indexed="10"/>
                </patternFill>
              </fill>
            </x14:dxf>
          </x14:cfRule>
          <xm:sqref>X80</xm:sqref>
        </x14:conditionalFormatting>
        <x14:conditionalFormatting xmlns:xm="http://schemas.microsoft.com/office/excel/2006/main">
          <x14:cfRule type="cellIs" priority="394" stopIfTrue="1" operator="lessThan" id="{00000000-0000-0000-0000-000000000000}">
            <xm:f>INDEX('1.Locations'!$F$2:$F$97,$P$81 + 1)</xm:f>
            <x14:dxf>
              <fill>
                <patternFill>
                  <bgColor indexed="52"/>
                </patternFill>
              </fill>
            </x14:dxf>
          </x14:cfRule>
          <xm:sqref>W81</xm:sqref>
        </x14:conditionalFormatting>
        <x14:conditionalFormatting xmlns:xm="http://schemas.microsoft.com/office/excel/2006/main">
          <x14:cfRule type="expression" priority="395" stopIfTrue="1" id="{00000000-0000-0000-0000-000000000000}">
            <xm:f>(60 * HOUR($X$81) + MINUTE($X$81)) &gt;(60 * HOUR(INDEX('1.Locations'!$G$2:$G$97,$P$81 + 1)) +MINUTE(INDEX('1.Locations'!$G$2:$G$97,$P$81 + 1)))</xm:f>
            <x14:dxf>
              <fill>
                <patternFill>
                  <bgColor indexed="10"/>
                </patternFill>
              </fill>
            </x14:dxf>
          </x14:cfRule>
          <xm:sqref>X81</xm:sqref>
        </x14:conditionalFormatting>
        <x14:conditionalFormatting xmlns:xm="http://schemas.microsoft.com/office/excel/2006/main">
          <x14:cfRule type="cellIs" priority="396" stopIfTrue="1" operator="lessThan" id="{00000000-0000-0000-0000-000000000000}">
            <xm:f>INDEX('1.Locations'!$F$2:$F$97,$P$82 + 1)</xm:f>
            <x14:dxf>
              <fill>
                <patternFill>
                  <bgColor indexed="52"/>
                </patternFill>
              </fill>
            </x14:dxf>
          </x14:cfRule>
          <xm:sqref>W82</xm:sqref>
        </x14:conditionalFormatting>
        <x14:conditionalFormatting xmlns:xm="http://schemas.microsoft.com/office/excel/2006/main">
          <x14:cfRule type="expression" priority="397" stopIfTrue="1" id="{00000000-0000-0000-0000-000000000000}">
            <xm:f>(60 * HOUR($X$82) + MINUTE($X$82)) &gt;(60 * HOUR(INDEX('1.Locations'!$G$2:$G$97,$P$82 + 1)) +MINUTE(INDEX('1.Locations'!$G$2:$G$97,$P$82 + 1)))</xm:f>
            <x14:dxf>
              <fill>
                <patternFill>
                  <bgColor indexed="10"/>
                </patternFill>
              </fill>
            </x14:dxf>
          </x14:cfRule>
          <xm:sqref>X82</xm:sqref>
        </x14:conditionalFormatting>
        <x14:conditionalFormatting xmlns:xm="http://schemas.microsoft.com/office/excel/2006/main">
          <x14:cfRule type="cellIs" priority="398" stopIfTrue="1" operator="lessThan" id="{00000000-0000-0000-0000-000000000000}">
            <xm:f>INDEX('1.Locations'!$F$2:$F$97,$P$83 + 1)</xm:f>
            <x14:dxf>
              <fill>
                <patternFill>
                  <bgColor indexed="52"/>
                </patternFill>
              </fill>
            </x14:dxf>
          </x14:cfRule>
          <xm:sqref>W83</xm:sqref>
        </x14:conditionalFormatting>
        <x14:conditionalFormatting xmlns:xm="http://schemas.microsoft.com/office/excel/2006/main">
          <x14:cfRule type="expression" priority="399" stopIfTrue="1" id="{00000000-0000-0000-0000-000000000000}">
            <xm:f>(60 * HOUR($X$83) + MINUTE($X$83)) &gt;(60 * HOUR(INDEX('1.Locations'!$G$2:$G$97,$P$83 + 1)) +MINUTE(INDEX('1.Locations'!$G$2:$G$97,$P$83 + 1)))</xm:f>
            <x14:dxf>
              <fill>
                <patternFill>
                  <bgColor indexed="10"/>
                </patternFill>
              </fill>
            </x14:dxf>
          </x14:cfRule>
          <xm:sqref>X83</xm:sqref>
        </x14:conditionalFormatting>
        <x14:conditionalFormatting xmlns:xm="http://schemas.microsoft.com/office/excel/2006/main">
          <x14:cfRule type="cellIs" priority="400" stopIfTrue="1" operator="lessThan" id="{00000000-0000-0000-0000-000000000000}">
            <xm:f>INDEX('1.Locations'!$F$2:$F$97,$P$84 + 1)</xm:f>
            <x14:dxf>
              <fill>
                <patternFill>
                  <bgColor indexed="52"/>
                </patternFill>
              </fill>
            </x14:dxf>
          </x14:cfRule>
          <xm:sqref>W84</xm:sqref>
        </x14:conditionalFormatting>
        <x14:conditionalFormatting xmlns:xm="http://schemas.microsoft.com/office/excel/2006/main">
          <x14:cfRule type="expression" priority="401" stopIfTrue="1" id="{00000000-0000-0000-0000-000000000000}">
            <xm:f>(60 * HOUR($X$84) + MINUTE($X$84)) &gt;(60 * HOUR(INDEX('1.Locations'!$G$2:$G$97,$P$84 + 1)) +MINUTE(INDEX('1.Locations'!$G$2:$G$97,$P$84 + 1)))</xm:f>
            <x14:dxf>
              <fill>
                <patternFill>
                  <bgColor indexed="10"/>
                </patternFill>
              </fill>
            </x14:dxf>
          </x14:cfRule>
          <xm:sqref>X84</xm:sqref>
        </x14:conditionalFormatting>
        <x14:conditionalFormatting xmlns:xm="http://schemas.microsoft.com/office/excel/2006/main">
          <x14:cfRule type="cellIs" priority="402" stopIfTrue="1" operator="lessThan" id="{00000000-0000-0000-0000-000000000000}">
            <xm:f>INDEX('1.Locations'!$F$2:$F$97,$P$85 + 1)</xm:f>
            <x14:dxf>
              <fill>
                <patternFill>
                  <bgColor indexed="52"/>
                </patternFill>
              </fill>
            </x14:dxf>
          </x14:cfRule>
          <xm:sqref>W85</xm:sqref>
        </x14:conditionalFormatting>
        <x14:conditionalFormatting xmlns:xm="http://schemas.microsoft.com/office/excel/2006/main">
          <x14:cfRule type="expression" priority="403" stopIfTrue="1" id="{00000000-0000-0000-0000-000000000000}">
            <xm:f>(60 * HOUR($X$85) + MINUTE($X$85)) &gt;(60 * HOUR(INDEX('1.Locations'!$G$2:$G$97,$P$85 + 1)) +MINUTE(INDEX('1.Locations'!$G$2:$G$97,$P$85 + 1)))</xm:f>
            <x14:dxf>
              <fill>
                <patternFill>
                  <bgColor indexed="10"/>
                </patternFill>
              </fill>
            </x14:dxf>
          </x14:cfRule>
          <xm:sqref>X85</xm:sqref>
        </x14:conditionalFormatting>
        <x14:conditionalFormatting xmlns:xm="http://schemas.microsoft.com/office/excel/2006/main">
          <x14:cfRule type="cellIs" priority="404" stopIfTrue="1" operator="lessThan" id="{00000000-0000-0000-0000-000000000000}">
            <xm:f>INDEX('1.Locations'!$F$2:$F$97,$P$86 + 1)</xm:f>
            <x14:dxf>
              <fill>
                <patternFill>
                  <bgColor indexed="52"/>
                </patternFill>
              </fill>
            </x14:dxf>
          </x14:cfRule>
          <xm:sqref>W86</xm:sqref>
        </x14:conditionalFormatting>
        <x14:conditionalFormatting xmlns:xm="http://schemas.microsoft.com/office/excel/2006/main">
          <x14:cfRule type="expression" priority="405" stopIfTrue="1" id="{00000000-0000-0000-0000-000000000000}">
            <xm:f>(60 * HOUR($X$86) + MINUTE($X$86)) &gt;(60 * HOUR(INDEX('1.Locations'!$G$2:$G$97,$P$86 + 1)) +MINUTE(INDEX('1.Locations'!$G$2:$G$97,$P$86 + 1)))</xm:f>
            <x14:dxf>
              <fill>
                <patternFill>
                  <bgColor indexed="10"/>
                </patternFill>
              </fill>
            </x14:dxf>
          </x14:cfRule>
          <xm:sqref>X86</xm:sqref>
        </x14:conditionalFormatting>
        <x14:conditionalFormatting xmlns:xm="http://schemas.microsoft.com/office/excel/2006/main">
          <x14:cfRule type="cellIs" priority="406" stopIfTrue="1" operator="lessThan" id="{00000000-0000-0000-0000-000000000000}">
            <xm:f>INDEX('1.Locations'!$F$2:$F$97,$P$87 + 1)</xm:f>
            <x14:dxf>
              <fill>
                <patternFill>
                  <bgColor indexed="52"/>
                </patternFill>
              </fill>
            </x14:dxf>
          </x14:cfRule>
          <xm:sqref>W87</xm:sqref>
        </x14:conditionalFormatting>
        <x14:conditionalFormatting xmlns:xm="http://schemas.microsoft.com/office/excel/2006/main">
          <x14:cfRule type="expression" priority="407" stopIfTrue="1" id="{00000000-0000-0000-0000-000000000000}">
            <xm:f>(60 * HOUR($X$87) + MINUTE($X$87)) &gt;(60 * HOUR(INDEX('1.Locations'!$G$2:$G$97,$P$87 + 1)) +MINUTE(INDEX('1.Locations'!$G$2:$G$97,$P$87 + 1)))</xm:f>
            <x14:dxf>
              <fill>
                <patternFill>
                  <bgColor indexed="10"/>
                </patternFill>
              </fill>
            </x14:dxf>
          </x14:cfRule>
          <xm:sqref>X87</xm:sqref>
        </x14:conditionalFormatting>
        <x14:conditionalFormatting xmlns:xm="http://schemas.microsoft.com/office/excel/2006/main">
          <x14:cfRule type="cellIs" priority="408" stopIfTrue="1" operator="lessThan" id="{00000000-0000-0000-0000-000000000000}">
            <xm:f>INDEX('1.Locations'!$F$2:$F$97,$P$88 + 1)</xm:f>
            <x14:dxf>
              <fill>
                <patternFill>
                  <bgColor indexed="52"/>
                </patternFill>
              </fill>
            </x14:dxf>
          </x14:cfRule>
          <xm:sqref>W88</xm:sqref>
        </x14:conditionalFormatting>
        <x14:conditionalFormatting xmlns:xm="http://schemas.microsoft.com/office/excel/2006/main">
          <x14:cfRule type="expression" priority="409" stopIfTrue="1" id="{00000000-0000-0000-0000-000000000000}">
            <xm:f>(60 * HOUR($X$88) + MINUTE($X$88)) &gt;(60 * HOUR(INDEX('1.Locations'!$G$2:$G$97,$P$88 + 1)) +MINUTE(INDEX('1.Locations'!$G$2:$G$97,$P$88 + 1)))</xm:f>
            <x14:dxf>
              <fill>
                <patternFill>
                  <bgColor indexed="10"/>
                </patternFill>
              </fill>
            </x14:dxf>
          </x14:cfRule>
          <xm:sqref>X88</xm:sqref>
        </x14:conditionalFormatting>
        <x14:conditionalFormatting xmlns:xm="http://schemas.microsoft.com/office/excel/2006/main">
          <x14:cfRule type="cellIs" priority="410" stopIfTrue="1" operator="lessThan" id="{00000000-0000-0000-0000-000000000000}">
            <xm:f>INDEX('1.Locations'!$F$2:$F$97,$P$89 + 1)</xm:f>
            <x14:dxf>
              <fill>
                <patternFill>
                  <bgColor indexed="52"/>
                </patternFill>
              </fill>
            </x14:dxf>
          </x14:cfRule>
          <xm:sqref>W89</xm:sqref>
        </x14:conditionalFormatting>
        <x14:conditionalFormatting xmlns:xm="http://schemas.microsoft.com/office/excel/2006/main">
          <x14:cfRule type="expression" priority="411" stopIfTrue="1" id="{00000000-0000-0000-0000-000000000000}">
            <xm:f>(60 * HOUR($X$89) + MINUTE($X$89)) &gt;(60 * HOUR(INDEX('1.Locations'!$G$2:$G$97,$P$89 + 1)) +MINUTE(INDEX('1.Locations'!$G$2:$G$97,$P$89 + 1)))</xm:f>
            <x14:dxf>
              <fill>
                <patternFill>
                  <bgColor indexed="10"/>
                </patternFill>
              </fill>
            </x14:dxf>
          </x14:cfRule>
          <xm:sqref>X89</xm:sqref>
        </x14:conditionalFormatting>
        <x14:conditionalFormatting xmlns:xm="http://schemas.microsoft.com/office/excel/2006/main">
          <x14:cfRule type="cellIs" priority="412" stopIfTrue="1" operator="lessThan" id="{00000000-0000-0000-0000-000000000000}">
            <xm:f>INDEX('1.Locations'!$F$2:$F$97,$P$90 + 1)</xm:f>
            <x14:dxf>
              <fill>
                <patternFill>
                  <bgColor indexed="52"/>
                </patternFill>
              </fill>
            </x14:dxf>
          </x14:cfRule>
          <xm:sqref>W90</xm:sqref>
        </x14:conditionalFormatting>
        <x14:conditionalFormatting xmlns:xm="http://schemas.microsoft.com/office/excel/2006/main">
          <x14:cfRule type="expression" priority="413" stopIfTrue="1" id="{00000000-0000-0000-0000-000000000000}">
            <xm:f>(60 * HOUR($X$90) + MINUTE($X$90)) &gt;(60 * HOUR(INDEX('1.Locations'!$G$2:$G$97,$P$90 + 1)) +MINUTE(INDEX('1.Locations'!$G$2:$G$97,$P$90 + 1)))</xm:f>
            <x14:dxf>
              <fill>
                <patternFill>
                  <bgColor indexed="10"/>
                </patternFill>
              </fill>
            </x14:dxf>
          </x14:cfRule>
          <xm:sqref>X90</xm:sqref>
        </x14:conditionalFormatting>
        <x14:conditionalFormatting xmlns:xm="http://schemas.microsoft.com/office/excel/2006/main">
          <x14:cfRule type="cellIs" priority="414" stopIfTrue="1" operator="lessThan" id="{00000000-0000-0000-0000-000000000000}">
            <xm:f>INDEX('1.Locations'!$F$2:$F$97,$P$91 + 1)</xm:f>
            <x14:dxf>
              <fill>
                <patternFill>
                  <bgColor indexed="52"/>
                </patternFill>
              </fill>
            </x14:dxf>
          </x14:cfRule>
          <xm:sqref>W91</xm:sqref>
        </x14:conditionalFormatting>
        <x14:conditionalFormatting xmlns:xm="http://schemas.microsoft.com/office/excel/2006/main">
          <x14:cfRule type="expression" priority="415" stopIfTrue="1" id="{00000000-0000-0000-0000-000000000000}">
            <xm:f>(60 * HOUR($X$91) + MINUTE($X$91)) &gt;(60 * HOUR(INDEX('1.Locations'!$G$2:$G$97,$P$91 + 1)) +MINUTE(INDEX('1.Locations'!$G$2:$G$97,$P$91 + 1)))</xm:f>
            <x14:dxf>
              <fill>
                <patternFill>
                  <bgColor indexed="10"/>
                </patternFill>
              </fill>
            </x14:dxf>
          </x14:cfRule>
          <xm:sqref>X91</xm:sqref>
        </x14:conditionalFormatting>
        <x14:conditionalFormatting xmlns:xm="http://schemas.microsoft.com/office/excel/2006/main">
          <x14:cfRule type="cellIs" priority="416" stopIfTrue="1" operator="lessThan" id="{00000000-0000-0000-0000-000000000000}">
            <xm:f>INDEX('1.Locations'!$F$2:$F$97,$P$92 + 1)</xm:f>
            <x14:dxf>
              <fill>
                <patternFill>
                  <bgColor indexed="52"/>
                </patternFill>
              </fill>
            </x14:dxf>
          </x14:cfRule>
          <xm:sqref>W92</xm:sqref>
        </x14:conditionalFormatting>
        <x14:conditionalFormatting xmlns:xm="http://schemas.microsoft.com/office/excel/2006/main">
          <x14:cfRule type="expression" priority="417" stopIfTrue="1" id="{00000000-0000-0000-0000-000000000000}">
            <xm:f>(60 * HOUR($X$92) + MINUTE($X$92)) &gt;(60 * HOUR(INDEX('1.Locations'!$G$2:$G$97,$P$92 + 1)) +MINUTE(INDEX('1.Locations'!$G$2:$G$97,$P$92 + 1)))</xm:f>
            <x14:dxf>
              <fill>
                <patternFill>
                  <bgColor indexed="10"/>
                </patternFill>
              </fill>
            </x14:dxf>
          </x14:cfRule>
          <xm:sqref>X92</xm:sqref>
        </x14:conditionalFormatting>
        <x14:conditionalFormatting xmlns:xm="http://schemas.microsoft.com/office/excel/2006/main">
          <x14:cfRule type="cellIs" priority="418" stopIfTrue="1" operator="lessThan" id="{00000000-0000-0000-0000-000000000000}">
            <xm:f>INDEX('1.Locations'!$F$2:$F$97,$P$93 + 1)</xm:f>
            <x14:dxf>
              <fill>
                <patternFill>
                  <bgColor indexed="52"/>
                </patternFill>
              </fill>
            </x14:dxf>
          </x14:cfRule>
          <xm:sqref>W93</xm:sqref>
        </x14:conditionalFormatting>
        <x14:conditionalFormatting xmlns:xm="http://schemas.microsoft.com/office/excel/2006/main">
          <x14:cfRule type="expression" priority="419" stopIfTrue="1" id="{00000000-0000-0000-0000-000000000000}">
            <xm:f>(60 * HOUR($X$93) + MINUTE($X$93)) &gt;(60 * HOUR(INDEX('1.Locations'!$G$2:$G$97,$P$93 + 1)) +MINUTE(INDEX('1.Locations'!$G$2:$G$97,$P$93 + 1)))</xm:f>
            <x14:dxf>
              <fill>
                <patternFill>
                  <bgColor indexed="10"/>
                </patternFill>
              </fill>
            </x14:dxf>
          </x14:cfRule>
          <xm:sqref>X93</xm:sqref>
        </x14:conditionalFormatting>
        <x14:conditionalFormatting xmlns:xm="http://schemas.microsoft.com/office/excel/2006/main">
          <x14:cfRule type="cellIs" priority="420" stopIfTrue="1" operator="lessThan" id="{00000000-0000-0000-0000-000000000000}">
            <xm:f>INDEX('1.Locations'!$F$2:$F$97,$P$94 + 1)</xm:f>
            <x14:dxf>
              <fill>
                <patternFill>
                  <bgColor indexed="52"/>
                </patternFill>
              </fill>
            </x14:dxf>
          </x14:cfRule>
          <xm:sqref>W94</xm:sqref>
        </x14:conditionalFormatting>
        <x14:conditionalFormatting xmlns:xm="http://schemas.microsoft.com/office/excel/2006/main">
          <x14:cfRule type="expression" priority="421" stopIfTrue="1" id="{00000000-0000-0000-0000-000000000000}">
            <xm:f>(60 * HOUR($X$94) + MINUTE($X$94)) &gt;(60 * HOUR(INDEX('1.Locations'!$G$2:$G$97,$P$94 + 1)) +MINUTE(INDEX('1.Locations'!$G$2:$G$97,$P$94 + 1)))</xm:f>
            <x14:dxf>
              <fill>
                <patternFill>
                  <bgColor indexed="10"/>
                </patternFill>
              </fill>
            </x14:dxf>
          </x14:cfRule>
          <xm:sqref>X94</xm:sqref>
        </x14:conditionalFormatting>
        <x14:conditionalFormatting xmlns:xm="http://schemas.microsoft.com/office/excel/2006/main">
          <x14:cfRule type="cellIs" priority="422" stopIfTrue="1" operator="lessThan" id="{00000000-0000-0000-0000-000000000000}">
            <xm:f>INDEX('1.Locations'!$F$2:$F$97,$P$95 + 1)</xm:f>
            <x14:dxf>
              <fill>
                <patternFill>
                  <bgColor indexed="52"/>
                </patternFill>
              </fill>
            </x14:dxf>
          </x14:cfRule>
          <xm:sqref>W95</xm:sqref>
        </x14:conditionalFormatting>
        <x14:conditionalFormatting xmlns:xm="http://schemas.microsoft.com/office/excel/2006/main">
          <x14:cfRule type="expression" priority="423" stopIfTrue="1" id="{00000000-0000-0000-0000-000000000000}">
            <xm:f>(60 * HOUR($X$95) + MINUTE($X$95)) &gt;(60 * HOUR(INDEX('1.Locations'!$G$2:$G$97,$P$95 + 1)) +MINUTE(INDEX('1.Locations'!$G$2:$G$97,$P$95 + 1)))</xm:f>
            <x14:dxf>
              <fill>
                <patternFill>
                  <bgColor indexed="10"/>
                </patternFill>
              </fill>
            </x14:dxf>
          </x14:cfRule>
          <xm:sqref>X95</xm:sqref>
        </x14:conditionalFormatting>
        <x14:conditionalFormatting xmlns:xm="http://schemas.microsoft.com/office/excel/2006/main">
          <x14:cfRule type="cellIs" priority="424" stopIfTrue="1" operator="lessThan" id="{00000000-0000-0000-0000-000000000000}">
            <xm:f>INDEX('1.Locations'!$F$2:$F$97,$P$96 + 1)</xm:f>
            <x14:dxf>
              <fill>
                <patternFill>
                  <bgColor indexed="52"/>
                </patternFill>
              </fill>
            </x14:dxf>
          </x14:cfRule>
          <xm:sqref>W96</xm:sqref>
        </x14:conditionalFormatting>
        <x14:conditionalFormatting xmlns:xm="http://schemas.microsoft.com/office/excel/2006/main">
          <x14:cfRule type="expression" priority="425" stopIfTrue="1" id="{00000000-0000-0000-0000-000000000000}">
            <xm:f>(60 * HOUR($X$96) + MINUTE($X$96)) &gt;(60 * HOUR(INDEX('1.Locations'!$G$2:$G$97,$P$96 + 1)) +MINUTE(INDEX('1.Locations'!$G$2:$G$97,$P$96 + 1)))</xm:f>
            <x14:dxf>
              <fill>
                <patternFill>
                  <bgColor indexed="10"/>
                </patternFill>
              </fill>
            </x14:dxf>
          </x14:cfRule>
          <xm:sqref>X96</xm:sqref>
        </x14:conditionalFormatting>
        <x14:conditionalFormatting xmlns:xm="http://schemas.microsoft.com/office/excel/2006/main">
          <x14:cfRule type="cellIs" priority="426" stopIfTrue="1" operator="lessThan" id="{00000000-0000-0000-0000-000000000000}">
            <xm:f>INDEX('1.Locations'!$F$2:$F$97,$P$97 + 1)</xm:f>
            <x14:dxf>
              <fill>
                <patternFill>
                  <bgColor indexed="52"/>
                </patternFill>
              </fill>
            </x14:dxf>
          </x14:cfRule>
          <xm:sqref>W97</xm:sqref>
        </x14:conditionalFormatting>
        <x14:conditionalFormatting xmlns:xm="http://schemas.microsoft.com/office/excel/2006/main">
          <x14:cfRule type="expression" priority="427" stopIfTrue="1" id="{00000000-0000-0000-0000-000000000000}">
            <xm:f>(60 * HOUR($X$97) + MINUTE($X$97)) &gt;(60 * HOUR(INDEX('1.Locations'!$G$2:$G$97,$P$97 + 1)) +MINUTE(INDEX('1.Locations'!$G$2:$G$97,$P$97 + 1)))</xm:f>
            <x14:dxf>
              <fill>
                <patternFill>
                  <bgColor indexed="10"/>
                </patternFill>
              </fill>
            </x14:dxf>
          </x14:cfRule>
          <xm:sqref>X97</xm:sqref>
        </x14:conditionalFormatting>
        <x14:conditionalFormatting xmlns:xm="http://schemas.microsoft.com/office/excel/2006/main">
          <x14:cfRule type="cellIs" priority="428" stopIfTrue="1" operator="lessThan" id="{00000000-0000-0000-0000-000000000000}">
            <xm:f>INDEX('1.Locations'!$F$2:$F$97,$P$98 + 1)</xm:f>
            <x14:dxf>
              <fill>
                <patternFill>
                  <bgColor indexed="52"/>
                </patternFill>
              </fill>
            </x14:dxf>
          </x14:cfRule>
          <xm:sqref>W98</xm:sqref>
        </x14:conditionalFormatting>
        <x14:conditionalFormatting xmlns:xm="http://schemas.microsoft.com/office/excel/2006/main">
          <x14:cfRule type="expression" priority="429" stopIfTrue="1" id="{00000000-0000-0000-0000-000000000000}">
            <xm:f>(60 * HOUR($X$98) + MINUTE($X$98)) &gt;(60 * HOUR(INDEX('1.Locations'!$G$2:$G$97,$P$98 + 1)) +MINUTE(INDEX('1.Locations'!$G$2:$G$97,$P$98 + 1)))</xm:f>
            <x14:dxf>
              <fill>
                <patternFill>
                  <bgColor indexed="10"/>
                </patternFill>
              </fill>
            </x14:dxf>
          </x14:cfRule>
          <xm:sqref>X98</xm:sqref>
        </x14:conditionalFormatting>
        <x14:conditionalFormatting xmlns:xm="http://schemas.microsoft.com/office/excel/2006/main">
          <x14:cfRule type="cellIs" priority="430" stopIfTrue="1" operator="lessThan" id="{00000000-0000-0000-0000-000000000000}">
            <xm:f>INDEX('1.Locations'!$F$2:$F$97,$P$99 + 1)</xm:f>
            <x14:dxf>
              <fill>
                <patternFill>
                  <bgColor indexed="52"/>
                </patternFill>
              </fill>
            </x14:dxf>
          </x14:cfRule>
          <xm:sqref>W99</xm:sqref>
        </x14:conditionalFormatting>
        <x14:conditionalFormatting xmlns:xm="http://schemas.microsoft.com/office/excel/2006/main">
          <x14:cfRule type="expression" priority="431" stopIfTrue="1" id="{00000000-0000-0000-0000-000000000000}">
            <xm:f>(60 * HOUR($X$99) + MINUTE($X$99)) &gt;(60 * HOUR(INDEX('1.Locations'!$G$2:$G$97,$P$99 + 1)) +MINUTE(INDEX('1.Locations'!$G$2:$G$97,$P$99 + 1)))</xm:f>
            <x14:dxf>
              <fill>
                <patternFill>
                  <bgColor indexed="10"/>
                </patternFill>
              </fill>
            </x14:dxf>
          </x14:cfRule>
          <xm:sqref>X99</xm:sqref>
        </x14:conditionalFormatting>
        <x14:conditionalFormatting xmlns:xm="http://schemas.microsoft.com/office/excel/2006/main">
          <x14:cfRule type="cellIs" priority="432" stopIfTrue="1" operator="lessThan" id="{00000000-0000-0000-0000-000000000000}">
            <xm:f>INDEX('1.Locations'!$F$2:$F$97,$P$100 + 1)</xm:f>
            <x14:dxf>
              <fill>
                <patternFill>
                  <bgColor indexed="52"/>
                </patternFill>
              </fill>
            </x14:dxf>
          </x14:cfRule>
          <xm:sqref>W100</xm:sqref>
        </x14:conditionalFormatting>
        <x14:conditionalFormatting xmlns:xm="http://schemas.microsoft.com/office/excel/2006/main">
          <x14:cfRule type="expression" priority="433" stopIfTrue="1" id="{00000000-0000-0000-0000-000000000000}">
            <xm:f>(60 * HOUR($X$100) + MINUTE($X$100)) &gt;(60 * HOUR(INDEX('1.Locations'!$G$2:$G$97,$P$100 + 1)) +MINUTE(INDEX('1.Locations'!$G$2:$G$97,$P$100 + 1)))</xm:f>
            <x14:dxf>
              <fill>
                <patternFill>
                  <bgColor indexed="10"/>
                </patternFill>
              </fill>
            </x14:dxf>
          </x14:cfRule>
          <xm:sqref>X100</xm:sqref>
        </x14:conditionalFormatting>
        <x14:conditionalFormatting xmlns:xm="http://schemas.microsoft.com/office/excel/2006/main">
          <x14:cfRule type="cellIs" priority="434" stopIfTrue="1" operator="lessThan" id="{00000000-0000-0000-0000-000000000000}">
            <xm:f>INDEX('1.Locations'!$F$2:$F$97,$P$101 + 1)</xm:f>
            <x14:dxf>
              <fill>
                <patternFill>
                  <bgColor indexed="52"/>
                </patternFill>
              </fill>
            </x14:dxf>
          </x14:cfRule>
          <xm:sqref>W101</xm:sqref>
        </x14:conditionalFormatting>
        <x14:conditionalFormatting xmlns:xm="http://schemas.microsoft.com/office/excel/2006/main">
          <x14:cfRule type="expression" priority="435" stopIfTrue="1" id="{00000000-0000-0000-0000-000000000000}">
            <xm:f>(60 * HOUR($X$101) + MINUTE($X$101)) &gt;(60 * HOUR(INDEX('1.Locations'!$G$2:$G$97,$P$101 + 1)) +MINUTE(INDEX('1.Locations'!$G$2:$G$97,$P$101 + 1)))</xm:f>
            <x14:dxf>
              <fill>
                <patternFill>
                  <bgColor indexed="10"/>
                </patternFill>
              </fill>
            </x14:dxf>
          </x14:cfRule>
          <xm:sqref>X101</xm:sqref>
        </x14:conditionalFormatting>
        <x14:conditionalFormatting xmlns:xm="http://schemas.microsoft.com/office/excel/2006/main">
          <x14:cfRule type="cellIs" priority="436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S6:S101</xm:sqref>
        </x14:conditionalFormatting>
        <x14:conditionalFormatting xmlns:xm="http://schemas.microsoft.com/office/excel/2006/main">
          <x14:cfRule type="cellIs" priority="437" stopIfTrue="1" operator="greaterThan" id="{00000000-0000-0000-0000-000000000000}">
            <xm:f>'3.Vehicles'!$C$3</xm:f>
            <x14:dxf>
              <fill>
                <patternFill>
                  <bgColor indexed="10"/>
                </patternFill>
              </fill>
            </x14:dxf>
          </x14:cfRule>
          <xm:sqref>T6:T101</xm:sqref>
        </x14:conditionalFormatting>
        <x14:conditionalFormatting xmlns:xm="http://schemas.microsoft.com/office/excel/2006/main">
          <x14:cfRule type="cellIs" priority="438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V6:V101</xm:sqref>
        </x14:conditionalFormatting>
        <x14:conditionalFormatting xmlns:xm="http://schemas.microsoft.com/office/excel/2006/main">
          <x14:cfRule type="cellIs" priority="439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Y6:Y101</xm:sqref>
        </x14:conditionalFormatting>
        <x14:conditionalFormatting xmlns:xm="http://schemas.microsoft.com/office/excel/2006/main">
          <x14:cfRule type="cellIs" priority="441" stopIfTrue="1" operator="lessThan" id="{00000000-0000-0000-0000-000000000000}">
            <xm:f>INDEX('1.Locations'!$F$2:$F$97,$AC$5 + 1)</xm:f>
            <x14:dxf>
              <fill>
                <patternFill>
                  <bgColor indexed="52"/>
                </patternFill>
              </fill>
            </x14:dxf>
          </x14:cfRule>
          <xm:sqref>AJ5</xm:sqref>
        </x14:conditionalFormatting>
        <x14:conditionalFormatting xmlns:xm="http://schemas.microsoft.com/office/excel/2006/main">
          <x14:cfRule type="expression" priority="442" stopIfTrue="1" id="{00000000-0000-0000-0000-000000000000}">
            <xm:f>(60 * HOUR($AK$5) + MINUTE($AK$5)) &gt;(60 * HOUR(INDEX('1.Locations'!$G$2:$G$97,$AC$5 + 1)) +MINUTE(INDEX('1.Locations'!$G$2:$G$97,$AC$5 + 1)))</xm:f>
            <x14:dxf>
              <fill>
                <patternFill>
                  <bgColor indexed="10"/>
                </patternFill>
              </fill>
            </x14:dxf>
          </x14:cfRule>
          <xm:sqref>AK5</xm:sqref>
        </x14:conditionalFormatting>
        <x14:conditionalFormatting xmlns:xm="http://schemas.microsoft.com/office/excel/2006/main">
          <x14:cfRule type="cellIs" priority="443" stopIfTrue="1" operator="lessThan" id="{00000000-0000-0000-0000-000000000000}">
            <xm:f>INDEX('1.Locations'!$F$2:$F$97,$AC$6 + 1)</xm:f>
            <x14:dxf>
              <fill>
                <patternFill>
                  <bgColor indexed="52"/>
                </patternFill>
              </fill>
            </x14:dxf>
          </x14:cfRule>
          <xm:sqref>AJ6</xm:sqref>
        </x14:conditionalFormatting>
        <x14:conditionalFormatting xmlns:xm="http://schemas.microsoft.com/office/excel/2006/main">
          <x14:cfRule type="expression" priority="444" stopIfTrue="1" id="{00000000-0000-0000-0000-000000000000}">
            <xm:f>(60 * HOUR($AK$6) + MINUTE($AK$6)) &gt;(60 * HOUR(INDEX('1.Locations'!$G$2:$G$97,$AC$6 + 1)) +MINUTE(INDEX('1.Locations'!$G$2:$G$97,$AC$6 + 1)))</xm:f>
            <x14:dxf>
              <fill>
                <patternFill>
                  <bgColor indexed="10"/>
                </patternFill>
              </fill>
            </x14:dxf>
          </x14:cfRule>
          <xm:sqref>AK6</xm:sqref>
        </x14:conditionalFormatting>
        <x14:conditionalFormatting xmlns:xm="http://schemas.microsoft.com/office/excel/2006/main">
          <x14:cfRule type="cellIs" priority="445" stopIfTrue="1" operator="lessThan" id="{00000000-0000-0000-0000-000000000000}">
            <xm:f>INDEX('1.Locations'!$F$2:$F$97,$AC$7 + 1)</xm:f>
            <x14:dxf>
              <fill>
                <patternFill>
                  <bgColor indexed="52"/>
                </patternFill>
              </fill>
            </x14:dxf>
          </x14:cfRule>
          <xm:sqref>AJ7</xm:sqref>
        </x14:conditionalFormatting>
        <x14:conditionalFormatting xmlns:xm="http://schemas.microsoft.com/office/excel/2006/main">
          <x14:cfRule type="expression" priority="446" stopIfTrue="1" id="{00000000-0000-0000-0000-000000000000}">
            <xm:f>(60 * HOUR($AK$7) + MINUTE($AK$7)) &gt;(60 * HOUR(INDEX('1.Locations'!$G$2:$G$97,$AC$7 + 1)) +MINUTE(INDEX('1.Locations'!$G$2:$G$97,$AC$7 + 1)))</xm:f>
            <x14:dxf>
              <fill>
                <patternFill>
                  <bgColor indexed="10"/>
                </patternFill>
              </fill>
            </x14:dxf>
          </x14:cfRule>
          <xm:sqref>AK7</xm:sqref>
        </x14:conditionalFormatting>
        <x14:conditionalFormatting xmlns:xm="http://schemas.microsoft.com/office/excel/2006/main">
          <x14:cfRule type="cellIs" priority="447" stopIfTrue="1" operator="lessThan" id="{00000000-0000-0000-0000-000000000000}">
            <xm:f>INDEX('1.Locations'!$F$2:$F$97,$AC$8 + 1)</xm:f>
            <x14:dxf>
              <fill>
                <patternFill>
                  <bgColor indexed="52"/>
                </patternFill>
              </fill>
            </x14:dxf>
          </x14:cfRule>
          <xm:sqref>AJ8</xm:sqref>
        </x14:conditionalFormatting>
        <x14:conditionalFormatting xmlns:xm="http://schemas.microsoft.com/office/excel/2006/main">
          <x14:cfRule type="expression" priority="448" stopIfTrue="1" id="{00000000-0000-0000-0000-000000000000}">
            <xm:f>(60 * HOUR($AK$8) + MINUTE($AK$8)) &gt;(60 * HOUR(INDEX('1.Locations'!$G$2:$G$97,$AC$8 + 1)) +MINUTE(INDEX('1.Locations'!$G$2:$G$97,$AC$8 + 1)))</xm:f>
            <x14:dxf>
              <fill>
                <patternFill>
                  <bgColor indexed="10"/>
                </patternFill>
              </fill>
            </x14:dxf>
          </x14:cfRule>
          <xm:sqref>AK8</xm:sqref>
        </x14:conditionalFormatting>
        <x14:conditionalFormatting xmlns:xm="http://schemas.microsoft.com/office/excel/2006/main">
          <x14:cfRule type="cellIs" priority="449" stopIfTrue="1" operator="lessThan" id="{00000000-0000-0000-0000-000000000000}">
            <xm:f>INDEX('1.Locations'!$F$2:$F$97,$AC$9 + 1)</xm:f>
            <x14:dxf>
              <fill>
                <patternFill>
                  <bgColor indexed="52"/>
                </patternFill>
              </fill>
            </x14:dxf>
          </x14:cfRule>
          <xm:sqref>AJ9</xm:sqref>
        </x14:conditionalFormatting>
        <x14:conditionalFormatting xmlns:xm="http://schemas.microsoft.com/office/excel/2006/main">
          <x14:cfRule type="expression" priority="450" stopIfTrue="1" id="{00000000-0000-0000-0000-000000000000}">
            <xm:f>(60 * HOUR($AK$9) + MINUTE($AK$9)) &gt;(60 * HOUR(INDEX('1.Locations'!$G$2:$G$97,$AC$9 + 1)) +MINUTE(INDEX('1.Locations'!$G$2:$G$97,$AC$9 + 1)))</xm:f>
            <x14:dxf>
              <fill>
                <patternFill>
                  <bgColor indexed="10"/>
                </patternFill>
              </fill>
            </x14:dxf>
          </x14:cfRule>
          <xm:sqref>AK9</xm:sqref>
        </x14:conditionalFormatting>
        <x14:conditionalFormatting xmlns:xm="http://schemas.microsoft.com/office/excel/2006/main">
          <x14:cfRule type="cellIs" priority="451" stopIfTrue="1" operator="lessThan" id="{00000000-0000-0000-0000-000000000000}">
            <xm:f>INDEX('1.Locations'!$F$2:$F$97,$AC$10 + 1)</xm:f>
            <x14:dxf>
              <fill>
                <patternFill>
                  <bgColor indexed="52"/>
                </patternFill>
              </fill>
            </x14:dxf>
          </x14:cfRule>
          <xm:sqref>AJ10</xm:sqref>
        </x14:conditionalFormatting>
        <x14:conditionalFormatting xmlns:xm="http://schemas.microsoft.com/office/excel/2006/main">
          <x14:cfRule type="expression" priority="452" stopIfTrue="1" id="{00000000-0000-0000-0000-000000000000}">
            <xm:f>(60 * HOUR($AK$10) + MINUTE($AK$10)) &gt;(60 * HOUR(INDEX('1.Locations'!$G$2:$G$97,$AC$10 + 1)) +MINUTE(INDEX('1.Locations'!$G$2:$G$97,$AC$10 + 1)))</xm:f>
            <x14:dxf>
              <fill>
                <patternFill>
                  <bgColor indexed="10"/>
                </patternFill>
              </fill>
            </x14:dxf>
          </x14:cfRule>
          <xm:sqref>AK10</xm:sqref>
        </x14:conditionalFormatting>
        <x14:conditionalFormatting xmlns:xm="http://schemas.microsoft.com/office/excel/2006/main">
          <x14:cfRule type="cellIs" priority="453" stopIfTrue="1" operator="lessThan" id="{00000000-0000-0000-0000-000000000000}">
            <xm:f>INDEX('1.Locations'!$F$2:$F$97,$AC$11 + 1)</xm:f>
            <x14:dxf>
              <fill>
                <patternFill>
                  <bgColor indexed="52"/>
                </patternFill>
              </fill>
            </x14:dxf>
          </x14:cfRule>
          <xm:sqref>AJ11</xm:sqref>
        </x14:conditionalFormatting>
        <x14:conditionalFormatting xmlns:xm="http://schemas.microsoft.com/office/excel/2006/main">
          <x14:cfRule type="expression" priority="454" stopIfTrue="1" id="{00000000-0000-0000-0000-000000000000}">
            <xm:f>(60 * HOUR($AK$11) + MINUTE($AK$11)) &gt;(60 * HOUR(INDEX('1.Locations'!$G$2:$G$97,$AC$11 + 1)) +MINUTE(INDEX('1.Locations'!$G$2:$G$97,$AC$11 + 1)))</xm:f>
            <x14:dxf>
              <fill>
                <patternFill>
                  <bgColor indexed="10"/>
                </patternFill>
              </fill>
            </x14:dxf>
          </x14:cfRule>
          <xm:sqref>AK11</xm:sqref>
        </x14:conditionalFormatting>
        <x14:conditionalFormatting xmlns:xm="http://schemas.microsoft.com/office/excel/2006/main">
          <x14:cfRule type="cellIs" priority="455" stopIfTrue="1" operator="lessThan" id="{00000000-0000-0000-0000-000000000000}">
            <xm:f>INDEX('1.Locations'!$F$2:$F$97,$AC$12 + 1)</xm:f>
            <x14:dxf>
              <fill>
                <patternFill>
                  <bgColor indexed="52"/>
                </patternFill>
              </fill>
            </x14:dxf>
          </x14:cfRule>
          <xm:sqref>AJ12</xm:sqref>
        </x14:conditionalFormatting>
        <x14:conditionalFormatting xmlns:xm="http://schemas.microsoft.com/office/excel/2006/main">
          <x14:cfRule type="expression" priority="456" stopIfTrue="1" id="{00000000-0000-0000-0000-000000000000}">
            <xm:f>(60 * HOUR($AK$12) + MINUTE($AK$12)) &gt;(60 * HOUR(INDEX('1.Locations'!$G$2:$G$97,$AC$12 + 1)) +MINUTE(INDEX('1.Locations'!$G$2:$G$97,$AC$12 + 1)))</xm:f>
            <x14:dxf>
              <fill>
                <patternFill>
                  <bgColor indexed="10"/>
                </patternFill>
              </fill>
            </x14:dxf>
          </x14:cfRule>
          <xm:sqref>AK12</xm:sqref>
        </x14:conditionalFormatting>
        <x14:conditionalFormatting xmlns:xm="http://schemas.microsoft.com/office/excel/2006/main">
          <x14:cfRule type="cellIs" priority="457" stopIfTrue="1" operator="lessThan" id="{00000000-0000-0000-0000-000000000000}">
            <xm:f>INDEX('1.Locations'!$F$2:$F$97,$AC$13 + 1)</xm:f>
            <x14:dxf>
              <fill>
                <patternFill>
                  <bgColor indexed="52"/>
                </patternFill>
              </fill>
            </x14:dxf>
          </x14:cfRule>
          <xm:sqref>AJ13</xm:sqref>
        </x14:conditionalFormatting>
        <x14:conditionalFormatting xmlns:xm="http://schemas.microsoft.com/office/excel/2006/main">
          <x14:cfRule type="expression" priority="458" stopIfTrue="1" id="{00000000-0000-0000-0000-000000000000}">
            <xm:f>(60 * HOUR($AK$13) + MINUTE($AK$13)) &gt;(60 * HOUR(INDEX('1.Locations'!$G$2:$G$97,$AC$13 + 1)) +MINUTE(INDEX('1.Locations'!$G$2:$G$97,$AC$13 + 1)))</xm:f>
            <x14:dxf>
              <fill>
                <patternFill>
                  <bgColor indexed="10"/>
                </patternFill>
              </fill>
            </x14:dxf>
          </x14:cfRule>
          <xm:sqref>AK13</xm:sqref>
        </x14:conditionalFormatting>
        <x14:conditionalFormatting xmlns:xm="http://schemas.microsoft.com/office/excel/2006/main">
          <x14:cfRule type="cellIs" priority="459" stopIfTrue="1" operator="lessThan" id="{00000000-0000-0000-0000-000000000000}">
            <xm:f>INDEX('1.Locations'!$F$2:$F$97,$AC$14 + 1)</xm:f>
            <x14:dxf>
              <fill>
                <patternFill>
                  <bgColor indexed="52"/>
                </patternFill>
              </fill>
            </x14:dxf>
          </x14:cfRule>
          <xm:sqref>AJ14</xm:sqref>
        </x14:conditionalFormatting>
        <x14:conditionalFormatting xmlns:xm="http://schemas.microsoft.com/office/excel/2006/main">
          <x14:cfRule type="expression" priority="460" stopIfTrue="1" id="{00000000-0000-0000-0000-000000000000}">
            <xm:f>(60 * HOUR($AK$14) + MINUTE($AK$14)) &gt;(60 * HOUR(INDEX('1.Locations'!$G$2:$G$97,$AC$14 + 1)) +MINUTE(INDEX('1.Locations'!$G$2:$G$97,$AC$14 + 1)))</xm:f>
            <x14:dxf>
              <fill>
                <patternFill>
                  <bgColor indexed="10"/>
                </patternFill>
              </fill>
            </x14:dxf>
          </x14:cfRule>
          <xm:sqref>AK14</xm:sqref>
        </x14:conditionalFormatting>
        <x14:conditionalFormatting xmlns:xm="http://schemas.microsoft.com/office/excel/2006/main">
          <x14:cfRule type="cellIs" priority="461" stopIfTrue="1" operator="lessThan" id="{00000000-0000-0000-0000-000000000000}">
            <xm:f>INDEX('1.Locations'!$F$2:$F$97,$AC$15 + 1)</xm:f>
            <x14:dxf>
              <fill>
                <patternFill>
                  <bgColor indexed="52"/>
                </patternFill>
              </fill>
            </x14:dxf>
          </x14:cfRule>
          <xm:sqref>AJ15</xm:sqref>
        </x14:conditionalFormatting>
        <x14:conditionalFormatting xmlns:xm="http://schemas.microsoft.com/office/excel/2006/main">
          <x14:cfRule type="expression" priority="462" stopIfTrue="1" id="{00000000-0000-0000-0000-000000000000}">
            <xm:f>(60 * HOUR($AK$15) + MINUTE($AK$15)) &gt;(60 * HOUR(INDEX('1.Locations'!$G$2:$G$97,$AC$15 + 1)) +MINUTE(INDEX('1.Locations'!$G$2:$G$97,$AC$15 + 1)))</xm:f>
            <x14:dxf>
              <fill>
                <patternFill>
                  <bgColor indexed="10"/>
                </patternFill>
              </fill>
            </x14:dxf>
          </x14:cfRule>
          <xm:sqref>AK15</xm:sqref>
        </x14:conditionalFormatting>
        <x14:conditionalFormatting xmlns:xm="http://schemas.microsoft.com/office/excel/2006/main">
          <x14:cfRule type="cellIs" priority="463" stopIfTrue="1" operator="lessThan" id="{00000000-0000-0000-0000-000000000000}">
            <xm:f>INDEX('1.Locations'!$F$2:$F$97,$AC$16 + 1)</xm:f>
            <x14:dxf>
              <fill>
                <patternFill>
                  <bgColor indexed="52"/>
                </patternFill>
              </fill>
            </x14:dxf>
          </x14:cfRule>
          <xm:sqref>AJ16</xm:sqref>
        </x14:conditionalFormatting>
        <x14:conditionalFormatting xmlns:xm="http://schemas.microsoft.com/office/excel/2006/main">
          <x14:cfRule type="expression" priority="464" stopIfTrue="1" id="{00000000-0000-0000-0000-000000000000}">
            <xm:f>(60 * HOUR($AK$16) + MINUTE($AK$16)) &gt;(60 * HOUR(INDEX('1.Locations'!$G$2:$G$97,$AC$16 + 1)) +MINUTE(INDEX('1.Locations'!$G$2:$G$97,$AC$16 + 1)))</xm:f>
            <x14:dxf>
              <fill>
                <patternFill>
                  <bgColor indexed="10"/>
                </patternFill>
              </fill>
            </x14:dxf>
          </x14:cfRule>
          <xm:sqref>AK16</xm:sqref>
        </x14:conditionalFormatting>
        <x14:conditionalFormatting xmlns:xm="http://schemas.microsoft.com/office/excel/2006/main">
          <x14:cfRule type="cellIs" priority="465" stopIfTrue="1" operator="lessThan" id="{00000000-0000-0000-0000-000000000000}">
            <xm:f>INDEX('1.Locations'!$F$2:$F$97,$AC$17 + 1)</xm:f>
            <x14:dxf>
              <fill>
                <patternFill>
                  <bgColor indexed="52"/>
                </patternFill>
              </fill>
            </x14:dxf>
          </x14:cfRule>
          <xm:sqref>AJ17</xm:sqref>
        </x14:conditionalFormatting>
        <x14:conditionalFormatting xmlns:xm="http://schemas.microsoft.com/office/excel/2006/main">
          <x14:cfRule type="expression" priority="466" stopIfTrue="1" id="{00000000-0000-0000-0000-000000000000}">
            <xm:f>(60 * HOUR($AK$17) + MINUTE($AK$17)) &gt;(60 * HOUR(INDEX('1.Locations'!$G$2:$G$97,$AC$17 + 1)) +MINUTE(INDEX('1.Locations'!$G$2:$G$97,$AC$17 + 1)))</xm:f>
            <x14:dxf>
              <fill>
                <patternFill>
                  <bgColor indexed="10"/>
                </patternFill>
              </fill>
            </x14:dxf>
          </x14:cfRule>
          <xm:sqref>AK17</xm:sqref>
        </x14:conditionalFormatting>
        <x14:conditionalFormatting xmlns:xm="http://schemas.microsoft.com/office/excel/2006/main">
          <x14:cfRule type="cellIs" priority="467" stopIfTrue="1" operator="lessThan" id="{00000000-0000-0000-0000-000000000000}">
            <xm:f>INDEX('1.Locations'!$F$2:$F$97,$AC$18 + 1)</xm:f>
            <x14:dxf>
              <fill>
                <patternFill>
                  <bgColor indexed="52"/>
                </patternFill>
              </fill>
            </x14:dxf>
          </x14:cfRule>
          <xm:sqref>AJ18</xm:sqref>
        </x14:conditionalFormatting>
        <x14:conditionalFormatting xmlns:xm="http://schemas.microsoft.com/office/excel/2006/main">
          <x14:cfRule type="expression" priority="468" stopIfTrue="1" id="{00000000-0000-0000-0000-000000000000}">
            <xm:f>(60 * HOUR($AK$18) + MINUTE($AK$18)) &gt;(60 * HOUR(INDEX('1.Locations'!$G$2:$G$97,$AC$18 + 1)) +MINUTE(INDEX('1.Locations'!$G$2:$G$97,$AC$18 + 1)))</xm:f>
            <x14:dxf>
              <fill>
                <patternFill>
                  <bgColor indexed="10"/>
                </patternFill>
              </fill>
            </x14:dxf>
          </x14:cfRule>
          <xm:sqref>AK18</xm:sqref>
        </x14:conditionalFormatting>
        <x14:conditionalFormatting xmlns:xm="http://schemas.microsoft.com/office/excel/2006/main">
          <x14:cfRule type="cellIs" priority="469" stopIfTrue="1" operator="lessThan" id="{00000000-0000-0000-0000-000000000000}">
            <xm:f>INDEX('1.Locations'!$F$2:$F$97,$AC$19 + 1)</xm:f>
            <x14:dxf>
              <fill>
                <patternFill>
                  <bgColor indexed="52"/>
                </patternFill>
              </fill>
            </x14:dxf>
          </x14:cfRule>
          <xm:sqref>AJ19</xm:sqref>
        </x14:conditionalFormatting>
        <x14:conditionalFormatting xmlns:xm="http://schemas.microsoft.com/office/excel/2006/main">
          <x14:cfRule type="expression" priority="470" stopIfTrue="1" id="{00000000-0000-0000-0000-000000000000}">
            <xm:f>(60 * HOUR($AK$19) + MINUTE($AK$19)) &gt;(60 * HOUR(INDEX('1.Locations'!$G$2:$G$97,$AC$19 + 1)) +MINUTE(INDEX('1.Locations'!$G$2:$G$97,$AC$19 + 1)))</xm:f>
            <x14:dxf>
              <fill>
                <patternFill>
                  <bgColor indexed="10"/>
                </patternFill>
              </fill>
            </x14:dxf>
          </x14:cfRule>
          <xm:sqref>AK19</xm:sqref>
        </x14:conditionalFormatting>
        <x14:conditionalFormatting xmlns:xm="http://schemas.microsoft.com/office/excel/2006/main">
          <x14:cfRule type="cellIs" priority="471" stopIfTrue="1" operator="lessThan" id="{00000000-0000-0000-0000-000000000000}">
            <xm:f>INDEX('1.Locations'!$F$2:$F$97,$AC$20 + 1)</xm:f>
            <x14:dxf>
              <fill>
                <patternFill>
                  <bgColor indexed="52"/>
                </patternFill>
              </fill>
            </x14:dxf>
          </x14:cfRule>
          <xm:sqref>AJ20</xm:sqref>
        </x14:conditionalFormatting>
        <x14:conditionalFormatting xmlns:xm="http://schemas.microsoft.com/office/excel/2006/main">
          <x14:cfRule type="expression" priority="472" stopIfTrue="1" id="{00000000-0000-0000-0000-000000000000}">
            <xm:f>(60 * HOUR($AK$20) + MINUTE($AK$20)) &gt;(60 * HOUR(INDEX('1.Locations'!$G$2:$G$97,$AC$20 + 1)) +MINUTE(INDEX('1.Locations'!$G$2:$G$97,$AC$20 + 1)))</xm:f>
            <x14:dxf>
              <fill>
                <patternFill>
                  <bgColor indexed="10"/>
                </patternFill>
              </fill>
            </x14:dxf>
          </x14:cfRule>
          <xm:sqref>AK20</xm:sqref>
        </x14:conditionalFormatting>
        <x14:conditionalFormatting xmlns:xm="http://schemas.microsoft.com/office/excel/2006/main">
          <x14:cfRule type="cellIs" priority="473" stopIfTrue="1" operator="lessThan" id="{00000000-0000-0000-0000-000000000000}">
            <xm:f>INDEX('1.Locations'!$F$2:$F$97,$AC$21 + 1)</xm:f>
            <x14:dxf>
              <fill>
                <patternFill>
                  <bgColor indexed="52"/>
                </patternFill>
              </fill>
            </x14:dxf>
          </x14:cfRule>
          <xm:sqref>AJ21</xm:sqref>
        </x14:conditionalFormatting>
        <x14:conditionalFormatting xmlns:xm="http://schemas.microsoft.com/office/excel/2006/main">
          <x14:cfRule type="expression" priority="474" stopIfTrue="1" id="{00000000-0000-0000-0000-000000000000}">
            <xm:f>(60 * HOUR($AK$21) + MINUTE($AK$21)) &gt;(60 * HOUR(INDEX('1.Locations'!$G$2:$G$97,$AC$21 + 1)) +MINUTE(INDEX('1.Locations'!$G$2:$G$97,$AC$21 + 1)))</xm:f>
            <x14:dxf>
              <fill>
                <patternFill>
                  <bgColor indexed="10"/>
                </patternFill>
              </fill>
            </x14:dxf>
          </x14:cfRule>
          <xm:sqref>AK21</xm:sqref>
        </x14:conditionalFormatting>
        <x14:conditionalFormatting xmlns:xm="http://schemas.microsoft.com/office/excel/2006/main">
          <x14:cfRule type="cellIs" priority="475" stopIfTrue="1" operator="lessThan" id="{00000000-0000-0000-0000-000000000000}">
            <xm:f>INDEX('1.Locations'!$F$2:$F$97,$AC$22 + 1)</xm:f>
            <x14:dxf>
              <fill>
                <patternFill>
                  <bgColor indexed="52"/>
                </patternFill>
              </fill>
            </x14:dxf>
          </x14:cfRule>
          <xm:sqref>AJ22</xm:sqref>
        </x14:conditionalFormatting>
        <x14:conditionalFormatting xmlns:xm="http://schemas.microsoft.com/office/excel/2006/main">
          <x14:cfRule type="expression" priority="476" stopIfTrue="1" id="{00000000-0000-0000-0000-000000000000}">
            <xm:f>(60 * HOUR($AK$22) + MINUTE($AK$22)) &gt;(60 * HOUR(INDEX('1.Locations'!$G$2:$G$97,$AC$22 + 1)) +MINUTE(INDEX('1.Locations'!$G$2:$G$97,$AC$22 + 1)))</xm:f>
            <x14:dxf>
              <fill>
                <patternFill>
                  <bgColor indexed="10"/>
                </patternFill>
              </fill>
            </x14:dxf>
          </x14:cfRule>
          <xm:sqref>AK22</xm:sqref>
        </x14:conditionalFormatting>
        <x14:conditionalFormatting xmlns:xm="http://schemas.microsoft.com/office/excel/2006/main">
          <x14:cfRule type="cellIs" priority="477" stopIfTrue="1" operator="lessThan" id="{00000000-0000-0000-0000-000000000000}">
            <xm:f>INDEX('1.Locations'!$F$2:$F$97,$AC$23 + 1)</xm:f>
            <x14:dxf>
              <fill>
                <patternFill>
                  <bgColor indexed="52"/>
                </patternFill>
              </fill>
            </x14:dxf>
          </x14:cfRule>
          <xm:sqref>AJ23</xm:sqref>
        </x14:conditionalFormatting>
        <x14:conditionalFormatting xmlns:xm="http://schemas.microsoft.com/office/excel/2006/main">
          <x14:cfRule type="expression" priority="478" stopIfTrue="1" id="{00000000-0000-0000-0000-000000000000}">
            <xm:f>(60 * HOUR($AK$23) + MINUTE($AK$23)) &gt;(60 * HOUR(INDEX('1.Locations'!$G$2:$G$97,$AC$23 + 1)) +MINUTE(INDEX('1.Locations'!$G$2:$G$97,$AC$23 + 1)))</xm:f>
            <x14:dxf>
              <fill>
                <patternFill>
                  <bgColor indexed="10"/>
                </patternFill>
              </fill>
            </x14:dxf>
          </x14:cfRule>
          <xm:sqref>AK23</xm:sqref>
        </x14:conditionalFormatting>
        <x14:conditionalFormatting xmlns:xm="http://schemas.microsoft.com/office/excel/2006/main">
          <x14:cfRule type="cellIs" priority="479" stopIfTrue="1" operator="lessThan" id="{00000000-0000-0000-0000-000000000000}">
            <xm:f>INDEX('1.Locations'!$F$2:$F$97,$AC$24 + 1)</xm:f>
            <x14:dxf>
              <fill>
                <patternFill>
                  <bgColor indexed="52"/>
                </patternFill>
              </fill>
            </x14:dxf>
          </x14:cfRule>
          <xm:sqref>AJ24</xm:sqref>
        </x14:conditionalFormatting>
        <x14:conditionalFormatting xmlns:xm="http://schemas.microsoft.com/office/excel/2006/main">
          <x14:cfRule type="expression" priority="480" stopIfTrue="1" id="{00000000-0000-0000-0000-000000000000}">
            <xm:f>(60 * HOUR($AK$24) + MINUTE($AK$24)) &gt;(60 * HOUR(INDEX('1.Locations'!$G$2:$G$97,$AC$24 + 1)) +MINUTE(INDEX('1.Locations'!$G$2:$G$97,$AC$24 + 1)))</xm:f>
            <x14:dxf>
              <fill>
                <patternFill>
                  <bgColor indexed="10"/>
                </patternFill>
              </fill>
            </x14:dxf>
          </x14:cfRule>
          <xm:sqref>AK24</xm:sqref>
        </x14:conditionalFormatting>
        <x14:conditionalFormatting xmlns:xm="http://schemas.microsoft.com/office/excel/2006/main">
          <x14:cfRule type="cellIs" priority="481" stopIfTrue="1" operator="lessThan" id="{00000000-0000-0000-0000-000000000000}">
            <xm:f>INDEX('1.Locations'!$F$2:$F$97,$AC$25 + 1)</xm:f>
            <x14:dxf>
              <fill>
                <patternFill>
                  <bgColor indexed="52"/>
                </patternFill>
              </fill>
            </x14:dxf>
          </x14:cfRule>
          <xm:sqref>AJ25</xm:sqref>
        </x14:conditionalFormatting>
        <x14:conditionalFormatting xmlns:xm="http://schemas.microsoft.com/office/excel/2006/main">
          <x14:cfRule type="expression" priority="482" stopIfTrue="1" id="{00000000-0000-0000-0000-000000000000}">
            <xm:f>(60 * HOUR($AK$25) + MINUTE($AK$25)) &gt;(60 * HOUR(INDEX('1.Locations'!$G$2:$G$97,$AC$25 + 1)) +MINUTE(INDEX('1.Locations'!$G$2:$G$97,$AC$25 + 1)))</xm:f>
            <x14:dxf>
              <fill>
                <patternFill>
                  <bgColor indexed="10"/>
                </patternFill>
              </fill>
            </x14:dxf>
          </x14:cfRule>
          <xm:sqref>AK25</xm:sqref>
        </x14:conditionalFormatting>
        <x14:conditionalFormatting xmlns:xm="http://schemas.microsoft.com/office/excel/2006/main">
          <x14:cfRule type="cellIs" priority="483" stopIfTrue="1" operator="lessThan" id="{00000000-0000-0000-0000-000000000000}">
            <xm:f>INDEX('1.Locations'!$F$2:$F$97,$AC$26 + 1)</xm:f>
            <x14:dxf>
              <fill>
                <patternFill>
                  <bgColor indexed="52"/>
                </patternFill>
              </fill>
            </x14:dxf>
          </x14:cfRule>
          <xm:sqref>AJ26</xm:sqref>
        </x14:conditionalFormatting>
        <x14:conditionalFormatting xmlns:xm="http://schemas.microsoft.com/office/excel/2006/main">
          <x14:cfRule type="expression" priority="484" stopIfTrue="1" id="{00000000-0000-0000-0000-000000000000}">
            <xm:f>(60 * HOUR($AK$26) + MINUTE($AK$26)) &gt;(60 * HOUR(INDEX('1.Locations'!$G$2:$G$97,$AC$26 + 1)) +MINUTE(INDEX('1.Locations'!$G$2:$G$97,$AC$26 + 1)))</xm:f>
            <x14:dxf>
              <fill>
                <patternFill>
                  <bgColor indexed="10"/>
                </patternFill>
              </fill>
            </x14:dxf>
          </x14:cfRule>
          <xm:sqref>AK26</xm:sqref>
        </x14:conditionalFormatting>
        <x14:conditionalFormatting xmlns:xm="http://schemas.microsoft.com/office/excel/2006/main">
          <x14:cfRule type="cellIs" priority="485" stopIfTrue="1" operator="lessThan" id="{00000000-0000-0000-0000-000000000000}">
            <xm:f>INDEX('1.Locations'!$F$2:$F$97,$AC$27 + 1)</xm:f>
            <x14:dxf>
              <fill>
                <patternFill>
                  <bgColor indexed="52"/>
                </patternFill>
              </fill>
            </x14:dxf>
          </x14:cfRule>
          <xm:sqref>AJ27</xm:sqref>
        </x14:conditionalFormatting>
        <x14:conditionalFormatting xmlns:xm="http://schemas.microsoft.com/office/excel/2006/main">
          <x14:cfRule type="expression" priority="486" stopIfTrue="1" id="{00000000-0000-0000-0000-000000000000}">
            <xm:f>(60 * HOUR($AK$27) + MINUTE($AK$27)) &gt;(60 * HOUR(INDEX('1.Locations'!$G$2:$G$97,$AC$27 + 1)) +MINUTE(INDEX('1.Locations'!$G$2:$G$97,$AC$27 + 1)))</xm:f>
            <x14:dxf>
              <fill>
                <patternFill>
                  <bgColor indexed="10"/>
                </patternFill>
              </fill>
            </x14:dxf>
          </x14:cfRule>
          <xm:sqref>AK27</xm:sqref>
        </x14:conditionalFormatting>
        <x14:conditionalFormatting xmlns:xm="http://schemas.microsoft.com/office/excel/2006/main">
          <x14:cfRule type="cellIs" priority="487" stopIfTrue="1" operator="lessThan" id="{00000000-0000-0000-0000-000000000000}">
            <xm:f>INDEX('1.Locations'!$F$2:$F$97,$AC$28 + 1)</xm:f>
            <x14:dxf>
              <fill>
                <patternFill>
                  <bgColor indexed="52"/>
                </patternFill>
              </fill>
            </x14:dxf>
          </x14:cfRule>
          <xm:sqref>AJ28</xm:sqref>
        </x14:conditionalFormatting>
        <x14:conditionalFormatting xmlns:xm="http://schemas.microsoft.com/office/excel/2006/main">
          <x14:cfRule type="expression" priority="488" stopIfTrue="1" id="{00000000-0000-0000-0000-000000000000}">
            <xm:f>(60 * HOUR($AK$28) + MINUTE($AK$28)) &gt;(60 * HOUR(INDEX('1.Locations'!$G$2:$G$97,$AC$28 + 1)) +MINUTE(INDEX('1.Locations'!$G$2:$G$97,$AC$28 + 1)))</xm:f>
            <x14:dxf>
              <fill>
                <patternFill>
                  <bgColor indexed="10"/>
                </patternFill>
              </fill>
            </x14:dxf>
          </x14:cfRule>
          <xm:sqref>AK28</xm:sqref>
        </x14:conditionalFormatting>
        <x14:conditionalFormatting xmlns:xm="http://schemas.microsoft.com/office/excel/2006/main">
          <x14:cfRule type="cellIs" priority="489" stopIfTrue="1" operator="lessThan" id="{00000000-0000-0000-0000-000000000000}">
            <xm:f>INDEX('1.Locations'!$F$2:$F$97,$AC$29 + 1)</xm:f>
            <x14:dxf>
              <fill>
                <patternFill>
                  <bgColor indexed="52"/>
                </patternFill>
              </fill>
            </x14:dxf>
          </x14:cfRule>
          <xm:sqref>AJ29</xm:sqref>
        </x14:conditionalFormatting>
        <x14:conditionalFormatting xmlns:xm="http://schemas.microsoft.com/office/excel/2006/main">
          <x14:cfRule type="expression" priority="490" stopIfTrue="1" id="{00000000-0000-0000-0000-000000000000}">
            <xm:f>(60 * HOUR($AK$29) + MINUTE($AK$29)) &gt;(60 * HOUR(INDEX('1.Locations'!$G$2:$G$97,$AC$29 + 1)) +MINUTE(INDEX('1.Locations'!$G$2:$G$97,$AC$29 + 1)))</xm:f>
            <x14:dxf>
              <fill>
                <patternFill>
                  <bgColor indexed="10"/>
                </patternFill>
              </fill>
            </x14:dxf>
          </x14:cfRule>
          <xm:sqref>AK29</xm:sqref>
        </x14:conditionalFormatting>
        <x14:conditionalFormatting xmlns:xm="http://schemas.microsoft.com/office/excel/2006/main">
          <x14:cfRule type="cellIs" priority="491" stopIfTrue="1" operator="lessThan" id="{00000000-0000-0000-0000-000000000000}">
            <xm:f>INDEX('1.Locations'!$F$2:$F$97,$AC$30 + 1)</xm:f>
            <x14:dxf>
              <fill>
                <patternFill>
                  <bgColor indexed="52"/>
                </patternFill>
              </fill>
            </x14:dxf>
          </x14:cfRule>
          <xm:sqref>AJ30</xm:sqref>
        </x14:conditionalFormatting>
        <x14:conditionalFormatting xmlns:xm="http://schemas.microsoft.com/office/excel/2006/main">
          <x14:cfRule type="expression" priority="492" stopIfTrue="1" id="{00000000-0000-0000-0000-000000000000}">
            <xm:f>(60 * HOUR($AK$30) + MINUTE($AK$30)) &gt;(60 * HOUR(INDEX('1.Locations'!$G$2:$G$97,$AC$30 + 1)) +MINUTE(INDEX('1.Locations'!$G$2:$G$97,$AC$30 + 1)))</xm:f>
            <x14:dxf>
              <fill>
                <patternFill>
                  <bgColor indexed="10"/>
                </patternFill>
              </fill>
            </x14:dxf>
          </x14:cfRule>
          <xm:sqref>AK30</xm:sqref>
        </x14:conditionalFormatting>
        <x14:conditionalFormatting xmlns:xm="http://schemas.microsoft.com/office/excel/2006/main">
          <x14:cfRule type="cellIs" priority="493" stopIfTrue="1" operator="lessThan" id="{00000000-0000-0000-0000-000000000000}">
            <xm:f>INDEX('1.Locations'!$F$2:$F$97,$AC$31 + 1)</xm:f>
            <x14:dxf>
              <fill>
                <patternFill>
                  <bgColor indexed="52"/>
                </patternFill>
              </fill>
            </x14:dxf>
          </x14:cfRule>
          <xm:sqref>AJ31</xm:sqref>
        </x14:conditionalFormatting>
        <x14:conditionalFormatting xmlns:xm="http://schemas.microsoft.com/office/excel/2006/main">
          <x14:cfRule type="expression" priority="494" stopIfTrue="1" id="{00000000-0000-0000-0000-000000000000}">
            <xm:f>(60 * HOUR($AK$31) + MINUTE($AK$31)) &gt;(60 * HOUR(INDEX('1.Locations'!$G$2:$G$97,$AC$31 + 1)) +MINUTE(INDEX('1.Locations'!$G$2:$G$97,$AC$31 + 1)))</xm:f>
            <x14:dxf>
              <fill>
                <patternFill>
                  <bgColor indexed="10"/>
                </patternFill>
              </fill>
            </x14:dxf>
          </x14:cfRule>
          <xm:sqref>AK31</xm:sqref>
        </x14:conditionalFormatting>
        <x14:conditionalFormatting xmlns:xm="http://schemas.microsoft.com/office/excel/2006/main">
          <x14:cfRule type="cellIs" priority="495" stopIfTrue="1" operator="lessThan" id="{00000000-0000-0000-0000-000000000000}">
            <xm:f>INDEX('1.Locations'!$F$2:$F$97,$AC$32 + 1)</xm:f>
            <x14:dxf>
              <fill>
                <patternFill>
                  <bgColor indexed="52"/>
                </patternFill>
              </fill>
            </x14:dxf>
          </x14:cfRule>
          <xm:sqref>AJ32</xm:sqref>
        </x14:conditionalFormatting>
        <x14:conditionalFormatting xmlns:xm="http://schemas.microsoft.com/office/excel/2006/main">
          <x14:cfRule type="expression" priority="496" stopIfTrue="1" id="{00000000-0000-0000-0000-000000000000}">
            <xm:f>(60 * HOUR($AK$32) + MINUTE($AK$32)) &gt;(60 * HOUR(INDEX('1.Locations'!$G$2:$G$97,$AC$32 + 1)) +MINUTE(INDEX('1.Locations'!$G$2:$G$97,$AC$32 + 1)))</xm:f>
            <x14:dxf>
              <fill>
                <patternFill>
                  <bgColor indexed="10"/>
                </patternFill>
              </fill>
            </x14:dxf>
          </x14:cfRule>
          <xm:sqref>AK32</xm:sqref>
        </x14:conditionalFormatting>
        <x14:conditionalFormatting xmlns:xm="http://schemas.microsoft.com/office/excel/2006/main">
          <x14:cfRule type="cellIs" priority="497" stopIfTrue="1" operator="lessThan" id="{00000000-0000-0000-0000-000000000000}">
            <xm:f>INDEX('1.Locations'!$F$2:$F$97,$AC$33 + 1)</xm:f>
            <x14:dxf>
              <fill>
                <patternFill>
                  <bgColor indexed="52"/>
                </patternFill>
              </fill>
            </x14:dxf>
          </x14:cfRule>
          <xm:sqref>AJ33</xm:sqref>
        </x14:conditionalFormatting>
        <x14:conditionalFormatting xmlns:xm="http://schemas.microsoft.com/office/excel/2006/main">
          <x14:cfRule type="expression" priority="498" stopIfTrue="1" id="{00000000-0000-0000-0000-000000000000}">
            <xm:f>(60 * HOUR($AK$33) + MINUTE($AK$33)) &gt;(60 * HOUR(INDEX('1.Locations'!$G$2:$G$97,$AC$33 + 1)) +MINUTE(INDEX('1.Locations'!$G$2:$G$97,$AC$33 + 1)))</xm:f>
            <x14:dxf>
              <fill>
                <patternFill>
                  <bgColor indexed="10"/>
                </patternFill>
              </fill>
            </x14:dxf>
          </x14:cfRule>
          <xm:sqref>AK33</xm:sqref>
        </x14:conditionalFormatting>
        <x14:conditionalFormatting xmlns:xm="http://schemas.microsoft.com/office/excel/2006/main">
          <x14:cfRule type="cellIs" priority="499" stopIfTrue="1" operator="lessThan" id="{00000000-0000-0000-0000-000000000000}">
            <xm:f>INDEX('1.Locations'!$F$2:$F$97,$AC$34 + 1)</xm:f>
            <x14:dxf>
              <fill>
                <patternFill>
                  <bgColor indexed="52"/>
                </patternFill>
              </fill>
            </x14:dxf>
          </x14:cfRule>
          <xm:sqref>AJ34</xm:sqref>
        </x14:conditionalFormatting>
        <x14:conditionalFormatting xmlns:xm="http://schemas.microsoft.com/office/excel/2006/main">
          <x14:cfRule type="expression" priority="500" stopIfTrue="1" id="{00000000-0000-0000-0000-000000000000}">
            <xm:f>(60 * HOUR($AK$34) + MINUTE($AK$34)) &gt;(60 * HOUR(INDEX('1.Locations'!$G$2:$G$97,$AC$34 + 1)) +MINUTE(INDEX('1.Locations'!$G$2:$G$97,$AC$34 + 1)))</xm:f>
            <x14:dxf>
              <fill>
                <patternFill>
                  <bgColor indexed="10"/>
                </patternFill>
              </fill>
            </x14:dxf>
          </x14:cfRule>
          <xm:sqref>AK34</xm:sqref>
        </x14:conditionalFormatting>
        <x14:conditionalFormatting xmlns:xm="http://schemas.microsoft.com/office/excel/2006/main">
          <x14:cfRule type="cellIs" priority="501" stopIfTrue="1" operator="lessThan" id="{00000000-0000-0000-0000-000000000000}">
            <xm:f>INDEX('1.Locations'!$F$2:$F$97,$AC$35 + 1)</xm:f>
            <x14:dxf>
              <fill>
                <patternFill>
                  <bgColor indexed="52"/>
                </patternFill>
              </fill>
            </x14:dxf>
          </x14:cfRule>
          <xm:sqref>AJ35</xm:sqref>
        </x14:conditionalFormatting>
        <x14:conditionalFormatting xmlns:xm="http://schemas.microsoft.com/office/excel/2006/main">
          <x14:cfRule type="expression" priority="502" stopIfTrue="1" id="{00000000-0000-0000-0000-000000000000}">
            <xm:f>(60 * HOUR($AK$35) + MINUTE($AK$35)) &gt;(60 * HOUR(INDEX('1.Locations'!$G$2:$G$97,$AC$35 + 1)) +MINUTE(INDEX('1.Locations'!$G$2:$G$97,$AC$35 + 1)))</xm:f>
            <x14:dxf>
              <fill>
                <patternFill>
                  <bgColor indexed="10"/>
                </patternFill>
              </fill>
            </x14:dxf>
          </x14:cfRule>
          <xm:sqref>AK35</xm:sqref>
        </x14:conditionalFormatting>
        <x14:conditionalFormatting xmlns:xm="http://schemas.microsoft.com/office/excel/2006/main">
          <x14:cfRule type="cellIs" priority="503" stopIfTrue="1" operator="lessThan" id="{00000000-0000-0000-0000-000000000000}">
            <xm:f>INDEX('1.Locations'!$F$2:$F$97,$AC$36 + 1)</xm:f>
            <x14:dxf>
              <fill>
                <patternFill>
                  <bgColor indexed="52"/>
                </patternFill>
              </fill>
            </x14:dxf>
          </x14:cfRule>
          <xm:sqref>AJ36</xm:sqref>
        </x14:conditionalFormatting>
        <x14:conditionalFormatting xmlns:xm="http://schemas.microsoft.com/office/excel/2006/main">
          <x14:cfRule type="expression" priority="504" stopIfTrue="1" id="{00000000-0000-0000-0000-000000000000}">
            <xm:f>(60 * HOUR($AK$36) + MINUTE($AK$36)) &gt;(60 * HOUR(INDEX('1.Locations'!$G$2:$G$97,$AC$36 + 1)) +MINUTE(INDEX('1.Locations'!$G$2:$G$97,$AC$36 + 1)))</xm:f>
            <x14:dxf>
              <fill>
                <patternFill>
                  <bgColor indexed="10"/>
                </patternFill>
              </fill>
            </x14:dxf>
          </x14:cfRule>
          <xm:sqref>AK36</xm:sqref>
        </x14:conditionalFormatting>
        <x14:conditionalFormatting xmlns:xm="http://schemas.microsoft.com/office/excel/2006/main">
          <x14:cfRule type="cellIs" priority="505" stopIfTrue="1" operator="lessThan" id="{00000000-0000-0000-0000-000000000000}">
            <xm:f>INDEX('1.Locations'!$F$2:$F$97,$AC$37 + 1)</xm:f>
            <x14:dxf>
              <fill>
                <patternFill>
                  <bgColor indexed="52"/>
                </patternFill>
              </fill>
            </x14:dxf>
          </x14:cfRule>
          <xm:sqref>AJ37</xm:sqref>
        </x14:conditionalFormatting>
        <x14:conditionalFormatting xmlns:xm="http://schemas.microsoft.com/office/excel/2006/main">
          <x14:cfRule type="expression" priority="506" stopIfTrue="1" id="{00000000-0000-0000-0000-000000000000}">
            <xm:f>(60 * HOUR($AK$37) + MINUTE($AK$37)) &gt;(60 * HOUR(INDEX('1.Locations'!$G$2:$G$97,$AC$37 + 1)) +MINUTE(INDEX('1.Locations'!$G$2:$G$97,$AC$37 + 1)))</xm:f>
            <x14:dxf>
              <fill>
                <patternFill>
                  <bgColor indexed="10"/>
                </patternFill>
              </fill>
            </x14:dxf>
          </x14:cfRule>
          <xm:sqref>AK37</xm:sqref>
        </x14:conditionalFormatting>
        <x14:conditionalFormatting xmlns:xm="http://schemas.microsoft.com/office/excel/2006/main">
          <x14:cfRule type="cellIs" priority="507" stopIfTrue="1" operator="lessThan" id="{00000000-0000-0000-0000-000000000000}">
            <xm:f>INDEX('1.Locations'!$F$2:$F$97,$AC$38 + 1)</xm:f>
            <x14:dxf>
              <fill>
                <patternFill>
                  <bgColor indexed="52"/>
                </patternFill>
              </fill>
            </x14:dxf>
          </x14:cfRule>
          <xm:sqref>AJ38</xm:sqref>
        </x14:conditionalFormatting>
        <x14:conditionalFormatting xmlns:xm="http://schemas.microsoft.com/office/excel/2006/main">
          <x14:cfRule type="expression" priority="508" stopIfTrue="1" id="{00000000-0000-0000-0000-000000000000}">
            <xm:f>(60 * HOUR($AK$38) + MINUTE($AK$38)) &gt;(60 * HOUR(INDEX('1.Locations'!$G$2:$G$97,$AC$38 + 1)) +MINUTE(INDEX('1.Locations'!$G$2:$G$97,$AC$38 + 1)))</xm:f>
            <x14:dxf>
              <fill>
                <patternFill>
                  <bgColor indexed="10"/>
                </patternFill>
              </fill>
            </x14:dxf>
          </x14:cfRule>
          <xm:sqref>AK38</xm:sqref>
        </x14:conditionalFormatting>
        <x14:conditionalFormatting xmlns:xm="http://schemas.microsoft.com/office/excel/2006/main">
          <x14:cfRule type="cellIs" priority="509" stopIfTrue="1" operator="lessThan" id="{00000000-0000-0000-0000-000000000000}">
            <xm:f>INDEX('1.Locations'!$F$2:$F$97,$AC$39 + 1)</xm:f>
            <x14:dxf>
              <fill>
                <patternFill>
                  <bgColor indexed="52"/>
                </patternFill>
              </fill>
            </x14:dxf>
          </x14:cfRule>
          <xm:sqref>AJ39</xm:sqref>
        </x14:conditionalFormatting>
        <x14:conditionalFormatting xmlns:xm="http://schemas.microsoft.com/office/excel/2006/main">
          <x14:cfRule type="expression" priority="510" stopIfTrue="1" id="{00000000-0000-0000-0000-000000000000}">
            <xm:f>(60 * HOUR($AK$39) + MINUTE($AK$39)) &gt;(60 * HOUR(INDEX('1.Locations'!$G$2:$G$97,$AC$39 + 1)) +MINUTE(INDEX('1.Locations'!$G$2:$G$97,$AC$39 + 1)))</xm:f>
            <x14:dxf>
              <fill>
                <patternFill>
                  <bgColor indexed="10"/>
                </patternFill>
              </fill>
            </x14:dxf>
          </x14:cfRule>
          <xm:sqref>AK39</xm:sqref>
        </x14:conditionalFormatting>
        <x14:conditionalFormatting xmlns:xm="http://schemas.microsoft.com/office/excel/2006/main">
          <x14:cfRule type="cellIs" priority="511" stopIfTrue="1" operator="lessThan" id="{00000000-0000-0000-0000-000000000000}">
            <xm:f>INDEX('1.Locations'!$F$2:$F$97,$AC$40 + 1)</xm:f>
            <x14:dxf>
              <fill>
                <patternFill>
                  <bgColor indexed="52"/>
                </patternFill>
              </fill>
            </x14:dxf>
          </x14:cfRule>
          <xm:sqref>AJ40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(60 * HOUR($AK$40) + MINUTE($AK$40)) &gt;(60 * HOUR(INDEX('1.Locations'!$G$2:$G$97,$AC$40 + 1)) +MINUTE(INDEX('1.Locations'!$G$2:$G$97,$AC$40 + 1)))</xm:f>
            <x14:dxf>
              <fill>
                <patternFill>
                  <bgColor indexed="10"/>
                </patternFill>
              </fill>
            </x14:dxf>
          </x14:cfRule>
          <xm:sqref>AK40</xm:sqref>
        </x14:conditionalFormatting>
        <x14:conditionalFormatting xmlns:xm="http://schemas.microsoft.com/office/excel/2006/main">
          <x14:cfRule type="cellIs" priority="513" stopIfTrue="1" operator="lessThan" id="{00000000-0000-0000-0000-000000000000}">
            <xm:f>INDEX('1.Locations'!$F$2:$F$97,$AC$41 + 1)</xm:f>
            <x14:dxf>
              <fill>
                <patternFill>
                  <bgColor indexed="52"/>
                </patternFill>
              </fill>
            </x14:dxf>
          </x14:cfRule>
          <xm:sqref>AJ41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(60 * HOUR($AK$41) + MINUTE($AK$41)) &gt;(60 * HOUR(INDEX('1.Locations'!$G$2:$G$97,$AC$41 + 1)) +MINUTE(INDEX('1.Locations'!$G$2:$G$97,$AC$41 + 1)))</xm:f>
            <x14:dxf>
              <fill>
                <patternFill>
                  <bgColor indexed="10"/>
                </patternFill>
              </fill>
            </x14:dxf>
          </x14:cfRule>
          <xm:sqref>AK41</xm:sqref>
        </x14:conditionalFormatting>
        <x14:conditionalFormatting xmlns:xm="http://schemas.microsoft.com/office/excel/2006/main">
          <x14:cfRule type="cellIs" priority="515" stopIfTrue="1" operator="lessThan" id="{00000000-0000-0000-0000-000000000000}">
            <xm:f>INDEX('1.Locations'!$F$2:$F$97,$AC$42 + 1)</xm:f>
            <x14:dxf>
              <fill>
                <patternFill>
                  <bgColor indexed="52"/>
                </patternFill>
              </fill>
            </x14:dxf>
          </x14:cfRule>
          <xm:sqref>AJ42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(60 * HOUR($AK$42) + MINUTE($AK$42)) &gt;(60 * HOUR(INDEX('1.Locations'!$G$2:$G$97,$AC$42 + 1)) +MINUTE(INDEX('1.Locations'!$G$2:$G$97,$AC$42 + 1)))</xm:f>
            <x14:dxf>
              <fill>
                <patternFill>
                  <bgColor indexed="10"/>
                </patternFill>
              </fill>
            </x14:dxf>
          </x14:cfRule>
          <xm:sqref>AK42</xm:sqref>
        </x14:conditionalFormatting>
        <x14:conditionalFormatting xmlns:xm="http://schemas.microsoft.com/office/excel/2006/main">
          <x14:cfRule type="cellIs" priority="517" stopIfTrue="1" operator="lessThan" id="{00000000-0000-0000-0000-000000000000}">
            <xm:f>INDEX('1.Locations'!$F$2:$F$97,$AC$43 + 1)</xm:f>
            <x14:dxf>
              <fill>
                <patternFill>
                  <bgColor indexed="52"/>
                </patternFill>
              </fill>
            </x14:dxf>
          </x14:cfRule>
          <xm:sqref>AJ43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(60 * HOUR($AK$43) + MINUTE($AK$43)) &gt;(60 * HOUR(INDEX('1.Locations'!$G$2:$G$97,$AC$43 + 1)) +MINUTE(INDEX('1.Locations'!$G$2:$G$97,$AC$43 + 1)))</xm:f>
            <x14:dxf>
              <fill>
                <patternFill>
                  <bgColor indexed="10"/>
                </patternFill>
              </fill>
            </x14:dxf>
          </x14:cfRule>
          <xm:sqref>AK43</xm:sqref>
        </x14:conditionalFormatting>
        <x14:conditionalFormatting xmlns:xm="http://schemas.microsoft.com/office/excel/2006/main">
          <x14:cfRule type="cellIs" priority="519" stopIfTrue="1" operator="lessThan" id="{00000000-0000-0000-0000-000000000000}">
            <xm:f>INDEX('1.Locations'!$F$2:$F$97,$AC$44 + 1)</xm:f>
            <x14:dxf>
              <fill>
                <patternFill>
                  <bgColor indexed="52"/>
                </patternFill>
              </fill>
            </x14:dxf>
          </x14:cfRule>
          <xm:sqref>AJ44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(60 * HOUR($AK$44) + MINUTE($AK$44)) &gt;(60 * HOUR(INDEX('1.Locations'!$G$2:$G$97,$AC$44 + 1)) +MINUTE(INDEX('1.Locations'!$G$2:$G$97,$AC$44 + 1)))</xm:f>
            <x14:dxf>
              <fill>
                <patternFill>
                  <bgColor indexed="10"/>
                </patternFill>
              </fill>
            </x14:dxf>
          </x14:cfRule>
          <xm:sqref>AK44</xm:sqref>
        </x14:conditionalFormatting>
        <x14:conditionalFormatting xmlns:xm="http://schemas.microsoft.com/office/excel/2006/main">
          <x14:cfRule type="cellIs" priority="521" stopIfTrue="1" operator="lessThan" id="{00000000-0000-0000-0000-000000000000}">
            <xm:f>INDEX('1.Locations'!$F$2:$F$97,$AC$45 + 1)</xm:f>
            <x14:dxf>
              <fill>
                <patternFill>
                  <bgColor indexed="52"/>
                </patternFill>
              </fill>
            </x14:dxf>
          </x14:cfRule>
          <xm:sqref>AJ45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(60 * HOUR($AK$45) + MINUTE($AK$45)) &gt;(60 * HOUR(INDEX('1.Locations'!$G$2:$G$97,$AC$45 + 1)) +MINUTE(INDEX('1.Locations'!$G$2:$G$97,$AC$45 + 1)))</xm:f>
            <x14:dxf>
              <fill>
                <patternFill>
                  <bgColor indexed="10"/>
                </patternFill>
              </fill>
            </x14:dxf>
          </x14:cfRule>
          <xm:sqref>AK45</xm:sqref>
        </x14:conditionalFormatting>
        <x14:conditionalFormatting xmlns:xm="http://schemas.microsoft.com/office/excel/2006/main">
          <x14:cfRule type="cellIs" priority="523" stopIfTrue="1" operator="lessThan" id="{00000000-0000-0000-0000-000000000000}">
            <xm:f>INDEX('1.Locations'!$F$2:$F$97,$AC$46 + 1)</xm:f>
            <x14:dxf>
              <fill>
                <patternFill>
                  <bgColor indexed="52"/>
                </patternFill>
              </fill>
            </x14:dxf>
          </x14:cfRule>
          <xm:sqref>AJ46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(60 * HOUR($AK$46) + MINUTE($AK$46)) &gt;(60 * HOUR(INDEX('1.Locations'!$G$2:$G$97,$AC$46 + 1)) +MINUTE(INDEX('1.Locations'!$G$2:$G$97,$AC$46 + 1)))</xm:f>
            <x14:dxf>
              <fill>
                <patternFill>
                  <bgColor indexed="10"/>
                </patternFill>
              </fill>
            </x14:dxf>
          </x14:cfRule>
          <xm:sqref>AK46</xm:sqref>
        </x14:conditionalFormatting>
        <x14:conditionalFormatting xmlns:xm="http://schemas.microsoft.com/office/excel/2006/main">
          <x14:cfRule type="cellIs" priority="525" stopIfTrue="1" operator="lessThan" id="{00000000-0000-0000-0000-000000000000}">
            <xm:f>INDEX('1.Locations'!$F$2:$F$97,$AC$47 + 1)</xm:f>
            <x14:dxf>
              <fill>
                <patternFill>
                  <bgColor indexed="52"/>
                </patternFill>
              </fill>
            </x14:dxf>
          </x14:cfRule>
          <xm:sqref>AJ47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(60 * HOUR($AK$47) + MINUTE($AK$47)) &gt;(60 * HOUR(INDEX('1.Locations'!$G$2:$G$97,$AC$47 + 1)) +MINUTE(INDEX('1.Locations'!$G$2:$G$97,$AC$47 + 1)))</xm:f>
            <x14:dxf>
              <fill>
                <patternFill>
                  <bgColor indexed="10"/>
                </patternFill>
              </fill>
            </x14:dxf>
          </x14:cfRule>
          <xm:sqref>AK47</xm:sqref>
        </x14:conditionalFormatting>
        <x14:conditionalFormatting xmlns:xm="http://schemas.microsoft.com/office/excel/2006/main">
          <x14:cfRule type="cellIs" priority="527" stopIfTrue="1" operator="lessThan" id="{00000000-0000-0000-0000-000000000000}">
            <xm:f>INDEX('1.Locations'!$F$2:$F$97,$AC$48 + 1)</xm:f>
            <x14:dxf>
              <fill>
                <patternFill>
                  <bgColor indexed="52"/>
                </patternFill>
              </fill>
            </x14:dxf>
          </x14:cfRule>
          <xm:sqref>AJ48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(60 * HOUR($AK$48) + MINUTE($AK$48)) &gt;(60 * HOUR(INDEX('1.Locations'!$G$2:$G$97,$AC$48 + 1)) +MINUTE(INDEX('1.Locations'!$G$2:$G$97,$AC$48 + 1)))</xm:f>
            <x14:dxf>
              <fill>
                <patternFill>
                  <bgColor indexed="10"/>
                </patternFill>
              </fill>
            </x14:dxf>
          </x14:cfRule>
          <xm:sqref>AK48</xm:sqref>
        </x14:conditionalFormatting>
        <x14:conditionalFormatting xmlns:xm="http://schemas.microsoft.com/office/excel/2006/main">
          <x14:cfRule type="cellIs" priority="529" stopIfTrue="1" operator="lessThan" id="{00000000-0000-0000-0000-000000000000}">
            <xm:f>INDEX('1.Locations'!$F$2:$F$97,$AC$49 + 1)</xm:f>
            <x14:dxf>
              <fill>
                <patternFill>
                  <bgColor indexed="52"/>
                </patternFill>
              </fill>
            </x14:dxf>
          </x14:cfRule>
          <xm:sqref>AJ49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(60 * HOUR($AK$49) + MINUTE($AK$49)) &gt;(60 * HOUR(INDEX('1.Locations'!$G$2:$G$97,$AC$49 + 1)) +MINUTE(INDEX('1.Locations'!$G$2:$G$97,$AC$49 + 1)))</xm:f>
            <x14:dxf>
              <fill>
                <patternFill>
                  <bgColor indexed="10"/>
                </patternFill>
              </fill>
            </x14:dxf>
          </x14:cfRule>
          <xm:sqref>AK49</xm:sqref>
        </x14:conditionalFormatting>
        <x14:conditionalFormatting xmlns:xm="http://schemas.microsoft.com/office/excel/2006/main">
          <x14:cfRule type="cellIs" priority="531" stopIfTrue="1" operator="lessThan" id="{00000000-0000-0000-0000-000000000000}">
            <xm:f>INDEX('1.Locations'!$F$2:$F$97,$AC$50 + 1)</xm:f>
            <x14:dxf>
              <fill>
                <patternFill>
                  <bgColor indexed="52"/>
                </patternFill>
              </fill>
            </x14:dxf>
          </x14:cfRule>
          <xm:sqref>AJ50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(60 * HOUR($AK$50) + MINUTE($AK$50)) &gt;(60 * HOUR(INDEX('1.Locations'!$G$2:$G$97,$AC$50 + 1)) +MINUTE(INDEX('1.Locations'!$G$2:$G$97,$AC$50 + 1)))</xm:f>
            <x14:dxf>
              <fill>
                <patternFill>
                  <bgColor indexed="10"/>
                </patternFill>
              </fill>
            </x14:dxf>
          </x14:cfRule>
          <xm:sqref>AK50</xm:sqref>
        </x14:conditionalFormatting>
        <x14:conditionalFormatting xmlns:xm="http://schemas.microsoft.com/office/excel/2006/main">
          <x14:cfRule type="cellIs" priority="533" stopIfTrue="1" operator="lessThan" id="{00000000-0000-0000-0000-000000000000}">
            <xm:f>INDEX('1.Locations'!$F$2:$F$97,$AC$51 + 1)</xm:f>
            <x14:dxf>
              <fill>
                <patternFill>
                  <bgColor indexed="52"/>
                </patternFill>
              </fill>
            </x14:dxf>
          </x14:cfRule>
          <xm:sqref>AJ51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(60 * HOUR($AK$51) + MINUTE($AK$51)) &gt;(60 * HOUR(INDEX('1.Locations'!$G$2:$G$97,$AC$51 + 1)) +MINUTE(INDEX('1.Locations'!$G$2:$G$97,$AC$51 + 1)))</xm:f>
            <x14:dxf>
              <fill>
                <patternFill>
                  <bgColor indexed="10"/>
                </patternFill>
              </fill>
            </x14:dxf>
          </x14:cfRule>
          <xm:sqref>AK51</xm:sqref>
        </x14:conditionalFormatting>
        <x14:conditionalFormatting xmlns:xm="http://schemas.microsoft.com/office/excel/2006/main">
          <x14:cfRule type="cellIs" priority="535" stopIfTrue="1" operator="lessThan" id="{00000000-0000-0000-0000-000000000000}">
            <xm:f>INDEX('1.Locations'!$F$2:$F$97,$AC$52 + 1)</xm:f>
            <x14:dxf>
              <fill>
                <patternFill>
                  <bgColor indexed="52"/>
                </patternFill>
              </fill>
            </x14:dxf>
          </x14:cfRule>
          <xm:sqref>AJ52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(60 * HOUR($AK$52) + MINUTE($AK$52)) &gt;(60 * HOUR(INDEX('1.Locations'!$G$2:$G$97,$AC$52 + 1)) +MINUTE(INDEX('1.Locations'!$G$2:$G$97,$AC$52 + 1)))</xm:f>
            <x14:dxf>
              <fill>
                <patternFill>
                  <bgColor indexed="10"/>
                </patternFill>
              </fill>
            </x14:dxf>
          </x14:cfRule>
          <xm:sqref>AK52</xm:sqref>
        </x14:conditionalFormatting>
        <x14:conditionalFormatting xmlns:xm="http://schemas.microsoft.com/office/excel/2006/main">
          <x14:cfRule type="cellIs" priority="537" stopIfTrue="1" operator="lessThan" id="{00000000-0000-0000-0000-000000000000}">
            <xm:f>INDEX('1.Locations'!$F$2:$F$97,$AC$53 + 1)</xm:f>
            <x14:dxf>
              <fill>
                <patternFill>
                  <bgColor indexed="52"/>
                </patternFill>
              </fill>
            </x14:dxf>
          </x14:cfRule>
          <xm:sqref>AJ53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(60 * HOUR($AK$53) + MINUTE($AK$53)) &gt;(60 * HOUR(INDEX('1.Locations'!$G$2:$G$97,$AC$53 + 1)) +MINUTE(INDEX('1.Locations'!$G$2:$G$97,$AC$53 + 1)))</xm:f>
            <x14:dxf>
              <fill>
                <patternFill>
                  <bgColor indexed="10"/>
                </patternFill>
              </fill>
            </x14:dxf>
          </x14:cfRule>
          <xm:sqref>AK53</xm:sqref>
        </x14:conditionalFormatting>
        <x14:conditionalFormatting xmlns:xm="http://schemas.microsoft.com/office/excel/2006/main">
          <x14:cfRule type="cellIs" priority="539" stopIfTrue="1" operator="lessThan" id="{00000000-0000-0000-0000-000000000000}">
            <xm:f>INDEX('1.Locations'!$F$2:$F$97,$AC$54 + 1)</xm:f>
            <x14:dxf>
              <fill>
                <patternFill>
                  <bgColor indexed="52"/>
                </patternFill>
              </fill>
            </x14:dxf>
          </x14:cfRule>
          <xm:sqref>AJ54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(60 * HOUR($AK$54) + MINUTE($AK$54)) &gt;(60 * HOUR(INDEX('1.Locations'!$G$2:$G$97,$AC$54 + 1)) +MINUTE(INDEX('1.Locations'!$G$2:$G$97,$AC$54 + 1)))</xm:f>
            <x14:dxf>
              <fill>
                <patternFill>
                  <bgColor indexed="10"/>
                </patternFill>
              </fill>
            </x14:dxf>
          </x14:cfRule>
          <xm:sqref>AK54</xm:sqref>
        </x14:conditionalFormatting>
        <x14:conditionalFormatting xmlns:xm="http://schemas.microsoft.com/office/excel/2006/main">
          <x14:cfRule type="cellIs" priority="541" stopIfTrue="1" operator="lessThan" id="{00000000-0000-0000-0000-000000000000}">
            <xm:f>INDEX('1.Locations'!$F$2:$F$97,$AC$55 + 1)</xm:f>
            <x14:dxf>
              <fill>
                <patternFill>
                  <bgColor indexed="52"/>
                </patternFill>
              </fill>
            </x14:dxf>
          </x14:cfRule>
          <xm:sqref>AJ55</xm:sqref>
        </x14:conditionalFormatting>
        <x14:conditionalFormatting xmlns:xm="http://schemas.microsoft.com/office/excel/2006/main">
          <x14:cfRule type="expression" priority="542" stopIfTrue="1" id="{00000000-0000-0000-0000-000000000000}">
            <xm:f>(60 * HOUR($AK$55) + MINUTE($AK$55)) &gt;(60 * HOUR(INDEX('1.Locations'!$G$2:$G$97,$AC$55 + 1)) +MINUTE(INDEX('1.Locations'!$G$2:$G$97,$AC$55 + 1)))</xm:f>
            <x14:dxf>
              <fill>
                <patternFill>
                  <bgColor indexed="10"/>
                </patternFill>
              </fill>
            </x14:dxf>
          </x14:cfRule>
          <xm:sqref>AK55</xm:sqref>
        </x14:conditionalFormatting>
        <x14:conditionalFormatting xmlns:xm="http://schemas.microsoft.com/office/excel/2006/main">
          <x14:cfRule type="cellIs" priority="543" stopIfTrue="1" operator="lessThan" id="{00000000-0000-0000-0000-000000000000}">
            <xm:f>INDEX('1.Locations'!$F$2:$F$97,$AC$56 + 1)</xm:f>
            <x14:dxf>
              <fill>
                <patternFill>
                  <bgColor indexed="52"/>
                </patternFill>
              </fill>
            </x14:dxf>
          </x14:cfRule>
          <xm:sqref>AJ56</xm:sqref>
        </x14:conditionalFormatting>
        <x14:conditionalFormatting xmlns:xm="http://schemas.microsoft.com/office/excel/2006/main">
          <x14:cfRule type="expression" priority="544" stopIfTrue="1" id="{00000000-0000-0000-0000-000000000000}">
            <xm:f>(60 * HOUR($AK$56) + MINUTE($AK$56)) &gt;(60 * HOUR(INDEX('1.Locations'!$G$2:$G$97,$AC$56 + 1)) +MINUTE(INDEX('1.Locations'!$G$2:$G$97,$AC$56 + 1)))</xm:f>
            <x14:dxf>
              <fill>
                <patternFill>
                  <bgColor indexed="10"/>
                </patternFill>
              </fill>
            </x14:dxf>
          </x14:cfRule>
          <xm:sqref>AK56</xm:sqref>
        </x14:conditionalFormatting>
        <x14:conditionalFormatting xmlns:xm="http://schemas.microsoft.com/office/excel/2006/main">
          <x14:cfRule type="cellIs" priority="545" stopIfTrue="1" operator="lessThan" id="{00000000-0000-0000-0000-000000000000}">
            <xm:f>INDEX('1.Locations'!$F$2:$F$97,$AC$57 + 1)</xm:f>
            <x14:dxf>
              <fill>
                <patternFill>
                  <bgColor indexed="52"/>
                </patternFill>
              </fill>
            </x14:dxf>
          </x14:cfRule>
          <xm:sqref>AJ57</xm:sqref>
        </x14:conditionalFormatting>
        <x14:conditionalFormatting xmlns:xm="http://schemas.microsoft.com/office/excel/2006/main">
          <x14:cfRule type="expression" priority="546" stopIfTrue="1" id="{00000000-0000-0000-0000-000000000000}">
            <xm:f>(60 * HOUR($AK$57) + MINUTE($AK$57)) &gt;(60 * HOUR(INDEX('1.Locations'!$G$2:$G$97,$AC$57 + 1)) +MINUTE(INDEX('1.Locations'!$G$2:$G$97,$AC$57 + 1)))</xm:f>
            <x14:dxf>
              <fill>
                <patternFill>
                  <bgColor indexed="10"/>
                </patternFill>
              </fill>
            </x14:dxf>
          </x14:cfRule>
          <xm:sqref>AK57</xm:sqref>
        </x14:conditionalFormatting>
        <x14:conditionalFormatting xmlns:xm="http://schemas.microsoft.com/office/excel/2006/main">
          <x14:cfRule type="cellIs" priority="547" stopIfTrue="1" operator="lessThan" id="{00000000-0000-0000-0000-000000000000}">
            <xm:f>INDEX('1.Locations'!$F$2:$F$97,$AC$58 + 1)</xm:f>
            <x14:dxf>
              <fill>
                <patternFill>
                  <bgColor indexed="52"/>
                </patternFill>
              </fill>
            </x14:dxf>
          </x14:cfRule>
          <xm:sqref>AJ58</xm:sqref>
        </x14:conditionalFormatting>
        <x14:conditionalFormatting xmlns:xm="http://schemas.microsoft.com/office/excel/2006/main">
          <x14:cfRule type="expression" priority="548" stopIfTrue="1" id="{00000000-0000-0000-0000-000000000000}">
            <xm:f>(60 * HOUR($AK$58) + MINUTE($AK$58)) &gt;(60 * HOUR(INDEX('1.Locations'!$G$2:$G$97,$AC$58 + 1)) +MINUTE(INDEX('1.Locations'!$G$2:$G$97,$AC$58 + 1)))</xm:f>
            <x14:dxf>
              <fill>
                <patternFill>
                  <bgColor indexed="10"/>
                </patternFill>
              </fill>
            </x14:dxf>
          </x14:cfRule>
          <xm:sqref>AK58</xm:sqref>
        </x14:conditionalFormatting>
        <x14:conditionalFormatting xmlns:xm="http://schemas.microsoft.com/office/excel/2006/main">
          <x14:cfRule type="cellIs" priority="549" stopIfTrue="1" operator="lessThan" id="{00000000-0000-0000-0000-000000000000}">
            <xm:f>INDEX('1.Locations'!$F$2:$F$97,$AC$59 + 1)</xm:f>
            <x14:dxf>
              <fill>
                <patternFill>
                  <bgColor indexed="52"/>
                </patternFill>
              </fill>
            </x14:dxf>
          </x14:cfRule>
          <xm:sqref>AJ59</xm:sqref>
        </x14:conditionalFormatting>
        <x14:conditionalFormatting xmlns:xm="http://schemas.microsoft.com/office/excel/2006/main">
          <x14:cfRule type="expression" priority="550" stopIfTrue="1" id="{00000000-0000-0000-0000-000000000000}">
            <xm:f>(60 * HOUR($AK$59) + MINUTE($AK$59)) &gt;(60 * HOUR(INDEX('1.Locations'!$G$2:$G$97,$AC$59 + 1)) +MINUTE(INDEX('1.Locations'!$G$2:$G$97,$AC$59 + 1)))</xm:f>
            <x14:dxf>
              <fill>
                <patternFill>
                  <bgColor indexed="10"/>
                </patternFill>
              </fill>
            </x14:dxf>
          </x14:cfRule>
          <xm:sqref>AK59</xm:sqref>
        </x14:conditionalFormatting>
        <x14:conditionalFormatting xmlns:xm="http://schemas.microsoft.com/office/excel/2006/main">
          <x14:cfRule type="cellIs" priority="551" stopIfTrue="1" operator="lessThan" id="{00000000-0000-0000-0000-000000000000}">
            <xm:f>INDEX('1.Locations'!$F$2:$F$97,$AC$60 + 1)</xm:f>
            <x14:dxf>
              <fill>
                <patternFill>
                  <bgColor indexed="52"/>
                </patternFill>
              </fill>
            </x14:dxf>
          </x14:cfRule>
          <xm:sqref>AJ60</xm:sqref>
        </x14:conditionalFormatting>
        <x14:conditionalFormatting xmlns:xm="http://schemas.microsoft.com/office/excel/2006/main">
          <x14:cfRule type="expression" priority="552" stopIfTrue="1" id="{00000000-0000-0000-0000-000000000000}">
            <xm:f>(60 * HOUR($AK$60) + MINUTE($AK$60)) &gt;(60 * HOUR(INDEX('1.Locations'!$G$2:$G$97,$AC$60 + 1)) +MINUTE(INDEX('1.Locations'!$G$2:$G$97,$AC$60 + 1)))</xm:f>
            <x14:dxf>
              <fill>
                <patternFill>
                  <bgColor indexed="10"/>
                </patternFill>
              </fill>
            </x14:dxf>
          </x14:cfRule>
          <xm:sqref>AK60</xm:sqref>
        </x14:conditionalFormatting>
        <x14:conditionalFormatting xmlns:xm="http://schemas.microsoft.com/office/excel/2006/main">
          <x14:cfRule type="cellIs" priority="553" stopIfTrue="1" operator="lessThan" id="{00000000-0000-0000-0000-000000000000}">
            <xm:f>INDEX('1.Locations'!$F$2:$F$97,$AC$61 + 1)</xm:f>
            <x14:dxf>
              <fill>
                <patternFill>
                  <bgColor indexed="52"/>
                </patternFill>
              </fill>
            </x14:dxf>
          </x14:cfRule>
          <xm:sqref>AJ61</xm:sqref>
        </x14:conditionalFormatting>
        <x14:conditionalFormatting xmlns:xm="http://schemas.microsoft.com/office/excel/2006/main">
          <x14:cfRule type="expression" priority="554" stopIfTrue="1" id="{00000000-0000-0000-0000-000000000000}">
            <xm:f>(60 * HOUR($AK$61) + MINUTE($AK$61)) &gt;(60 * HOUR(INDEX('1.Locations'!$G$2:$G$97,$AC$61 + 1)) +MINUTE(INDEX('1.Locations'!$G$2:$G$97,$AC$61 + 1)))</xm:f>
            <x14:dxf>
              <fill>
                <patternFill>
                  <bgColor indexed="10"/>
                </patternFill>
              </fill>
            </x14:dxf>
          </x14:cfRule>
          <xm:sqref>AK61</xm:sqref>
        </x14:conditionalFormatting>
        <x14:conditionalFormatting xmlns:xm="http://schemas.microsoft.com/office/excel/2006/main">
          <x14:cfRule type="cellIs" priority="555" stopIfTrue="1" operator="lessThan" id="{00000000-0000-0000-0000-000000000000}">
            <xm:f>INDEX('1.Locations'!$F$2:$F$97,$AC$62 + 1)</xm:f>
            <x14:dxf>
              <fill>
                <patternFill>
                  <bgColor indexed="52"/>
                </patternFill>
              </fill>
            </x14:dxf>
          </x14:cfRule>
          <xm:sqref>AJ62</xm:sqref>
        </x14:conditionalFormatting>
        <x14:conditionalFormatting xmlns:xm="http://schemas.microsoft.com/office/excel/2006/main">
          <x14:cfRule type="expression" priority="556" stopIfTrue="1" id="{00000000-0000-0000-0000-000000000000}">
            <xm:f>(60 * HOUR($AK$62) + MINUTE($AK$62)) &gt;(60 * HOUR(INDEX('1.Locations'!$G$2:$G$97,$AC$62 + 1)) +MINUTE(INDEX('1.Locations'!$G$2:$G$97,$AC$62 + 1)))</xm:f>
            <x14:dxf>
              <fill>
                <patternFill>
                  <bgColor indexed="10"/>
                </patternFill>
              </fill>
            </x14:dxf>
          </x14:cfRule>
          <xm:sqref>AK62</xm:sqref>
        </x14:conditionalFormatting>
        <x14:conditionalFormatting xmlns:xm="http://schemas.microsoft.com/office/excel/2006/main">
          <x14:cfRule type="cellIs" priority="557" stopIfTrue="1" operator="lessThan" id="{00000000-0000-0000-0000-000000000000}">
            <xm:f>INDEX('1.Locations'!$F$2:$F$97,$AC$63 + 1)</xm:f>
            <x14:dxf>
              <fill>
                <patternFill>
                  <bgColor indexed="52"/>
                </patternFill>
              </fill>
            </x14:dxf>
          </x14:cfRule>
          <xm:sqref>AJ63</xm:sqref>
        </x14:conditionalFormatting>
        <x14:conditionalFormatting xmlns:xm="http://schemas.microsoft.com/office/excel/2006/main">
          <x14:cfRule type="expression" priority="558" stopIfTrue="1" id="{00000000-0000-0000-0000-000000000000}">
            <xm:f>(60 * HOUR($AK$63) + MINUTE($AK$63)) &gt;(60 * HOUR(INDEX('1.Locations'!$G$2:$G$97,$AC$63 + 1)) +MINUTE(INDEX('1.Locations'!$G$2:$G$97,$AC$63 + 1)))</xm:f>
            <x14:dxf>
              <fill>
                <patternFill>
                  <bgColor indexed="10"/>
                </patternFill>
              </fill>
            </x14:dxf>
          </x14:cfRule>
          <xm:sqref>AK63</xm:sqref>
        </x14:conditionalFormatting>
        <x14:conditionalFormatting xmlns:xm="http://schemas.microsoft.com/office/excel/2006/main">
          <x14:cfRule type="cellIs" priority="559" stopIfTrue="1" operator="lessThan" id="{00000000-0000-0000-0000-000000000000}">
            <xm:f>INDEX('1.Locations'!$F$2:$F$97,$AC$64 + 1)</xm:f>
            <x14:dxf>
              <fill>
                <patternFill>
                  <bgColor indexed="52"/>
                </patternFill>
              </fill>
            </x14:dxf>
          </x14:cfRule>
          <xm:sqref>AJ64</xm:sqref>
        </x14:conditionalFormatting>
        <x14:conditionalFormatting xmlns:xm="http://schemas.microsoft.com/office/excel/2006/main">
          <x14:cfRule type="expression" priority="560" stopIfTrue="1" id="{00000000-0000-0000-0000-000000000000}">
            <xm:f>(60 * HOUR($AK$64) + MINUTE($AK$64)) &gt;(60 * HOUR(INDEX('1.Locations'!$G$2:$G$97,$AC$64 + 1)) +MINUTE(INDEX('1.Locations'!$G$2:$G$97,$AC$64 + 1)))</xm:f>
            <x14:dxf>
              <fill>
                <patternFill>
                  <bgColor indexed="10"/>
                </patternFill>
              </fill>
            </x14:dxf>
          </x14:cfRule>
          <xm:sqref>AK64</xm:sqref>
        </x14:conditionalFormatting>
        <x14:conditionalFormatting xmlns:xm="http://schemas.microsoft.com/office/excel/2006/main">
          <x14:cfRule type="cellIs" priority="561" stopIfTrue="1" operator="lessThan" id="{00000000-0000-0000-0000-000000000000}">
            <xm:f>INDEX('1.Locations'!$F$2:$F$97,$AC$65 + 1)</xm:f>
            <x14:dxf>
              <fill>
                <patternFill>
                  <bgColor indexed="52"/>
                </patternFill>
              </fill>
            </x14:dxf>
          </x14:cfRule>
          <xm:sqref>AJ65</xm:sqref>
        </x14:conditionalFormatting>
        <x14:conditionalFormatting xmlns:xm="http://schemas.microsoft.com/office/excel/2006/main">
          <x14:cfRule type="expression" priority="562" stopIfTrue="1" id="{00000000-0000-0000-0000-000000000000}">
            <xm:f>(60 * HOUR($AK$65) + MINUTE($AK$65)) &gt;(60 * HOUR(INDEX('1.Locations'!$G$2:$G$97,$AC$65 + 1)) +MINUTE(INDEX('1.Locations'!$G$2:$G$97,$AC$65 + 1)))</xm:f>
            <x14:dxf>
              <fill>
                <patternFill>
                  <bgColor indexed="10"/>
                </patternFill>
              </fill>
            </x14:dxf>
          </x14:cfRule>
          <xm:sqref>AK65</xm:sqref>
        </x14:conditionalFormatting>
        <x14:conditionalFormatting xmlns:xm="http://schemas.microsoft.com/office/excel/2006/main">
          <x14:cfRule type="cellIs" priority="563" stopIfTrue="1" operator="lessThan" id="{00000000-0000-0000-0000-000000000000}">
            <xm:f>INDEX('1.Locations'!$F$2:$F$97,$AC$66 + 1)</xm:f>
            <x14:dxf>
              <fill>
                <patternFill>
                  <bgColor indexed="52"/>
                </patternFill>
              </fill>
            </x14:dxf>
          </x14:cfRule>
          <xm:sqref>AJ66</xm:sqref>
        </x14:conditionalFormatting>
        <x14:conditionalFormatting xmlns:xm="http://schemas.microsoft.com/office/excel/2006/main">
          <x14:cfRule type="expression" priority="564" stopIfTrue="1" id="{00000000-0000-0000-0000-000000000000}">
            <xm:f>(60 * HOUR($AK$66) + MINUTE($AK$66)) &gt;(60 * HOUR(INDEX('1.Locations'!$G$2:$G$97,$AC$66 + 1)) +MINUTE(INDEX('1.Locations'!$G$2:$G$97,$AC$66 + 1)))</xm:f>
            <x14:dxf>
              <fill>
                <patternFill>
                  <bgColor indexed="10"/>
                </patternFill>
              </fill>
            </x14:dxf>
          </x14:cfRule>
          <xm:sqref>AK66</xm:sqref>
        </x14:conditionalFormatting>
        <x14:conditionalFormatting xmlns:xm="http://schemas.microsoft.com/office/excel/2006/main">
          <x14:cfRule type="cellIs" priority="565" stopIfTrue="1" operator="lessThan" id="{00000000-0000-0000-0000-000000000000}">
            <xm:f>INDEX('1.Locations'!$F$2:$F$97,$AC$67 + 1)</xm:f>
            <x14:dxf>
              <fill>
                <patternFill>
                  <bgColor indexed="52"/>
                </patternFill>
              </fill>
            </x14:dxf>
          </x14:cfRule>
          <xm:sqref>AJ67</xm:sqref>
        </x14:conditionalFormatting>
        <x14:conditionalFormatting xmlns:xm="http://schemas.microsoft.com/office/excel/2006/main">
          <x14:cfRule type="expression" priority="566" stopIfTrue="1" id="{00000000-0000-0000-0000-000000000000}">
            <xm:f>(60 * HOUR($AK$67) + MINUTE($AK$67)) &gt;(60 * HOUR(INDEX('1.Locations'!$G$2:$G$97,$AC$67 + 1)) +MINUTE(INDEX('1.Locations'!$G$2:$G$97,$AC$67 + 1)))</xm:f>
            <x14:dxf>
              <fill>
                <patternFill>
                  <bgColor indexed="10"/>
                </patternFill>
              </fill>
            </x14:dxf>
          </x14:cfRule>
          <xm:sqref>AK67</xm:sqref>
        </x14:conditionalFormatting>
        <x14:conditionalFormatting xmlns:xm="http://schemas.microsoft.com/office/excel/2006/main">
          <x14:cfRule type="cellIs" priority="567" stopIfTrue="1" operator="lessThan" id="{00000000-0000-0000-0000-000000000000}">
            <xm:f>INDEX('1.Locations'!$F$2:$F$97,$AC$68 + 1)</xm:f>
            <x14:dxf>
              <fill>
                <patternFill>
                  <bgColor indexed="52"/>
                </patternFill>
              </fill>
            </x14:dxf>
          </x14:cfRule>
          <xm:sqref>AJ68</xm:sqref>
        </x14:conditionalFormatting>
        <x14:conditionalFormatting xmlns:xm="http://schemas.microsoft.com/office/excel/2006/main">
          <x14:cfRule type="expression" priority="568" stopIfTrue="1" id="{00000000-0000-0000-0000-000000000000}">
            <xm:f>(60 * HOUR($AK$68) + MINUTE($AK$68)) &gt;(60 * HOUR(INDEX('1.Locations'!$G$2:$G$97,$AC$68 + 1)) +MINUTE(INDEX('1.Locations'!$G$2:$G$97,$AC$68 + 1)))</xm:f>
            <x14:dxf>
              <fill>
                <patternFill>
                  <bgColor indexed="10"/>
                </patternFill>
              </fill>
            </x14:dxf>
          </x14:cfRule>
          <xm:sqref>AK68</xm:sqref>
        </x14:conditionalFormatting>
        <x14:conditionalFormatting xmlns:xm="http://schemas.microsoft.com/office/excel/2006/main">
          <x14:cfRule type="cellIs" priority="569" stopIfTrue="1" operator="lessThan" id="{00000000-0000-0000-0000-000000000000}">
            <xm:f>INDEX('1.Locations'!$F$2:$F$97,$AC$69 + 1)</xm:f>
            <x14:dxf>
              <fill>
                <patternFill>
                  <bgColor indexed="52"/>
                </patternFill>
              </fill>
            </x14:dxf>
          </x14:cfRule>
          <xm:sqref>AJ69</xm:sqref>
        </x14:conditionalFormatting>
        <x14:conditionalFormatting xmlns:xm="http://schemas.microsoft.com/office/excel/2006/main">
          <x14:cfRule type="expression" priority="570" stopIfTrue="1" id="{00000000-0000-0000-0000-000000000000}">
            <xm:f>(60 * HOUR($AK$69) + MINUTE($AK$69)) &gt;(60 * HOUR(INDEX('1.Locations'!$G$2:$G$97,$AC$69 + 1)) +MINUTE(INDEX('1.Locations'!$G$2:$G$97,$AC$69 + 1)))</xm:f>
            <x14:dxf>
              <fill>
                <patternFill>
                  <bgColor indexed="10"/>
                </patternFill>
              </fill>
            </x14:dxf>
          </x14:cfRule>
          <xm:sqref>AK69</xm:sqref>
        </x14:conditionalFormatting>
        <x14:conditionalFormatting xmlns:xm="http://schemas.microsoft.com/office/excel/2006/main">
          <x14:cfRule type="cellIs" priority="571" stopIfTrue="1" operator="lessThan" id="{00000000-0000-0000-0000-000000000000}">
            <xm:f>INDEX('1.Locations'!$F$2:$F$97,$AC$70 + 1)</xm:f>
            <x14:dxf>
              <fill>
                <patternFill>
                  <bgColor indexed="52"/>
                </patternFill>
              </fill>
            </x14:dxf>
          </x14:cfRule>
          <xm:sqref>AJ70</xm:sqref>
        </x14:conditionalFormatting>
        <x14:conditionalFormatting xmlns:xm="http://schemas.microsoft.com/office/excel/2006/main">
          <x14:cfRule type="expression" priority="572" stopIfTrue="1" id="{00000000-0000-0000-0000-000000000000}">
            <xm:f>(60 * HOUR($AK$70) + MINUTE($AK$70)) &gt;(60 * HOUR(INDEX('1.Locations'!$G$2:$G$97,$AC$70 + 1)) +MINUTE(INDEX('1.Locations'!$G$2:$G$97,$AC$70 + 1)))</xm:f>
            <x14:dxf>
              <fill>
                <patternFill>
                  <bgColor indexed="10"/>
                </patternFill>
              </fill>
            </x14:dxf>
          </x14:cfRule>
          <xm:sqref>AK70</xm:sqref>
        </x14:conditionalFormatting>
        <x14:conditionalFormatting xmlns:xm="http://schemas.microsoft.com/office/excel/2006/main">
          <x14:cfRule type="cellIs" priority="573" stopIfTrue="1" operator="lessThan" id="{00000000-0000-0000-0000-000000000000}">
            <xm:f>INDEX('1.Locations'!$F$2:$F$97,$AC$71 + 1)</xm:f>
            <x14:dxf>
              <fill>
                <patternFill>
                  <bgColor indexed="52"/>
                </patternFill>
              </fill>
            </x14:dxf>
          </x14:cfRule>
          <xm:sqref>AJ71</xm:sqref>
        </x14:conditionalFormatting>
        <x14:conditionalFormatting xmlns:xm="http://schemas.microsoft.com/office/excel/2006/main">
          <x14:cfRule type="expression" priority="574" stopIfTrue="1" id="{00000000-0000-0000-0000-000000000000}">
            <xm:f>(60 * HOUR($AK$71) + MINUTE($AK$71)) &gt;(60 * HOUR(INDEX('1.Locations'!$G$2:$G$97,$AC$71 + 1)) +MINUTE(INDEX('1.Locations'!$G$2:$G$97,$AC$71 + 1)))</xm:f>
            <x14:dxf>
              <fill>
                <patternFill>
                  <bgColor indexed="10"/>
                </patternFill>
              </fill>
            </x14:dxf>
          </x14:cfRule>
          <xm:sqref>AK71</xm:sqref>
        </x14:conditionalFormatting>
        <x14:conditionalFormatting xmlns:xm="http://schemas.microsoft.com/office/excel/2006/main">
          <x14:cfRule type="cellIs" priority="575" stopIfTrue="1" operator="lessThan" id="{00000000-0000-0000-0000-000000000000}">
            <xm:f>INDEX('1.Locations'!$F$2:$F$97,$AC$72 + 1)</xm:f>
            <x14:dxf>
              <fill>
                <patternFill>
                  <bgColor indexed="52"/>
                </patternFill>
              </fill>
            </x14:dxf>
          </x14:cfRule>
          <xm:sqref>AJ72</xm:sqref>
        </x14:conditionalFormatting>
        <x14:conditionalFormatting xmlns:xm="http://schemas.microsoft.com/office/excel/2006/main">
          <x14:cfRule type="expression" priority="576" stopIfTrue="1" id="{00000000-0000-0000-0000-000000000000}">
            <xm:f>(60 * HOUR($AK$72) + MINUTE($AK$72)) &gt;(60 * HOUR(INDEX('1.Locations'!$G$2:$G$97,$AC$72 + 1)) +MINUTE(INDEX('1.Locations'!$G$2:$G$97,$AC$72 + 1)))</xm:f>
            <x14:dxf>
              <fill>
                <patternFill>
                  <bgColor indexed="10"/>
                </patternFill>
              </fill>
            </x14:dxf>
          </x14:cfRule>
          <xm:sqref>AK72</xm:sqref>
        </x14:conditionalFormatting>
        <x14:conditionalFormatting xmlns:xm="http://schemas.microsoft.com/office/excel/2006/main">
          <x14:cfRule type="cellIs" priority="577" stopIfTrue="1" operator="lessThan" id="{00000000-0000-0000-0000-000000000000}">
            <xm:f>INDEX('1.Locations'!$F$2:$F$97,$AC$73 + 1)</xm:f>
            <x14:dxf>
              <fill>
                <patternFill>
                  <bgColor indexed="52"/>
                </patternFill>
              </fill>
            </x14:dxf>
          </x14:cfRule>
          <xm:sqref>AJ73</xm:sqref>
        </x14:conditionalFormatting>
        <x14:conditionalFormatting xmlns:xm="http://schemas.microsoft.com/office/excel/2006/main">
          <x14:cfRule type="expression" priority="578" stopIfTrue="1" id="{00000000-0000-0000-0000-000000000000}">
            <xm:f>(60 * HOUR($AK$73) + MINUTE($AK$73)) &gt;(60 * HOUR(INDEX('1.Locations'!$G$2:$G$97,$AC$73 + 1)) +MINUTE(INDEX('1.Locations'!$G$2:$G$97,$AC$73 + 1)))</xm:f>
            <x14:dxf>
              <fill>
                <patternFill>
                  <bgColor indexed="10"/>
                </patternFill>
              </fill>
            </x14:dxf>
          </x14:cfRule>
          <xm:sqref>AK73</xm:sqref>
        </x14:conditionalFormatting>
        <x14:conditionalFormatting xmlns:xm="http://schemas.microsoft.com/office/excel/2006/main">
          <x14:cfRule type="cellIs" priority="579" stopIfTrue="1" operator="lessThan" id="{00000000-0000-0000-0000-000000000000}">
            <xm:f>INDEX('1.Locations'!$F$2:$F$97,$AC$74 + 1)</xm:f>
            <x14:dxf>
              <fill>
                <patternFill>
                  <bgColor indexed="52"/>
                </patternFill>
              </fill>
            </x14:dxf>
          </x14:cfRule>
          <xm:sqref>AJ74</xm:sqref>
        </x14:conditionalFormatting>
        <x14:conditionalFormatting xmlns:xm="http://schemas.microsoft.com/office/excel/2006/main">
          <x14:cfRule type="expression" priority="580" stopIfTrue="1" id="{00000000-0000-0000-0000-000000000000}">
            <xm:f>(60 * HOUR($AK$74) + MINUTE($AK$74)) &gt;(60 * HOUR(INDEX('1.Locations'!$G$2:$G$97,$AC$74 + 1)) +MINUTE(INDEX('1.Locations'!$G$2:$G$97,$AC$74 + 1)))</xm:f>
            <x14:dxf>
              <fill>
                <patternFill>
                  <bgColor indexed="10"/>
                </patternFill>
              </fill>
            </x14:dxf>
          </x14:cfRule>
          <xm:sqref>AK74</xm:sqref>
        </x14:conditionalFormatting>
        <x14:conditionalFormatting xmlns:xm="http://schemas.microsoft.com/office/excel/2006/main">
          <x14:cfRule type="cellIs" priority="581" stopIfTrue="1" operator="lessThan" id="{00000000-0000-0000-0000-000000000000}">
            <xm:f>INDEX('1.Locations'!$F$2:$F$97,$AC$75 + 1)</xm:f>
            <x14:dxf>
              <fill>
                <patternFill>
                  <bgColor indexed="52"/>
                </patternFill>
              </fill>
            </x14:dxf>
          </x14:cfRule>
          <xm:sqref>AJ75</xm:sqref>
        </x14:conditionalFormatting>
        <x14:conditionalFormatting xmlns:xm="http://schemas.microsoft.com/office/excel/2006/main">
          <x14:cfRule type="expression" priority="582" stopIfTrue="1" id="{00000000-0000-0000-0000-000000000000}">
            <xm:f>(60 * HOUR($AK$75) + MINUTE($AK$75)) &gt;(60 * HOUR(INDEX('1.Locations'!$G$2:$G$97,$AC$75 + 1)) +MINUTE(INDEX('1.Locations'!$G$2:$G$97,$AC$75 + 1)))</xm:f>
            <x14:dxf>
              <fill>
                <patternFill>
                  <bgColor indexed="10"/>
                </patternFill>
              </fill>
            </x14:dxf>
          </x14:cfRule>
          <xm:sqref>AK75</xm:sqref>
        </x14:conditionalFormatting>
        <x14:conditionalFormatting xmlns:xm="http://schemas.microsoft.com/office/excel/2006/main">
          <x14:cfRule type="cellIs" priority="583" stopIfTrue="1" operator="lessThan" id="{00000000-0000-0000-0000-000000000000}">
            <xm:f>INDEX('1.Locations'!$F$2:$F$97,$AC$76 + 1)</xm:f>
            <x14:dxf>
              <fill>
                <patternFill>
                  <bgColor indexed="52"/>
                </patternFill>
              </fill>
            </x14:dxf>
          </x14:cfRule>
          <xm:sqref>AJ76</xm:sqref>
        </x14:conditionalFormatting>
        <x14:conditionalFormatting xmlns:xm="http://schemas.microsoft.com/office/excel/2006/main">
          <x14:cfRule type="expression" priority="584" stopIfTrue="1" id="{00000000-0000-0000-0000-000000000000}">
            <xm:f>(60 * HOUR($AK$76) + MINUTE($AK$76)) &gt;(60 * HOUR(INDEX('1.Locations'!$G$2:$G$97,$AC$76 + 1)) +MINUTE(INDEX('1.Locations'!$G$2:$G$97,$AC$76 + 1)))</xm:f>
            <x14:dxf>
              <fill>
                <patternFill>
                  <bgColor indexed="10"/>
                </patternFill>
              </fill>
            </x14:dxf>
          </x14:cfRule>
          <xm:sqref>AK76</xm:sqref>
        </x14:conditionalFormatting>
        <x14:conditionalFormatting xmlns:xm="http://schemas.microsoft.com/office/excel/2006/main">
          <x14:cfRule type="cellIs" priority="585" stopIfTrue="1" operator="lessThan" id="{00000000-0000-0000-0000-000000000000}">
            <xm:f>INDEX('1.Locations'!$F$2:$F$97,$AC$77 + 1)</xm:f>
            <x14:dxf>
              <fill>
                <patternFill>
                  <bgColor indexed="52"/>
                </patternFill>
              </fill>
            </x14:dxf>
          </x14:cfRule>
          <xm:sqref>AJ77</xm:sqref>
        </x14:conditionalFormatting>
        <x14:conditionalFormatting xmlns:xm="http://schemas.microsoft.com/office/excel/2006/main">
          <x14:cfRule type="expression" priority="586" stopIfTrue="1" id="{00000000-0000-0000-0000-000000000000}">
            <xm:f>(60 * HOUR($AK$77) + MINUTE($AK$77)) &gt;(60 * HOUR(INDEX('1.Locations'!$G$2:$G$97,$AC$77 + 1)) +MINUTE(INDEX('1.Locations'!$G$2:$G$97,$AC$77 + 1)))</xm:f>
            <x14:dxf>
              <fill>
                <patternFill>
                  <bgColor indexed="10"/>
                </patternFill>
              </fill>
            </x14:dxf>
          </x14:cfRule>
          <xm:sqref>AK77</xm:sqref>
        </x14:conditionalFormatting>
        <x14:conditionalFormatting xmlns:xm="http://schemas.microsoft.com/office/excel/2006/main">
          <x14:cfRule type="cellIs" priority="587" stopIfTrue="1" operator="lessThan" id="{00000000-0000-0000-0000-000000000000}">
            <xm:f>INDEX('1.Locations'!$F$2:$F$97,$AC$78 + 1)</xm:f>
            <x14:dxf>
              <fill>
                <patternFill>
                  <bgColor indexed="52"/>
                </patternFill>
              </fill>
            </x14:dxf>
          </x14:cfRule>
          <xm:sqref>AJ78</xm:sqref>
        </x14:conditionalFormatting>
        <x14:conditionalFormatting xmlns:xm="http://schemas.microsoft.com/office/excel/2006/main">
          <x14:cfRule type="expression" priority="588" stopIfTrue="1" id="{00000000-0000-0000-0000-000000000000}">
            <xm:f>(60 * HOUR($AK$78) + MINUTE($AK$78)) &gt;(60 * HOUR(INDEX('1.Locations'!$G$2:$G$97,$AC$78 + 1)) +MINUTE(INDEX('1.Locations'!$G$2:$G$97,$AC$78 + 1)))</xm:f>
            <x14:dxf>
              <fill>
                <patternFill>
                  <bgColor indexed="10"/>
                </patternFill>
              </fill>
            </x14:dxf>
          </x14:cfRule>
          <xm:sqref>AK78</xm:sqref>
        </x14:conditionalFormatting>
        <x14:conditionalFormatting xmlns:xm="http://schemas.microsoft.com/office/excel/2006/main">
          <x14:cfRule type="cellIs" priority="589" stopIfTrue="1" operator="lessThan" id="{00000000-0000-0000-0000-000000000000}">
            <xm:f>INDEX('1.Locations'!$F$2:$F$97,$AC$79 + 1)</xm:f>
            <x14:dxf>
              <fill>
                <patternFill>
                  <bgColor indexed="52"/>
                </patternFill>
              </fill>
            </x14:dxf>
          </x14:cfRule>
          <xm:sqref>AJ79</xm:sqref>
        </x14:conditionalFormatting>
        <x14:conditionalFormatting xmlns:xm="http://schemas.microsoft.com/office/excel/2006/main">
          <x14:cfRule type="expression" priority="590" stopIfTrue="1" id="{00000000-0000-0000-0000-000000000000}">
            <xm:f>(60 * HOUR($AK$79) + MINUTE($AK$79)) &gt;(60 * HOUR(INDEX('1.Locations'!$G$2:$G$97,$AC$79 + 1)) +MINUTE(INDEX('1.Locations'!$G$2:$G$97,$AC$79 + 1)))</xm:f>
            <x14:dxf>
              <fill>
                <patternFill>
                  <bgColor indexed="10"/>
                </patternFill>
              </fill>
            </x14:dxf>
          </x14:cfRule>
          <xm:sqref>AK79</xm:sqref>
        </x14:conditionalFormatting>
        <x14:conditionalFormatting xmlns:xm="http://schemas.microsoft.com/office/excel/2006/main">
          <x14:cfRule type="cellIs" priority="591" stopIfTrue="1" operator="lessThan" id="{00000000-0000-0000-0000-000000000000}">
            <xm:f>INDEX('1.Locations'!$F$2:$F$97,$AC$80 + 1)</xm:f>
            <x14:dxf>
              <fill>
                <patternFill>
                  <bgColor indexed="52"/>
                </patternFill>
              </fill>
            </x14:dxf>
          </x14:cfRule>
          <xm:sqref>AJ80</xm:sqref>
        </x14:conditionalFormatting>
        <x14:conditionalFormatting xmlns:xm="http://schemas.microsoft.com/office/excel/2006/main">
          <x14:cfRule type="expression" priority="592" stopIfTrue="1" id="{00000000-0000-0000-0000-000000000000}">
            <xm:f>(60 * HOUR($AK$80) + MINUTE($AK$80)) &gt;(60 * HOUR(INDEX('1.Locations'!$G$2:$G$97,$AC$80 + 1)) +MINUTE(INDEX('1.Locations'!$G$2:$G$97,$AC$80 + 1)))</xm:f>
            <x14:dxf>
              <fill>
                <patternFill>
                  <bgColor indexed="10"/>
                </patternFill>
              </fill>
            </x14:dxf>
          </x14:cfRule>
          <xm:sqref>AK80</xm:sqref>
        </x14:conditionalFormatting>
        <x14:conditionalFormatting xmlns:xm="http://schemas.microsoft.com/office/excel/2006/main">
          <x14:cfRule type="cellIs" priority="593" stopIfTrue="1" operator="lessThan" id="{00000000-0000-0000-0000-000000000000}">
            <xm:f>INDEX('1.Locations'!$F$2:$F$97,$AC$81 + 1)</xm:f>
            <x14:dxf>
              <fill>
                <patternFill>
                  <bgColor indexed="52"/>
                </patternFill>
              </fill>
            </x14:dxf>
          </x14:cfRule>
          <xm:sqref>AJ81</xm:sqref>
        </x14:conditionalFormatting>
        <x14:conditionalFormatting xmlns:xm="http://schemas.microsoft.com/office/excel/2006/main">
          <x14:cfRule type="expression" priority="594" stopIfTrue="1" id="{00000000-0000-0000-0000-000000000000}">
            <xm:f>(60 * HOUR($AK$81) + MINUTE($AK$81)) &gt;(60 * HOUR(INDEX('1.Locations'!$G$2:$G$97,$AC$81 + 1)) +MINUTE(INDEX('1.Locations'!$G$2:$G$97,$AC$81 + 1)))</xm:f>
            <x14:dxf>
              <fill>
                <patternFill>
                  <bgColor indexed="10"/>
                </patternFill>
              </fill>
            </x14:dxf>
          </x14:cfRule>
          <xm:sqref>AK81</xm:sqref>
        </x14:conditionalFormatting>
        <x14:conditionalFormatting xmlns:xm="http://schemas.microsoft.com/office/excel/2006/main">
          <x14:cfRule type="cellIs" priority="595" stopIfTrue="1" operator="lessThan" id="{00000000-0000-0000-0000-000000000000}">
            <xm:f>INDEX('1.Locations'!$F$2:$F$97,$AC$82 + 1)</xm:f>
            <x14:dxf>
              <fill>
                <patternFill>
                  <bgColor indexed="52"/>
                </patternFill>
              </fill>
            </x14:dxf>
          </x14:cfRule>
          <xm:sqref>AJ82</xm:sqref>
        </x14:conditionalFormatting>
        <x14:conditionalFormatting xmlns:xm="http://schemas.microsoft.com/office/excel/2006/main">
          <x14:cfRule type="expression" priority="596" stopIfTrue="1" id="{00000000-0000-0000-0000-000000000000}">
            <xm:f>(60 * HOUR($AK$82) + MINUTE($AK$82)) &gt;(60 * HOUR(INDEX('1.Locations'!$G$2:$G$97,$AC$82 + 1)) +MINUTE(INDEX('1.Locations'!$G$2:$G$97,$AC$82 + 1)))</xm:f>
            <x14:dxf>
              <fill>
                <patternFill>
                  <bgColor indexed="10"/>
                </patternFill>
              </fill>
            </x14:dxf>
          </x14:cfRule>
          <xm:sqref>AK82</xm:sqref>
        </x14:conditionalFormatting>
        <x14:conditionalFormatting xmlns:xm="http://schemas.microsoft.com/office/excel/2006/main">
          <x14:cfRule type="cellIs" priority="597" stopIfTrue="1" operator="lessThan" id="{00000000-0000-0000-0000-000000000000}">
            <xm:f>INDEX('1.Locations'!$F$2:$F$97,$AC$83 + 1)</xm:f>
            <x14:dxf>
              <fill>
                <patternFill>
                  <bgColor indexed="52"/>
                </patternFill>
              </fill>
            </x14:dxf>
          </x14:cfRule>
          <xm:sqref>AJ83</xm:sqref>
        </x14:conditionalFormatting>
        <x14:conditionalFormatting xmlns:xm="http://schemas.microsoft.com/office/excel/2006/main">
          <x14:cfRule type="expression" priority="598" stopIfTrue="1" id="{00000000-0000-0000-0000-000000000000}">
            <xm:f>(60 * HOUR($AK$83) + MINUTE($AK$83)) &gt;(60 * HOUR(INDEX('1.Locations'!$G$2:$G$97,$AC$83 + 1)) +MINUTE(INDEX('1.Locations'!$G$2:$G$97,$AC$83 + 1)))</xm:f>
            <x14:dxf>
              <fill>
                <patternFill>
                  <bgColor indexed="10"/>
                </patternFill>
              </fill>
            </x14:dxf>
          </x14:cfRule>
          <xm:sqref>AK83</xm:sqref>
        </x14:conditionalFormatting>
        <x14:conditionalFormatting xmlns:xm="http://schemas.microsoft.com/office/excel/2006/main">
          <x14:cfRule type="cellIs" priority="599" stopIfTrue="1" operator="lessThan" id="{00000000-0000-0000-0000-000000000000}">
            <xm:f>INDEX('1.Locations'!$F$2:$F$97,$AC$84 + 1)</xm:f>
            <x14:dxf>
              <fill>
                <patternFill>
                  <bgColor indexed="52"/>
                </patternFill>
              </fill>
            </x14:dxf>
          </x14:cfRule>
          <xm:sqref>AJ84</xm:sqref>
        </x14:conditionalFormatting>
        <x14:conditionalFormatting xmlns:xm="http://schemas.microsoft.com/office/excel/2006/main">
          <x14:cfRule type="expression" priority="600" stopIfTrue="1" id="{00000000-0000-0000-0000-000000000000}">
            <xm:f>(60 * HOUR($AK$84) + MINUTE($AK$84)) &gt;(60 * HOUR(INDEX('1.Locations'!$G$2:$G$97,$AC$84 + 1)) +MINUTE(INDEX('1.Locations'!$G$2:$G$97,$AC$84 + 1)))</xm:f>
            <x14:dxf>
              <fill>
                <patternFill>
                  <bgColor indexed="10"/>
                </patternFill>
              </fill>
            </x14:dxf>
          </x14:cfRule>
          <xm:sqref>AK84</xm:sqref>
        </x14:conditionalFormatting>
        <x14:conditionalFormatting xmlns:xm="http://schemas.microsoft.com/office/excel/2006/main">
          <x14:cfRule type="cellIs" priority="601" stopIfTrue="1" operator="lessThan" id="{00000000-0000-0000-0000-000000000000}">
            <xm:f>INDEX('1.Locations'!$F$2:$F$97,$AC$85 + 1)</xm:f>
            <x14:dxf>
              <fill>
                <patternFill>
                  <bgColor indexed="52"/>
                </patternFill>
              </fill>
            </x14:dxf>
          </x14:cfRule>
          <xm:sqref>AJ85</xm:sqref>
        </x14:conditionalFormatting>
        <x14:conditionalFormatting xmlns:xm="http://schemas.microsoft.com/office/excel/2006/main">
          <x14:cfRule type="expression" priority="602" stopIfTrue="1" id="{00000000-0000-0000-0000-000000000000}">
            <xm:f>(60 * HOUR($AK$85) + MINUTE($AK$85)) &gt;(60 * HOUR(INDEX('1.Locations'!$G$2:$G$97,$AC$85 + 1)) +MINUTE(INDEX('1.Locations'!$G$2:$G$97,$AC$85 + 1)))</xm:f>
            <x14:dxf>
              <fill>
                <patternFill>
                  <bgColor indexed="10"/>
                </patternFill>
              </fill>
            </x14:dxf>
          </x14:cfRule>
          <xm:sqref>AK85</xm:sqref>
        </x14:conditionalFormatting>
        <x14:conditionalFormatting xmlns:xm="http://schemas.microsoft.com/office/excel/2006/main">
          <x14:cfRule type="cellIs" priority="603" stopIfTrue="1" operator="lessThan" id="{00000000-0000-0000-0000-000000000000}">
            <xm:f>INDEX('1.Locations'!$F$2:$F$97,$AC$86 + 1)</xm:f>
            <x14:dxf>
              <fill>
                <patternFill>
                  <bgColor indexed="52"/>
                </patternFill>
              </fill>
            </x14:dxf>
          </x14:cfRule>
          <xm:sqref>AJ86</xm:sqref>
        </x14:conditionalFormatting>
        <x14:conditionalFormatting xmlns:xm="http://schemas.microsoft.com/office/excel/2006/main">
          <x14:cfRule type="expression" priority="604" stopIfTrue="1" id="{00000000-0000-0000-0000-000000000000}">
            <xm:f>(60 * HOUR($AK$86) + MINUTE($AK$86)) &gt;(60 * HOUR(INDEX('1.Locations'!$G$2:$G$97,$AC$86 + 1)) +MINUTE(INDEX('1.Locations'!$G$2:$G$97,$AC$86 + 1)))</xm:f>
            <x14:dxf>
              <fill>
                <patternFill>
                  <bgColor indexed="10"/>
                </patternFill>
              </fill>
            </x14:dxf>
          </x14:cfRule>
          <xm:sqref>AK86</xm:sqref>
        </x14:conditionalFormatting>
        <x14:conditionalFormatting xmlns:xm="http://schemas.microsoft.com/office/excel/2006/main">
          <x14:cfRule type="cellIs" priority="605" stopIfTrue="1" operator="lessThan" id="{00000000-0000-0000-0000-000000000000}">
            <xm:f>INDEX('1.Locations'!$F$2:$F$97,$AC$87 + 1)</xm:f>
            <x14:dxf>
              <fill>
                <patternFill>
                  <bgColor indexed="52"/>
                </patternFill>
              </fill>
            </x14:dxf>
          </x14:cfRule>
          <xm:sqref>AJ87</xm:sqref>
        </x14:conditionalFormatting>
        <x14:conditionalFormatting xmlns:xm="http://schemas.microsoft.com/office/excel/2006/main">
          <x14:cfRule type="expression" priority="606" stopIfTrue="1" id="{00000000-0000-0000-0000-000000000000}">
            <xm:f>(60 * HOUR($AK$87) + MINUTE($AK$87)) &gt;(60 * HOUR(INDEX('1.Locations'!$G$2:$G$97,$AC$87 + 1)) +MINUTE(INDEX('1.Locations'!$G$2:$G$97,$AC$87 + 1)))</xm:f>
            <x14:dxf>
              <fill>
                <patternFill>
                  <bgColor indexed="10"/>
                </patternFill>
              </fill>
            </x14:dxf>
          </x14:cfRule>
          <xm:sqref>AK87</xm:sqref>
        </x14:conditionalFormatting>
        <x14:conditionalFormatting xmlns:xm="http://schemas.microsoft.com/office/excel/2006/main">
          <x14:cfRule type="cellIs" priority="607" stopIfTrue="1" operator="lessThan" id="{00000000-0000-0000-0000-000000000000}">
            <xm:f>INDEX('1.Locations'!$F$2:$F$97,$AC$88 + 1)</xm:f>
            <x14:dxf>
              <fill>
                <patternFill>
                  <bgColor indexed="52"/>
                </patternFill>
              </fill>
            </x14:dxf>
          </x14:cfRule>
          <xm:sqref>AJ88</xm:sqref>
        </x14:conditionalFormatting>
        <x14:conditionalFormatting xmlns:xm="http://schemas.microsoft.com/office/excel/2006/main">
          <x14:cfRule type="expression" priority="608" stopIfTrue="1" id="{00000000-0000-0000-0000-000000000000}">
            <xm:f>(60 * HOUR($AK$88) + MINUTE($AK$88)) &gt;(60 * HOUR(INDEX('1.Locations'!$G$2:$G$97,$AC$88 + 1)) +MINUTE(INDEX('1.Locations'!$G$2:$G$97,$AC$88 + 1)))</xm:f>
            <x14:dxf>
              <fill>
                <patternFill>
                  <bgColor indexed="10"/>
                </patternFill>
              </fill>
            </x14:dxf>
          </x14:cfRule>
          <xm:sqref>AK88</xm:sqref>
        </x14:conditionalFormatting>
        <x14:conditionalFormatting xmlns:xm="http://schemas.microsoft.com/office/excel/2006/main">
          <x14:cfRule type="cellIs" priority="609" stopIfTrue="1" operator="lessThan" id="{00000000-0000-0000-0000-000000000000}">
            <xm:f>INDEX('1.Locations'!$F$2:$F$97,$AC$89 + 1)</xm:f>
            <x14:dxf>
              <fill>
                <patternFill>
                  <bgColor indexed="52"/>
                </patternFill>
              </fill>
            </x14:dxf>
          </x14:cfRule>
          <xm:sqref>AJ89</xm:sqref>
        </x14:conditionalFormatting>
        <x14:conditionalFormatting xmlns:xm="http://schemas.microsoft.com/office/excel/2006/main">
          <x14:cfRule type="expression" priority="610" stopIfTrue="1" id="{00000000-0000-0000-0000-000000000000}">
            <xm:f>(60 * HOUR($AK$89) + MINUTE($AK$89)) &gt;(60 * HOUR(INDEX('1.Locations'!$G$2:$G$97,$AC$89 + 1)) +MINUTE(INDEX('1.Locations'!$G$2:$G$97,$AC$89 + 1)))</xm:f>
            <x14:dxf>
              <fill>
                <patternFill>
                  <bgColor indexed="10"/>
                </patternFill>
              </fill>
            </x14:dxf>
          </x14:cfRule>
          <xm:sqref>AK89</xm:sqref>
        </x14:conditionalFormatting>
        <x14:conditionalFormatting xmlns:xm="http://schemas.microsoft.com/office/excel/2006/main">
          <x14:cfRule type="cellIs" priority="611" stopIfTrue="1" operator="lessThan" id="{00000000-0000-0000-0000-000000000000}">
            <xm:f>INDEX('1.Locations'!$F$2:$F$97,$AC$90 + 1)</xm:f>
            <x14:dxf>
              <fill>
                <patternFill>
                  <bgColor indexed="52"/>
                </patternFill>
              </fill>
            </x14:dxf>
          </x14:cfRule>
          <xm:sqref>AJ90</xm:sqref>
        </x14:conditionalFormatting>
        <x14:conditionalFormatting xmlns:xm="http://schemas.microsoft.com/office/excel/2006/main">
          <x14:cfRule type="expression" priority="612" stopIfTrue="1" id="{00000000-0000-0000-0000-000000000000}">
            <xm:f>(60 * HOUR($AK$90) + MINUTE($AK$90)) &gt;(60 * HOUR(INDEX('1.Locations'!$G$2:$G$97,$AC$90 + 1)) +MINUTE(INDEX('1.Locations'!$G$2:$G$97,$AC$90 + 1)))</xm:f>
            <x14:dxf>
              <fill>
                <patternFill>
                  <bgColor indexed="10"/>
                </patternFill>
              </fill>
            </x14:dxf>
          </x14:cfRule>
          <xm:sqref>AK90</xm:sqref>
        </x14:conditionalFormatting>
        <x14:conditionalFormatting xmlns:xm="http://schemas.microsoft.com/office/excel/2006/main">
          <x14:cfRule type="cellIs" priority="613" stopIfTrue="1" operator="lessThan" id="{00000000-0000-0000-0000-000000000000}">
            <xm:f>INDEX('1.Locations'!$F$2:$F$97,$AC$91 + 1)</xm:f>
            <x14:dxf>
              <fill>
                <patternFill>
                  <bgColor indexed="52"/>
                </patternFill>
              </fill>
            </x14:dxf>
          </x14:cfRule>
          <xm:sqref>AJ91</xm:sqref>
        </x14:conditionalFormatting>
        <x14:conditionalFormatting xmlns:xm="http://schemas.microsoft.com/office/excel/2006/main">
          <x14:cfRule type="expression" priority="614" stopIfTrue="1" id="{00000000-0000-0000-0000-000000000000}">
            <xm:f>(60 * HOUR($AK$91) + MINUTE($AK$91)) &gt;(60 * HOUR(INDEX('1.Locations'!$G$2:$G$97,$AC$91 + 1)) +MINUTE(INDEX('1.Locations'!$G$2:$G$97,$AC$91 + 1)))</xm:f>
            <x14:dxf>
              <fill>
                <patternFill>
                  <bgColor indexed="10"/>
                </patternFill>
              </fill>
            </x14:dxf>
          </x14:cfRule>
          <xm:sqref>AK91</xm:sqref>
        </x14:conditionalFormatting>
        <x14:conditionalFormatting xmlns:xm="http://schemas.microsoft.com/office/excel/2006/main">
          <x14:cfRule type="cellIs" priority="615" stopIfTrue="1" operator="lessThan" id="{00000000-0000-0000-0000-000000000000}">
            <xm:f>INDEX('1.Locations'!$F$2:$F$97,$AC$92 + 1)</xm:f>
            <x14:dxf>
              <fill>
                <patternFill>
                  <bgColor indexed="52"/>
                </patternFill>
              </fill>
            </x14:dxf>
          </x14:cfRule>
          <xm:sqref>AJ92</xm:sqref>
        </x14:conditionalFormatting>
        <x14:conditionalFormatting xmlns:xm="http://schemas.microsoft.com/office/excel/2006/main">
          <x14:cfRule type="expression" priority="616" stopIfTrue="1" id="{00000000-0000-0000-0000-000000000000}">
            <xm:f>(60 * HOUR($AK$92) + MINUTE($AK$92)) &gt;(60 * HOUR(INDEX('1.Locations'!$G$2:$G$97,$AC$92 + 1)) +MINUTE(INDEX('1.Locations'!$G$2:$G$97,$AC$92 + 1)))</xm:f>
            <x14:dxf>
              <fill>
                <patternFill>
                  <bgColor indexed="10"/>
                </patternFill>
              </fill>
            </x14:dxf>
          </x14:cfRule>
          <xm:sqref>AK92</xm:sqref>
        </x14:conditionalFormatting>
        <x14:conditionalFormatting xmlns:xm="http://schemas.microsoft.com/office/excel/2006/main">
          <x14:cfRule type="cellIs" priority="617" stopIfTrue="1" operator="lessThan" id="{00000000-0000-0000-0000-000000000000}">
            <xm:f>INDEX('1.Locations'!$F$2:$F$97,$AC$93 + 1)</xm:f>
            <x14:dxf>
              <fill>
                <patternFill>
                  <bgColor indexed="52"/>
                </patternFill>
              </fill>
            </x14:dxf>
          </x14:cfRule>
          <xm:sqref>AJ93</xm:sqref>
        </x14:conditionalFormatting>
        <x14:conditionalFormatting xmlns:xm="http://schemas.microsoft.com/office/excel/2006/main">
          <x14:cfRule type="expression" priority="618" stopIfTrue="1" id="{00000000-0000-0000-0000-000000000000}">
            <xm:f>(60 * HOUR($AK$93) + MINUTE($AK$93)) &gt;(60 * HOUR(INDEX('1.Locations'!$G$2:$G$97,$AC$93 + 1)) +MINUTE(INDEX('1.Locations'!$G$2:$G$97,$AC$93 + 1)))</xm:f>
            <x14:dxf>
              <fill>
                <patternFill>
                  <bgColor indexed="10"/>
                </patternFill>
              </fill>
            </x14:dxf>
          </x14:cfRule>
          <xm:sqref>AK93</xm:sqref>
        </x14:conditionalFormatting>
        <x14:conditionalFormatting xmlns:xm="http://schemas.microsoft.com/office/excel/2006/main">
          <x14:cfRule type="cellIs" priority="619" stopIfTrue="1" operator="lessThan" id="{00000000-0000-0000-0000-000000000000}">
            <xm:f>INDEX('1.Locations'!$F$2:$F$97,$AC$94 + 1)</xm:f>
            <x14:dxf>
              <fill>
                <patternFill>
                  <bgColor indexed="52"/>
                </patternFill>
              </fill>
            </x14:dxf>
          </x14:cfRule>
          <xm:sqref>AJ94</xm:sqref>
        </x14:conditionalFormatting>
        <x14:conditionalFormatting xmlns:xm="http://schemas.microsoft.com/office/excel/2006/main">
          <x14:cfRule type="expression" priority="620" stopIfTrue="1" id="{00000000-0000-0000-0000-000000000000}">
            <xm:f>(60 * HOUR($AK$94) + MINUTE($AK$94)) &gt;(60 * HOUR(INDEX('1.Locations'!$G$2:$G$97,$AC$94 + 1)) +MINUTE(INDEX('1.Locations'!$G$2:$G$97,$AC$94 + 1)))</xm:f>
            <x14:dxf>
              <fill>
                <patternFill>
                  <bgColor indexed="10"/>
                </patternFill>
              </fill>
            </x14:dxf>
          </x14:cfRule>
          <xm:sqref>AK94</xm:sqref>
        </x14:conditionalFormatting>
        <x14:conditionalFormatting xmlns:xm="http://schemas.microsoft.com/office/excel/2006/main">
          <x14:cfRule type="cellIs" priority="621" stopIfTrue="1" operator="lessThan" id="{00000000-0000-0000-0000-000000000000}">
            <xm:f>INDEX('1.Locations'!$F$2:$F$97,$AC$95 + 1)</xm:f>
            <x14:dxf>
              <fill>
                <patternFill>
                  <bgColor indexed="52"/>
                </patternFill>
              </fill>
            </x14:dxf>
          </x14:cfRule>
          <xm:sqref>AJ95</xm:sqref>
        </x14:conditionalFormatting>
        <x14:conditionalFormatting xmlns:xm="http://schemas.microsoft.com/office/excel/2006/main">
          <x14:cfRule type="expression" priority="622" stopIfTrue="1" id="{00000000-0000-0000-0000-000000000000}">
            <xm:f>(60 * HOUR($AK$95) + MINUTE($AK$95)) &gt;(60 * HOUR(INDEX('1.Locations'!$G$2:$G$97,$AC$95 + 1)) +MINUTE(INDEX('1.Locations'!$G$2:$G$97,$AC$95 + 1)))</xm:f>
            <x14:dxf>
              <fill>
                <patternFill>
                  <bgColor indexed="10"/>
                </patternFill>
              </fill>
            </x14:dxf>
          </x14:cfRule>
          <xm:sqref>AK95</xm:sqref>
        </x14:conditionalFormatting>
        <x14:conditionalFormatting xmlns:xm="http://schemas.microsoft.com/office/excel/2006/main">
          <x14:cfRule type="cellIs" priority="623" stopIfTrue="1" operator="lessThan" id="{00000000-0000-0000-0000-000000000000}">
            <xm:f>INDEX('1.Locations'!$F$2:$F$97,$AC$96 + 1)</xm:f>
            <x14:dxf>
              <fill>
                <patternFill>
                  <bgColor indexed="52"/>
                </patternFill>
              </fill>
            </x14:dxf>
          </x14:cfRule>
          <xm:sqref>AJ96</xm:sqref>
        </x14:conditionalFormatting>
        <x14:conditionalFormatting xmlns:xm="http://schemas.microsoft.com/office/excel/2006/main">
          <x14:cfRule type="expression" priority="624" stopIfTrue="1" id="{00000000-0000-0000-0000-000000000000}">
            <xm:f>(60 * HOUR($AK$96) + MINUTE($AK$96)) &gt;(60 * HOUR(INDEX('1.Locations'!$G$2:$G$97,$AC$96 + 1)) +MINUTE(INDEX('1.Locations'!$G$2:$G$97,$AC$96 + 1)))</xm:f>
            <x14:dxf>
              <fill>
                <patternFill>
                  <bgColor indexed="10"/>
                </patternFill>
              </fill>
            </x14:dxf>
          </x14:cfRule>
          <xm:sqref>AK96</xm:sqref>
        </x14:conditionalFormatting>
        <x14:conditionalFormatting xmlns:xm="http://schemas.microsoft.com/office/excel/2006/main">
          <x14:cfRule type="cellIs" priority="625" stopIfTrue="1" operator="lessThan" id="{00000000-0000-0000-0000-000000000000}">
            <xm:f>INDEX('1.Locations'!$F$2:$F$97,$AC$97 + 1)</xm:f>
            <x14:dxf>
              <fill>
                <patternFill>
                  <bgColor indexed="52"/>
                </patternFill>
              </fill>
            </x14:dxf>
          </x14:cfRule>
          <xm:sqref>AJ97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(60 * HOUR($AK$97) + MINUTE($AK$97)) &gt;(60 * HOUR(INDEX('1.Locations'!$G$2:$G$97,$AC$97 + 1)) +MINUTE(INDEX('1.Locations'!$G$2:$G$97,$AC$97 + 1)))</xm:f>
            <x14:dxf>
              <fill>
                <patternFill>
                  <bgColor indexed="10"/>
                </patternFill>
              </fill>
            </x14:dxf>
          </x14:cfRule>
          <xm:sqref>AK97</xm:sqref>
        </x14:conditionalFormatting>
        <x14:conditionalFormatting xmlns:xm="http://schemas.microsoft.com/office/excel/2006/main">
          <x14:cfRule type="cellIs" priority="627" stopIfTrue="1" operator="lessThan" id="{00000000-0000-0000-0000-000000000000}">
            <xm:f>INDEX('1.Locations'!$F$2:$F$97,$AC$98 + 1)</xm:f>
            <x14:dxf>
              <fill>
                <patternFill>
                  <bgColor indexed="52"/>
                </patternFill>
              </fill>
            </x14:dxf>
          </x14:cfRule>
          <xm:sqref>AJ98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(60 * HOUR($AK$98) + MINUTE($AK$98)) &gt;(60 * HOUR(INDEX('1.Locations'!$G$2:$G$97,$AC$98 + 1)) +MINUTE(INDEX('1.Locations'!$G$2:$G$97,$AC$98 + 1)))</xm:f>
            <x14:dxf>
              <fill>
                <patternFill>
                  <bgColor indexed="10"/>
                </patternFill>
              </fill>
            </x14:dxf>
          </x14:cfRule>
          <xm:sqref>AK98</xm:sqref>
        </x14:conditionalFormatting>
        <x14:conditionalFormatting xmlns:xm="http://schemas.microsoft.com/office/excel/2006/main">
          <x14:cfRule type="cellIs" priority="629" stopIfTrue="1" operator="lessThan" id="{00000000-0000-0000-0000-000000000000}">
            <xm:f>INDEX('1.Locations'!$F$2:$F$97,$AC$99 + 1)</xm:f>
            <x14:dxf>
              <fill>
                <patternFill>
                  <bgColor indexed="52"/>
                </patternFill>
              </fill>
            </x14:dxf>
          </x14:cfRule>
          <xm:sqref>AJ99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(60 * HOUR($AK$99) + MINUTE($AK$99)) &gt;(60 * HOUR(INDEX('1.Locations'!$G$2:$G$97,$AC$99 + 1)) +MINUTE(INDEX('1.Locations'!$G$2:$G$97,$AC$99 + 1)))</xm:f>
            <x14:dxf>
              <fill>
                <patternFill>
                  <bgColor indexed="10"/>
                </patternFill>
              </fill>
            </x14:dxf>
          </x14:cfRule>
          <xm:sqref>AK99</xm:sqref>
        </x14:conditionalFormatting>
        <x14:conditionalFormatting xmlns:xm="http://schemas.microsoft.com/office/excel/2006/main">
          <x14:cfRule type="cellIs" priority="631" stopIfTrue="1" operator="lessThan" id="{00000000-0000-0000-0000-000000000000}">
            <xm:f>INDEX('1.Locations'!$F$2:$F$97,$AC$100 + 1)</xm:f>
            <x14:dxf>
              <fill>
                <patternFill>
                  <bgColor indexed="52"/>
                </patternFill>
              </fill>
            </x14:dxf>
          </x14:cfRule>
          <xm:sqref>AJ100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(60 * HOUR($AK$100) + MINUTE($AK$100)) &gt;(60 * HOUR(INDEX('1.Locations'!$G$2:$G$97,$AC$100 + 1)) +MINUTE(INDEX('1.Locations'!$G$2:$G$97,$AC$100 + 1)))</xm:f>
            <x14:dxf>
              <fill>
                <patternFill>
                  <bgColor indexed="10"/>
                </patternFill>
              </fill>
            </x14:dxf>
          </x14:cfRule>
          <xm:sqref>AK100</xm:sqref>
        </x14:conditionalFormatting>
        <x14:conditionalFormatting xmlns:xm="http://schemas.microsoft.com/office/excel/2006/main">
          <x14:cfRule type="cellIs" priority="633" stopIfTrue="1" operator="lessThan" id="{00000000-0000-0000-0000-000000000000}">
            <xm:f>INDEX('1.Locations'!$F$2:$F$97,$AC$101 + 1)</xm:f>
            <x14:dxf>
              <fill>
                <patternFill>
                  <bgColor indexed="52"/>
                </patternFill>
              </fill>
            </x14:dxf>
          </x14:cfRule>
          <xm:sqref>AJ101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(60 * HOUR($AK$101) + MINUTE($AK$101)) &gt;(60 * HOUR(INDEX('1.Locations'!$G$2:$G$97,$AC$101 + 1)) +MINUTE(INDEX('1.Locations'!$G$2:$G$97,$AC$101 + 1)))</xm:f>
            <x14:dxf>
              <fill>
                <patternFill>
                  <bgColor indexed="10"/>
                </patternFill>
              </fill>
            </x14:dxf>
          </x14:cfRule>
          <xm:sqref>AK101</xm:sqref>
        </x14:conditionalFormatting>
        <x14:conditionalFormatting xmlns:xm="http://schemas.microsoft.com/office/excel/2006/main">
          <x14:cfRule type="cellIs" priority="635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AF6:AF101</xm:sqref>
        </x14:conditionalFormatting>
        <x14:conditionalFormatting xmlns:xm="http://schemas.microsoft.com/office/excel/2006/main">
          <x14:cfRule type="cellIs" priority="636" stopIfTrue="1" operator="greaterThan" id="{00000000-0000-0000-0000-000000000000}">
            <xm:f>'3.Vehicles'!$C$4</xm:f>
            <x14:dxf>
              <fill>
                <patternFill>
                  <bgColor indexed="10"/>
                </patternFill>
              </fill>
            </x14:dxf>
          </x14:cfRule>
          <xm:sqref>AG6:AG101</xm:sqref>
        </x14:conditionalFormatting>
        <x14:conditionalFormatting xmlns:xm="http://schemas.microsoft.com/office/excel/2006/main">
          <x14:cfRule type="cellIs" priority="637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AI6:AI101</xm:sqref>
        </x14:conditionalFormatting>
        <x14:conditionalFormatting xmlns:xm="http://schemas.microsoft.com/office/excel/2006/main">
          <x14:cfRule type="cellIs" priority="638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AL6:AL101</xm:sqref>
        </x14:conditionalFormatting>
        <x14:conditionalFormatting xmlns:xm="http://schemas.microsoft.com/office/excel/2006/main">
          <x14:cfRule type="cellIs" priority="640" stopIfTrue="1" operator="lessThan" id="{00000000-0000-0000-0000-000000000000}">
            <xm:f>INDEX('1.Locations'!$F$2:$F$97,$AP$5 + 1)</xm:f>
            <x14:dxf>
              <fill>
                <patternFill>
                  <bgColor indexed="52"/>
                </patternFill>
              </fill>
            </x14:dxf>
          </x14:cfRule>
          <xm:sqref>AW5</xm:sqref>
        </x14:conditionalFormatting>
        <x14:conditionalFormatting xmlns:xm="http://schemas.microsoft.com/office/excel/2006/main">
          <x14:cfRule type="expression" priority="641" stopIfTrue="1" id="{00000000-0000-0000-0000-000000000000}">
            <xm:f>(60 * HOUR($AX$5) + MINUTE($AX$5)) &gt;(60 * HOUR(INDEX('1.Locations'!$G$2:$G$97,$AP$5 + 1)) +MINUTE(INDEX('1.Locations'!$G$2:$G$97,$AP$5 + 1)))</xm:f>
            <x14:dxf>
              <fill>
                <patternFill>
                  <bgColor indexed="10"/>
                </patternFill>
              </fill>
            </x14:dxf>
          </x14:cfRule>
          <xm:sqref>AX5</xm:sqref>
        </x14:conditionalFormatting>
        <x14:conditionalFormatting xmlns:xm="http://schemas.microsoft.com/office/excel/2006/main">
          <x14:cfRule type="cellIs" priority="642" stopIfTrue="1" operator="lessThan" id="{00000000-0000-0000-0000-000000000000}">
            <xm:f>INDEX('1.Locations'!$F$2:$F$97,$AP$6 + 1)</xm:f>
            <x14:dxf>
              <fill>
                <patternFill>
                  <bgColor indexed="52"/>
                </patternFill>
              </fill>
            </x14:dxf>
          </x14:cfRule>
          <xm:sqref>AW6</xm:sqref>
        </x14:conditionalFormatting>
        <x14:conditionalFormatting xmlns:xm="http://schemas.microsoft.com/office/excel/2006/main">
          <x14:cfRule type="expression" priority="643" stopIfTrue="1" id="{00000000-0000-0000-0000-000000000000}">
            <xm:f>(60 * HOUR($AX$6) + MINUTE($AX$6)) &gt;(60 * HOUR(INDEX('1.Locations'!$G$2:$G$97,$AP$6 + 1)) +MINUTE(INDEX('1.Locations'!$G$2:$G$97,$AP$6 + 1)))</xm:f>
            <x14:dxf>
              <fill>
                <patternFill>
                  <bgColor indexed="10"/>
                </patternFill>
              </fill>
            </x14:dxf>
          </x14:cfRule>
          <xm:sqref>AX6</xm:sqref>
        </x14:conditionalFormatting>
        <x14:conditionalFormatting xmlns:xm="http://schemas.microsoft.com/office/excel/2006/main">
          <x14:cfRule type="cellIs" priority="644" stopIfTrue="1" operator="lessThan" id="{00000000-0000-0000-0000-000000000000}">
            <xm:f>INDEX('1.Locations'!$F$2:$F$97,$AP$7 + 1)</xm:f>
            <x14:dxf>
              <fill>
                <patternFill>
                  <bgColor indexed="52"/>
                </patternFill>
              </fill>
            </x14:dxf>
          </x14:cfRule>
          <xm:sqref>AW7</xm:sqref>
        </x14:conditionalFormatting>
        <x14:conditionalFormatting xmlns:xm="http://schemas.microsoft.com/office/excel/2006/main">
          <x14:cfRule type="expression" priority="645" stopIfTrue="1" id="{00000000-0000-0000-0000-000000000000}">
            <xm:f>(60 * HOUR($AX$7) + MINUTE($AX$7)) &gt;(60 * HOUR(INDEX('1.Locations'!$G$2:$G$97,$AP$7 + 1)) +MINUTE(INDEX('1.Locations'!$G$2:$G$97,$AP$7 + 1)))</xm:f>
            <x14:dxf>
              <fill>
                <patternFill>
                  <bgColor indexed="10"/>
                </patternFill>
              </fill>
            </x14:dxf>
          </x14:cfRule>
          <xm:sqref>AX7</xm:sqref>
        </x14:conditionalFormatting>
        <x14:conditionalFormatting xmlns:xm="http://schemas.microsoft.com/office/excel/2006/main">
          <x14:cfRule type="cellIs" priority="646" stopIfTrue="1" operator="lessThan" id="{00000000-0000-0000-0000-000000000000}">
            <xm:f>INDEX('1.Locations'!$F$2:$F$97,$AP$8 + 1)</xm:f>
            <x14:dxf>
              <fill>
                <patternFill>
                  <bgColor indexed="52"/>
                </patternFill>
              </fill>
            </x14:dxf>
          </x14:cfRule>
          <xm:sqref>AW8</xm:sqref>
        </x14:conditionalFormatting>
        <x14:conditionalFormatting xmlns:xm="http://schemas.microsoft.com/office/excel/2006/main">
          <x14:cfRule type="expression" priority="647" stopIfTrue="1" id="{00000000-0000-0000-0000-000000000000}">
            <xm:f>(60 * HOUR($AX$8) + MINUTE($AX$8)) &gt;(60 * HOUR(INDEX('1.Locations'!$G$2:$G$97,$AP$8 + 1)) +MINUTE(INDEX('1.Locations'!$G$2:$G$97,$AP$8 + 1)))</xm:f>
            <x14:dxf>
              <fill>
                <patternFill>
                  <bgColor indexed="10"/>
                </patternFill>
              </fill>
            </x14:dxf>
          </x14:cfRule>
          <xm:sqref>AX8</xm:sqref>
        </x14:conditionalFormatting>
        <x14:conditionalFormatting xmlns:xm="http://schemas.microsoft.com/office/excel/2006/main">
          <x14:cfRule type="cellIs" priority="648" stopIfTrue="1" operator="lessThan" id="{00000000-0000-0000-0000-000000000000}">
            <xm:f>INDEX('1.Locations'!$F$2:$F$97,$AP$9 + 1)</xm:f>
            <x14:dxf>
              <fill>
                <patternFill>
                  <bgColor indexed="52"/>
                </patternFill>
              </fill>
            </x14:dxf>
          </x14:cfRule>
          <xm:sqref>AW9</xm:sqref>
        </x14:conditionalFormatting>
        <x14:conditionalFormatting xmlns:xm="http://schemas.microsoft.com/office/excel/2006/main">
          <x14:cfRule type="expression" priority="649" stopIfTrue="1" id="{00000000-0000-0000-0000-000000000000}">
            <xm:f>(60 * HOUR($AX$9) + MINUTE($AX$9)) &gt;(60 * HOUR(INDEX('1.Locations'!$G$2:$G$97,$AP$9 + 1)) +MINUTE(INDEX('1.Locations'!$G$2:$G$97,$AP$9 + 1)))</xm:f>
            <x14:dxf>
              <fill>
                <patternFill>
                  <bgColor indexed="10"/>
                </patternFill>
              </fill>
            </x14:dxf>
          </x14:cfRule>
          <xm:sqref>AX9</xm:sqref>
        </x14:conditionalFormatting>
        <x14:conditionalFormatting xmlns:xm="http://schemas.microsoft.com/office/excel/2006/main">
          <x14:cfRule type="cellIs" priority="650" stopIfTrue="1" operator="lessThan" id="{00000000-0000-0000-0000-000000000000}">
            <xm:f>INDEX('1.Locations'!$F$2:$F$97,$AP$10 + 1)</xm:f>
            <x14:dxf>
              <fill>
                <patternFill>
                  <bgColor indexed="52"/>
                </patternFill>
              </fill>
            </x14:dxf>
          </x14:cfRule>
          <xm:sqref>AW10</xm:sqref>
        </x14:conditionalFormatting>
        <x14:conditionalFormatting xmlns:xm="http://schemas.microsoft.com/office/excel/2006/main">
          <x14:cfRule type="expression" priority="651" stopIfTrue="1" id="{00000000-0000-0000-0000-000000000000}">
            <xm:f>(60 * HOUR($AX$10) + MINUTE($AX$10)) &gt;(60 * HOUR(INDEX('1.Locations'!$G$2:$G$97,$AP$10 + 1)) +MINUTE(INDEX('1.Locations'!$G$2:$G$97,$AP$10 + 1)))</xm:f>
            <x14:dxf>
              <fill>
                <patternFill>
                  <bgColor indexed="10"/>
                </patternFill>
              </fill>
            </x14:dxf>
          </x14:cfRule>
          <xm:sqref>AX10</xm:sqref>
        </x14:conditionalFormatting>
        <x14:conditionalFormatting xmlns:xm="http://schemas.microsoft.com/office/excel/2006/main">
          <x14:cfRule type="cellIs" priority="652" stopIfTrue="1" operator="lessThan" id="{00000000-0000-0000-0000-000000000000}">
            <xm:f>INDEX('1.Locations'!$F$2:$F$97,$AP$11 + 1)</xm:f>
            <x14:dxf>
              <fill>
                <patternFill>
                  <bgColor indexed="52"/>
                </patternFill>
              </fill>
            </x14:dxf>
          </x14:cfRule>
          <xm:sqref>AW11</xm:sqref>
        </x14:conditionalFormatting>
        <x14:conditionalFormatting xmlns:xm="http://schemas.microsoft.com/office/excel/2006/main">
          <x14:cfRule type="expression" priority="653" stopIfTrue="1" id="{00000000-0000-0000-0000-000000000000}">
            <xm:f>(60 * HOUR($AX$11) + MINUTE($AX$11)) &gt;(60 * HOUR(INDEX('1.Locations'!$G$2:$G$97,$AP$11 + 1)) +MINUTE(INDEX('1.Locations'!$G$2:$G$97,$AP$11 + 1)))</xm:f>
            <x14:dxf>
              <fill>
                <patternFill>
                  <bgColor indexed="10"/>
                </patternFill>
              </fill>
            </x14:dxf>
          </x14:cfRule>
          <xm:sqref>AX11</xm:sqref>
        </x14:conditionalFormatting>
        <x14:conditionalFormatting xmlns:xm="http://schemas.microsoft.com/office/excel/2006/main">
          <x14:cfRule type="cellIs" priority="654" stopIfTrue="1" operator="lessThan" id="{00000000-0000-0000-0000-000000000000}">
            <xm:f>INDEX('1.Locations'!$F$2:$F$97,$AP$12 + 1)</xm:f>
            <x14:dxf>
              <fill>
                <patternFill>
                  <bgColor indexed="52"/>
                </patternFill>
              </fill>
            </x14:dxf>
          </x14:cfRule>
          <xm:sqref>AW12</xm:sqref>
        </x14:conditionalFormatting>
        <x14:conditionalFormatting xmlns:xm="http://schemas.microsoft.com/office/excel/2006/main">
          <x14:cfRule type="expression" priority="655" stopIfTrue="1" id="{00000000-0000-0000-0000-000000000000}">
            <xm:f>(60 * HOUR($AX$12) + MINUTE($AX$12)) &gt;(60 * HOUR(INDEX('1.Locations'!$G$2:$G$97,$AP$12 + 1)) +MINUTE(INDEX('1.Locations'!$G$2:$G$97,$AP$12 + 1)))</xm:f>
            <x14:dxf>
              <fill>
                <patternFill>
                  <bgColor indexed="10"/>
                </patternFill>
              </fill>
            </x14:dxf>
          </x14:cfRule>
          <xm:sqref>AX12</xm:sqref>
        </x14:conditionalFormatting>
        <x14:conditionalFormatting xmlns:xm="http://schemas.microsoft.com/office/excel/2006/main">
          <x14:cfRule type="cellIs" priority="656" stopIfTrue="1" operator="lessThan" id="{00000000-0000-0000-0000-000000000000}">
            <xm:f>INDEX('1.Locations'!$F$2:$F$97,$AP$13 + 1)</xm:f>
            <x14:dxf>
              <fill>
                <patternFill>
                  <bgColor indexed="52"/>
                </patternFill>
              </fill>
            </x14:dxf>
          </x14:cfRule>
          <xm:sqref>AW13</xm:sqref>
        </x14:conditionalFormatting>
        <x14:conditionalFormatting xmlns:xm="http://schemas.microsoft.com/office/excel/2006/main">
          <x14:cfRule type="expression" priority="657" stopIfTrue="1" id="{00000000-0000-0000-0000-000000000000}">
            <xm:f>(60 * HOUR($AX$13) + MINUTE($AX$13)) &gt;(60 * HOUR(INDEX('1.Locations'!$G$2:$G$97,$AP$13 + 1)) +MINUTE(INDEX('1.Locations'!$G$2:$G$97,$AP$13 + 1)))</xm:f>
            <x14:dxf>
              <fill>
                <patternFill>
                  <bgColor indexed="10"/>
                </patternFill>
              </fill>
            </x14:dxf>
          </x14:cfRule>
          <xm:sqref>AX13</xm:sqref>
        </x14:conditionalFormatting>
        <x14:conditionalFormatting xmlns:xm="http://schemas.microsoft.com/office/excel/2006/main">
          <x14:cfRule type="cellIs" priority="658" stopIfTrue="1" operator="lessThan" id="{00000000-0000-0000-0000-000000000000}">
            <xm:f>INDEX('1.Locations'!$F$2:$F$97,$AP$14 + 1)</xm:f>
            <x14:dxf>
              <fill>
                <patternFill>
                  <bgColor indexed="52"/>
                </patternFill>
              </fill>
            </x14:dxf>
          </x14:cfRule>
          <xm:sqref>AW14</xm:sqref>
        </x14:conditionalFormatting>
        <x14:conditionalFormatting xmlns:xm="http://schemas.microsoft.com/office/excel/2006/main">
          <x14:cfRule type="expression" priority="659" stopIfTrue="1" id="{00000000-0000-0000-0000-000000000000}">
            <xm:f>(60 * HOUR($AX$14) + MINUTE($AX$14)) &gt;(60 * HOUR(INDEX('1.Locations'!$G$2:$G$97,$AP$14 + 1)) +MINUTE(INDEX('1.Locations'!$G$2:$G$97,$AP$14 + 1)))</xm:f>
            <x14:dxf>
              <fill>
                <patternFill>
                  <bgColor indexed="10"/>
                </patternFill>
              </fill>
            </x14:dxf>
          </x14:cfRule>
          <xm:sqref>AX14</xm:sqref>
        </x14:conditionalFormatting>
        <x14:conditionalFormatting xmlns:xm="http://schemas.microsoft.com/office/excel/2006/main">
          <x14:cfRule type="cellIs" priority="660" stopIfTrue="1" operator="lessThan" id="{00000000-0000-0000-0000-000000000000}">
            <xm:f>INDEX('1.Locations'!$F$2:$F$97,$AP$15 + 1)</xm:f>
            <x14:dxf>
              <fill>
                <patternFill>
                  <bgColor indexed="52"/>
                </patternFill>
              </fill>
            </x14:dxf>
          </x14:cfRule>
          <xm:sqref>AW15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(60 * HOUR($AX$15) + MINUTE($AX$15)) &gt;(60 * HOUR(INDEX('1.Locations'!$G$2:$G$97,$AP$15 + 1)) +MINUTE(INDEX('1.Locations'!$G$2:$G$97,$AP$15 + 1)))</xm:f>
            <x14:dxf>
              <fill>
                <patternFill>
                  <bgColor indexed="10"/>
                </patternFill>
              </fill>
            </x14:dxf>
          </x14:cfRule>
          <xm:sqref>AX15</xm:sqref>
        </x14:conditionalFormatting>
        <x14:conditionalFormatting xmlns:xm="http://schemas.microsoft.com/office/excel/2006/main">
          <x14:cfRule type="cellIs" priority="662" stopIfTrue="1" operator="lessThan" id="{00000000-0000-0000-0000-000000000000}">
            <xm:f>INDEX('1.Locations'!$F$2:$F$97,$AP$16 + 1)</xm:f>
            <x14:dxf>
              <fill>
                <patternFill>
                  <bgColor indexed="52"/>
                </patternFill>
              </fill>
            </x14:dxf>
          </x14:cfRule>
          <xm:sqref>AW16</xm:sqref>
        </x14:conditionalFormatting>
        <x14:conditionalFormatting xmlns:xm="http://schemas.microsoft.com/office/excel/2006/main">
          <x14:cfRule type="expression" priority="663" stopIfTrue="1" id="{00000000-0000-0000-0000-000000000000}">
            <xm:f>(60 * HOUR($AX$16) + MINUTE($AX$16)) &gt;(60 * HOUR(INDEX('1.Locations'!$G$2:$G$97,$AP$16 + 1)) +MINUTE(INDEX('1.Locations'!$G$2:$G$97,$AP$16 + 1)))</xm:f>
            <x14:dxf>
              <fill>
                <patternFill>
                  <bgColor indexed="10"/>
                </patternFill>
              </fill>
            </x14:dxf>
          </x14:cfRule>
          <xm:sqref>AX16</xm:sqref>
        </x14:conditionalFormatting>
        <x14:conditionalFormatting xmlns:xm="http://schemas.microsoft.com/office/excel/2006/main">
          <x14:cfRule type="cellIs" priority="664" stopIfTrue="1" operator="lessThan" id="{00000000-0000-0000-0000-000000000000}">
            <xm:f>INDEX('1.Locations'!$F$2:$F$97,$AP$17 + 1)</xm:f>
            <x14:dxf>
              <fill>
                <patternFill>
                  <bgColor indexed="52"/>
                </patternFill>
              </fill>
            </x14:dxf>
          </x14:cfRule>
          <xm:sqref>AW17</xm:sqref>
        </x14:conditionalFormatting>
        <x14:conditionalFormatting xmlns:xm="http://schemas.microsoft.com/office/excel/2006/main">
          <x14:cfRule type="expression" priority="665" stopIfTrue="1" id="{00000000-0000-0000-0000-000000000000}">
            <xm:f>(60 * HOUR($AX$17) + MINUTE($AX$17)) &gt;(60 * HOUR(INDEX('1.Locations'!$G$2:$G$97,$AP$17 + 1)) +MINUTE(INDEX('1.Locations'!$G$2:$G$97,$AP$17 + 1)))</xm:f>
            <x14:dxf>
              <fill>
                <patternFill>
                  <bgColor indexed="10"/>
                </patternFill>
              </fill>
            </x14:dxf>
          </x14:cfRule>
          <xm:sqref>AX17</xm:sqref>
        </x14:conditionalFormatting>
        <x14:conditionalFormatting xmlns:xm="http://schemas.microsoft.com/office/excel/2006/main">
          <x14:cfRule type="cellIs" priority="666" stopIfTrue="1" operator="lessThan" id="{00000000-0000-0000-0000-000000000000}">
            <xm:f>INDEX('1.Locations'!$F$2:$F$97,$AP$18 + 1)</xm:f>
            <x14:dxf>
              <fill>
                <patternFill>
                  <bgColor indexed="52"/>
                </patternFill>
              </fill>
            </x14:dxf>
          </x14:cfRule>
          <xm:sqref>AW18</xm:sqref>
        </x14:conditionalFormatting>
        <x14:conditionalFormatting xmlns:xm="http://schemas.microsoft.com/office/excel/2006/main">
          <x14:cfRule type="expression" priority="667" stopIfTrue="1" id="{00000000-0000-0000-0000-000000000000}">
            <xm:f>(60 * HOUR($AX$18) + MINUTE($AX$18)) &gt;(60 * HOUR(INDEX('1.Locations'!$G$2:$G$97,$AP$18 + 1)) +MINUTE(INDEX('1.Locations'!$G$2:$G$97,$AP$18 + 1)))</xm:f>
            <x14:dxf>
              <fill>
                <patternFill>
                  <bgColor indexed="10"/>
                </patternFill>
              </fill>
            </x14:dxf>
          </x14:cfRule>
          <xm:sqref>AX18</xm:sqref>
        </x14:conditionalFormatting>
        <x14:conditionalFormatting xmlns:xm="http://schemas.microsoft.com/office/excel/2006/main">
          <x14:cfRule type="cellIs" priority="668" stopIfTrue="1" operator="lessThan" id="{00000000-0000-0000-0000-000000000000}">
            <xm:f>INDEX('1.Locations'!$F$2:$F$97,$AP$19 + 1)</xm:f>
            <x14:dxf>
              <fill>
                <patternFill>
                  <bgColor indexed="52"/>
                </patternFill>
              </fill>
            </x14:dxf>
          </x14:cfRule>
          <xm:sqref>AW19</xm:sqref>
        </x14:conditionalFormatting>
        <x14:conditionalFormatting xmlns:xm="http://schemas.microsoft.com/office/excel/2006/main">
          <x14:cfRule type="expression" priority="669" stopIfTrue="1" id="{00000000-0000-0000-0000-000000000000}">
            <xm:f>(60 * HOUR($AX$19) + MINUTE($AX$19)) &gt;(60 * HOUR(INDEX('1.Locations'!$G$2:$G$97,$AP$19 + 1)) +MINUTE(INDEX('1.Locations'!$G$2:$G$97,$AP$19 + 1)))</xm:f>
            <x14:dxf>
              <fill>
                <patternFill>
                  <bgColor indexed="10"/>
                </patternFill>
              </fill>
            </x14:dxf>
          </x14:cfRule>
          <xm:sqref>AX19</xm:sqref>
        </x14:conditionalFormatting>
        <x14:conditionalFormatting xmlns:xm="http://schemas.microsoft.com/office/excel/2006/main">
          <x14:cfRule type="cellIs" priority="670" stopIfTrue="1" operator="lessThan" id="{00000000-0000-0000-0000-000000000000}">
            <xm:f>INDEX('1.Locations'!$F$2:$F$97,$AP$20 + 1)</xm:f>
            <x14:dxf>
              <fill>
                <patternFill>
                  <bgColor indexed="52"/>
                </patternFill>
              </fill>
            </x14:dxf>
          </x14:cfRule>
          <xm:sqref>AW20</xm:sqref>
        </x14:conditionalFormatting>
        <x14:conditionalFormatting xmlns:xm="http://schemas.microsoft.com/office/excel/2006/main">
          <x14:cfRule type="expression" priority="671" stopIfTrue="1" id="{00000000-0000-0000-0000-000000000000}">
            <xm:f>(60 * HOUR($AX$20) + MINUTE($AX$20)) &gt;(60 * HOUR(INDEX('1.Locations'!$G$2:$G$97,$AP$20 + 1)) +MINUTE(INDEX('1.Locations'!$G$2:$G$97,$AP$20 + 1)))</xm:f>
            <x14:dxf>
              <fill>
                <patternFill>
                  <bgColor indexed="10"/>
                </patternFill>
              </fill>
            </x14:dxf>
          </x14:cfRule>
          <xm:sqref>AX20</xm:sqref>
        </x14:conditionalFormatting>
        <x14:conditionalFormatting xmlns:xm="http://schemas.microsoft.com/office/excel/2006/main">
          <x14:cfRule type="cellIs" priority="672" stopIfTrue="1" operator="lessThan" id="{00000000-0000-0000-0000-000000000000}">
            <xm:f>INDEX('1.Locations'!$F$2:$F$97,$AP$21 + 1)</xm:f>
            <x14:dxf>
              <fill>
                <patternFill>
                  <bgColor indexed="52"/>
                </patternFill>
              </fill>
            </x14:dxf>
          </x14:cfRule>
          <xm:sqref>AW21</xm:sqref>
        </x14:conditionalFormatting>
        <x14:conditionalFormatting xmlns:xm="http://schemas.microsoft.com/office/excel/2006/main">
          <x14:cfRule type="expression" priority="673" stopIfTrue="1" id="{00000000-0000-0000-0000-000000000000}">
            <xm:f>(60 * HOUR($AX$21) + MINUTE($AX$21)) &gt;(60 * HOUR(INDEX('1.Locations'!$G$2:$G$97,$AP$21 + 1)) +MINUTE(INDEX('1.Locations'!$G$2:$G$97,$AP$21 + 1)))</xm:f>
            <x14:dxf>
              <fill>
                <patternFill>
                  <bgColor indexed="10"/>
                </patternFill>
              </fill>
            </x14:dxf>
          </x14:cfRule>
          <xm:sqref>AX21</xm:sqref>
        </x14:conditionalFormatting>
        <x14:conditionalFormatting xmlns:xm="http://schemas.microsoft.com/office/excel/2006/main">
          <x14:cfRule type="cellIs" priority="674" stopIfTrue="1" operator="lessThan" id="{00000000-0000-0000-0000-000000000000}">
            <xm:f>INDEX('1.Locations'!$F$2:$F$97,$AP$22 + 1)</xm:f>
            <x14:dxf>
              <fill>
                <patternFill>
                  <bgColor indexed="52"/>
                </patternFill>
              </fill>
            </x14:dxf>
          </x14:cfRule>
          <xm:sqref>AW22</xm:sqref>
        </x14:conditionalFormatting>
        <x14:conditionalFormatting xmlns:xm="http://schemas.microsoft.com/office/excel/2006/main">
          <x14:cfRule type="expression" priority="675" stopIfTrue="1" id="{00000000-0000-0000-0000-000000000000}">
            <xm:f>(60 * HOUR($AX$22) + MINUTE($AX$22)) &gt;(60 * HOUR(INDEX('1.Locations'!$G$2:$G$97,$AP$22 + 1)) +MINUTE(INDEX('1.Locations'!$G$2:$G$97,$AP$22 + 1)))</xm:f>
            <x14:dxf>
              <fill>
                <patternFill>
                  <bgColor indexed="10"/>
                </patternFill>
              </fill>
            </x14:dxf>
          </x14:cfRule>
          <xm:sqref>AX22</xm:sqref>
        </x14:conditionalFormatting>
        <x14:conditionalFormatting xmlns:xm="http://schemas.microsoft.com/office/excel/2006/main">
          <x14:cfRule type="cellIs" priority="676" stopIfTrue="1" operator="lessThan" id="{00000000-0000-0000-0000-000000000000}">
            <xm:f>INDEX('1.Locations'!$F$2:$F$97,$AP$23 + 1)</xm:f>
            <x14:dxf>
              <fill>
                <patternFill>
                  <bgColor indexed="52"/>
                </patternFill>
              </fill>
            </x14:dxf>
          </x14:cfRule>
          <xm:sqref>AW23</xm:sqref>
        </x14:conditionalFormatting>
        <x14:conditionalFormatting xmlns:xm="http://schemas.microsoft.com/office/excel/2006/main">
          <x14:cfRule type="expression" priority="677" stopIfTrue="1" id="{00000000-0000-0000-0000-000000000000}">
            <xm:f>(60 * HOUR($AX$23) + MINUTE($AX$23)) &gt;(60 * HOUR(INDEX('1.Locations'!$G$2:$G$97,$AP$23 + 1)) +MINUTE(INDEX('1.Locations'!$G$2:$G$97,$AP$23 + 1)))</xm:f>
            <x14:dxf>
              <fill>
                <patternFill>
                  <bgColor indexed="10"/>
                </patternFill>
              </fill>
            </x14:dxf>
          </x14:cfRule>
          <xm:sqref>AX23</xm:sqref>
        </x14:conditionalFormatting>
        <x14:conditionalFormatting xmlns:xm="http://schemas.microsoft.com/office/excel/2006/main">
          <x14:cfRule type="cellIs" priority="678" stopIfTrue="1" operator="lessThan" id="{00000000-0000-0000-0000-000000000000}">
            <xm:f>INDEX('1.Locations'!$F$2:$F$97,$AP$24 + 1)</xm:f>
            <x14:dxf>
              <fill>
                <patternFill>
                  <bgColor indexed="52"/>
                </patternFill>
              </fill>
            </x14:dxf>
          </x14:cfRule>
          <xm:sqref>AW24</xm:sqref>
        </x14:conditionalFormatting>
        <x14:conditionalFormatting xmlns:xm="http://schemas.microsoft.com/office/excel/2006/main">
          <x14:cfRule type="expression" priority="679" stopIfTrue="1" id="{00000000-0000-0000-0000-000000000000}">
            <xm:f>(60 * HOUR($AX$24) + MINUTE($AX$24)) &gt;(60 * HOUR(INDEX('1.Locations'!$G$2:$G$97,$AP$24 + 1)) +MINUTE(INDEX('1.Locations'!$G$2:$G$97,$AP$24 + 1)))</xm:f>
            <x14:dxf>
              <fill>
                <patternFill>
                  <bgColor indexed="10"/>
                </patternFill>
              </fill>
            </x14:dxf>
          </x14:cfRule>
          <xm:sqref>AX24</xm:sqref>
        </x14:conditionalFormatting>
        <x14:conditionalFormatting xmlns:xm="http://schemas.microsoft.com/office/excel/2006/main">
          <x14:cfRule type="cellIs" priority="680" stopIfTrue="1" operator="lessThan" id="{00000000-0000-0000-0000-000000000000}">
            <xm:f>INDEX('1.Locations'!$F$2:$F$97,$AP$25 + 1)</xm:f>
            <x14:dxf>
              <fill>
                <patternFill>
                  <bgColor indexed="52"/>
                </patternFill>
              </fill>
            </x14:dxf>
          </x14:cfRule>
          <xm:sqref>AW25</xm:sqref>
        </x14:conditionalFormatting>
        <x14:conditionalFormatting xmlns:xm="http://schemas.microsoft.com/office/excel/2006/main">
          <x14:cfRule type="expression" priority="681" stopIfTrue="1" id="{00000000-0000-0000-0000-000000000000}">
            <xm:f>(60 * HOUR($AX$25) + MINUTE($AX$25)) &gt;(60 * HOUR(INDEX('1.Locations'!$G$2:$G$97,$AP$25 + 1)) +MINUTE(INDEX('1.Locations'!$G$2:$G$97,$AP$25 + 1)))</xm:f>
            <x14:dxf>
              <fill>
                <patternFill>
                  <bgColor indexed="10"/>
                </patternFill>
              </fill>
            </x14:dxf>
          </x14:cfRule>
          <xm:sqref>AX25</xm:sqref>
        </x14:conditionalFormatting>
        <x14:conditionalFormatting xmlns:xm="http://schemas.microsoft.com/office/excel/2006/main">
          <x14:cfRule type="cellIs" priority="682" stopIfTrue="1" operator="lessThan" id="{00000000-0000-0000-0000-000000000000}">
            <xm:f>INDEX('1.Locations'!$F$2:$F$97,$AP$26 + 1)</xm:f>
            <x14:dxf>
              <fill>
                <patternFill>
                  <bgColor indexed="52"/>
                </patternFill>
              </fill>
            </x14:dxf>
          </x14:cfRule>
          <xm:sqref>AW26</xm:sqref>
        </x14:conditionalFormatting>
        <x14:conditionalFormatting xmlns:xm="http://schemas.microsoft.com/office/excel/2006/main">
          <x14:cfRule type="expression" priority="683" stopIfTrue="1" id="{00000000-0000-0000-0000-000000000000}">
            <xm:f>(60 * HOUR($AX$26) + MINUTE($AX$26)) &gt;(60 * HOUR(INDEX('1.Locations'!$G$2:$G$97,$AP$26 + 1)) +MINUTE(INDEX('1.Locations'!$G$2:$G$97,$AP$26 + 1)))</xm:f>
            <x14:dxf>
              <fill>
                <patternFill>
                  <bgColor indexed="10"/>
                </patternFill>
              </fill>
            </x14:dxf>
          </x14:cfRule>
          <xm:sqref>AX26</xm:sqref>
        </x14:conditionalFormatting>
        <x14:conditionalFormatting xmlns:xm="http://schemas.microsoft.com/office/excel/2006/main">
          <x14:cfRule type="cellIs" priority="684" stopIfTrue="1" operator="lessThan" id="{00000000-0000-0000-0000-000000000000}">
            <xm:f>INDEX('1.Locations'!$F$2:$F$97,$AP$27 + 1)</xm:f>
            <x14:dxf>
              <fill>
                <patternFill>
                  <bgColor indexed="52"/>
                </patternFill>
              </fill>
            </x14:dxf>
          </x14:cfRule>
          <xm:sqref>AW27</xm:sqref>
        </x14:conditionalFormatting>
        <x14:conditionalFormatting xmlns:xm="http://schemas.microsoft.com/office/excel/2006/main">
          <x14:cfRule type="expression" priority="685" stopIfTrue="1" id="{00000000-0000-0000-0000-000000000000}">
            <xm:f>(60 * HOUR($AX$27) + MINUTE($AX$27)) &gt;(60 * HOUR(INDEX('1.Locations'!$G$2:$G$97,$AP$27 + 1)) +MINUTE(INDEX('1.Locations'!$G$2:$G$97,$AP$27 + 1)))</xm:f>
            <x14:dxf>
              <fill>
                <patternFill>
                  <bgColor indexed="10"/>
                </patternFill>
              </fill>
            </x14:dxf>
          </x14:cfRule>
          <xm:sqref>AX27</xm:sqref>
        </x14:conditionalFormatting>
        <x14:conditionalFormatting xmlns:xm="http://schemas.microsoft.com/office/excel/2006/main">
          <x14:cfRule type="cellIs" priority="686" stopIfTrue="1" operator="lessThan" id="{00000000-0000-0000-0000-000000000000}">
            <xm:f>INDEX('1.Locations'!$F$2:$F$97,$AP$28 + 1)</xm:f>
            <x14:dxf>
              <fill>
                <patternFill>
                  <bgColor indexed="52"/>
                </patternFill>
              </fill>
            </x14:dxf>
          </x14:cfRule>
          <xm:sqref>AW28</xm:sqref>
        </x14:conditionalFormatting>
        <x14:conditionalFormatting xmlns:xm="http://schemas.microsoft.com/office/excel/2006/main">
          <x14:cfRule type="expression" priority="687" stopIfTrue="1" id="{00000000-0000-0000-0000-000000000000}">
            <xm:f>(60 * HOUR($AX$28) + MINUTE($AX$28)) &gt;(60 * HOUR(INDEX('1.Locations'!$G$2:$G$97,$AP$28 + 1)) +MINUTE(INDEX('1.Locations'!$G$2:$G$97,$AP$28 + 1)))</xm:f>
            <x14:dxf>
              <fill>
                <patternFill>
                  <bgColor indexed="10"/>
                </patternFill>
              </fill>
            </x14:dxf>
          </x14:cfRule>
          <xm:sqref>AX28</xm:sqref>
        </x14:conditionalFormatting>
        <x14:conditionalFormatting xmlns:xm="http://schemas.microsoft.com/office/excel/2006/main">
          <x14:cfRule type="cellIs" priority="688" stopIfTrue="1" operator="lessThan" id="{00000000-0000-0000-0000-000000000000}">
            <xm:f>INDEX('1.Locations'!$F$2:$F$97,$AP$29 + 1)</xm:f>
            <x14:dxf>
              <fill>
                <patternFill>
                  <bgColor indexed="52"/>
                </patternFill>
              </fill>
            </x14:dxf>
          </x14:cfRule>
          <xm:sqref>AW29</xm:sqref>
        </x14:conditionalFormatting>
        <x14:conditionalFormatting xmlns:xm="http://schemas.microsoft.com/office/excel/2006/main">
          <x14:cfRule type="expression" priority="689" stopIfTrue="1" id="{00000000-0000-0000-0000-000000000000}">
            <xm:f>(60 * HOUR($AX$29) + MINUTE($AX$29)) &gt;(60 * HOUR(INDEX('1.Locations'!$G$2:$G$97,$AP$29 + 1)) +MINUTE(INDEX('1.Locations'!$G$2:$G$97,$AP$29 + 1)))</xm:f>
            <x14:dxf>
              <fill>
                <patternFill>
                  <bgColor indexed="10"/>
                </patternFill>
              </fill>
            </x14:dxf>
          </x14:cfRule>
          <xm:sqref>AX29</xm:sqref>
        </x14:conditionalFormatting>
        <x14:conditionalFormatting xmlns:xm="http://schemas.microsoft.com/office/excel/2006/main">
          <x14:cfRule type="cellIs" priority="690" stopIfTrue="1" operator="lessThan" id="{00000000-0000-0000-0000-000000000000}">
            <xm:f>INDEX('1.Locations'!$F$2:$F$97,$AP$30 + 1)</xm:f>
            <x14:dxf>
              <fill>
                <patternFill>
                  <bgColor indexed="52"/>
                </patternFill>
              </fill>
            </x14:dxf>
          </x14:cfRule>
          <xm:sqref>AW30</xm:sqref>
        </x14:conditionalFormatting>
        <x14:conditionalFormatting xmlns:xm="http://schemas.microsoft.com/office/excel/2006/main">
          <x14:cfRule type="expression" priority="691" stopIfTrue="1" id="{00000000-0000-0000-0000-000000000000}">
            <xm:f>(60 * HOUR($AX$30) + MINUTE($AX$30)) &gt;(60 * HOUR(INDEX('1.Locations'!$G$2:$G$97,$AP$30 + 1)) +MINUTE(INDEX('1.Locations'!$G$2:$G$97,$AP$30 + 1)))</xm:f>
            <x14:dxf>
              <fill>
                <patternFill>
                  <bgColor indexed="10"/>
                </patternFill>
              </fill>
            </x14:dxf>
          </x14:cfRule>
          <xm:sqref>AX30</xm:sqref>
        </x14:conditionalFormatting>
        <x14:conditionalFormatting xmlns:xm="http://schemas.microsoft.com/office/excel/2006/main">
          <x14:cfRule type="cellIs" priority="692" stopIfTrue="1" operator="lessThan" id="{00000000-0000-0000-0000-000000000000}">
            <xm:f>INDEX('1.Locations'!$F$2:$F$97,$AP$31 + 1)</xm:f>
            <x14:dxf>
              <fill>
                <patternFill>
                  <bgColor indexed="52"/>
                </patternFill>
              </fill>
            </x14:dxf>
          </x14:cfRule>
          <xm:sqref>AW31</xm:sqref>
        </x14:conditionalFormatting>
        <x14:conditionalFormatting xmlns:xm="http://schemas.microsoft.com/office/excel/2006/main">
          <x14:cfRule type="expression" priority="693" stopIfTrue="1" id="{00000000-0000-0000-0000-000000000000}">
            <xm:f>(60 * HOUR($AX$31) + MINUTE($AX$31)) &gt;(60 * HOUR(INDEX('1.Locations'!$G$2:$G$97,$AP$31 + 1)) +MINUTE(INDEX('1.Locations'!$G$2:$G$97,$AP$31 + 1)))</xm:f>
            <x14:dxf>
              <fill>
                <patternFill>
                  <bgColor indexed="10"/>
                </patternFill>
              </fill>
            </x14:dxf>
          </x14:cfRule>
          <xm:sqref>AX31</xm:sqref>
        </x14:conditionalFormatting>
        <x14:conditionalFormatting xmlns:xm="http://schemas.microsoft.com/office/excel/2006/main">
          <x14:cfRule type="cellIs" priority="694" stopIfTrue="1" operator="lessThan" id="{00000000-0000-0000-0000-000000000000}">
            <xm:f>INDEX('1.Locations'!$F$2:$F$97,$AP$32 + 1)</xm:f>
            <x14:dxf>
              <fill>
                <patternFill>
                  <bgColor indexed="52"/>
                </patternFill>
              </fill>
            </x14:dxf>
          </x14:cfRule>
          <xm:sqref>AW32</xm:sqref>
        </x14:conditionalFormatting>
        <x14:conditionalFormatting xmlns:xm="http://schemas.microsoft.com/office/excel/2006/main">
          <x14:cfRule type="expression" priority="695" stopIfTrue="1" id="{00000000-0000-0000-0000-000000000000}">
            <xm:f>(60 * HOUR($AX$32) + MINUTE($AX$32)) &gt;(60 * HOUR(INDEX('1.Locations'!$G$2:$G$97,$AP$32 + 1)) +MINUTE(INDEX('1.Locations'!$G$2:$G$97,$AP$32 + 1)))</xm:f>
            <x14:dxf>
              <fill>
                <patternFill>
                  <bgColor indexed="10"/>
                </patternFill>
              </fill>
            </x14:dxf>
          </x14:cfRule>
          <xm:sqref>AX32</xm:sqref>
        </x14:conditionalFormatting>
        <x14:conditionalFormatting xmlns:xm="http://schemas.microsoft.com/office/excel/2006/main">
          <x14:cfRule type="cellIs" priority="696" stopIfTrue="1" operator="lessThan" id="{00000000-0000-0000-0000-000000000000}">
            <xm:f>INDEX('1.Locations'!$F$2:$F$97,$AP$33 + 1)</xm:f>
            <x14:dxf>
              <fill>
                <patternFill>
                  <bgColor indexed="52"/>
                </patternFill>
              </fill>
            </x14:dxf>
          </x14:cfRule>
          <xm:sqref>AW33</xm:sqref>
        </x14:conditionalFormatting>
        <x14:conditionalFormatting xmlns:xm="http://schemas.microsoft.com/office/excel/2006/main">
          <x14:cfRule type="expression" priority="697" stopIfTrue="1" id="{00000000-0000-0000-0000-000000000000}">
            <xm:f>(60 * HOUR($AX$33) + MINUTE($AX$33)) &gt;(60 * HOUR(INDEX('1.Locations'!$G$2:$G$97,$AP$33 + 1)) +MINUTE(INDEX('1.Locations'!$G$2:$G$97,$AP$33 + 1)))</xm:f>
            <x14:dxf>
              <fill>
                <patternFill>
                  <bgColor indexed="10"/>
                </patternFill>
              </fill>
            </x14:dxf>
          </x14:cfRule>
          <xm:sqref>AX33</xm:sqref>
        </x14:conditionalFormatting>
        <x14:conditionalFormatting xmlns:xm="http://schemas.microsoft.com/office/excel/2006/main">
          <x14:cfRule type="cellIs" priority="698" stopIfTrue="1" operator="lessThan" id="{00000000-0000-0000-0000-000000000000}">
            <xm:f>INDEX('1.Locations'!$F$2:$F$97,$AP$34 + 1)</xm:f>
            <x14:dxf>
              <fill>
                <patternFill>
                  <bgColor indexed="52"/>
                </patternFill>
              </fill>
            </x14:dxf>
          </x14:cfRule>
          <xm:sqref>AW34</xm:sqref>
        </x14:conditionalFormatting>
        <x14:conditionalFormatting xmlns:xm="http://schemas.microsoft.com/office/excel/2006/main">
          <x14:cfRule type="expression" priority="699" stopIfTrue="1" id="{00000000-0000-0000-0000-000000000000}">
            <xm:f>(60 * HOUR($AX$34) + MINUTE($AX$34)) &gt;(60 * HOUR(INDEX('1.Locations'!$G$2:$G$97,$AP$34 + 1)) +MINUTE(INDEX('1.Locations'!$G$2:$G$97,$AP$34 + 1)))</xm:f>
            <x14:dxf>
              <fill>
                <patternFill>
                  <bgColor indexed="10"/>
                </patternFill>
              </fill>
            </x14:dxf>
          </x14:cfRule>
          <xm:sqref>AX34</xm:sqref>
        </x14:conditionalFormatting>
        <x14:conditionalFormatting xmlns:xm="http://schemas.microsoft.com/office/excel/2006/main">
          <x14:cfRule type="cellIs" priority="700" stopIfTrue="1" operator="lessThan" id="{00000000-0000-0000-0000-000000000000}">
            <xm:f>INDEX('1.Locations'!$F$2:$F$97,$AP$35 + 1)</xm:f>
            <x14:dxf>
              <fill>
                <patternFill>
                  <bgColor indexed="52"/>
                </patternFill>
              </fill>
            </x14:dxf>
          </x14:cfRule>
          <xm:sqref>AW35</xm:sqref>
        </x14:conditionalFormatting>
        <x14:conditionalFormatting xmlns:xm="http://schemas.microsoft.com/office/excel/2006/main">
          <x14:cfRule type="expression" priority="701" stopIfTrue="1" id="{00000000-0000-0000-0000-000000000000}">
            <xm:f>(60 * HOUR($AX$35) + MINUTE($AX$35)) &gt;(60 * HOUR(INDEX('1.Locations'!$G$2:$G$97,$AP$35 + 1)) +MINUTE(INDEX('1.Locations'!$G$2:$G$97,$AP$35 + 1)))</xm:f>
            <x14:dxf>
              <fill>
                <patternFill>
                  <bgColor indexed="10"/>
                </patternFill>
              </fill>
            </x14:dxf>
          </x14:cfRule>
          <xm:sqref>AX35</xm:sqref>
        </x14:conditionalFormatting>
        <x14:conditionalFormatting xmlns:xm="http://schemas.microsoft.com/office/excel/2006/main">
          <x14:cfRule type="cellIs" priority="702" stopIfTrue="1" operator="lessThan" id="{00000000-0000-0000-0000-000000000000}">
            <xm:f>INDEX('1.Locations'!$F$2:$F$97,$AP$36 + 1)</xm:f>
            <x14:dxf>
              <fill>
                <patternFill>
                  <bgColor indexed="52"/>
                </patternFill>
              </fill>
            </x14:dxf>
          </x14:cfRule>
          <xm:sqref>AW36</xm:sqref>
        </x14:conditionalFormatting>
        <x14:conditionalFormatting xmlns:xm="http://schemas.microsoft.com/office/excel/2006/main">
          <x14:cfRule type="expression" priority="703" stopIfTrue="1" id="{00000000-0000-0000-0000-000000000000}">
            <xm:f>(60 * HOUR($AX$36) + MINUTE($AX$36)) &gt;(60 * HOUR(INDEX('1.Locations'!$G$2:$G$97,$AP$36 + 1)) +MINUTE(INDEX('1.Locations'!$G$2:$G$97,$AP$36 + 1)))</xm:f>
            <x14:dxf>
              <fill>
                <patternFill>
                  <bgColor indexed="10"/>
                </patternFill>
              </fill>
            </x14:dxf>
          </x14:cfRule>
          <xm:sqref>AX36</xm:sqref>
        </x14:conditionalFormatting>
        <x14:conditionalFormatting xmlns:xm="http://schemas.microsoft.com/office/excel/2006/main">
          <x14:cfRule type="cellIs" priority="704" stopIfTrue="1" operator="lessThan" id="{00000000-0000-0000-0000-000000000000}">
            <xm:f>INDEX('1.Locations'!$F$2:$F$97,$AP$37 + 1)</xm:f>
            <x14:dxf>
              <fill>
                <patternFill>
                  <bgColor indexed="52"/>
                </patternFill>
              </fill>
            </x14:dxf>
          </x14:cfRule>
          <xm:sqref>AW37</xm:sqref>
        </x14:conditionalFormatting>
        <x14:conditionalFormatting xmlns:xm="http://schemas.microsoft.com/office/excel/2006/main">
          <x14:cfRule type="expression" priority="705" stopIfTrue="1" id="{00000000-0000-0000-0000-000000000000}">
            <xm:f>(60 * HOUR($AX$37) + MINUTE($AX$37)) &gt;(60 * HOUR(INDEX('1.Locations'!$G$2:$G$97,$AP$37 + 1)) +MINUTE(INDEX('1.Locations'!$G$2:$G$97,$AP$37 + 1)))</xm:f>
            <x14:dxf>
              <fill>
                <patternFill>
                  <bgColor indexed="10"/>
                </patternFill>
              </fill>
            </x14:dxf>
          </x14:cfRule>
          <xm:sqref>AX37</xm:sqref>
        </x14:conditionalFormatting>
        <x14:conditionalFormatting xmlns:xm="http://schemas.microsoft.com/office/excel/2006/main">
          <x14:cfRule type="cellIs" priority="706" stopIfTrue="1" operator="lessThan" id="{00000000-0000-0000-0000-000000000000}">
            <xm:f>INDEX('1.Locations'!$F$2:$F$97,$AP$38 + 1)</xm:f>
            <x14:dxf>
              <fill>
                <patternFill>
                  <bgColor indexed="52"/>
                </patternFill>
              </fill>
            </x14:dxf>
          </x14:cfRule>
          <xm:sqref>AW38</xm:sqref>
        </x14:conditionalFormatting>
        <x14:conditionalFormatting xmlns:xm="http://schemas.microsoft.com/office/excel/2006/main">
          <x14:cfRule type="expression" priority="707" stopIfTrue="1" id="{00000000-0000-0000-0000-000000000000}">
            <xm:f>(60 * HOUR($AX$38) + MINUTE($AX$38)) &gt;(60 * HOUR(INDEX('1.Locations'!$G$2:$G$97,$AP$38 + 1)) +MINUTE(INDEX('1.Locations'!$G$2:$G$97,$AP$38 + 1)))</xm:f>
            <x14:dxf>
              <fill>
                <patternFill>
                  <bgColor indexed="10"/>
                </patternFill>
              </fill>
            </x14:dxf>
          </x14:cfRule>
          <xm:sqref>AX38</xm:sqref>
        </x14:conditionalFormatting>
        <x14:conditionalFormatting xmlns:xm="http://schemas.microsoft.com/office/excel/2006/main">
          <x14:cfRule type="cellIs" priority="708" stopIfTrue="1" operator="lessThan" id="{00000000-0000-0000-0000-000000000000}">
            <xm:f>INDEX('1.Locations'!$F$2:$F$97,$AP$39 + 1)</xm:f>
            <x14:dxf>
              <fill>
                <patternFill>
                  <bgColor indexed="52"/>
                </patternFill>
              </fill>
            </x14:dxf>
          </x14:cfRule>
          <xm:sqref>AW39</xm:sqref>
        </x14:conditionalFormatting>
        <x14:conditionalFormatting xmlns:xm="http://schemas.microsoft.com/office/excel/2006/main">
          <x14:cfRule type="expression" priority="709" stopIfTrue="1" id="{00000000-0000-0000-0000-000000000000}">
            <xm:f>(60 * HOUR($AX$39) + MINUTE($AX$39)) &gt;(60 * HOUR(INDEX('1.Locations'!$G$2:$G$97,$AP$39 + 1)) +MINUTE(INDEX('1.Locations'!$G$2:$G$97,$AP$39 + 1)))</xm:f>
            <x14:dxf>
              <fill>
                <patternFill>
                  <bgColor indexed="10"/>
                </patternFill>
              </fill>
            </x14:dxf>
          </x14:cfRule>
          <xm:sqref>AX39</xm:sqref>
        </x14:conditionalFormatting>
        <x14:conditionalFormatting xmlns:xm="http://schemas.microsoft.com/office/excel/2006/main">
          <x14:cfRule type="cellIs" priority="710" stopIfTrue="1" operator="lessThan" id="{00000000-0000-0000-0000-000000000000}">
            <xm:f>INDEX('1.Locations'!$F$2:$F$97,$AP$40 + 1)</xm:f>
            <x14:dxf>
              <fill>
                <patternFill>
                  <bgColor indexed="52"/>
                </patternFill>
              </fill>
            </x14:dxf>
          </x14:cfRule>
          <xm:sqref>AW40</xm:sqref>
        </x14:conditionalFormatting>
        <x14:conditionalFormatting xmlns:xm="http://schemas.microsoft.com/office/excel/2006/main">
          <x14:cfRule type="expression" priority="711" stopIfTrue="1" id="{00000000-0000-0000-0000-000000000000}">
            <xm:f>(60 * HOUR($AX$40) + MINUTE($AX$40)) &gt;(60 * HOUR(INDEX('1.Locations'!$G$2:$G$97,$AP$40 + 1)) +MINUTE(INDEX('1.Locations'!$G$2:$G$97,$AP$40 + 1)))</xm:f>
            <x14:dxf>
              <fill>
                <patternFill>
                  <bgColor indexed="10"/>
                </patternFill>
              </fill>
            </x14:dxf>
          </x14:cfRule>
          <xm:sqref>AX40</xm:sqref>
        </x14:conditionalFormatting>
        <x14:conditionalFormatting xmlns:xm="http://schemas.microsoft.com/office/excel/2006/main">
          <x14:cfRule type="cellIs" priority="712" stopIfTrue="1" operator="lessThan" id="{00000000-0000-0000-0000-000000000000}">
            <xm:f>INDEX('1.Locations'!$F$2:$F$97,$AP$41 + 1)</xm:f>
            <x14:dxf>
              <fill>
                <patternFill>
                  <bgColor indexed="52"/>
                </patternFill>
              </fill>
            </x14:dxf>
          </x14:cfRule>
          <xm:sqref>AW41</xm:sqref>
        </x14:conditionalFormatting>
        <x14:conditionalFormatting xmlns:xm="http://schemas.microsoft.com/office/excel/2006/main">
          <x14:cfRule type="expression" priority="713" stopIfTrue="1" id="{00000000-0000-0000-0000-000000000000}">
            <xm:f>(60 * HOUR($AX$41) + MINUTE($AX$41)) &gt;(60 * HOUR(INDEX('1.Locations'!$G$2:$G$97,$AP$41 + 1)) +MINUTE(INDEX('1.Locations'!$G$2:$G$97,$AP$41 + 1)))</xm:f>
            <x14:dxf>
              <fill>
                <patternFill>
                  <bgColor indexed="10"/>
                </patternFill>
              </fill>
            </x14:dxf>
          </x14:cfRule>
          <xm:sqref>AX41</xm:sqref>
        </x14:conditionalFormatting>
        <x14:conditionalFormatting xmlns:xm="http://schemas.microsoft.com/office/excel/2006/main">
          <x14:cfRule type="cellIs" priority="714" stopIfTrue="1" operator="lessThan" id="{00000000-0000-0000-0000-000000000000}">
            <xm:f>INDEX('1.Locations'!$F$2:$F$97,$AP$42 + 1)</xm:f>
            <x14:dxf>
              <fill>
                <patternFill>
                  <bgColor indexed="52"/>
                </patternFill>
              </fill>
            </x14:dxf>
          </x14:cfRule>
          <xm:sqref>AW42</xm:sqref>
        </x14:conditionalFormatting>
        <x14:conditionalFormatting xmlns:xm="http://schemas.microsoft.com/office/excel/2006/main">
          <x14:cfRule type="expression" priority="715" stopIfTrue="1" id="{00000000-0000-0000-0000-000000000000}">
            <xm:f>(60 * HOUR($AX$42) + MINUTE($AX$42)) &gt;(60 * HOUR(INDEX('1.Locations'!$G$2:$G$97,$AP$42 + 1)) +MINUTE(INDEX('1.Locations'!$G$2:$G$97,$AP$42 + 1)))</xm:f>
            <x14:dxf>
              <fill>
                <patternFill>
                  <bgColor indexed="10"/>
                </patternFill>
              </fill>
            </x14:dxf>
          </x14:cfRule>
          <xm:sqref>AX42</xm:sqref>
        </x14:conditionalFormatting>
        <x14:conditionalFormatting xmlns:xm="http://schemas.microsoft.com/office/excel/2006/main">
          <x14:cfRule type="cellIs" priority="716" stopIfTrue="1" operator="lessThan" id="{00000000-0000-0000-0000-000000000000}">
            <xm:f>INDEX('1.Locations'!$F$2:$F$97,$AP$43 + 1)</xm:f>
            <x14:dxf>
              <fill>
                <patternFill>
                  <bgColor indexed="52"/>
                </patternFill>
              </fill>
            </x14:dxf>
          </x14:cfRule>
          <xm:sqref>AW43</xm:sqref>
        </x14:conditionalFormatting>
        <x14:conditionalFormatting xmlns:xm="http://schemas.microsoft.com/office/excel/2006/main">
          <x14:cfRule type="expression" priority="717" stopIfTrue="1" id="{00000000-0000-0000-0000-000000000000}">
            <xm:f>(60 * HOUR($AX$43) + MINUTE($AX$43)) &gt;(60 * HOUR(INDEX('1.Locations'!$G$2:$G$97,$AP$43 + 1)) +MINUTE(INDEX('1.Locations'!$G$2:$G$97,$AP$43 + 1)))</xm:f>
            <x14:dxf>
              <fill>
                <patternFill>
                  <bgColor indexed="10"/>
                </patternFill>
              </fill>
            </x14:dxf>
          </x14:cfRule>
          <xm:sqref>AX43</xm:sqref>
        </x14:conditionalFormatting>
        <x14:conditionalFormatting xmlns:xm="http://schemas.microsoft.com/office/excel/2006/main">
          <x14:cfRule type="cellIs" priority="718" stopIfTrue="1" operator="lessThan" id="{00000000-0000-0000-0000-000000000000}">
            <xm:f>INDEX('1.Locations'!$F$2:$F$97,$AP$44 + 1)</xm:f>
            <x14:dxf>
              <fill>
                <patternFill>
                  <bgColor indexed="52"/>
                </patternFill>
              </fill>
            </x14:dxf>
          </x14:cfRule>
          <xm:sqref>AW44</xm:sqref>
        </x14:conditionalFormatting>
        <x14:conditionalFormatting xmlns:xm="http://schemas.microsoft.com/office/excel/2006/main">
          <x14:cfRule type="expression" priority="719" stopIfTrue="1" id="{00000000-0000-0000-0000-000000000000}">
            <xm:f>(60 * HOUR($AX$44) + MINUTE($AX$44)) &gt;(60 * HOUR(INDEX('1.Locations'!$G$2:$G$97,$AP$44 + 1)) +MINUTE(INDEX('1.Locations'!$G$2:$G$97,$AP$44 + 1)))</xm:f>
            <x14:dxf>
              <fill>
                <patternFill>
                  <bgColor indexed="10"/>
                </patternFill>
              </fill>
            </x14:dxf>
          </x14:cfRule>
          <xm:sqref>AX44</xm:sqref>
        </x14:conditionalFormatting>
        <x14:conditionalFormatting xmlns:xm="http://schemas.microsoft.com/office/excel/2006/main">
          <x14:cfRule type="cellIs" priority="720" stopIfTrue="1" operator="lessThan" id="{00000000-0000-0000-0000-000000000000}">
            <xm:f>INDEX('1.Locations'!$F$2:$F$97,$AP$45 + 1)</xm:f>
            <x14:dxf>
              <fill>
                <patternFill>
                  <bgColor indexed="52"/>
                </patternFill>
              </fill>
            </x14:dxf>
          </x14:cfRule>
          <xm:sqref>AW45</xm:sqref>
        </x14:conditionalFormatting>
        <x14:conditionalFormatting xmlns:xm="http://schemas.microsoft.com/office/excel/2006/main">
          <x14:cfRule type="expression" priority="721" stopIfTrue="1" id="{00000000-0000-0000-0000-000000000000}">
            <xm:f>(60 * HOUR($AX$45) + MINUTE($AX$45)) &gt;(60 * HOUR(INDEX('1.Locations'!$G$2:$G$97,$AP$45 + 1)) +MINUTE(INDEX('1.Locations'!$G$2:$G$97,$AP$45 + 1)))</xm:f>
            <x14:dxf>
              <fill>
                <patternFill>
                  <bgColor indexed="10"/>
                </patternFill>
              </fill>
            </x14:dxf>
          </x14:cfRule>
          <xm:sqref>AX45</xm:sqref>
        </x14:conditionalFormatting>
        <x14:conditionalFormatting xmlns:xm="http://schemas.microsoft.com/office/excel/2006/main">
          <x14:cfRule type="cellIs" priority="722" stopIfTrue="1" operator="lessThan" id="{00000000-0000-0000-0000-000000000000}">
            <xm:f>INDEX('1.Locations'!$F$2:$F$97,$AP$46 + 1)</xm:f>
            <x14:dxf>
              <fill>
                <patternFill>
                  <bgColor indexed="52"/>
                </patternFill>
              </fill>
            </x14:dxf>
          </x14:cfRule>
          <xm:sqref>AW46</xm:sqref>
        </x14:conditionalFormatting>
        <x14:conditionalFormatting xmlns:xm="http://schemas.microsoft.com/office/excel/2006/main">
          <x14:cfRule type="expression" priority="723" stopIfTrue="1" id="{00000000-0000-0000-0000-000000000000}">
            <xm:f>(60 * HOUR($AX$46) + MINUTE($AX$46)) &gt;(60 * HOUR(INDEX('1.Locations'!$G$2:$G$97,$AP$46 + 1)) +MINUTE(INDEX('1.Locations'!$G$2:$G$97,$AP$46 + 1)))</xm:f>
            <x14:dxf>
              <fill>
                <patternFill>
                  <bgColor indexed="10"/>
                </patternFill>
              </fill>
            </x14:dxf>
          </x14:cfRule>
          <xm:sqref>AX46</xm:sqref>
        </x14:conditionalFormatting>
        <x14:conditionalFormatting xmlns:xm="http://schemas.microsoft.com/office/excel/2006/main">
          <x14:cfRule type="cellIs" priority="724" stopIfTrue="1" operator="lessThan" id="{00000000-0000-0000-0000-000000000000}">
            <xm:f>INDEX('1.Locations'!$F$2:$F$97,$AP$47 + 1)</xm:f>
            <x14:dxf>
              <fill>
                <patternFill>
                  <bgColor indexed="52"/>
                </patternFill>
              </fill>
            </x14:dxf>
          </x14:cfRule>
          <xm:sqref>AW47</xm:sqref>
        </x14:conditionalFormatting>
        <x14:conditionalFormatting xmlns:xm="http://schemas.microsoft.com/office/excel/2006/main">
          <x14:cfRule type="expression" priority="725" stopIfTrue="1" id="{00000000-0000-0000-0000-000000000000}">
            <xm:f>(60 * HOUR($AX$47) + MINUTE($AX$47)) &gt;(60 * HOUR(INDEX('1.Locations'!$G$2:$G$97,$AP$47 + 1)) +MINUTE(INDEX('1.Locations'!$G$2:$G$97,$AP$47 + 1)))</xm:f>
            <x14:dxf>
              <fill>
                <patternFill>
                  <bgColor indexed="10"/>
                </patternFill>
              </fill>
            </x14:dxf>
          </x14:cfRule>
          <xm:sqref>AX47</xm:sqref>
        </x14:conditionalFormatting>
        <x14:conditionalFormatting xmlns:xm="http://schemas.microsoft.com/office/excel/2006/main">
          <x14:cfRule type="cellIs" priority="726" stopIfTrue="1" operator="lessThan" id="{00000000-0000-0000-0000-000000000000}">
            <xm:f>INDEX('1.Locations'!$F$2:$F$97,$AP$48 + 1)</xm:f>
            <x14:dxf>
              <fill>
                <patternFill>
                  <bgColor indexed="52"/>
                </patternFill>
              </fill>
            </x14:dxf>
          </x14:cfRule>
          <xm:sqref>AW48</xm:sqref>
        </x14:conditionalFormatting>
        <x14:conditionalFormatting xmlns:xm="http://schemas.microsoft.com/office/excel/2006/main">
          <x14:cfRule type="expression" priority="727" stopIfTrue="1" id="{00000000-0000-0000-0000-000000000000}">
            <xm:f>(60 * HOUR($AX$48) + MINUTE($AX$48)) &gt;(60 * HOUR(INDEX('1.Locations'!$G$2:$G$97,$AP$48 + 1)) +MINUTE(INDEX('1.Locations'!$G$2:$G$97,$AP$48 + 1)))</xm:f>
            <x14:dxf>
              <fill>
                <patternFill>
                  <bgColor indexed="10"/>
                </patternFill>
              </fill>
            </x14:dxf>
          </x14:cfRule>
          <xm:sqref>AX48</xm:sqref>
        </x14:conditionalFormatting>
        <x14:conditionalFormatting xmlns:xm="http://schemas.microsoft.com/office/excel/2006/main">
          <x14:cfRule type="cellIs" priority="728" stopIfTrue="1" operator="lessThan" id="{00000000-0000-0000-0000-000000000000}">
            <xm:f>INDEX('1.Locations'!$F$2:$F$97,$AP$49 + 1)</xm:f>
            <x14:dxf>
              <fill>
                <patternFill>
                  <bgColor indexed="52"/>
                </patternFill>
              </fill>
            </x14:dxf>
          </x14:cfRule>
          <xm:sqref>AW49</xm:sqref>
        </x14:conditionalFormatting>
        <x14:conditionalFormatting xmlns:xm="http://schemas.microsoft.com/office/excel/2006/main">
          <x14:cfRule type="expression" priority="729" stopIfTrue="1" id="{00000000-0000-0000-0000-000000000000}">
            <xm:f>(60 * HOUR($AX$49) + MINUTE($AX$49)) &gt;(60 * HOUR(INDEX('1.Locations'!$G$2:$G$97,$AP$49 + 1)) +MINUTE(INDEX('1.Locations'!$G$2:$G$97,$AP$49 + 1)))</xm:f>
            <x14:dxf>
              <fill>
                <patternFill>
                  <bgColor indexed="10"/>
                </patternFill>
              </fill>
            </x14:dxf>
          </x14:cfRule>
          <xm:sqref>AX49</xm:sqref>
        </x14:conditionalFormatting>
        <x14:conditionalFormatting xmlns:xm="http://schemas.microsoft.com/office/excel/2006/main">
          <x14:cfRule type="cellIs" priority="730" stopIfTrue="1" operator="lessThan" id="{00000000-0000-0000-0000-000000000000}">
            <xm:f>INDEX('1.Locations'!$F$2:$F$97,$AP$50 + 1)</xm:f>
            <x14:dxf>
              <fill>
                <patternFill>
                  <bgColor indexed="52"/>
                </patternFill>
              </fill>
            </x14:dxf>
          </x14:cfRule>
          <xm:sqref>AW50</xm:sqref>
        </x14:conditionalFormatting>
        <x14:conditionalFormatting xmlns:xm="http://schemas.microsoft.com/office/excel/2006/main">
          <x14:cfRule type="expression" priority="731" stopIfTrue="1" id="{00000000-0000-0000-0000-000000000000}">
            <xm:f>(60 * HOUR($AX$50) + MINUTE($AX$50)) &gt;(60 * HOUR(INDEX('1.Locations'!$G$2:$G$97,$AP$50 + 1)) +MINUTE(INDEX('1.Locations'!$G$2:$G$97,$AP$50 + 1)))</xm:f>
            <x14:dxf>
              <fill>
                <patternFill>
                  <bgColor indexed="10"/>
                </patternFill>
              </fill>
            </x14:dxf>
          </x14:cfRule>
          <xm:sqref>AX50</xm:sqref>
        </x14:conditionalFormatting>
        <x14:conditionalFormatting xmlns:xm="http://schemas.microsoft.com/office/excel/2006/main">
          <x14:cfRule type="cellIs" priority="732" stopIfTrue="1" operator="lessThan" id="{00000000-0000-0000-0000-000000000000}">
            <xm:f>INDEX('1.Locations'!$F$2:$F$97,$AP$51 + 1)</xm:f>
            <x14:dxf>
              <fill>
                <patternFill>
                  <bgColor indexed="52"/>
                </patternFill>
              </fill>
            </x14:dxf>
          </x14:cfRule>
          <xm:sqref>AW51</xm:sqref>
        </x14:conditionalFormatting>
        <x14:conditionalFormatting xmlns:xm="http://schemas.microsoft.com/office/excel/2006/main">
          <x14:cfRule type="expression" priority="733" stopIfTrue="1" id="{00000000-0000-0000-0000-000000000000}">
            <xm:f>(60 * HOUR($AX$51) + MINUTE($AX$51)) &gt;(60 * HOUR(INDEX('1.Locations'!$G$2:$G$97,$AP$51 + 1)) +MINUTE(INDEX('1.Locations'!$G$2:$G$97,$AP$51 + 1)))</xm:f>
            <x14:dxf>
              <fill>
                <patternFill>
                  <bgColor indexed="10"/>
                </patternFill>
              </fill>
            </x14:dxf>
          </x14:cfRule>
          <xm:sqref>AX51</xm:sqref>
        </x14:conditionalFormatting>
        <x14:conditionalFormatting xmlns:xm="http://schemas.microsoft.com/office/excel/2006/main">
          <x14:cfRule type="cellIs" priority="734" stopIfTrue="1" operator="lessThan" id="{00000000-0000-0000-0000-000000000000}">
            <xm:f>INDEX('1.Locations'!$F$2:$F$97,$AP$52 + 1)</xm:f>
            <x14:dxf>
              <fill>
                <patternFill>
                  <bgColor indexed="52"/>
                </patternFill>
              </fill>
            </x14:dxf>
          </x14:cfRule>
          <xm:sqref>AW52</xm:sqref>
        </x14:conditionalFormatting>
        <x14:conditionalFormatting xmlns:xm="http://schemas.microsoft.com/office/excel/2006/main">
          <x14:cfRule type="expression" priority="735" stopIfTrue="1" id="{00000000-0000-0000-0000-000000000000}">
            <xm:f>(60 * HOUR($AX$52) + MINUTE($AX$52)) &gt;(60 * HOUR(INDEX('1.Locations'!$G$2:$G$97,$AP$52 + 1)) +MINUTE(INDEX('1.Locations'!$G$2:$G$97,$AP$52 + 1)))</xm:f>
            <x14:dxf>
              <fill>
                <patternFill>
                  <bgColor indexed="10"/>
                </patternFill>
              </fill>
            </x14:dxf>
          </x14:cfRule>
          <xm:sqref>AX52</xm:sqref>
        </x14:conditionalFormatting>
        <x14:conditionalFormatting xmlns:xm="http://schemas.microsoft.com/office/excel/2006/main">
          <x14:cfRule type="cellIs" priority="736" stopIfTrue="1" operator="lessThan" id="{00000000-0000-0000-0000-000000000000}">
            <xm:f>INDEX('1.Locations'!$F$2:$F$97,$AP$53 + 1)</xm:f>
            <x14:dxf>
              <fill>
                <patternFill>
                  <bgColor indexed="52"/>
                </patternFill>
              </fill>
            </x14:dxf>
          </x14:cfRule>
          <xm:sqref>AW53</xm:sqref>
        </x14:conditionalFormatting>
        <x14:conditionalFormatting xmlns:xm="http://schemas.microsoft.com/office/excel/2006/main">
          <x14:cfRule type="expression" priority="737" stopIfTrue="1" id="{00000000-0000-0000-0000-000000000000}">
            <xm:f>(60 * HOUR($AX$53) + MINUTE($AX$53)) &gt;(60 * HOUR(INDEX('1.Locations'!$G$2:$G$97,$AP$53 + 1)) +MINUTE(INDEX('1.Locations'!$G$2:$G$97,$AP$53 + 1)))</xm:f>
            <x14:dxf>
              <fill>
                <patternFill>
                  <bgColor indexed="10"/>
                </patternFill>
              </fill>
            </x14:dxf>
          </x14:cfRule>
          <xm:sqref>AX53</xm:sqref>
        </x14:conditionalFormatting>
        <x14:conditionalFormatting xmlns:xm="http://schemas.microsoft.com/office/excel/2006/main">
          <x14:cfRule type="cellIs" priority="738" stopIfTrue="1" operator="lessThan" id="{00000000-0000-0000-0000-000000000000}">
            <xm:f>INDEX('1.Locations'!$F$2:$F$97,$AP$54 + 1)</xm:f>
            <x14:dxf>
              <fill>
                <patternFill>
                  <bgColor indexed="52"/>
                </patternFill>
              </fill>
            </x14:dxf>
          </x14:cfRule>
          <xm:sqref>AW54</xm:sqref>
        </x14:conditionalFormatting>
        <x14:conditionalFormatting xmlns:xm="http://schemas.microsoft.com/office/excel/2006/main">
          <x14:cfRule type="expression" priority="739" stopIfTrue="1" id="{00000000-0000-0000-0000-000000000000}">
            <xm:f>(60 * HOUR($AX$54) + MINUTE($AX$54)) &gt;(60 * HOUR(INDEX('1.Locations'!$G$2:$G$97,$AP$54 + 1)) +MINUTE(INDEX('1.Locations'!$G$2:$G$97,$AP$54 + 1)))</xm:f>
            <x14:dxf>
              <fill>
                <patternFill>
                  <bgColor indexed="10"/>
                </patternFill>
              </fill>
            </x14:dxf>
          </x14:cfRule>
          <xm:sqref>AX54</xm:sqref>
        </x14:conditionalFormatting>
        <x14:conditionalFormatting xmlns:xm="http://schemas.microsoft.com/office/excel/2006/main">
          <x14:cfRule type="cellIs" priority="740" stopIfTrue="1" operator="lessThan" id="{00000000-0000-0000-0000-000000000000}">
            <xm:f>INDEX('1.Locations'!$F$2:$F$97,$AP$55 + 1)</xm:f>
            <x14:dxf>
              <fill>
                <patternFill>
                  <bgColor indexed="52"/>
                </patternFill>
              </fill>
            </x14:dxf>
          </x14:cfRule>
          <xm:sqref>AW55</xm:sqref>
        </x14:conditionalFormatting>
        <x14:conditionalFormatting xmlns:xm="http://schemas.microsoft.com/office/excel/2006/main">
          <x14:cfRule type="expression" priority="741" stopIfTrue="1" id="{00000000-0000-0000-0000-000000000000}">
            <xm:f>(60 * HOUR($AX$55) + MINUTE($AX$55)) &gt;(60 * HOUR(INDEX('1.Locations'!$G$2:$G$97,$AP$55 + 1)) +MINUTE(INDEX('1.Locations'!$G$2:$G$97,$AP$55 + 1)))</xm:f>
            <x14:dxf>
              <fill>
                <patternFill>
                  <bgColor indexed="10"/>
                </patternFill>
              </fill>
            </x14:dxf>
          </x14:cfRule>
          <xm:sqref>AX55</xm:sqref>
        </x14:conditionalFormatting>
        <x14:conditionalFormatting xmlns:xm="http://schemas.microsoft.com/office/excel/2006/main">
          <x14:cfRule type="cellIs" priority="742" stopIfTrue="1" operator="lessThan" id="{00000000-0000-0000-0000-000000000000}">
            <xm:f>INDEX('1.Locations'!$F$2:$F$97,$AP$56 + 1)</xm:f>
            <x14:dxf>
              <fill>
                <patternFill>
                  <bgColor indexed="52"/>
                </patternFill>
              </fill>
            </x14:dxf>
          </x14:cfRule>
          <xm:sqref>AW56</xm:sqref>
        </x14:conditionalFormatting>
        <x14:conditionalFormatting xmlns:xm="http://schemas.microsoft.com/office/excel/2006/main">
          <x14:cfRule type="expression" priority="743" stopIfTrue="1" id="{00000000-0000-0000-0000-000000000000}">
            <xm:f>(60 * HOUR($AX$56) + MINUTE($AX$56)) &gt;(60 * HOUR(INDEX('1.Locations'!$G$2:$G$97,$AP$56 + 1)) +MINUTE(INDEX('1.Locations'!$G$2:$G$97,$AP$56 + 1)))</xm:f>
            <x14:dxf>
              <fill>
                <patternFill>
                  <bgColor indexed="10"/>
                </patternFill>
              </fill>
            </x14:dxf>
          </x14:cfRule>
          <xm:sqref>AX56</xm:sqref>
        </x14:conditionalFormatting>
        <x14:conditionalFormatting xmlns:xm="http://schemas.microsoft.com/office/excel/2006/main">
          <x14:cfRule type="cellIs" priority="744" stopIfTrue="1" operator="lessThan" id="{00000000-0000-0000-0000-000000000000}">
            <xm:f>INDEX('1.Locations'!$F$2:$F$97,$AP$57 + 1)</xm:f>
            <x14:dxf>
              <fill>
                <patternFill>
                  <bgColor indexed="52"/>
                </patternFill>
              </fill>
            </x14:dxf>
          </x14:cfRule>
          <xm:sqref>AW57</xm:sqref>
        </x14:conditionalFormatting>
        <x14:conditionalFormatting xmlns:xm="http://schemas.microsoft.com/office/excel/2006/main">
          <x14:cfRule type="expression" priority="745" stopIfTrue="1" id="{00000000-0000-0000-0000-000000000000}">
            <xm:f>(60 * HOUR($AX$57) + MINUTE($AX$57)) &gt;(60 * HOUR(INDEX('1.Locations'!$G$2:$G$97,$AP$57 + 1)) +MINUTE(INDEX('1.Locations'!$G$2:$G$97,$AP$57 + 1)))</xm:f>
            <x14:dxf>
              <fill>
                <patternFill>
                  <bgColor indexed="10"/>
                </patternFill>
              </fill>
            </x14:dxf>
          </x14:cfRule>
          <xm:sqref>AX57</xm:sqref>
        </x14:conditionalFormatting>
        <x14:conditionalFormatting xmlns:xm="http://schemas.microsoft.com/office/excel/2006/main">
          <x14:cfRule type="cellIs" priority="746" stopIfTrue="1" operator="lessThan" id="{00000000-0000-0000-0000-000000000000}">
            <xm:f>INDEX('1.Locations'!$F$2:$F$97,$AP$58 + 1)</xm:f>
            <x14:dxf>
              <fill>
                <patternFill>
                  <bgColor indexed="52"/>
                </patternFill>
              </fill>
            </x14:dxf>
          </x14:cfRule>
          <xm:sqref>AW58</xm:sqref>
        </x14:conditionalFormatting>
        <x14:conditionalFormatting xmlns:xm="http://schemas.microsoft.com/office/excel/2006/main">
          <x14:cfRule type="expression" priority="747" stopIfTrue="1" id="{00000000-0000-0000-0000-000000000000}">
            <xm:f>(60 * HOUR($AX$58) + MINUTE($AX$58)) &gt;(60 * HOUR(INDEX('1.Locations'!$G$2:$G$97,$AP$58 + 1)) +MINUTE(INDEX('1.Locations'!$G$2:$G$97,$AP$58 + 1)))</xm:f>
            <x14:dxf>
              <fill>
                <patternFill>
                  <bgColor indexed="10"/>
                </patternFill>
              </fill>
            </x14:dxf>
          </x14:cfRule>
          <xm:sqref>AX58</xm:sqref>
        </x14:conditionalFormatting>
        <x14:conditionalFormatting xmlns:xm="http://schemas.microsoft.com/office/excel/2006/main">
          <x14:cfRule type="cellIs" priority="748" stopIfTrue="1" operator="lessThan" id="{00000000-0000-0000-0000-000000000000}">
            <xm:f>INDEX('1.Locations'!$F$2:$F$97,$AP$59 + 1)</xm:f>
            <x14:dxf>
              <fill>
                <patternFill>
                  <bgColor indexed="52"/>
                </patternFill>
              </fill>
            </x14:dxf>
          </x14:cfRule>
          <xm:sqref>AW59</xm:sqref>
        </x14:conditionalFormatting>
        <x14:conditionalFormatting xmlns:xm="http://schemas.microsoft.com/office/excel/2006/main">
          <x14:cfRule type="expression" priority="749" stopIfTrue="1" id="{00000000-0000-0000-0000-000000000000}">
            <xm:f>(60 * HOUR($AX$59) + MINUTE($AX$59)) &gt;(60 * HOUR(INDEX('1.Locations'!$G$2:$G$97,$AP$59 + 1)) +MINUTE(INDEX('1.Locations'!$G$2:$G$97,$AP$59 + 1)))</xm:f>
            <x14:dxf>
              <fill>
                <patternFill>
                  <bgColor indexed="10"/>
                </patternFill>
              </fill>
            </x14:dxf>
          </x14:cfRule>
          <xm:sqref>AX59</xm:sqref>
        </x14:conditionalFormatting>
        <x14:conditionalFormatting xmlns:xm="http://schemas.microsoft.com/office/excel/2006/main">
          <x14:cfRule type="cellIs" priority="750" stopIfTrue="1" operator="lessThan" id="{00000000-0000-0000-0000-000000000000}">
            <xm:f>INDEX('1.Locations'!$F$2:$F$97,$AP$60 + 1)</xm:f>
            <x14:dxf>
              <fill>
                <patternFill>
                  <bgColor indexed="52"/>
                </patternFill>
              </fill>
            </x14:dxf>
          </x14:cfRule>
          <xm:sqref>AW60</xm:sqref>
        </x14:conditionalFormatting>
        <x14:conditionalFormatting xmlns:xm="http://schemas.microsoft.com/office/excel/2006/main">
          <x14:cfRule type="expression" priority="751" stopIfTrue="1" id="{00000000-0000-0000-0000-000000000000}">
            <xm:f>(60 * HOUR($AX$60) + MINUTE($AX$60)) &gt;(60 * HOUR(INDEX('1.Locations'!$G$2:$G$97,$AP$60 + 1)) +MINUTE(INDEX('1.Locations'!$G$2:$G$97,$AP$60 + 1)))</xm:f>
            <x14:dxf>
              <fill>
                <patternFill>
                  <bgColor indexed="10"/>
                </patternFill>
              </fill>
            </x14:dxf>
          </x14:cfRule>
          <xm:sqref>AX60</xm:sqref>
        </x14:conditionalFormatting>
        <x14:conditionalFormatting xmlns:xm="http://schemas.microsoft.com/office/excel/2006/main">
          <x14:cfRule type="cellIs" priority="752" stopIfTrue="1" operator="lessThan" id="{00000000-0000-0000-0000-000000000000}">
            <xm:f>INDEX('1.Locations'!$F$2:$F$97,$AP$61 + 1)</xm:f>
            <x14:dxf>
              <fill>
                <patternFill>
                  <bgColor indexed="52"/>
                </patternFill>
              </fill>
            </x14:dxf>
          </x14:cfRule>
          <xm:sqref>AW61</xm:sqref>
        </x14:conditionalFormatting>
        <x14:conditionalFormatting xmlns:xm="http://schemas.microsoft.com/office/excel/2006/main">
          <x14:cfRule type="expression" priority="753" stopIfTrue="1" id="{00000000-0000-0000-0000-000000000000}">
            <xm:f>(60 * HOUR($AX$61) + MINUTE($AX$61)) &gt;(60 * HOUR(INDEX('1.Locations'!$G$2:$G$97,$AP$61 + 1)) +MINUTE(INDEX('1.Locations'!$G$2:$G$97,$AP$61 + 1)))</xm:f>
            <x14:dxf>
              <fill>
                <patternFill>
                  <bgColor indexed="10"/>
                </patternFill>
              </fill>
            </x14:dxf>
          </x14:cfRule>
          <xm:sqref>AX61</xm:sqref>
        </x14:conditionalFormatting>
        <x14:conditionalFormatting xmlns:xm="http://schemas.microsoft.com/office/excel/2006/main">
          <x14:cfRule type="cellIs" priority="754" stopIfTrue="1" operator="lessThan" id="{00000000-0000-0000-0000-000000000000}">
            <xm:f>INDEX('1.Locations'!$F$2:$F$97,$AP$62 + 1)</xm:f>
            <x14:dxf>
              <fill>
                <patternFill>
                  <bgColor indexed="52"/>
                </patternFill>
              </fill>
            </x14:dxf>
          </x14:cfRule>
          <xm:sqref>AW62</xm:sqref>
        </x14:conditionalFormatting>
        <x14:conditionalFormatting xmlns:xm="http://schemas.microsoft.com/office/excel/2006/main">
          <x14:cfRule type="expression" priority="755" stopIfTrue="1" id="{00000000-0000-0000-0000-000000000000}">
            <xm:f>(60 * HOUR($AX$62) + MINUTE($AX$62)) &gt;(60 * HOUR(INDEX('1.Locations'!$G$2:$G$97,$AP$62 + 1)) +MINUTE(INDEX('1.Locations'!$G$2:$G$97,$AP$62 + 1)))</xm:f>
            <x14:dxf>
              <fill>
                <patternFill>
                  <bgColor indexed="10"/>
                </patternFill>
              </fill>
            </x14:dxf>
          </x14:cfRule>
          <xm:sqref>AX62</xm:sqref>
        </x14:conditionalFormatting>
        <x14:conditionalFormatting xmlns:xm="http://schemas.microsoft.com/office/excel/2006/main">
          <x14:cfRule type="cellIs" priority="756" stopIfTrue="1" operator="lessThan" id="{00000000-0000-0000-0000-000000000000}">
            <xm:f>INDEX('1.Locations'!$F$2:$F$97,$AP$63 + 1)</xm:f>
            <x14:dxf>
              <fill>
                <patternFill>
                  <bgColor indexed="52"/>
                </patternFill>
              </fill>
            </x14:dxf>
          </x14:cfRule>
          <xm:sqref>AW63</xm:sqref>
        </x14:conditionalFormatting>
        <x14:conditionalFormatting xmlns:xm="http://schemas.microsoft.com/office/excel/2006/main">
          <x14:cfRule type="expression" priority="757" stopIfTrue="1" id="{00000000-0000-0000-0000-000000000000}">
            <xm:f>(60 * HOUR($AX$63) + MINUTE($AX$63)) &gt;(60 * HOUR(INDEX('1.Locations'!$G$2:$G$97,$AP$63 + 1)) +MINUTE(INDEX('1.Locations'!$G$2:$G$97,$AP$63 + 1)))</xm:f>
            <x14:dxf>
              <fill>
                <patternFill>
                  <bgColor indexed="10"/>
                </patternFill>
              </fill>
            </x14:dxf>
          </x14:cfRule>
          <xm:sqref>AX63</xm:sqref>
        </x14:conditionalFormatting>
        <x14:conditionalFormatting xmlns:xm="http://schemas.microsoft.com/office/excel/2006/main">
          <x14:cfRule type="cellIs" priority="758" stopIfTrue="1" operator="lessThan" id="{00000000-0000-0000-0000-000000000000}">
            <xm:f>INDEX('1.Locations'!$F$2:$F$97,$AP$64 + 1)</xm:f>
            <x14:dxf>
              <fill>
                <patternFill>
                  <bgColor indexed="52"/>
                </patternFill>
              </fill>
            </x14:dxf>
          </x14:cfRule>
          <xm:sqref>AW64</xm:sqref>
        </x14:conditionalFormatting>
        <x14:conditionalFormatting xmlns:xm="http://schemas.microsoft.com/office/excel/2006/main">
          <x14:cfRule type="expression" priority="759" stopIfTrue="1" id="{00000000-0000-0000-0000-000000000000}">
            <xm:f>(60 * HOUR($AX$64) + MINUTE($AX$64)) &gt;(60 * HOUR(INDEX('1.Locations'!$G$2:$G$97,$AP$64 + 1)) +MINUTE(INDEX('1.Locations'!$G$2:$G$97,$AP$64 + 1)))</xm:f>
            <x14:dxf>
              <fill>
                <patternFill>
                  <bgColor indexed="10"/>
                </patternFill>
              </fill>
            </x14:dxf>
          </x14:cfRule>
          <xm:sqref>AX64</xm:sqref>
        </x14:conditionalFormatting>
        <x14:conditionalFormatting xmlns:xm="http://schemas.microsoft.com/office/excel/2006/main">
          <x14:cfRule type="cellIs" priority="760" stopIfTrue="1" operator="lessThan" id="{00000000-0000-0000-0000-000000000000}">
            <xm:f>INDEX('1.Locations'!$F$2:$F$97,$AP$65 + 1)</xm:f>
            <x14:dxf>
              <fill>
                <patternFill>
                  <bgColor indexed="52"/>
                </patternFill>
              </fill>
            </x14:dxf>
          </x14:cfRule>
          <xm:sqref>AW65</xm:sqref>
        </x14:conditionalFormatting>
        <x14:conditionalFormatting xmlns:xm="http://schemas.microsoft.com/office/excel/2006/main">
          <x14:cfRule type="expression" priority="761" stopIfTrue="1" id="{00000000-0000-0000-0000-000000000000}">
            <xm:f>(60 * HOUR($AX$65) + MINUTE($AX$65)) &gt;(60 * HOUR(INDEX('1.Locations'!$G$2:$G$97,$AP$65 + 1)) +MINUTE(INDEX('1.Locations'!$G$2:$G$97,$AP$65 + 1)))</xm:f>
            <x14:dxf>
              <fill>
                <patternFill>
                  <bgColor indexed="10"/>
                </patternFill>
              </fill>
            </x14:dxf>
          </x14:cfRule>
          <xm:sqref>AX65</xm:sqref>
        </x14:conditionalFormatting>
        <x14:conditionalFormatting xmlns:xm="http://schemas.microsoft.com/office/excel/2006/main">
          <x14:cfRule type="cellIs" priority="762" stopIfTrue="1" operator="lessThan" id="{00000000-0000-0000-0000-000000000000}">
            <xm:f>INDEX('1.Locations'!$F$2:$F$97,$AP$66 + 1)</xm:f>
            <x14:dxf>
              <fill>
                <patternFill>
                  <bgColor indexed="52"/>
                </patternFill>
              </fill>
            </x14:dxf>
          </x14:cfRule>
          <xm:sqref>AW66</xm:sqref>
        </x14:conditionalFormatting>
        <x14:conditionalFormatting xmlns:xm="http://schemas.microsoft.com/office/excel/2006/main">
          <x14:cfRule type="expression" priority="763" stopIfTrue="1" id="{00000000-0000-0000-0000-000000000000}">
            <xm:f>(60 * HOUR($AX$66) + MINUTE($AX$66)) &gt;(60 * HOUR(INDEX('1.Locations'!$G$2:$G$97,$AP$66 + 1)) +MINUTE(INDEX('1.Locations'!$G$2:$G$97,$AP$66 + 1)))</xm:f>
            <x14:dxf>
              <fill>
                <patternFill>
                  <bgColor indexed="10"/>
                </patternFill>
              </fill>
            </x14:dxf>
          </x14:cfRule>
          <xm:sqref>AX66</xm:sqref>
        </x14:conditionalFormatting>
        <x14:conditionalFormatting xmlns:xm="http://schemas.microsoft.com/office/excel/2006/main">
          <x14:cfRule type="cellIs" priority="764" stopIfTrue="1" operator="lessThan" id="{00000000-0000-0000-0000-000000000000}">
            <xm:f>INDEX('1.Locations'!$F$2:$F$97,$AP$67 + 1)</xm:f>
            <x14:dxf>
              <fill>
                <patternFill>
                  <bgColor indexed="52"/>
                </patternFill>
              </fill>
            </x14:dxf>
          </x14:cfRule>
          <xm:sqref>AW67</xm:sqref>
        </x14:conditionalFormatting>
        <x14:conditionalFormatting xmlns:xm="http://schemas.microsoft.com/office/excel/2006/main">
          <x14:cfRule type="expression" priority="765" stopIfTrue="1" id="{00000000-0000-0000-0000-000000000000}">
            <xm:f>(60 * HOUR($AX$67) + MINUTE($AX$67)) &gt;(60 * HOUR(INDEX('1.Locations'!$G$2:$G$97,$AP$67 + 1)) +MINUTE(INDEX('1.Locations'!$G$2:$G$97,$AP$67 + 1)))</xm:f>
            <x14:dxf>
              <fill>
                <patternFill>
                  <bgColor indexed="10"/>
                </patternFill>
              </fill>
            </x14:dxf>
          </x14:cfRule>
          <xm:sqref>AX67</xm:sqref>
        </x14:conditionalFormatting>
        <x14:conditionalFormatting xmlns:xm="http://schemas.microsoft.com/office/excel/2006/main">
          <x14:cfRule type="cellIs" priority="766" stopIfTrue="1" operator="lessThan" id="{00000000-0000-0000-0000-000000000000}">
            <xm:f>INDEX('1.Locations'!$F$2:$F$97,$AP$68 + 1)</xm:f>
            <x14:dxf>
              <fill>
                <patternFill>
                  <bgColor indexed="52"/>
                </patternFill>
              </fill>
            </x14:dxf>
          </x14:cfRule>
          <xm:sqref>AW68</xm:sqref>
        </x14:conditionalFormatting>
        <x14:conditionalFormatting xmlns:xm="http://schemas.microsoft.com/office/excel/2006/main">
          <x14:cfRule type="expression" priority="767" stopIfTrue="1" id="{00000000-0000-0000-0000-000000000000}">
            <xm:f>(60 * HOUR($AX$68) + MINUTE($AX$68)) &gt;(60 * HOUR(INDEX('1.Locations'!$G$2:$G$97,$AP$68 + 1)) +MINUTE(INDEX('1.Locations'!$G$2:$G$97,$AP$68 + 1)))</xm:f>
            <x14:dxf>
              <fill>
                <patternFill>
                  <bgColor indexed="10"/>
                </patternFill>
              </fill>
            </x14:dxf>
          </x14:cfRule>
          <xm:sqref>AX68</xm:sqref>
        </x14:conditionalFormatting>
        <x14:conditionalFormatting xmlns:xm="http://schemas.microsoft.com/office/excel/2006/main">
          <x14:cfRule type="cellIs" priority="768" stopIfTrue="1" operator="lessThan" id="{00000000-0000-0000-0000-000000000000}">
            <xm:f>INDEX('1.Locations'!$F$2:$F$97,$AP$69 + 1)</xm:f>
            <x14:dxf>
              <fill>
                <patternFill>
                  <bgColor indexed="52"/>
                </patternFill>
              </fill>
            </x14:dxf>
          </x14:cfRule>
          <xm:sqref>AW69</xm:sqref>
        </x14:conditionalFormatting>
        <x14:conditionalFormatting xmlns:xm="http://schemas.microsoft.com/office/excel/2006/main">
          <x14:cfRule type="expression" priority="769" stopIfTrue="1" id="{00000000-0000-0000-0000-000000000000}">
            <xm:f>(60 * HOUR($AX$69) + MINUTE($AX$69)) &gt;(60 * HOUR(INDEX('1.Locations'!$G$2:$G$97,$AP$69 + 1)) +MINUTE(INDEX('1.Locations'!$G$2:$G$97,$AP$69 + 1)))</xm:f>
            <x14:dxf>
              <fill>
                <patternFill>
                  <bgColor indexed="10"/>
                </patternFill>
              </fill>
            </x14:dxf>
          </x14:cfRule>
          <xm:sqref>AX69</xm:sqref>
        </x14:conditionalFormatting>
        <x14:conditionalFormatting xmlns:xm="http://schemas.microsoft.com/office/excel/2006/main">
          <x14:cfRule type="cellIs" priority="770" stopIfTrue="1" operator="lessThan" id="{00000000-0000-0000-0000-000000000000}">
            <xm:f>INDEX('1.Locations'!$F$2:$F$97,$AP$70 + 1)</xm:f>
            <x14:dxf>
              <fill>
                <patternFill>
                  <bgColor indexed="52"/>
                </patternFill>
              </fill>
            </x14:dxf>
          </x14:cfRule>
          <xm:sqref>AW70</xm:sqref>
        </x14:conditionalFormatting>
        <x14:conditionalFormatting xmlns:xm="http://schemas.microsoft.com/office/excel/2006/main">
          <x14:cfRule type="expression" priority="771" stopIfTrue="1" id="{00000000-0000-0000-0000-000000000000}">
            <xm:f>(60 * HOUR($AX$70) + MINUTE($AX$70)) &gt;(60 * HOUR(INDEX('1.Locations'!$G$2:$G$97,$AP$70 + 1)) +MINUTE(INDEX('1.Locations'!$G$2:$G$97,$AP$70 + 1)))</xm:f>
            <x14:dxf>
              <fill>
                <patternFill>
                  <bgColor indexed="10"/>
                </patternFill>
              </fill>
            </x14:dxf>
          </x14:cfRule>
          <xm:sqref>AX70</xm:sqref>
        </x14:conditionalFormatting>
        <x14:conditionalFormatting xmlns:xm="http://schemas.microsoft.com/office/excel/2006/main">
          <x14:cfRule type="cellIs" priority="772" stopIfTrue="1" operator="lessThan" id="{00000000-0000-0000-0000-000000000000}">
            <xm:f>INDEX('1.Locations'!$F$2:$F$97,$AP$71 + 1)</xm:f>
            <x14:dxf>
              <fill>
                <patternFill>
                  <bgColor indexed="52"/>
                </patternFill>
              </fill>
            </x14:dxf>
          </x14:cfRule>
          <xm:sqref>AW71</xm:sqref>
        </x14:conditionalFormatting>
        <x14:conditionalFormatting xmlns:xm="http://schemas.microsoft.com/office/excel/2006/main">
          <x14:cfRule type="expression" priority="773" stopIfTrue="1" id="{00000000-0000-0000-0000-000000000000}">
            <xm:f>(60 * HOUR($AX$71) + MINUTE($AX$71)) &gt;(60 * HOUR(INDEX('1.Locations'!$G$2:$G$97,$AP$71 + 1)) +MINUTE(INDEX('1.Locations'!$G$2:$G$97,$AP$71 + 1)))</xm:f>
            <x14:dxf>
              <fill>
                <patternFill>
                  <bgColor indexed="10"/>
                </patternFill>
              </fill>
            </x14:dxf>
          </x14:cfRule>
          <xm:sqref>AX71</xm:sqref>
        </x14:conditionalFormatting>
        <x14:conditionalFormatting xmlns:xm="http://schemas.microsoft.com/office/excel/2006/main">
          <x14:cfRule type="cellIs" priority="774" stopIfTrue="1" operator="lessThan" id="{00000000-0000-0000-0000-000000000000}">
            <xm:f>INDEX('1.Locations'!$F$2:$F$97,$AP$72 + 1)</xm:f>
            <x14:dxf>
              <fill>
                <patternFill>
                  <bgColor indexed="52"/>
                </patternFill>
              </fill>
            </x14:dxf>
          </x14:cfRule>
          <xm:sqref>AW72</xm:sqref>
        </x14:conditionalFormatting>
        <x14:conditionalFormatting xmlns:xm="http://schemas.microsoft.com/office/excel/2006/main">
          <x14:cfRule type="expression" priority="775" stopIfTrue="1" id="{00000000-0000-0000-0000-000000000000}">
            <xm:f>(60 * HOUR($AX$72) + MINUTE($AX$72)) &gt;(60 * HOUR(INDEX('1.Locations'!$G$2:$G$97,$AP$72 + 1)) +MINUTE(INDEX('1.Locations'!$G$2:$G$97,$AP$72 + 1)))</xm:f>
            <x14:dxf>
              <fill>
                <patternFill>
                  <bgColor indexed="10"/>
                </patternFill>
              </fill>
            </x14:dxf>
          </x14:cfRule>
          <xm:sqref>AX72</xm:sqref>
        </x14:conditionalFormatting>
        <x14:conditionalFormatting xmlns:xm="http://schemas.microsoft.com/office/excel/2006/main">
          <x14:cfRule type="cellIs" priority="776" stopIfTrue="1" operator="lessThan" id="{00000000-0000-0000-0000-000000000000}">
            <xm:f>INDEX('1.Locations'!$F$2:$F$97,$AP$73 + 1)</xm:f>
            <x14:dxf>
              <fill>
                <patternFill>
                  <bgColor indexed="52"/>
                </patternFill>
              </fill>
            </x14:dxf>
          </x14:cfRule>
          <xm:sqref>AW73</xm:sqref>
        </x14:conditionalFormatting>
        <x14:conditionalFormatting xmlns:xm="http://schemas.microsoft.com/office/excel/2006/main">
          <x14:cfRule type="expression" priority="777" stopIfTrue="1" id="{00000000-0000-0000-0000-000000000000}">
            <xm:f>(60 * HOUR($AX$73) + MINUTE($AX$73)) &gt;(60 * HOUR(INDEX('1.Locations'!$G$2:$G$97,$AP$73 + 1)) +MINUTE(INDEX('1.Locations'!$G$2:$G$97,$AP$73 + 1)))</xm:f>
            <x14:dxf>
              <fill>
                <patternFill>
                  <bgColor indexed="10"/>
                </patternFill>
              </fill>
            </x14:dxf>
          </x14:cfRule>
          <xm:sqref>AX73</xm:sqref>
        </x14:conditionalFormatting>
        <x14:conditionalFormatting xmlns:xm="http://schemas.microsoft.com/office/excel/2006/main">
          <x14:cfRule type="cellIs" priority="778" stopIfTrue="1" operator="lessThan" id="{00000000-0000-0000-0000-000000000000}">
            <xm:f>INDEX('1.Locations'!$F$2:$F$97,$AP$74 + 1)</xm:f>
            <x14:dxf>
              <fill>
                <patternFill>
                  <bgColor indexed="52"/>
                </patternFill>
              </fill>
            </x14:dxf>
          </x14:cfRule>
          <xm:sqref>AW74</xm:sqref>
        </x14:conditionalFormatting>
        <x14:conditionalFormatting xmlns:xm="http://schemas.microsoft.com/office/excel/2006/main">
          <x14:cfRule type="expression" priority="779" stopIfTrue="1" id="{00000000-0000-0000-0000-000000000000}">
            <xm:f>(60 * HOUR($AX$74) + MINUTE($AX$74)) &gt;(60 * HOUR(INDEX('1.Locations'!$G$2:$G$97,$AP$74 + 1)) +MINUTE(INDEX('1.Locations'!$G$2:$G$97,$AP$74 + 1)))</xm:f>
            <x14:dxf>
              <fill>
                <patternFill>
                  <bgColor indexed="10"/>
                </patternFill>
              </fill>
            </x14:dxf>
          </x14:cfRule>
          <xm:sqref>AX74</xm:sqref>
        </x14:conditionalFormatting>
        <x14:conditionalFormatting xmlns:xm="http://schemas.microsoft.com/office/excel/2006/main">
          <x14:cfRule type="cellIs" priority="780" stopIfTrue="1" operator="lessThan" id="{00000000-0000-0000-0000-000000000000}">
            <xm:f>INDEX('1.Locations'!$F$2:$F$97,$AP$75 + 1)</xm:f>
            <x14:dxf>
              <fill>
                <patternFill>
                  <bgColor indexed="52"/>
                </patternFill>
              </fill>
            </x14:dxf>
          </x14:cfRule>
          <xm:sqref>AW75</xm:sqref>
        </x14:conditionalFormatting>
        <x14:conditionalFormatting xmlns:xm="http://schemas.microsoft.com/office/excel/2006/main">
          <x14:cfRule type="expression" priority="781" stopIfTrue="1" id="{00000000-0000-0000-0000-000000000000}">
            <xm:f>(60 * HOUR($AX$75) + MINUTE($AX$75)) &gt;(60 * HOUR(INDEX('1.Locations'!$G$2:$G$97,$AP$75 + 1)) +MINUTE(INDEX('1.Locations'!$G$2:$G$97,$AP$75 + 1)))</xm:f>
            <x14:dxf>
              <fill>
                <patternFill>
                  <bgColor indexed="10"/>
                </patternFill>
              </fill>
            </x14:dxf>
          </x14:cfRule>
          <xm:sqref>AX75</xm:sqref>
        </x14:conditionalFormatting>
        <x14:conditionalFormatting xmlns:xm="http://schemas.microsoft.com/office/excel/2006/main">
          <x14:cfRule type="cellIs" priority="782" stopIfTrue="1" operator="lessThan" id="{00000000-0000-0000-0000-000000000000}">
            <xm:f>INDEX('1.Locations'!$F$2:$F$97,$AP$76 + 1)</xm:f>
            <x14:dxf>
              <fill>
                <patternFill>
                  <bgColor indexed="52"/>
                </patternFill>
              </fill>
            </x14:dxf>
          </x14:cfRule>
          <xm:sqref>AW76</xm:sqref>
        </x14:conditionalFormatting>
        <x14:conditionalFormatting xmlns:xm="http://schemas.microsoft.com/office/excel/2006/main">
          <x14:cfRule type="expression" priority="783" stopIfTrue="1" id="{00000000-0000-0000-0000-000000000000}">
            <xm:f>(60 * HOUR($AX$76) + MINUTE($AX$76)) &gt;(60 * HOUR(INDEX('1.Locations'!$G$2:$G$97,$AP$76 + 1)) +MINUTE(INDEX('1.Locations'!$G$2:$G$97,$AP$76 + 1)))</xm:f>
            <x14:dxf>
              <fill>
                <patternFill>
                  <bgColor indexed="10"/>
                </patternFill>
              </fill>
            </x14:dxf>
          </x14:cfRule>
          <xm:sqref>AX76</xm:sqref>
        </x14:conditionalFormatting>
        <x14:conditionalFormatting xmlns:xm="http://schemas.microsoft.com/office/excel/2006/main">
          <x14:cfRule type="cellIs" priority="784" stopIfTrue="1" operator="lessThan" id="{00000000-0000-0000-0000-000000000000}">
            <xm:f>INDEX('1.Locations'!$F$2:$F$97,$AP$77 + 1)</xm:f>
            <x14:dxf>
              <fill>
                <patternFill>
                  <bgColor indexed="52"/>
                </patternFill>
              </fill>
            </x14:dxf>
          </x14:cfRule>
          <xm:sqref>AW77</xm:sqref>
        </x14:conditionalFormatting>
        <x14:conditionalFormatting xmlns:xm="http://schemas.microsoft.com/office/excel/2006/main">
          <x14:cfRule type="expression" priority="785" stopIfTrue="1" id="{00000000-0000-0000-0000-000000000000}">
            <xm:f>(60 * HOUR($AX$77) + MINUTE($AX$77)) &gt;(60 * HOUR(INDEX('1.Locations'!$G$2:$G$97,$AP$77 + 1)) +MINUTE(INDEX('1.Locations'!$G$2:$G$97,$AP$77 + 1)))</xm:f>
            <x14:dxf>
              <fill>
                <patternFill>
                  <bgColor indexed="10"/>
                </patternFill>
              </fill>
            </x14:dxf>
          </x14:cfRule>
          <xm:sqref>AX77</xm:sqref>
        </x14:conditionalFormatting>
        <x14:conditionalFormatting xmlns:xm="http://schemas.microsoft.com/office/excel/2006/main">
          <x14:cfRule type="cellIs" priority="786" stopIfTrue="1" operator="lessThan" id="{00000000-0000-0000-0000-000000000000}">
            <xm:f>INDEX('1.Locations'!$F$2:$F$97,$AP$78 + 1)</xm:f>
            <x14:dxf>
              <fill>
                <patternFill>
                  <bgColor indexed="52"/>
                </patternFill>
              </fill>
            </x14:dxf>
          </x14:cfRule>
          <xm:sqref>AW78</xm:sqref>
        </x14:conditionalFormatting>
        <x14:conditionalFormatting xmlns:xm="http://schemas.microsoft.com/office/excel/2006/main">
          <x14:cfRule type="expression" priority="787" stopIfTrue="1" id="{00000000-0000-0000-0000-000000000000}">
            <xm:f>(60 * HOUR($AX$78) + MINUTE($AX$78)) &gt;(60 * HOUR(INDEX('1.Locations'!$G$2:$G$97,$AP$78 + 1)) +MINUTE(INDEX('1.Locations'!$G$2:$G$97,$AP$78 + 1)))</xm:f>
            <x14:dxf>
              <fill>
                <patternFill>
                  <bgColor indexed="10"/>
                </patternFill>
              </fill>
            </x14:dxf>
          </x14:cfRule>
          <xm:sqref>AX78</xm:sqref>
        </x14:conditionalFormatting>
        <x14:conditionalFormatting xmlns:xm="http://schemas.microsoft.com/office/excel/2006/main">
          <x14:cfRule type="cellIs" priority="788" stopIfTrue="1" operator="lessThan" id="{00000000-0000-0000-0000-000000000000}">
            <xm:f>INDEX('1.Locations'!$F$2:$F$97,$AP$79 + 1)</xm:f>
            <x14:dxf>
              <fill>
                <patternFill>
                  <bgColor indexed="52"/>
                </patternFill>
              </fill>
            </x14:dxf>
          </x14:cfRule>
          <xm:sqref>AW79</xm:sqref>
        </x14:conditionalFormatting>
        <x14:conditionalFormatting xmlns:xm="http://schemas.microsoft.com/office/excel/2006/main">
          <x14:cfRule type="expression" priority="789" stopIfTrue="1" id="{00000000-0000-0000-0000-000000000000}">
            <xm:f>(60 * HOUR($AX$79) + MINUTE($AX$79)) &gt;(60 * HOUR(INDEX('1.Locations'!$G$2:$G$97,$AP$79 + 1)) +MINUTE(INDEX('1.Locations'!$G$2:$G$97,$AP$79 + 1)))</xm:f>
            <x14:dxf>
              <fill>
                <patternFill>
                  <bgColor indexed="10"/>
                </patternFill>
              </fill>
            </x14:dxf>
          </x14:cfRule>
          <xm:sqref>AX79</xm:sqref>
        </x14:conditionalFormatting>
        <x14:conditionalFormatting xmlns:xm="http://schemas.microsoft.com/office/excel/2006/main">
          <x14:cfRule type="cellIs" priority="790" stopIfTrue="1" operator="lessThan" id="{00000000-0000-0000-0000-000000000000}">
            <xm:f>INDEX('1.Locations'!$F$2:$F$97,$AP$80 + 1)</xm:f>
            <x14:dxf>
              <fill>
                <patternFill>
                  <bgColor indexed="52"/>
                </patternFill>
              </fill>
            </x14:dxf>
          </x14:cfRule>
          <xm:sqref>AW80</xm:sqref>
        </x14:conditionalFormatting>
        <x14:conditionalFormatting xmlns:xm="http://schemas.microsoft.com/office/excel/2006/main">
          <x14:cfRule type="expression" priority="791" stopIfTrue="1" id="{00000000-0000-0000-0000-000000000000}">
            <xm:f>(60 * HOUR($AX$80) + MINUTE($AX$80)) &gt;(60 * HOUR(INDEX('1.Locations'!$G$2:$G$97,$AP$80 + 1)) +MINUTE(INDEX('1.Locations'!$G$2:$G$97,$AP$80 + 1)))</xm:f>
            <x14:dxf>
              <fill>
                <patternFill>
                  <bgColor indexed="10"/>
                </patternFill>
              </fill>
            </x14:dxf>
          </x14:cfRule>
          <xm:sqref>AX80</xm:sqref>
        </x14:conditionalFormatting>
        <x14:conditionalFormatting xmlns:xm="http://schemas.microsoft.com/office/excel/2006/main">
          <x14:cfRule type="cellIs" priority="792" stopIfTrue="1" operator="lessThan" id="{00000000-0000-0000-0000-000000000000}">
            <xm:f>INDEX('1.Locations'!$F$2:$F$97,$AP$81 + 1)</xm:f>
            <x14:dxf>
              <fill>
                <patternFill>
                  <bgColor indexed="52"/>
                </patternFill>
              </fill>
            </x14:dxf>
          </x14:cfRule>
          <xm:sqref>AW81</xm:sqref>
        </x14:conditionalFormatting>
        <x14:conditionalFormatting xmlns:xm="http://schemas.microsoft.com/office/excel/2006/main">
          <x14:cfRule type="expression" priority="793" stopIfTrue="1" id="{00000000-0000-0000-0000-000000000000}">
            <xm:f>(60 * HOUR($AX$81) + MINUTE($AX$81)) &gt;(60 * HOUR(INDEX('1.Locations'!$G$2:$G$97,$AP$81 + 1)) +MINUTE(INDEX('1.Locations'!$G$2:$G$97,$AP$81 + 1)))</xm:f>
            <x14:dxf>
              <fill>
                <patternFill>
                  <bgColor indexed="10"/>
                </patternFill>
              </fill>
            </x14:dxf>
          </x14:cfRule>
          <xm:sqref>AX81</xm:sqref>
        </x14:conditionalFormatting>
        <x14:conditionalFormatting xmlns:xm="http://schemas.microsoft.com/office/excel/2006/main">
          <x14:cfRule type="cellIs" priority="794" stopIfTrue="1" operator="lessThan" id="{00000000-0000-0000-0000-000000000000}">
            <xm:f>INDEX('1.Locations'!$F$2:$F$97,$AP$82 + 1)</xm:f>
            <x14:dxf>
              <fill>
                <patternFill>
                  <bgColor indexed="52"/>
                </patternFill>
              </fill>
            </x14:dxf>
          </x14:cfRule>
          <xm:sqref>AW82</xm:sqref>
        </x14:conditionalFormatting>
        <x14:conditionalFormatting xmlns:xm="http://schemas.microsoft.com/office/excel/2006/main">
          <x14:cfRule type="expression" priority="795" stopIfTrue="1" id="{00000000-0000-0000-0000-000000000000}">
            <xm:f>(60 * HOUR($AX$82) + MINUTE($AX$82)) &gt;(60 * HOUR(INDEX('1.Locations'!$G$2:$G$97,$AP$82 + 1)) +MINUTE(INDEX('1.Locations'!$G$2:$G$97,$AP$82 + 1)))</xm:f>
            <x14:dxf>
              <fill>
                <patternFill>
                  <bgColor indexed="10"/>
                </patternFill>
              </fill>
            </x14:dxf>
          </x14:cfRule>
          <xm:sqref>AX82</xm:sqref>
        </x14:conditionalFormatting>
        <x14:conditionalFormatting xmlns:xm="http://schemas.microsoft.com/office/excel/2006/main">
          <x14:cfRule type="cellIs" priority="796" stopIfTrue="1" operator="lessThan" id="{00000000-0000-0000-0000-000000000000}">
            <xm:f>INDEX('1.Locations'!$F$2:$F$97,$AP$83 + 1)</xm:f>
            <x14:dxf>
              <fill>
                <patternFill>
                  <bgColor indexed="52"/>
                </patternFill>
              </fill>
            </x14:dxf>
          </x14:cfRule>
          <xm:sqref>AW83</xm:sqref>
        </x14:conditionalFormatting>
        <x14:conditionalFormatting xmlns:xm="http://schemas.microsoft.com/office/excel/2006/main">
          <x14:cfRule type="expression" priority="797" stopIfTrue="1" id="{00000000-0000-0000-0000-000000000000}">
            <xm:f>(60 * HOUR($AX$83) + MINUTE($AX$83)) &gt;(60 * HOUR(INDEX('1.Locations'!$G$2:$G$97,$AP$83 + 1)) +MINUTE(INDEX('1.Locations'!$G$2:$G$97,$AP$83 + 1)))</xm:f>
            <x14:dxf>
              <fill>
                <patternFill>
                  <bgColor indexed="10"/>
                </patternFill>
              </fill>
            </x14:dxf>
          </x14:cfRule>
          <xm:sqref>AX83</xm:sqref>
        </x14:conditionalFormatting>
        <x14:conditionalFormatting xmlns:xm="http://schemas.microsoft.com/office/excel/2006/main">
          <x14:cfRule type="cellIs" priority="798" stopIfTrue="1" operator="lessThan" id="{00000000-0000-0000-0000-000000000000}">
            <xm:f>INDEX('1.Locations'!$F$2:$F$97,$AP$84 + 1)</xm:f>
            <x14:dxf>
              <fill>
                <patternFill>
                  <bgColor indexed="52"/>
                </patternFill>
              </fill>
            </x14:dxf>
          </x14:cfRule>
          <xm:sqref>AW84</xm:sqref>
        </x14:conditionalFormatting>
        <x14:conditionalFormatting xmlns:xm="http://schemas.microsoft.com/office/excel/2006/main">
          <x14:cfRule type="expression" priority="799" stopIfTrue="1" id="{00000000-0000-0000-0000-000000000000}">
            <xm:f>(60 * HOUR($AX$84) + MINUTE($AX$84)) &gt;(60 * HOUR(INDEX('1.Locations'!$G$2:$G$97,$AP$84 + 1)) +MINUTE(INDEX('1.Locations'!$G$2:$G$97,$AP$84 + 1)))</xm:f>
            <x14:dxf>
              <fill>
                <patternFill>
                  <bgColor indexed="10"/>
                </patternFill>
              </fill>
            </x14:dxf>
          </x14:cfRule>
          <xm:sqref>AX84</xm:sqref>
        </x14:conditionalFormatting>
        <x14:conditionalFormatting xmlns:xm="http://schemas.microsoft.com/office/excel/2006/main">
          <x14:cfRule type="cellIs" priority="800" stopIfTrue="1" operator="lessThan" id="{00000000-0000-0000-0000-000000000000}">
            <xm:f>INDEX('1.Locations'!$F$2:$F$97,$AP$85 + 1)</xm:f>
            <x14:dxf>
              <fill>
                <patternFill>
                  <bgColor indexed="52"/>
                </patternFill>
              </fill>
            </x14:dxf>
          </x14:cfRule>
          <xm:sqref>AW85</xm:sqref>
        </x14:conditionalFormatting>
        <x14:conditionalFormatting xmlns:xm="http://schemas.microsoft.com/office/excel/2006/main">
          <x14:cfRule type="expression" priority="801" stopIfTrue="1" id="{00000000-0000-0000-0000-000000000000}">
            <xm:f>(60 * HOUR($AX$85) + MINUTE($AX$85)) &gt;(60 * HOUR(INDEX('1.Locations'!$G$2:$G$97,$AP$85 + 1)) +MINUTE(INDEX('1.Locations'!$G$2:$G$97,$AP$85 + 1)))</xm:f>
            <x14:dxf>
              <fill>
                <patternFill>
                  <bgColor indexed="10"/>
                </patternFill>
              </fill>
            </x14:dxf>
          </x14:cfRule>
          <xm:sqref>AX85</xm:sqref>
        </x14:conditionalFormatting>
        <x14:conditionalFormatting xmlns:xm="http://schemas.microsoft.com/office/excel/2006/main">
          <x14:cfRule type="cellIs" priority="802" stopIfTrue="1" operator="lessThan" id="{00000000-0000-0000-0000-000000000000}">
            <xm:f>INDEX('1.Locations'!$F$2:$F$97,$AP$86 + 1)</xm:f>
            <x14:dxf>
              <fill>
                <patternFill>
                  <bgColor indexed="52"/>
                </patternFill>
              </fill>
            </x14:dxf>
          </x14:cfRule>
          <xm:sqref>AW86</xm:sqref>
        </x14:conditionalFormatting>
        <x14:conditionalFormatting xmlns:xm="http://schemas.microsoft.com/office/excel/2006/main">
          <x14:cfRule type="expression" priority="803" stopIfTrue="1" id="{00000000-0000-0000-0000-000000000000}">
            <xm:f>(60 * HOUR($AX$86) + MINUTE($AX$86)) &gt;(60 * HOUR(INDEX('1.Locations'!$G$2:$G$97,$AP$86 + 1)) +MINUTE(INDEX('1.Locations'!$G$2:$G$97,$AP$86 + 1)))</xm:f>
            <x14:dxf>
              <fill>
                <patternFill>
                  <bgColor indexed="10"/>
                </patternFill>
              </fill>
            </x14:dxf>
          </x14:cfRule>
          <xm:sqref>AX86</xm:sqref>
        </x14:conditionalFormatting>
        <x14:conditionalFormatting xmlns:xm="http://schemas.microsoft.com/office/excel/2006/main">
          <x14:cfRule type="cellIs" priority="804" stopIfTrue="1" operator="lessThan" id="{00000000-0000-0000-0000-000000000000}">
            <xm:f>INDEX('1.Locations'!$F$2:$F$97,$AP$87 + 1)</xm:f>
            <x14:dxf>
              <fill>
                <patternFill>
                  <bgColor indexed="52"/>
                </patternFill>
              </fill>
            </x14:dxf>
          </x14:cfRule>
          <xm:sqref>AW87</xm:sqref>
        </x14:conditionalFormatting>
        <x14:conditionalFormatting xmlns:xm="http://schemas.microsoft.com/office/excel/2006/main">
          <x14:cfRule type="expression" priority="805" stopIfTrue="1" id="{00000000-0000-0000-0000-000000000000}">
            <xm:f>(60 * HOUR($AX$87) + MINUTE($AX$87)) &gt;(60 * HOUR(INDEX('1.Locations'!$G$2:$G$97,$AP$87 + 1)) +MINUTE(INDEX('1.Locations'!$G$2:$G$97,$AP$87 + 1)))</xm:f>
            <x14:dxf>
              <fill>
                <patternFill>
                  <bgColor indexed="10"/>
                </patternFill>
              </fill>
            </x14:dxf>
          </x14:cfRule>
          <xm:sqref>AX87</xm:sqref>
        </x14:conditionalFormatting>
        <x14:conditionalFormatting xmlns:xm="http://schemas.microsoft.com/office/excel/2006/main">
          <x14:cfRule type="cellIs" priority="806" stopIfTrue="1" operator="lessThan" id="{00000000-0000-0000-0000-000000000000}">
            <xm:f>INDEX('1.Locations'!$F$2:$F$97,$AP$88 + 1)</xm:f>
            <x14:dxf>
              <fill>
                <patternFill>
                  <bgColor indexed="52"/>
                </patternFill>
              </fill>
            </x14:dxf>
          </x14:cfRule>
          <xm:sqref>AW88</xm:sqref>
        </x14:conditionalFormatting>
        <x14:conditionalFormatting xmlns:xm="http://schemas.microsoft.com/office/excel/2006/main">
          <x14:cfRule type="expression" priority="807" stopIfTrue="1" id="{00000000-0000-0000-0000-000000000000}">
            <xm:f>(60 * HOUR($AX$88) + MINUTE($AX$88)) &gt;(60 * HOUR(INDEX('1.Locations'!$G$2:$G$97,$AP$88 + 1)) +MINUTE(INDEX('1.Locations'!$G$2:$G$97,$AP$88 + 1)))</xm:f>
            <x14:dxf>
              <fill>
                <patternFill>
                  <bgColor indexed="10"/>
                </patternFill>
              </fill>
            </x14:dxf>
          </x14:cfRule>
          <xm:sqref>AX88</xm:sqref>
        </x14:conditionalFormatting>
        <x14:conditionalFormatting xmlns:xm="http://schemas.microsoft.com/office/excel/2006/main">
          <x14:cfRule type="cellIs" priority="808" stopIfTrue="1" operator="lessThan" id="{00000000-0000-0000-0000-000000000000}">
            <xm:f>INDEX('1.Locations'!$F$2:$F$97,$AP$89 + 1)</xm:f>
            <x14:dxf>
              <fill>
                <patternFill>
                  <bgColor indexed="52"/>
                </patternFill>
              </fill>
            </x14:dxf>
          </x14:cfRule>
          <xm:sqref>AW89</xm:sqref>
        </x14:conditionalFormatting>
        <x14:conditionalFormatting xmlns:xm="http://schemas.microsoft.com/office/excel/2006/main">
          <x14:cfRule type="expression" priority="809" stopIfTrue="1" id="{00000000-0000-0000-0000-000000000000}">
            <xm:f>(60 * HOUR($AX$89) + MINUTE($AX$89)) &gt;(60 * HOUR(INDEX('1.Locations'!$G$2:$G$97,$AP$89 + 1)) +MINUTE(INDEX('1.Locations'!$G$2:$G$97,$AP$89 + 1)))</xm:f>
            <x14:dxf>
              <fill>
                <patternFill>
                  <bgColor indexed="10"/>
                </patternFill>
              </fill>
            </x14:dxf>
          </x14:cfRule>
          <xm:sqref>AX89</xm:sqref>
        </x14:conditionalFormatting>
        <x14:conditionalFormatting xmlns:xm="http://schemas.microsoft.com/office/excel/2006/main">
          <x14:cfRule type="cellIs" priority="810" stopIfTrue="1" operator="lessThan" id="{00000000-0000-0000-0000-000000000000}">
            <xm:f>INDEX('1.Locations'!$F$2:$F$97,$AP$90 + 1)</xm:f>
            <x14:dxf>
              <fill>
                <patternFill>
                  <bgColor indexed="52"/>
                </patternFill>
              </fill>
            </x14:dxf>
          </x14:cfRule>
          <xm:sqref>AW90</xm:sqref>
        </x14:conditionalFormatting>
        <x14:conditionalFormatting xmlns:xm="http://schemas.microsoft.com/office/excel/2006/main">
          <x14:cfRule type="expression" priority="811" stopIfTrue="1" id="{00000000-0000-0000-0000-000000000000}">
            <xm:f>(60 * HOUR($AX$90) + MINUTE($AX$90)) &gt;(60 * HOUR(INDEX('1.Locations'!$G$2:$G$97,$AP$90 + 1)) +MINUTE(INDEX('1.Locations'!$G$2:$G$97,$AP$90 + 1)))</xm:f>
            <x14:dxf>
              <fill>
                <patternFill>
                  <bgColor indexed="10"/>
                </patternFill>
              </fill>
            </x14:dxf>
          </x14:cfRule>
          <xm:sqref>AX90</xm:sqref>
        </x14:conditionalFormatting>
        <x14:conditionalFormatting xmlns:xm="http://schemas.microsoft.com/office/excel/2006/main">
          <x14:cfRule type="cellIs" priority="812" stopIfTrue="1" operator="lessThan" id="{00000000-0000-0000-0000-000000000000}">
            <xm:f>INDEX('1.Locations'!$F$2:$F$97,$AP$91 + 1)</xm:f>
            <x14:dxf>
              <fill>
                <patternFill>
                  <bgColor indexed="52"/>
                </patternFill>
              </fill>
            </x14:dxf>
          </x14:cfRule>
          <xm:sqref>AW91</xm:sqref>
        </x14:conditionalFormatting>
        <x14:conditionalFormatting xmlns:xm="http://schemas.microsoft.com/office/excel/2006/main">
          <x14:cfRule type="expression" priority="813" stopIfTrue="1" id="{00000000-0000-0000-0000-000000000000}">
            <xm:f>(60 * HOUR($AX$91) + MINUTE($AX$91)) &gt;(60 * HOUR(INDEX('1.Locations'!$G$2:$G$97,$AP$91 + 1)) +MINUTE(INDEX('1.Locations'!$G$2:$G$97,$AP$91 + 1)))</xm:f>
            <x14:dxf>
              <fill>
                <patternFill>
                  <bgColor indexed="10"/>
                </patternFill>
              </fill>
            </x14:dxf>
          </x14:cfRule>
          <xm:sqref>AX91</xm:sqref>
        </x14:conditionalFormatting>
        <x14:conditionalFormatting xmlns:xm="http://schemas.microsoft.com/office/excel/2006/main">
          <x14:cfRule type="cellIs" priority="814" stopIfTrue="1" operator="lessThan" id="{00000000-0000-0000-0000-000000000000}">
            <xm:f>INDEX('1.Locations'!$F$2:$F$97,$AP$92 + 1)</xm:f>
            <x14:dxf>
              <fill>
                <patternFill>
                  <bgColor indexed="52"/>
                </patternFill>
              </fill>
            </x14:dxf>
          </x14:cfRule>
          <xm:sqref>AW92</xm:sqref>
        </x14:conditionalFormatting>
        <x14:conditionalFormatting xmlns:xm="http://schemas.microsoft.com/office/excel/2006/main">
          <x14:cfRule type="expression" priority="815" stopIfTrue="1" id="{00000000-0000-0000-0000-000000000000}">
            <xm:f>(60 * HOUR($AX$92) + MINUTE($AX$92)) &gt;(60 * HOUR(INDEX('1.Locations'!$G$2:$G$97,$AP$92 + 1)) +MINUTE(INDEX('1.Locations'!$G$2:$G$97,$AP$92 + 1)))</xm:f>
            <x14:dxf>
              <fill>
                <patternFill>
                  <bgColor indexed="10"/>
                </patternFill>
              </fill>
            </x14:dxf>
          </x14:cfRule>
          <xm:sqref>AX92</xm:sqref>
        </x14:conditionalFormatting>
        <x14:conditionalFormatting xmlns:xm="http://schemas.microsoft.com/office/excel/2006/main">
          <x14:cfRule type="cellIs" priority="816" stopIfTrue="1" operator="lessThan" id="{00000000-0000-0000-0000-000000000000}">
            <xm:f>INDEX('1.Locations'!$F$2:$F$97,$AP$93 + 1)</xm:f>
            <x14:dxf>
              <fill>
                <patternFill>
                  <bgColor indexed="52"/>
                </patternFill>
              </fill>
            </x14:dxf>
          </x14:cfRule>
          <xm:sqref>AW93</xm:sqref>
        </x14:conditionalFormatting>
        <x14:conditionalFormatting xmlns:xm="http://schemas.microsoft.com/office/excel/2006/main">
          <x14:cfRule type="expression" priority="817" stopIfTrue="1" id="{00000000-0000-0000-0000-000000000000}">
            <xm:f>(60 * HOUR($AX$93) + MINUTE($AX$93)) &gt;(60 * HOUR(INDEX('1.Locations'!$G$2:$G$97,$AP$93 + 1)) +MINUTE(INDEX('1.Locations'!$G$2:$G$97,$AP$93 + 1)))</xm:f>
            <x14:dxf>
              <fill>
                <patternFill>
                  <bgColor indexed="10"/>
                </patternFill>
              </fill>
            </x14:dxf>
          </x14:cfRule>
          <xm:sqref>AX93</xm:sqref>
        </x14:conditionalFormatting>
        <x14:conditionalFormatting xmlns:xm="http://schemas.microsoft.com/office/excel/2006/main">
          <x14:cfRule type="cellIs" priority="818" stopIfTrue="1" operator="lessThan" id="{00000000-0000-0000-0000-000000000000}">
            <xm:f>INDEX('1.Locations'!$F$2:$F$97,$AP$94 + 1)</xm:f>
            <x14:dxf>
              <fill>
                <patternFill>
                  <bgColor indexed="52"/>
                </patternFill>
              </fill>
            </x14:dxf>
          </x14:cfRule>
          <xm:sqref>AW94</xm:sqref>
        </x14:conditionalFormatting>
        <x14:conditionalFormatting xmlns:xm="http://schemas.microsoft.com/office/excel/2006/main">
          <x14:cfRule type="expression" priority="819" stopIfTrue="1" id="{00000000-0000-0000-0000-000000000000}">
            <xm:f>(60 * HOUR($AX$94) + MINUTE($AX$94)) &gt;(60 * HOUR(INDEX('1.Locations'!$G$2:$G$97,$AP$94 + 1)) +MINUTE(INDEX('1.Locations'!$G$2:$G$97,$AP$94 + 1)))</xm:f>
            <x14:dxf>
              <fill>
                <patternFill>
                  <bgColor indexed="10"/>
                </patternFill>
              </fill>
            </x14:dxf>
          </x14:cfRule>
          <xm:sqref>AX94</xm:sqref>
        </x14:conditionalFormatting>
        <x14:conditionalFormatting xmlns:xm="http://schemas.microsoft.com/office/excel/2006/main">
          <x14:cfRule type="cellIs" priority="820" stopIfTrue="1" operator="lessThan" id="{00000000-0000-0000-0000-000000000000}">
            <xm:f>INDEX('1.Locations'!$F$2:$F$97,$AP$95 + 1)</xm:f>
            <x14:dxf>
              <fill>
                <patternFill>
                  <bgColor indexed="52"/>
                </patternFill>
              </fill>
            </x14:dxf>
          </x14:cfRule>
          <xm:sqref>AW95</xm:sqref>
        </x14:conditionalFormatting>
        <x14:conditionalFormatting xmlns:xm="http://schemas.microsoft.com/office/excel/2006/main">
          <x14:cfRule type="expression" priority="821" stopIfTrue="1" id="{00000000-0000-0000-0000-000000000000}">
            <xm:f>(60 * HOUR($AX$95) + MINUTE($AX$95)) &gt;(60 * HOUR(INDEX('1.Locations'!$G$2:$G$97,$AP$95 + 1)) +MINUTE(INDEX('1.Locations'!$G$2:$G$97,$AP$95 + 1)))</xm:f>
            <x14:dxf>
              <fill>
                <patternFill>
                  <bgColor indexed="10"/>
                </patternFill>
              </fill>
            </x14:dxf>
          </x14:cfRule>
          <xm:sqref>AX95</xm:sqref>
        </x14:conditionalFormatting>
        <x14:conditionalFormatting xmlns:xm="http://schemas.microsoft.com/office/excel/2006/main">
          <x14:cfRule type="cellIs" priority="822" stopIfTrue="1" operator="lessThan" id="{00000000-0000-0000-0000-000000000000}">
            <xm:f>INDEX('1.Locations'!$F$2:$F$97,$AP$96 + 1)</xm:f>
            <x14:dxf>
              <fill>
                <patternFill>
                  <bgColor indexed="52"/>
                </patternFill>
              </fill>
            </x14:dxf>
          </x14:cfRule>
          <xm:sqref>AW96</xm:sqref>
        </x14:conditionalFormatting>
        <x14:conditionalFormatting xmlns:xm="http://schemas.microsoft.com/office/excel/2006/main">
          <x14:cfRule type="expression" priority="823" stopIfTrue="1" id="{00000000-0000-0000-0000-000000000000}">
            <xm:f>(60 * HOUR($AX$96) + MINUTE($AX$96)) &gt;(60 * HOUR(INDEX('1.Locations'!$G$2:$G$97,$AP$96 + 1)) +MINUTE(INDEX('1.Locations'!$G$2:$G$97,$AP$96 + 1)))</xm:f>
            <x14:dxf>
              <fill>
                <patternFill>
                  <bgColor indexed="10"/>
                </patternFill>
              </fill>
            </x14:dxf>
          </x14:cfRule>
          <xm:sqref>AX96</xm:sqref>
        </x14:conditionalFormatting>
        <x14:conditionalFormatting xmlns:xm="http://schemas.microsoft.com/office/excel/2006/main">
          <x14:cfRule type="cellIs" priority="824" stopIfTrue="1" operator="lessThan" id="{00000000-0000-0000-0000-000000000000}">
            <xm:f>INDEX('1.Locations'!$F$2:$F$97,$AP$97 + 1)</xm:f>
            <x14:dxf>
              <fill>
                <patternFill>
                  <bgColor indexed="52"/>
                </patternFill>
              </fill>
            </x14:dxf>
          </x14:cfRule>
          <xm:sqref>AW97</xm:sqref>
        </x14:conditionalFormatting>
        <x14:conditionalFormatting xmlns:xm="http://schemas.microsoft.com/office/excel/2006/main">
          <x14:cfRule type="expression" priority="825" stopIfTrue="1" id="{00000000-0000-0000-0000-000000000000}">
            <xm:f>(60 * HOUR($AX$97) + MINUTE($AX$97)) &gt;(60 * HOUR(INDEX('1.Locations'!$G$2:$G$97,$AP$97 + 1)) +MINUTE(INDEX('1.Locations'!$G$2:$G$97,$AP$97 + 1)))</xm:f>
            <x14:dxf>
              <fill>
                <patternFill>
                  <bgColor indexed="10"/>
                </patternFill>
              </fill>
            </x14:dxf>
          </x14:cfRule>
          <xm:sqref>AX97</xm:sqref>
        </x14:conditionalFormatting>
        <x14:conditionalFormatting xmlns:xm="http://schemas.microsoft.com/office/excel/2006/main">
          <x14:cfRule type="cellIs" priority="826" stopIfTrue="1" operator="lessThan" id="{00000000-0000-0000-0000-000000000000}">
            <xm:f>INDEX('1.Locations'!$F$2:$F$97,$AP$98 + 1)</xm:f>
            <x14:dxf>
              <fill>
                <patternFill>
                  <bgColor indexed="52"/>
                </patternFill>
              </fill>
            </x14:dxf>
          </x14:cfRule>
          <xm:sqref>AW98</xm:sqref>
        </x14:conditionalFormatting>
        <x14:conditionalFormatting xmlns:xm="http://schemas.microsoft.com/office/excel/2006/main">
          <x14:cfRule type="expression" priority="827" stopIfTrue="1" id="{00000000-0000-0000-0000-000000000000}">
            <xm:f>(60 * HOUR($AX$98) + MINUTE($AX$98)) &gt;(60 * HOUR(INDEX('1.Locations'!$G$2:$G$97,$AP$98 + 1)) +MINUTE(INDEX('1.Locations'!$G$2:$G$97,$AP$98 + 1)))</xm:f>
            <x14:dxf>
              <fill>
                <patternFill>
                  <bgColor indexed="10"/>
                </patternFill>
              </fill>
            </x14:dxf>
          </x14:cfRule>
          <xm:sqref>AX98</xm:sqref>
        </x14:conditionalFormatting>
        <x14:conditionalFormatting xmlns:xm="http://schemas.microsoft.com/office/excel/2006/main">
          <x14:cfRule type="cellIs" priority="828" stopIfTrue="1" operator="lessThan" id="{00000000-0000-0000-0000-000000000000}">
            <xm:f>INDEX('1.Locations'!$F$2:$F$97,$AP$99 + 1)</xm:f>
            <x14:dxf>
              <fill>
                <patternFill>
                  <bgColor indexed="52"/>
                </patternFill>
              </fill>
            </x14:dxf>
          </x14:cfRule>
          <xm:sqref>AW99</xm:sqref>
        </x14:conditionalFormatting>
        <x14:conditionalFormatting xmlns:xm="http://schemas.microsoft.com/office/excel/2006/main">
          <x14:cfRule type="expression" priority="829" stopIfTrue="1" id="{00000000-0000-0000-0000-000000000000}">
            <xm:f>(60 * HOUR($AX$99) + MINUTE($AX$99)) &gt;(60 * HOUR(INDEX('1.Locations'!$G$2:$G$97,$AP$99 + 1)) +MINUTE(INDEX('1.Locations'!$G$2:$G$97,$AP$99 + 1)))</xm:f>
            <x14:dxf>
              <fill>
                <patternFill>
                  <bgColor indexed="10"/>
                </patternFill>
              </fill>
            </x14:dxf>
          </x14:cfRule>
          <xm:sqref>AX99</xm:sqref>
        </x14:conditionalFormatting>
        <x14:conditionalFormatting xmlns:xm="http://schemas.microsoft.com/office/excel/2006/main">
          <x14:cfRule type="cellIs" priority="830" stopIfTrue="1" operator="lessThan" id="{00000000-0000-0000-0000-000000000000}">
            <xm:f>INDEX('1.Locations'!$F$2:$F$97,$AP$100 + 1)</xm:f>
            <x14:dxf>
              <fill>
                <patternFill>
                  <bgColor indexed="52"/>
                </patternFill>
              </fill>
            </x14:dxf>
          </x14:cfRule>
          <xm:sqref>AW100</xm:sqref>
        </x14:conditionalFormatting>
        <x14:conditionalFormatting xmlns:xm="http://schemas.microsoft.com/office/excel/2006/main">
          <x14:cfRule type="expression" priority="831" stopIfTrue="1" id="{00000000-0000-0000-0000-000000000000}">
            <xm:f>(60 * HOUR($AX$100) + MINUTE($AX$100)) &gt;(60 * HOUR(INDEX('1.Locations'!$G$2:$G$97,$AP$100 + 1)) +MINUTE(INDEX('1.Locations'!$G$2:$G$97,$AP$100 + 1)))</xm:f>
            <x14:dxf>
              <fill>
                <patternFill>
                  <bgColor indexed="10"/>
                </patternFill>
              </fill>
            </x14:dxf>
          </x14:cfRule>
          <xm:sqref>AX100</xm:sqref>
        </x14:conditionalFormatting>
        <x14:conditionalFormatting xmlns:xm="http://schemas.microsoft.com/office/excel/2006/main">
          <x14:cfRule type="cellIs" priority="832" stopIfTrue="1" operator="lessThan" id="{00000000-0000-0000-0000-000000000000}">
            <xm:f>INDEX('1.Locations'!$F$2:$F$97,$AP$101 + 1)</xm:f>
            <x14:dxf>
              <fill>
                <patternFill>
                  <bgColor indexed="52"/>
                </patternFill>
              </fill>
            </x14:dxf>
          </x14:cfRule>
          <xm:sqref>AW101</xm:sqref>
        </x14:conditionalFormatting>
        <x14:conditionalFormatting xmlns:xm="http://schemas.microsoft.com/office/excel/2006/main">
          <x14:cfRule type="expression" priority="833" stopIfTrue="1" id="{00000000-0000-0000-0000-000000000000}">
            <xm:f>(60 * HOUR($AX$101) + MINUTE($AX$101)) &gt;(60 * HOUR(INDEX('1.Locations'!$G$2:$G$97,$AP$101 + 1)) +MINUTE(INDEX('1.Locations'!$G$2:$G$97,$AP$101 + 1)))</xm:f>
            <x14:dxf>
              <fill>
                <patternFill>
                  <bgColor indexed="10"/>
                </patternFill>
              </fill>
            </x14:dxf>
          </x14:cfRule>
          <xm:sqref>AX101</xm:sqref>
        </x14:conditionalFormatting>
        <x14:conditionalFormatting xmlns:xm="http://schemas.microsoft.com/office/excel/2006/main">
          <x14:cfRule type="cellIs" priority="834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AS6:AS101</xm:sqref>
        </x14:conditionalFormatting>
        <x14:conditionalFormatting xmlns:xm="http://schemas.microsoft.com/office/excel/2006/main">
          <x14:cfRule type="cellIs" priority="835" stopIfTrue="1" operator="greaterThan" id="{00000000-0000-0000-0000-000000000000}">
            <xm:f>'3.Vehicles'!$C$5</xm:f>
            <x14:dxf>
              <fill>
                <patternFill>
                  <bgColor indexed="10"/>
                </patternFill>
              </fill>
            </x14:dxf>
          </x14:cfRule>
          <xm:sqref>AT6:AT101</xm:sqref>
        </x14:conditionalFormatting>
        <x14:conditionalFormatting xmlns:xm="http://schemas.microsoft.com/office/excel/2006/main">
          <x14:cfRule type="cellIs" priority="836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AV6:AV101</xm:sqref>
        </x14:conditionalFormatting>
        <x14:conditionalFormatting xmlns:xm="http://schemas.microsoft.com/office/excel/2006/main">
          <x14:cfRule type="cellIs" priority="837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AY6:AY101</xm:sqref>
        </x14:conditionalFormatting>
        <x14:conditionalFormatting xmlns:xm="http://schemas.microsoft.com/office/excel/2006/main">
          <x14:cfRule type="cellIs" priority="839" stopIfTrue="1" operator="lessThan" id="{00000000-0000-0000-0000-000000000000}">
            <xm:f>INDEX('1.Locations'!$F$2:$F$97,$BC$5 + 1)</xm:f>
            <x14:dxf>
              <fill>
                <patternFill>
                  <bgColor indexed="52"/>
                </patternFill>
              </fill>
            </x14:dxf>
          </x14:cfRule>
          <xm:sqref>BJ5</xm:sqref>
        </x14:conditionalFormatting>
        <x14:conditionalFormatting xmlns:xm="http://schemas.microsoft.com/office/excel/2006/main">
          <x14:cfRule type="expression" priority="840" stopIfTrue="1" id="{00000000-0000-0000-0000-000000000000}">
            <xm:f>(60 * HOUR($BK$5) + MINUTE($BK$5)) &gt;(60 * HOUR(INDEX('1.Locations'!$G$2:$G$97,$BC$5 + 1)) +MINUTE(INDEX('1.Locations'!$G$2:$G$97,$BC$5 + 1)))</xm:f>
            <x14:dxf>
              <fill>
                <patternFill>
                  <bgColor indexed="10"/>
                </patternFill>
              </fill>
            </x14:dxf>
          </x14:cfRule>
          <xm:sqref>BK5</xm:sqref>
        </x14:conditionalFormatting>
        <x14:conditionalFormatting xmlns:xm="http://schemas.microsoft.com/office/excel/2006/main">
          <x14:cfRule type="cellIs" priority="841" stopIfTrue="1" operator="lessThan" id="{00000000-0000-0000-0000-000000000000}">
            <xm:f>INDEX('1.Locations'!$F$2:$F$97,$BC$6 + 1)</xm:f>
            <x14:dxf>
              <fill>
                <patternFill>
                  <bgColor indexed="52"/>
                </patternFill>
              </fill>
            </x14:dxf>
          </x14:cfRule>
          <xm:sqref>BJ6</xm:sqref>
        </x14:conditionalFormatting>
        <x14:conditionalFormatting xmlns:xm="http://schemas.microsoft.com/office/excel/2006/main">
          <x14:cfRule type="expression" priority="842" stopIfTrue="1" id="{00000000-0000-0000-0000-000000000000}">
            <xm:f>(60 * HOUR($BK$6) + MINUTE($BK$6)) &gt;(60 * HOUR(INDEX('1.Locations'!$G$2:$G$97,$BC$6 + 1)) +MINUTE(INDEX('1.Locations'!$G$2:$G$97,$BC$6 + 1)))</xm:f>
            <x14:dxf>
              <fill>
                <patternFill>
                  <bgColor indexed="10"/>
                </patternFill>
              </fill>
            </x14:dxf>
          </x14:cfRule>
          <xm:sqref>BK6</xm:sqref>
        </x14:conditionalFormatting>
        <x14:conditionalFormatting xmlns:xm="http://schemas.microsoft.com/office/excel/2006/main">
          <x14:cfRule type="cellIs" priority="843" stopIfTrue="1" operator="lessThan" id="{00000000-0000-0000-0000-000000000000}">
            <xm:f>INDEX('1.Locations'!$F$2:$F$97,$BC$7 + 1)</xm:f>
            <x14:dxf>
              <fill>
                <patternFill>
                  <bgColor indexed="52"/>
                </patternFill>
              </fill>
            </x14:dxf>
          </x14:cfRule>
          <xm:sqref>BJ7</xm:sqref>
        </x14:conditionalFormatting>
        <x14:conditionalFormatting xmlns:xm="http://schemas.microsoft.com/office/excel/2006/main">
          <x14:cfRule type="expression" priority="844" stopIfTrue="1" id="{00000000-0000-0000-0000-000000000000}">
            <xm:f>(60 * HOUR($BK$7) + MINUTE($BK$7)) &gt;(60 * HOUR(INDEX('1.Locations'!$G$2:$G$97,$BC$7 + 1)) +MINUTE(INDEX('1.Locations'!$G$2:$G$97,$BC$7 + 1)))</xm:f>
            <x14:dxf>
              <fill>
                <patternFill>
                  <bgColor indexed="10"/>
                </patternFill>
              </fill>
            </x14:dxf>
          </x14:cfRule>
          <xm:sqref>BK7</xm:sqref>
        </x14:conditionalFormatting>
        <x14:conditionalFormatting xmlns:xm="http://schemas.microsoft.com/office/excel/2006/main">
          <x14:cfRule type="cellIs" priority="845" stopIfTrue="1" operator="lessThan" id="{00000000-0000-0000-0000-000000000000}">
            <xm:f>INDEX('1.Locations'!$F$2:$F$97,$BC$8 + 1)</xm:f>
            <x14:dxf>
              <fill>
                <patternFill>
                  <bgColor indexed="52"/>
                </patternFill>
              </fill>
            </x14:dxf>
          </x14:cfRule>
          <xm:sqref>BJ8</xm:sqref>
        </x14:conditionalFormatting>
        <x14:conditionalFormatting xmlns:xm="http://schemas.microsoft.com/office/excel/2006/main">
          <x14:cfRule type="expression" priority="846" stopIfTrue="1" id="{00000000-0000-0000-0000-000000000000}">
            <xm:f>(60 * HOUR($BK$8) + MINUTE($BK$8)) &gt;(60 * HOUR(INDEX('1.Locations'!$G$2:$G$97,$BC$8 + 1)) +MINUTE(INDEX('1.Locations'!$G$2:$G$97,$BC$8 + 1)))</xm:f>
            <x14:dxf>
              <fill>
                <patternFill>
                  <bgColor indexed="10"/>
                </patternFill>
              </fill>
            </x14:dxf>
          </x14:cfRule>
          <xm:sqref>BK8</xm:sqref>
        </x14:conditionalFormatting>
        <x14:conditionalFormatting xmlns:xm="http://schemas.microsoft.com/office/excel/2006/main">
          <x14:cfRule type="cellIs" priority="847" stopIfTrue="1" operator="lessThan" id="{00000000-0000-0000-0000-000000000000}">
            <xm:f>INDEX('1.Locations'!$F$2:$F$97,$BC$9 + 1)</xm:f>
            <x14:dxf>
              <fill>
                <patternFill>
                  <bgColor indexed="52"/>
                </patternFill>
              </fill>
            </x14:dxf>
          </x14:cfRule>
          <xm:sqref>BJ9</xm:sqref>
        </x14:conditionalFormatting>
        <x14:conditionalFormatting xmlns:xm="http://schemas.microsoft.com/office/excel/2006/main">
          <x14:cfRule type="expression" priority="848" stopIfTrue="1" id="{00000000-0000-0000-0000-000000000000}">
            <xm:f>(60 * HOUR($BK$9) + MINUTE($BK$9)) &gt;(60 * HOUR(INDEX('1.Locations'!$G$2:$G$97,$BC$9 + 1)) +MINUTE(INDEX('1.Locations'!$G$2:$G$97,$BC$9 + 1)))</xm:f>
            <x14:dxf>
              <fill>
                <patternFill>
                  <bgColor indexed="10"/>
                </patternFill>
              </fill>
            </x14:dxf>
          </x14:cfRule>
          <xm:sqref>BK9</xm:sqref>
        </x14:conditionalFormatting>
        <x14:conditionalFormatting xmlns:xm="http://schemas.microsoft.com/office/excel/2006/main">
          <x14:cfRule type="cellIs" priority="849" stopIfTrue="1" operator="lessThan" id="{00000000-0000-0000-0000-000000000000}">
            <xm:f>INDEX('1.Locations'!$F$2:$F$97,$BC$10 + 1)</xm:f>
            <x14:dxf>
              <fill>
                <patternFill>
                  <bgColor indexed="52"/>
                </patternFill>
              </fill>
            </x14:dxf>
          </x14:cfRule>
          <xm:sqref>BJ10</xm:sqref>
        </x14:conditionalFormatting>
        <x14:conditionalFormatting xmlns:xm="http://schemas.microsoft.com/office/excel/2006/main">
          <x14:cfRule type="expression" priority="850" stopIfTrue="1" id="{00000000-0000-0000-0000-000000000000}">
            <xm:f>(60 * HOUR($BK$10) + MINUTE($BK$10)) &gt;(60 * HOUR(INDEX('1.Locations'!$G$2:$G$97,$BC$10 + 1)) +MINUTE(INDEX('1.Locations'!$G$2:$G$97,$BC$10 + 1)))</xm:f>
            <x14:dxf>
              <fill>
                <patternFill>
                  <bgColor indexed="10"/>
                </patternFill>
              </fill>
            </x14:dxf>
          </x14:cfRule>
          <xm:sqref>BK10</xm:sqref>
        </x14:conditionalFormatting>
        <x14:conditionalFormatting xmlns:xm="http://schemas.microsoft.com/office/excel/2006/main">
          <x14:cfRule type="cellIs" priority="851" stopIfTrue="1" operator="lessThan" id="{00000000-0000-0000-0000-000000000000}">
            <xm:f>INDEX('1.Locations'!$F$2:$F$97,$BC$11 + 1)</xm:f>
            <x14:dxf>
              <fill>
                <patternFill>
                  <bgColor indexed="52"/>
                </patternFill>
              </fill>
            </x14:dxf>
          </x14:cfRule>
          <xm:sqref>BJ11</xm:sqref>
        </x14:conditionalFormatting>
        <x14:conditionalFormatting xmlns:xm="http://schemas.microsoft.com/office/excel/2006/main">
          <x14:cfRule type="expression" priority="852" stopIfTrue="1" id="{00000000-0000-0000-0000-000000000000}">
            <xm:f>(60 * HOUR($BK$11) + MINUTE($BK$11)) &gt;(60 * HOUR(INDEX('1.Locations'!$G$2:$G$97,$BC$11 + 1)) +MINUTE(INDEX('1.Locations'!$G$2:$G$97,$BC$11 + 1)))</xm:f>
            <x14:dxf>
              <fill>
                <patternFill>
                  <bgColor indexed="10"/>
                </patternFill>
              </fill>
            </x14:dxf>
          </x14:cfRule>
          <xm:sqref>BK11</xm:sqref>
        </x14:conditionalFormatting>
        <x14:conditionalFormatting xmlns:xm="http://schemas.microsoft.com/office/excel/2006/main">
          <x14:cfRule type="cellIs" priority="853" stopIfTrue="1" operator="lessThan" id="{00000000-0000-0000-0000-000000000000}">
            <xm:f>INDEX('1.Locations'!$F$2:$F$97,$BC$12 + 1)</xm:f>
            <x14:dxf>
              <fill>
                <patternFill>
                  <bgColor indexed="52"/>
                </patternFill>
              </fill>
            </x14:dxf>
          </x14:cfRule>
          <xm:sqref>BJ12</xm:sqref>
        </x14:conditionalFormatting>
        <x14:conditionalFormatting xmlns:xm="http://schemas.microsoft.com/office/excel/2006/main">
          <x14:cfRule type="expression" priority="854" stopIfTrue="1" id="{00000000-0000-0000-0000-000000000000}">
            <xm:f>(60 * HOUR($BK$12) + MINUTE($BK$12)) &gt;(60 * HOUR(INDEX('1.Locations'!$G$2:$G$97,$BC$12 + 1)) +MINUTE(INDEX('1.Locations'!$G$2:$G$97,$BC$12 + 1)))</xm:f>
            <x14:dxf>
              <fill>
                <patternFill>
                  <bgColor indexed="10"/>
                </patternFill>
              </fill>
            </x14:dxf>
          </x14:cfRule>
          <xm:sqref>BK12</xm:sqref>
        </x14:conditionalFormatting>
        <x14:conditionalFormatting xmlns:xm="http://schemas.microsoft.com/office/excel/2006/main">
          <x14:cfRule type="cellIs" priority="855" stopIfTrue="1" operator="lessThan" id="{00000000-0000-0000-0000-000000000000}">
            <xm:f>INDEX('1.Locations'!$F$2:$F$97,$BC$13 + 1)</xm:f>
            <x14:dxf>
              <fill>
                <patternFill>
                  <bgColor indexed="52"/>
                </patternFill>
              </fill>
            </x14:dxf>
          </x14:cfRule>
          <xm:sqref>BJ13</xm:sqref>
        </x14:conditionalFormatting>
        <x14:conditionalFormatting xmlns:xm="http://schemas.microsoft.com/office/excel/2006/main">
          <x14:cfRule type="expression" priority="856" stopIfTrue="1" id="{00000000-0000-0000-0000-000000000000}">
            <xm:f>(60 * HOUR($BK$13) + MINUTE($BK$13)) &gt;(60 * HOUR(INDEX('1.Locations'!$G$2:$G$97,$BC$13 + 1)) +MINUTE(INDEX('1.Locations'!$G$2:$G$97,$BC$13 + 1)))</xm:f>
            <x14:dxf>
              <fill>
                <patternFill>
                  <bgColor indexed="10"/>
                </patternFill>
              </fill>
            </x14:dxf>
          </x14:cfRule>
          <xm:sqref>BK13</xm:sqref>
        </x14:conditionalFormatting>
        <x14:conditionalFormatting xmlns:xm="http://schemas.microsoft.com/office/excel/2006/main">
          <x14:cfRule type="cellIs" priority="857" stopIfTrue="1" operator="lessThan" id="{00000000-0000-0000-0000-000000000000}">
            <xm:f>INDEX('1.Locations'!$F$2:$F$97,$BC$14 + 1)</xm:f>
            <x14:dxf>
              <fill>
                <patternFill>
                  <bgColor indexed="52"/>
                </patternFill>
              </fill>
            </x14:dxf>
          </x14:cfRule>
          <xm:sqref>BJ14</xm:sqref>
        </x14:conditionalFormatting>
        <x14:conditionalFormatting xmlns:xm="http://schemas.microsoft.com/office/excel/2006/main">
          <x14:cfRule type="expression" priority="858" stopIfTrue="1" id="{00000000-0000-0000-0000-000000000000}">
            <xm:f>(60 * HOUR($BK$14) + MINUTE($BK$14)) &gt;(60 * HOUR(INDEX('1.Locations'!$G$2:$G$97,$BC$14 + 1)) +MINUTE(INDEX('1.Locations'!$G$2:$G$97,$BC$14 + 1)))</xm:f>
            <x14:dxf>
              <fill>
                <patternFill>
                  <bgColor indexed="10"/>
                </patternFill>
              </fill>
            </x14:dxf>
          </x14:cfRule>
          <xm:sqref>BK14</xm:sqref>
        </x14:conditionalFormatting>
        <x14:conditionalFormatting xmlns:xm="http://schemas.microsoft.com/office/excel/2006/main">
          <x14:cfRule type="cellIs" priority="859" stopIfTrue="1" operator="lessThan" id="{00000000-0000-0000-0000-000000000000}">
            <xm:f>INDEX('1.Locations'!$F$2:$F$97,$BC$15 + 1)</xm:f>
            <x14:dxf>
              <fill>
                <patternFill>
                  <bgColor indexed="52"/>
                </patternFill>
              </fill>
            </x14:dxf>
          </x14:cfRule>
          <xm:sqref>BJ15</xm:sqref>
        </x14:conditionalFormatting>
        <x14:conditionalFormatting xmlns:xm="http://schemas.microsoft.com/office/excel/2006/main">
          <x14:cfRule type="expression" priority="860" stopIfTrue="1" id="{00000000-0000-0000-0000-000000000000}">
            <xm:f>(60 * HOUR($BK$15) + MINUTE($BK$15)) &gt;(60 * HOUR(INDEX('1.Locations'!$G$2:$G$97,$BC$15 + 1)) +MINUTE(INDEX('1.Locations'!$G$2:$G$97,$BC$15 + 1)))</xm:f>
            <x14:dxf>
              <fill>
                <patternFill>
                  <bgColor indexed="10"/>
                </patternFill>
              </fill>
            </x14:dxf>
          </x14:cfRule>
          <xm:sqref>BK15</xm:sqref>
        </x14:conditionalFormatting>
        <x14:conditionalFormatting xmlns:xm="http://schemas.microsoft.com/office/excel/2006/main">
          <x14:cfRule type="cellIs" priority="861" stopIfTrue="1" operator="lessThan" id="{00000000-0000-0000-0000-000000000000}">
            <xm:f>INDEX('1.Locations'!$F$2:$F$97,$BC$16 + 1)</xm:f>
            <x14:dxf>
              <fill>
                <patternFill>
                  <bgColor indexed="52"/>
                </patternFill>
              </fill>
            </x14:dxf>
          </x14:cfRule>
          <xm:sqref>BJ16</xm:sqref>
        </x14:conditionalFormatting>
        <x14:conditionalFormatting xmlns:xm="http://schemas.microsoft.com/office/excel/2006/main">
          <x14:cfRule type="expression" priority="862" stopIfTrue="1" id="{00000000-0000-0000-0000-000000000000}">
            <xm:f>(60 * HOUR($BK$16) + MINUTE($BK$16)) &gt;(60 * HOUR(INDEX('1.Locations'!$G$2:$G$97,$BC$16 + 1)) +MINUTE(INDEX('1.Locations'!$G$2:$G$97,$BC$16 + 1)))</xm:f>
            <x14:dxf>
              <fill>
                <patternFill>
                  <bgColor indexed="10"/>
                </patternFill>
              </fill>
            </x14:dxf>
          </x14:cfRule>
          <xm:sqref>BK16</xm:sqref>
        </x14:conditionalFormatting>
        <x14:conditionalFormatting xmlns:xm="http://schemas.microsoft.com/office/excel/2006/main">
          <x14:cfRule type="cellIs" priority="863" stopIfTrue="1" operator="lessThan" id="{00000000-0000-0000-0000-000000000000}">
            <xm:f>INDEX('1.Locations'!$F$2:$F$97,$BC$17 + 1)</xm:f>
            <x14:dxf>
              <fill>
                <patternFill>
                  <bgColor indexed="52"/>
                </patternFill>
              </fill>
            </x14:dxf>
          </x14:cfRule>
          <xm:sqref>BJ17</xm:sqref>
        </x14:conditionalFormatting>
        <x14:conditionalFormatting xmlns:xm="http://schemas.microsoft.com/office/excel/2006/main">
          <x14:cfRule type="expression" priority="864" stopIfTrue="1" id="{00000000-0000-0000-0000-000000000000}">
            <xm:f>(60 * HOUR($BK$17) + MINUTE($BK$17)) &gt;(60 * HOUR(INDEX('1.Locations'!$G$2:$G$97,$BC$17 + 1)) +MINUTE(INDEX('1.Locations'!$G$2:$G$97,$BC$17 + 1)))</xm:f>
            <x14:dxf>
              <fill>
                <patternFill>
                  <bgColor indexed="10"/>
                </patternFill>
              </fill>
            </x14:dxf>
          </x14:cfRule>
          <xm:sqref>BK17</xm:sqref>
        </x14:conditionalFormatting>
        <x14:conditionalFormatting xmlns:xm="http://schemas.microsoft.com/office/excel/2006/main">
          <x14:cfRule type="cellIs" priority="865" stopIfTrue="1" operator="lessThan" id="{00000000-0000-0000-0000-000000000000}">
            <xm:f>INDEX('1.Locations'!$F$2:$F$97,$BC$18 + 1)</xm:f>
            <x14:dxf>
              <fill>
                <patternFill>
                  <bgColor indexed="52"/>
                </patternFill>
              </fill>
            </x14:dxf>
          </x14:cfRule>
          <xm:sqref>BJ18</xm:sqref>
        </x14:conditionalFormatting>
        <x14:conditionalFormatting xmlns:xm="http://schemas.microsoft.com/office/excel/2006/main">
          <x14:cfRule type="expression" priority="866" stopIfTrue="1" id="{00000000-0000-0000-0000-000000000000}">
            <xm:f>(60 * HOUR($BK$18) + MINUTE($BK$18)) &gt;(60 * HOUR(INDEX('1.Locations'!$G$2:$G$97,$BC$18 + 1)) +MINUTE(INDEX('1.Locations'!$G$2:$G$97,$BC$18 + 1)))</xm:f>
            <x14:dxf>
              <fill>
                <patternFill>
                  <bgColor indexed="10"/>
                </patternFill>
              </fill>
            </x14:dxf>
          </x14:cfRule>
          <xm:sqref>BK18</xm:sqref>
        </x14:conditionalFormatting>
        <x14:conditionalFormatting xmlns:xm="http://schemas.microsoft.com/office/excel/2006/main">
          <x14:cfRule type="cellIs" priority="867" stopIfTrue="1" operator="lessThan" id="{00000000-0000-0000-0000-000000000000}">
            <xm:f>INDEX('1.Locations'!$F$2:$F$97,$BC$19 + 1)</xm:f>
            <x14:dxf>
              <fill>
                <patternFill>
                  <bgColor indexed="52"/>
                </patternFill>
              </fill>
            </x14:dxf>
          </x14:cfRule>
          <xm:sqref>BJ19</xm:sqref>
        </x14:conditionalFormatting>
        <x14:conditionalFormatting xmlns:xm="http://schemas.microsoft.com/office/excel/2006/main">
          <x14:cfRule type="expression" priority="868" stopIfTrue="1" id="{00000000-0000-0000-0000-000000000000}">
            <xm:f>(60 * HOUR($BK$19) + MINUTE($BK$19)) &gt;(60 * HOUR(INDEX('1.Locations'!$G$2:$G$97,$BC$19 + 1)) +MINUTE(INDEX('1.Locations'!$G$2:$G$97,$BC$19 + 1)))</xm:f>
            <x14:dxf>
              <fill>
                <patternFill>
                  <bgColor indexed="10"/>
                </patternFill>
              </fill>
            </x14:dxf>
          </x14:cfRule>
          <xm:sqref>BK19</xm:sqref>
        </x14:conditionalFormatting>
        <x14:conditionalFormatting xmlns:xm="http://schemas.microsoft.com/office/excel/2006/main">
          <x14:cfRule type="cellIs" priority="869" stopIfTrue="1" operator="lessThan" id="{00000000-0000-0000-0000-000000000000}">
            <xm:f>INDEX('1.Locations'!$F$2:$F$97,$BC$20 + 1)</xm:f>
            <x14:dxf>
              <fill>
                <patternFill>
                  <bgColor indexed="52"/>
                </patternFill>
              </fill>
            </x14:dxf>
          </x14:cfRule>
          <xm:sqref>BJ20</xm:sqref>
        </x14:conditionalFormatting>
        <x14:conditionalFormatting xmlns:xm="http://schemas.microsoft.com/office/excel/2006/main">
          <x14:cfRule type="expression" priority="870" stopIfTrue="1" id="{00000000-0000-0000-0000-000000000000}">
            <xm:f>(60 * HOUR($BK$20) + MINUTE($BK$20)) &gt;(60 * HOUR(INDEX('1.Locations'!$G$2:$G$97,$BC$20 + 1)) +MINUTE(INDEX('1.Locations'!$G$2:$G$97,$BC$20 + 1)))</xm:f>
            <x14:dxf>
              <fill>
                <patternFill>
                  <bgColor indexed="10"/>
                </patternFill>
              </fill>
            </x14:dxf>
          </x14:cfRule>
          <xm:sqref>BK20</xm:sqref>
        </x14:conditionalFormatting>
        <x14:conditionalFormatting xmlns:xm="http://schemas.microsoft.com/office/excel/2006/main">
          <x14:cfRule type="cellIs" priority="871" stopIfTrue="1" operator="lessThan" id="{00000000-0000-0000-0000-000000000000}">
            <xm:f>INDEX('1.Locations'!$F$2:$F$97,$BC$21 + 1)</xm:f>
            <x14:dxf>
              <fill>
                <patternFill>
                  <bgColor indexed="52"/>
                </patternFill>
              </fill>
            </x14:dxf>
          </x14:cfRule>
          <xm:sqref>BJ21</xm:sqref>
        </x14:conditionalFormatting>
        <x14:conditionalFormatting xmlns:xm="http://schemas.microsoft.com/office/excel/2006/main">
          <x14:cfRule type="expression" priority="872" stopIfTrue="1" id="{00000000-0000-0000-0000-000000000000}">
            <xm:f>(60 * HOUR($BK$21) + MINUTE($BK$21)) &gt;(60 * HOUR(INDEX('1.Locations'!$G$2:$G$97,$BC$21 + 1)) +MINUTE(INDEX('1.Locations'!$G$2:$G$97,$BC$21 + 1)))</xm:f>
            <x14:dxf>
              <fill>
                <patternFill>
                  <bgColor indexed="10"/>
                </patternFill>
              </fill>
            </x14:dxf>
          </x14:cfRule>
          <xm:sqref>BK21</xm:sqref>
        </x14:conditionalFormatting>
        <x14:conditionalFormatting xmlns:xm="http://schemas.microsoft.com/office/excel/2006/main">
          <x14:cfRule type="cellIs" priority="873" stopIfTrue="1" operator="lessThan" id="{00000000-0000-0000-0000-000000000000}">
            <xm:f>INDEX('1.Locations'!$F$2:$F$97,$BC$22 + 1)</xm:f>
            <x14:dxf>
              <fill>
                <patternFill>
                  <bgColor indexed="52"/>
                </patternFill>
              </fill>
            </x14:dxf>
          </x14:cfRule>
          <xm:sqref>BJ22</xm:sqref>
        </x14:conditionalFormatting>
        <x14:conditionalFormatting xmlns:xm="http://schemas.microsoft.com/office/excel/2006/main">
          <x14:cfRule type="expression" priority="874" stopIfTrue="1" id="{00000000-0000-0000-0000-000000000000}">
            <xm:f>(60 * HOUR($BK$22) + MINUTE($BK$22)) &gt;(60 * HOUR(INDEX('1.Locations'!$G$2:$G$97,$BC$22 + 1)) +MINUTE(INDEX('1.Locations'!$G$2:$G$97,$BC$22 + 1)))</xm:f>
            <x14:dxf>
              <fill>
                <patternFill>
                  <bgColor indexed="10"/>
                </patternFill>
              </fill>
            </x14:dxf>
          </x14:cfRule>
          <xm:sqref>BK22</xm:sqref>
        </x14:conditionalFormatting>
        <x14:conditionalFormatting xmlns:xm="http://schemas.microsoft.com/office/excel/2006/main">
          <x14:cfRule type="cellIs" priority="875" stopIfTrue="1" operator="lessThan" id="{00000000-0000-0000-0000-000000000000}">
            <xm:f>INDEX('1.Locations'!$F$2:$F$97,$BC$23 + 1)</xm:f>
            <x14:dxf>
              <fill>
                <patternFill>
                  <bgColor indexed="52"/>
                </patternFill>
              </fill>
            </x14:dxf>
          </x14:cfRule>
          <xm:sqref>BJ23</xm:sqref>
        </x14:conditionalFormatting>
        <x14:conditionalFormatting xmlns:xm="http://schemas.microsoft.com/office/excel/2006/main">
          <x14:cfRule type="expression" priority="876" stopIfTrue="1" id="{00000000-0000-0000-0000-000000000000}">
            <xm:f>(60 * HOUR($BK$23) + MINUTE($BK$23)) &gt;(60 * HOUR(INDEX('1.Locations'!$G$2:$G$97,$BC$23 + 1)) +MINUTE(INDEX('1.Locations'!$G$2:$G$97,$BC$23 + 1)))</xm:f>
            <x14:dxf>
              <fill>
                <patternFill>
                  <bgColor indexed="10"/>
                </patternFill>
              </fill>
            </x14:dxf>
          </x14:cfRule>
          <xm:sqref>BK23</xm:sqref>
        </x14:conditionalFormatting>
        <x14:conditionalFormatting xmlns:xm="http://schemas.microsoft.com/office/excel/2006/main">
          <x14:cfRule type="cellIs" priority="877" stopIfTrue="1" operator="lessThan" id="{00000000-0000-0000-0000-000000000000}">
            <xm:f>INDEX('1.Locations'!$F$2:$F$97,$BC$24 + 1)</xm:f>
            <x14:dxf>
              <fill>
                <patternFill>
                  <bgColor indexed="52"/>
                </patternFill>
              </fill>
            </x14:dxf>
          </x14:cfRule>
          <xm:sqref>BJ24</xm:sqref>
        </x14:conditionalFormatting>
        <x14:conditionalFormatting xmlns:xm="http://schemas.microsoft.com/office/excel/2006/main">
          <x14:cfRule type="expression" priority="878" stopIfTrue="1" id="{00000000-0000-0000-0000-000000000000}">
            <xm:f>(60 * HOUR($BK$24) + MINUTE($BK$24)) &gt;(60 * HOUR(INDEX('1.Locations'!$G$2:$G$97,$BC$24 + 1)) +MINUTE(INDEX('1.Locations'!$G$2:$G$97,$BC$24 + 1)))</xm:f>
            <x14:dxf>
              <fill>
                <patternFill>
                  <bgColor indexed="10"/>
                </patternFill>
              </fill>
            </x14:dxf>
          </x14:cfRule>
          <xm:sqref>BK24</xm:sqref>
        </x14:conditionalFormatting>
        <x14:conditionalFormatting xmlns:xm="http://schemas.microsoft.com/office/excel/2006/main">
          <x14:cfRule type="cellIs" priority="879" stopIfTrue="1" operator="lessThan" id="{00000000-0000-0000-0000-000000000000}">
            <xm:f>INDEX('1.Locations'!$F$2:$F$97,$BC$25 + 1)</xm:f>
            <x14:dxf>
              <fill>
                <patternFill>
                  <bgColor indexed="52"/>
                </patternFill>
              </fill>
            </x14:dxf>
          </x14:cfRule>
          <xm:sqref>BJ25</xm:sqref>
        </x14:conditionalFormatting>
        <x14:conditionalFormatting xmlns:xm="http://schemas.microsoft.com/office/excel/2006/main">
          <x14:cfRule type="expression" priority="880" stopIfTrue="1" id="{00000000-0000-0000-0000-000000000000}">
            <xm:f>(60 * HOUR($BK$25) + MINUTE($BK$25)) &gt;(60 * HOUR(INDEX('1.Locations'!$G$2:$G$97,$BC$25 + 1)) +MINUTE(INDEX('1.Locations'!$G$2:$G$97,$BC$25 + 1)))</xm:f>
            <x14:dxf>
              <fill>
                <patternFill>
                  <bgColor indexed="10"/>
                </patternFill>
              </fill>
            </x14:dxf>
          </x14:cfRule>
          <xm:sqref>BK25</xm:sqref>
        </x14:conditionalFormatting>
        <x14:conditionalFormatting xmlns:xm="http://schemas.microsoft.com/office/excel/2006/main">
          <x14:cfRule type="cellIs" priority="881" stopIfTrue="1" operator="lessThan" id="{00000000-0000-0000-0000-000000000000}">
            <xm:f>INDEX('1.Locations'!$F$2:$F$97,$BC$26 + 1)</xm:f>
            <x14:dxf>
              <fill>
                <patternFill>
                  <bgColor indexed="52"/>
                </patternFill>
              </fill>
            </x14:dxf>
          </x14:cfRule>
          <xm:sqref>BJ26</xm:sqref>
        </x14:conditionalFormatting>
        <x14:conditionalFormatting xmlns:xm="http://schemas.microsoft.com/office/excel/2006/main">
          <x14:cfRule type="expression" priority="882" stopIfTrue="1" id="{00000000-0000-0000-0000-000000000000}">
            <xm:f>(60 * HOUR($BK$26) + MINUTE($BK$26)) &gt;(60 * HOUR(INDEX('1.Locations'!$G$2:$G$97,$BC$26 + 1)) +MINUTE(INDEX('1.Locations'!$G$2:$G$97,$BC$26 + 1)))</xm:f>
            <x14:dxf>
              <fill>
                <patternFill>
                  <bgColor indexed="10"/>
                </patternFill>
              </fill>
            </x14:dxf>
          </x14:cfRule>
          <xm:sqref>BK26</xm:sqref>
        </x14:conditionalFormatting>
        <x14:conditionalFormatting xmlns:xm="http://schemas.microsoft.com/office/excel/2006/main">
          <x14:cfRule type="cellIs" priority="883" stopIfTrue="1" operator="lessThan" id="{00000000-0000-0000-0000-000000000000}">
            <xm:f>INDEX('1.Locations'!$F$2:$F$97,$BC$27 + 1)</xm:f>
            <x14:dxf>
              <fill>
                <patternFill>
                  <bgColor indexed="52"/>
                </patternFill>
              </fill>
            </x14:dxf>
          </x14:cfRule>
          <xm:sqref>BJ27</xm:sqref>
        </x14:conditionalFormatting>
        <x14:conditionalFormatting xmlns:xm="http://schemas.microsoft.com/office/excel/2006/main">
          <x14:cfRule type="expression" priority="884" stopIfTrue="1" id="{00000000-0000-0000-0000-000000000000}">
            <xm:f>(60 * HOUR($BK$27) + MINUTE($BK$27)) &gt;(60 * HOUR(INDEX('1.Locations'!$G$2:$G$97,$BC$27 + 1)) +MINUTE(INDEX('1.Locations'!$G$2:$G$97,$BC$27 + 1)))</xm:f>
            <x14:dxf>
              <fill>
                <patternFill>
                  <bgColor indexed="10"/>
                </patternFill>
              </fill>
            </x14:dxf>
          </x14:cfRule>
          <xm:sqref>BK27</xm:sqref>
        </x14:conditionalFormatting>
        <x14:conditionalFormatting xmlns:xm="http://schemas.microsoft.com/office/excel/2006/main">
          <x14:cfRule type="cellIs" priority="885" stopIfTrue="1" operator="lessThan" id="{00000000-0000-0000-0000-000000000000}">
            <xm:f>INDEX('1.Locations'!$F$2:$F$97,$BC$28 + 1)</xm:f>
            <x14:dxf>
              <fill>
                <patternFill>
                  <bgColor indexed="52"/>
                </patternFill>
              </fill>
            </x14:dxf>
          </x14:cfRule>
          <xm:sqref>BJ28</xm:sqref>
        </x14:conditionalFormatting>
        <x14:conditionalFormatting xmlns:xm="http://schemas.microsoft.com/office/excel/2006/main">
          <x14:cfRule type="expression" priority="886" stopIfTrue="1" id="{00000000-0000-0000-0000-000000000000}">
            <xm:f>(60 * HOUR($BK$28) + MINUTE($BK$28)) &gt;(60 * HOUR(INDEX('1.Locations'!$G$2:$G$97,$BC$28 + 1)) +MINUTE(INDEX('1.Locations'!$G$2:$G$97,$BC$28 + 1)))</xm:f>
            <x14:dxf>
              <fill>
                <patternFill>
                  <bgColor indexed="10"/>
                </patternFill>
              </fill>
            </x14:dxf>
          </x14:cfRule>
          <xm:sqref>BK28</xm:sqref>
        </x14:conditionalFormatting>
        <x14:conditionalFormatting xmlns:xm="http://schemas.microsoft.com/office/excel/2006/main">
          <x14:cfRule type="cellIs" priority="887" stopIfTrue="1" operator="lessThan" id="{00000000-0000-0000-0000-000000000000}">
            <xm:f>INDEX('1.Locations'!$F$2:$F$97,$BC$29 + 1)</xm:f>
            <x14:dxf>
              <fill>
                <patternFill>
                  <bgColor indexed="52"/>
                </patternFill>
              </fill>
            </x14:dxf>
          </x14:cfRule>
          <xm:sqref>BJ29</xm:sqref>
        </x14:conditionalFormatting>
        <x14:conditionalFormatting xmlns:xm="http://schemas.microsoft.com/office/excel/2006/main">
          <x14:cfRule type="expression" priority="888" stopIfTrue="1" id="{00000000-0000-0000-0000-000000000000}">
            <xm:f>(60 * HOUR($BK$29) + MINUTE($BK$29)) &gt;(60 * HOUR(INDEX('1.Locations'!$G$2:$G$97,$BC$29 + 1)) +MINUTE(INDEX('1.Locations'!$G$2:$G$97,$BC$29 + 1)))</xm:f>
            <x14:dxf>
              <fill>
                <patternFill>
                  <bgColor indexed="10"/>
                </patternFill>
              </fill>
            </x14:dxf>
          </x14:cfRule>
          <xm:sqref>BK29</xm:sqref>
        </x14:conditionalFormatting>
        <x14:conditionalFormatting xmlns:xm="http://schemas.microsoft.com/office/excel/2006/main">
          <x14:cfRule type="cellIs" priority="889" stopIfTrue="1" operator="lessThan" id="{00000000-0000-0000-0000-000000000000}">
            <xm:f>INDEX('1.Locations'!$F$2:$F$97,$BC$30 + 1)</xm:f>
            <x14:dxf>
              <fill>
                <patternFill>
                  <bgColor indexed="52"/>
                </patternFill>
              </fill>
            </x14:dxf>
          </x14:cfRule>
          <xm:sqref>BJ30</xm:sqref>
        </x14:conditionalFormatting>
        <x14:conditionalFormatting xmlns:xm="http://schemas.microsoft.com/office/excel/2006/main">
          <x14:cfRule type="expression" priority="890" stopIfTrue="1" id="{00000000-0000-0000-0000-000000000000}">
            <xm:f>(60 * HOUR($BK$30) + MINUTE($BK$30)) &gt;(60 * HOUR(INDEX('1.Locations'!$G$2:$G$97,$BC$30 + 1)) +MINUTE(INDEX('1.Locations'!$G$2:$G$97,$BC$30 + 1)))</xm:f>
            <x14:dxf>
              <fill>
                <patternFill>
                  <bgColor indexed="10"/>
                </patternFill>
              </fill>
            </x14:dxf>
          </x14:cfRule>
          <xm:sqref>BK30</xm:sqref>
        </x14:conditionalFormatting>
        <x14:conditionalFormatting xmlns:xm="http://schemas.microsoft.com/office/excel/2006/main">
          <x14:cfRule type="cellIs" priority="891" stopIfTrue="1" operator="lessThan" id="{00000000-0000-0000-0000-000000000000}">
            <xm:f>INDEX('1.Locations'!$F$2:$F$97,$BC$31 + 1)</xm:f>
            <x14:dxf>
              <fill>
                <patternFill>
                  <bgColor indexed="52"/>
                </patternFill>
              </fill>
            </x14:dxf>
          </x14:cfRule>
          <xm:sqref>BJ31</xm:sqref>
        </x14:conditionalFormatting>
        <x14:conditionalFormatting xmlns:xm="http://schemas.microsoft.com/office/excel/2006/main">
          <x14:cfRule type="expression" priority="892" stopIfTrue="1" id="{00000000-0000-0000-0000-000000000000}">
            <xm:f>(60 * HOUR($BK$31) + MINUTE($BK$31)) &gt;(60 * HOUR(INDEX('1.Locations'!$G$2:$G$97,$BC$31 + 1)) +MINUTE(INDEX('1.Locations'!$G$2:$G$97,$BC$31 + 1)))</xm:f>
            <x14:dxf>
              <fill>
                <patternFill>
                  <bgColor indexed="10"/>
                </patternFill>
              </fill>
            </x14:dxf>
          </x14:cfRule>
          <xm:sqref>BK31</xm:sqref>
        </x14:conditionalFormatting>
        <x14:conditionalFormatting xmlns:xm="http://schemas.microsoft.com/office/excel/2006/main">
          <x14:cfRule type="cellIs" priority="893" stopIfTrue="1" operator="lessThan" id="{00000000-0000-0000-0000-000000000000}">
            <xm:f>INDEX('1.Locations'!$F$2:$F$97,$BC$32 + 1)</xm:f>
            <x14:dxf>
              <fill>
                <patternFill>
                  <bgColor indexed="52"/>
                </patternFill>
              </fill>
            </x14:dxf>
          </x14:cfRule>
          <xm:sqref>BJ32</xm:sqref>
        </x14:conditionalFormatting>
        <x14:conditionalFormatting xmlns:xm="http://schemas.microsoft.com/office/excel/2006/main">
          <x14:cfRule type="expression" priority="894" stopIfTrue="1" id="{00000000-0000-0000-0000-000000000000}">
            <xm:f>(60 * HOUR($BK$32) + MINUTE($BK$32)) &gt;(60 * HOUR(INDEX('1.Locations'!$G$2:$G$97,$BC$32 + 1)) +MINUTE(INDEX('1.Locations'!$G$2:$G$97,$BC$32 + 1)))</xm:f>
            <x14:dxf>
              <fill>
                <patternFill>
                  <bgColor indexed="10"/>
                </patternFill>
              </fill>
            </x14:dxf>
          </x14:cfRule>
          <xm:sqref>BK32</xm:sqref>
        </x14:conditionalFormatting>
        <x14:conditionalFormatting xmlns:xm="http://schemas.microsoft.com/office/excel/2006/main">
          <x14:cfRule type="cellIs" priority="895" stopIfTrue="1" operator="lessThan" id="{00000000-0000-0000-0000-000000000000}">
            <xm:f>INDEX('1.Locations'!$F$2:$F$97,$BC$33 + 1)</xm:f>
            <x14:dxf>
              <fill>
                <patternFill>
                  <bgColor indexed="52"/>
                </patternFill>
              </fill>
            </x14:dxf>
          </x14:cfRule>
          <xm:sqref>BJ33</xm:sqref>
        </x14:conditionalFormatting>
        <x14:conditionalFormatting xmlns:xm="http://schemas.microsoft.com/office/excel/2006/main">
          <x14:cfRule type="expression" priority="896" stopIfTrue="1" id="{00000000-0000-0000-0000-000000000000}">
            <xm:f>(60 * HOUR($BK$33) + MINUTE($BK$33)) &gt;(60 * HOUR(INDEX('1.Locations'!$G$2:$G$97,$BC$33 + 1)) +MINUTE(INDEX('1.Locations'!$G$2:$G$97,$BC$33 + 1)))</xm:f>
            <x14:dxf>
              <fill>
                <patternFill>
                  <bgColor indexed="10"/>
                </patternFill>
              </fill>
            </x14:dxf>
          </x14:cfRule>
          <xm:sqref>BK33</xm:sqref>
        </x14:conditionalFormatting>
        <x14:conditionalFormatting xmlns:xm="http://schemas.microsoft.com/office/excel/2006/main">
          <x14:cfRule type="cellIs" priority="897" stopIfTrue="1" operator="lessThan" id="{00000000-0000-0000-0000-000000000000}">
            <xm:f>INDEX('1.Locations'!$F$2:$F$97,$BC$34 + 1)</xm:f>
            <x14:dxf>
              <fill>
                <patternFill>
                  <bgColor indexed="52"/>
                </patternFill>
              </fill>
            </x14:dxf>
          </x14:cfRule>
          <xm:sqref>BJ34</xm:sqref>
        </x14:conditionalFormatting>
        <x14:conditionalFormatting xmlns:xm="http://schemas.microsoft.com/office/excel/2006/main">
          <x14:cfRule type="expression" priority="898" stopIfTrue="1" id="{00000000-0000-0000-0000-000000000000}">
            <xm:f>(60 * HOUR($BK$34) + MINUTE($BK$34)) &gt;(60 * HOUR(INDEX('1.Locations'!$G$2:$G$97,$BC$34 + 1)) +MINUTE(INDEX('1.Locations'!$G$2:$G$97,$BC$34 + 1)))</xm:f>
            <x14:dxf>
              <fill>
                <patternFill>
                  <bgColor indexed="10"/>
                </patternFill>
              </fill>
            </x14:dxf>
          </x14:cfRule>
          <xm:sqref>BK34</xm:sqref>
        </x14:conditionalFormatting>
        <x14:conditionalFormatting xmlns:xm="http://schemas.microsoft.com/office/excel/2006/main">
          <x14:cfRule type="cellIs" priority="899" stopIfTrue="1" operator="lessThan" id="{00000000-0000-0000-0000-000000000000}">
            <xm:f>INDEX('1.Locations'!$F$2:$F$97,$BC$35 + 1)</xm:f>
            <x14:dxf>
              <fill>
                <patternFill>
                  <bgColor indexed="52"/>
                </patternFill>
              </fill>
            </x14:dxf>
          </x14:cfRule>
          <xm:sqref>BJ35</xm:sqref>
        </x14:conditionalFormatting>
        <x14:conditionalFormatting xmlns:xm="http://schemas.microsoft.com/office/excel/2006/main">
          <x14:cfRule type="expression" priority="900" stopIfTrue="1" id="{00000000-0000-0000-0000-000000000000}">
            <xm:f>(60 * HOUR($BK$35) + MINUTE($BK$35)) &gt;(60 * HOUR(INDEX('1.Locations'!$G$2:$G$97,$BC$35 + 1)) +MINUTE(INDEX('1.Locations'!$G$2:$G$97,$BC$35 + 1)))</xm:f>
            <x14:dxf>
              <fill>
                <patternFill>
                  <bgColor indexed="10"/>
                </patternFill>
              </fill>
            </x14:dxf>
          </x14:cfRule>
          <xm:sqref>BK35</xm:sqref>
        </x14:conditionalFormatting>
        <x14:conditionalFormatting xmlns:xm="http://schemas.microsoft.com/office/excel/2006/main">
          <x14:cfRule type="cellIs" priority="901" stopIfTrue="1" operator="lessThan" id="{00000000-0000-0000-0000-000000000000}">
            <xm:f>INDEX('1.Locations'!$F$2:$F$97,$BC$36 + 1)</xm:f>
            <x14:dxf>
              <fill>
                <patternFill>
                  <bgColor indexed="52"/>
                </patternFill>
              </fill>
            </x14:dxf>
          </x14:cfRule>
          <xm:sqref>BJ36</xm:sqref>
        </x14:conditionalFormatting>
        <x14:conditionalFormatting xmlns:xm="http://schemas.microsoft.com/office/excel/2006/main">
          <x14:cfRule type="expression" priority="902" stopIfTrue="1" id="{00000000-0000-0000-0000-000000000000}">
            <xm:f>(60 * HOUR($BK$36) + MINUTE($BK$36)) &gt;(60 * HOUR(INDEX('1.Locations'!$G$2:$G$97,$BC$36 + 1)) +MINUTE(INDEX('1.Locations'!$G$2:$G$97,$BC$36 + 1)))</xm:f>
            <x14:dxf>
              <fill>
                <patternFill>
                  <bgColor indexed="10"/>
                </patternFill>
              </fill>
            </x14:dxf>
          </x14:cfRule>
          <xm:sqref>BK36</xm:sqref>
        </x14:conditionalFormatting>
        <x14:conditionalFormatting xmlns:xm="http://schemas.microsoft.com/office/excel/2006/main">
          <x14:cfRule type="cellIs" priority="903" stopIfTrue="1" operator="lessThan" id="{00000000-0000-0000-0000-000000000000}">
            <xm:f>INDEX('1.Locations'!$F$2:$F$97,$BC$37 + 1)</xm:f>
            <x14:dxf>
              <fill>
                <patternFill>
                  <bgColor indexed="52"/>
                </patternFill>
              </fill>
            </x14:dxf>
          </x14:cfRule>
          <xm:sqref>BJ37</xm:sqref>
        </x14:conditionalFormatting>
        <x14:conditionalFormatting xmlns:xm="http://schemas.microsoft.com/office/excel/2006/main">
          <x14:cfRule type="expression" priority="904" stopIfTrue="1" id="{00000000-0000-0000-0000-000000000000}">
            <xm:f>(60 * HOUR($BK$37) + MINUTE($BK$37)) &gt;(60 * HOUR(INDEX('1.Locations'!$G$2:$G$97,$BC$37 + 1)) +MINUTE(INDEX('1.Locations'!$G$2:$G$97,$BC$37 + 1)))</xm:f>
            <x14:dxf>
              <fill>
                <patternFill>
                  <bgColor indexed="10"/>
                </patternFill>
              </fill>
            </x14:dxf>
          </x14:cfRule>
          <xm:sqref>BK37</xm:sqref>
        </x14:conditionalFormatting>
        <x14:conditionalFormatting xmlns:xm="http://schemas.microsoft.com/office/excel/2006/main">
          <x14:cfRule type="cellIs" priority="905" stopIfTrue="1" operator="lessThan" id="{00000000-0000-0000-0000-000000000000}">
            <xm:f>INDEX('1.Locations'!$F$2:$F$97,$BC$38 + 1)</xm:f>
            <x14:dxf>
              <fill>
                <patternFill>
                  <bgColor indexed="52"/>
                </patternFill>
              </fill>
            </x14:dxf>
          </x14:cfRule>
          <xm:sqref>BJ38</xm:sqref>
        </x14:conditionalFormatting>
        <x14:conditionalFormatting xmlns:xm="http://schemas.microsoft.com/office/excel/2006/main">
          <x14:cfRule type="expression" priority="906" stopIfTrue="1" id="{00000000-0000-0000-0000-000000000000}">
            <xm:f>(60 * HOUR($BK$38) + MINUTE($BK$38)) &gt;(60 * HOUR(INDEX('1.Locations'!$G$2:$G$97,$BC$38 + 1)) +MINUTE(INDEX('1.Locations'!$G$2:$G$97,$BC$38 + 1)))</xm:f>
            <x14:dxf>
              <fill>
                <patternFill>
                  <bgColor indexed="10"/>
                </patternFill>
              </fill>
            </x14:dxf>
          </x14:cfRule>
          <xm:sqref>BK38</xm:sqref>
        </x14:conditionalFormatting>
        <x14:conditionalFormatting xmlns:xm="http://schemas.microsoft.com/office/excel/2006/main">
          <x14:cfRule type="cellIs" priority="907" stopIfTrue="1" operator="lessThan" id="{00000000-0000-0000-0000-000000000000}">
            <xm:f>INDEX('1.Locations'!$F$2:$F$97,$BC$39 + 1)</xm:f>
            <x14:dxf>
              <fill>
                <patternFill>
                  <bgColor indexed="52"/>
                </patternFill>
              </fill>
            </x14:dxf>
          </x14:cfRule>
          <xm:sqref>BJ39</xm:sqref>
        </x14:conditionalFormatting>
        <x14:conditionalFormatting xmlns:xm="http://schemas.microsoft.com/office/excel/2006/main">
          <x14:cfRule type="expression" priority="908" stopIfTrue="1" id="{00000000-0000-0000-0000-000000000000}">
            <xm:f>(60 * HOUR($BK$39) + MINUTE($BK$39)) &gt;(60 * HOUR(INDEX('1.Locations'!$G$2:$G$97,$BC$39 + 1)) +MINUTE(INDEX('1.Locations'!$G$2:$G$97,$BC$39 + 1)))</xm:f>
            <x14:dxf>
              <fill>
                <patternFill>
                  <bgColor indexed="10"/>
                </patternFill>
              </fill>
            </x14:dxf>
          </x14:cfRule>
          <xm:sqref>BK39</xm:sqref>
        </x14:conditionalFormatting>
        <x14:conditionalFormatting xmlns:xm="http://schemas.microsoft.com/office/excel/2006/main">
          <x14:cfRule type="cellIs" priority="909" stopIfTrue="1" operator="lessThan" id="{00000000-0000-0000-0000-000000000000}">
            <xm:f>INDEX('1.Locations'!$F$2:$F$97,$BC$40 + 1)</xm:f>
            <x14:dxf>
              <fill>
                <patternFill>
                  <bgColor indexed="52"/>
                </patternFill>
              </fill>
            </x14:dxf>
          </x14:cfRule>
          <xm:sqref>BJ40</xm:sqref>
        </x14:conditionalFormatting>
        <x14:conditionalFormatting xmlns:xm="http://schemas.microsoft.com/office/excel/2006/main">
          <x14:cfRule type="expression" priority="910" stopIfTrue="1" id="{00000000-0000-0000-0000-000000000000}">
            <xm:f>(60 * HOUR($BK$40) + MINUTE($BK$40)) &gt;(60 * HOUR(INDEX('1.Locations'!$G$2:$G$97,$BC$40 + 1)) +MINUTE(INDEX('1.Locations'!$G$2:$G$97,$BC$40 + 1)))</xm:f>
            <x14:dxf>
              <fill>
                <patternFill>
                  <bgColor indexed="10"/>
                </patternFill>
              </fill>
            </x14:dxf>
          </x14:cfRule>
          <xm:sqref>BK40</xm:sqref>
        </x14:conditionalFormatting>
        <x14:conditionalFormatting xmlns:xm="http://schemas.microsoft.com/office/excel/2006/main">
          <x14:cfRule type="cellIs" priority="911" stopIfTrue="1" operator="lessThan" id="{00000000-0000-0000-0000-000000000000}">
            <xm:f>INDEX('1.Locations'!$F$2:$F$97,$BC$41 + 1)</xm:f>
            <x14:dxf>
              <fill>
                <patternFill>
                  <bgColor indexed="52"/>
                </patternFill>
              </fill>
            </x14:dxf>
          </x14:cfRule>
          <xm:sqref>BJ41</xm:sqref>
        </x14:conditionalFormatting>
        <x14:conditionalFormatting xmlns:xm="http://schemas.microsoft.com/office/excel/2006/main">
          <x14:cfRule type="expression" priority="912" stopIfTrue="1" id="{00000000-0000-0000-0000-000000000000}">
            <xm:f>(60 * HOUR($BK$41) + MINUTE($BK$41)) &gt;(60 * HOUR(INDEX('1.Locations'!$G$2:$G$97,$BC$41 + 1)) +MINUTE(INDEX('1.Locations'!$G$2:$G$97,$BC$41 + 1)))</xm:f>
            <x14:dxf>
              <fill>
                <patternFill>
                  <bgColor indexed="10"/>
                </patternFill>
              </fill>
            </x14:dxf>
          </x14:cfRule>
          <xm:sqref>BK41</xm:sqref>
        </x14:conditionalFormatting>
        <x14:conditionalFormatting xmlns:xm="http://schemas.microsoft.com/office/excel/2006/main">
          <x14:cfRule type="cellIs" priority="913" stopIfTrue="1" operator="lessThan" id="{00000000-0000-0000-0000-000000000000}">
            <xm:f>INDEX('1.Locations'!$F$2:$F$97,$BC$42 + 1)</xm:f>
            <x14:dxf>
              <fill>
                <patternFill>
                  <bgColor indexed="52"/>
                </patternFill>
              </fill>
            </x14:dxf>
          </x14:cfRule>
          <xm:sqref>BJ42</xm:sqref>
        </x14:conditionalFormatting>
        <x14:conditionalFormatting xmlns:xm="http://schemas.microsoft.com/office/excel/2006/main">
          <x14:cfRule type="expression" priority="914" stopIfTrue="1" id="{00000000-0000-0000-0000-000000000000}">
            <xm:f>(60 * HOUR($BK$42) + MINUTE($BK$42)) &gt;(60 * HOUR(INDEX('1.Locations'!$G$2:$G$97,$BC$42 + 1)) +MINUTE(INDEX('1.Locations'!$G$2:$G$97,$BC$42 + 1)))</xm:f>
            <x14:dxf>
              <fill>
                <patternFill>
                  <bgColor indexed="10"/>
                </patternFill>
              </fill>
            </x14:dxf>
          </x14:cfRule>
          <xm:sqref>BK42</xm:sqref>
        </x14:conditionalFormatting>
        <x14:conditionalFormatting xmlns:xm="http://schemas.microsoft.com/office/excel/2006/main">
          <x14:cfRule type="cellIs" priority="915" stopIfTrue="1" operator="lessThan" id="{00000000-0000-0000-0000-000000000000}">
            <xm:f>INDEX('1.Locations'!$F$2:$F$97,$BC$43 + 1)</xm:f>
            <x14:dxf>
              <fill>
                <patternFill>
                  <bgColor indexed="52"/>
                </patternFill>
              </fill>
            </x14:dxf>
          </x14:cfRule>
          <xm:sqref>BJ43</xm:sqref>
        </x14:conditionalFormatting>
        <x14:conditionalFormatting xmlns:xm="http://schemas.microsoft.com/office/excel/2006/main">
          <x14:cfRule type="expression" priority="916" stopIfTrue="1" id="{00000000-0000-0000-0000-000000000000}">
            <xm:f>(60 * HOUR($BK$43) + MINUTE($BK$43)) &gt;(60 * HOUR(INDEX('1.Locations'!$G$2:$G$97,$BC$43 + 1)) +MINUTE(INDEX('1.Locations'!$G$2:$G$97,$BC$43 + 1)))</xm:f>
            <x14:dxf>
              <fill>
                <patternFill>
                  <bgColor indexed="10"/>
                </patternFill>
              </fill>
            </x14:dxf>
          </x14:cfRule>
          <xm:sqref>BK43</xm:sqref>
        </x14:conditionalFormatting>
        <x14:conditionalFormatting xmlns:xm="http://schemas.microsoft.com/office/excel/2006/main">
          <x14:cfRule type="cellIs" priority="917" stopIfTrue="1" operator="lessThan" id="{00000000-0000-0000-0000-000000000000}">
            <xm:f>INDEX('1.Locations'!$F$2:$F$97,$BC$44 + 1)</xm:f>
            <x14:dxf>
              <fill>
                <patternFill>
                  <bgColor indexed="52"/>
                </patternFill>
              </fill>
            </x14:dxf>
          </x14:cfRule>
          <xm:sqref>BJ44</xm:sqref>
        </x14:conditionalFormatting>
        <x14:conditionalFormatting xmlns:xm="http://schemas.microsoft.com/office/excel/2006/main">
          <x14:cfRule type="expression" priority="918" stopIfTrue="1" id="{00000000-0000-0000-0000-000000000000}">
            <xm:f>(60 * HOUR($BK$44) + MINUTE($BK$44)) &gt;(60 * HOUR(INDEX('1.Locations'!$G$2:$G$97,$BC$44 + 1)) +MINUTE(INDEX('1.Locations'!$G$2:$G$97,$BC$44 + 1)))</xm:f>
            <x14:dxf>
              <fill>
                <patternFill>
                  <bgColor indexed="10"/>
                </patternFill>
              </fill>
            </x14:dxf>
          </x14:cfRule>
          <xm:sqref>BK44</xm:sqref>
        </x14:conditionalFormatting>
        <x14:conditionalFormatting xmlns:xm="http://schemas.microsoft.com/office/excel/2006/main">
          <x14:cfRule type="cellIs" priority="919" stopIfTrue="1" operator="lessThan" id="{00000000-0000-0000-0000-000000000000}">
            <xm:f>INDEX('1.Locations'!$F$2:$F$97,$BC$45 + 1)</xm:f>
            <x14:dxf>
              <fill>
                <patternFill>
                  <bgColor indexed="52"/>
                </patternFill>
              </fill>
            </x14:dxf>
          </x14:cfRule>
          <xm:sqref>BJ45</xm:sqref>
        </x14:conditionalFormatting>
        <x14:conditionalFormatting xmlns:xm="http://schemas.microsoft.com/office/excel/2006/main">
          <x14:cfRule type="expression" priority="920" stopIfTrue="1" id="{00000000-0000-0000-0000-000000000000}">
            <xm:f>(60 * HOUR($BK$45) + MINUTE($BK$45)) &gt;(60 * HOUR(INDEX('1.Locations'!$G$2:$G$97,$BC$45 + 1)) +MINUTE(INDEX('1.Locations'!$G$2:$G$97,$BC$45 + 1)))</xm:f>
            <x14:dxf>
              <fill>
                <patternFill>
                  <bgColor indexed="10"/>
                </patternFill>
              </fill>
            </x14:dxf>
          </x14:cfRule>
          <xm:sqref>BK45</xm:sqref>
        </x14:conditionalFormatting>
        <x14:conditionalFormatting xmlns:xm="http://schemas.microsoft.com/office/excel/2006/main">
          <x14:cfRule type="cellIs" priority="921" stopIfTrue="1" operator="lessThan" id="{00000000-0000-0000-0000-000000000000}">
            <xm:f>INDEX('1.Locations'!$F$2:$F$97,$BC$46 + 1)</xm:f>
            <x14:dxf>
              <fill>
                <patternFill>
                  <bgColor indexed="52"/>
                </patternFill>
              </fill>
            </x14:dxf>
          </x14:cfRule>
          <xm:sqref>BJ46</xm:sqref>
        </x14:conditionalFormatting>
        <x14:conditionalFormatting xmlns:xm="http://schemas.microsoft.com/office/excel/2006/main">
          <x14:cfRule type="expression" priority="922" stopIfTrue="1" id="{00000000-0000-0000-0000-000000000000}">
            <xm:f>(60 * HOUR($BK$46) + MINUTE($BK$46)) &gt;(60 * HOUR(INDEX('1.Locations'!$G$2:$G$97,$BC$46 + 1)) +MINUTE(INDEX('1.Locations'!$G$2:$G$97,$BC$46 + 1)))</xm:f>
            <x14:dxf>
              <fill>
                <patternFill>
                  <bgColor indexed="10"/>
                </patternFill>
              </fill>
            </x14:dxf>
          </x14:cfRule>
          <xm:sqref>BK46</xm:sqref>
        </x14:conditionalFormatting>
        <x14:conditionalFormatting xmlns:xm="http://schemas.microsoft.com/office/excel/2006/main">
          <x14:cfRule type="cellIs" priority="923" stopIfTrue="1" operator="lessThan" id="{00000000-0000-0000-0000-000000000000}">
            <xm:f>INDEX('1.Locations'!$F$2:$F$97,$BC$47 + 1)</xm:f>
            <x14:dxf>
              <fill>
                <patternFill>
                  <bgColor indexed="52"/>
                </patternFill>
              </fill>
            </x14:dxf>
          </x14:cfRule>
          <xm:sqref>BJ47</xm:sqref>
        </x14:conditionalFormatting>
        <x14:conditionalFormatting xmlns:xm="http://schemas.microsoft.com/office/excel/2006/main">
          <x14:cfRule type="expression" priority="924" stopIfTrue="1" id="{00000000-0000-0000-0000-000000000000}">
            <xm:f>(60 * HOUR($BK$47) + MINUTE($BK$47)) &gt;(60 * HOUR(INDEX('1.Locations'!$G$2:$G$97,$BC$47 + 1)) +MINUTE(INDEX('1.Locations'!$G$2:$G$97,$BC$47 + 1)))</xm:f>
            <x14:dxf>
              <fill>
                <patternFill>
                  <bgColor indexed="10"/>
                </patternFill>
              </fill>
            </x14:dxf>
          </x14:cfRule>
          <xm:sqref>BK47</xm:sqref>
        </x14:conditionalFormatting>
        <x14:conditionalFormatting xmlns:xm="http://schemas.microsoft.com/office/excel/2006/main">
          <x14:cfRule type="cellIs" priority="925" stopIfTrue="1" operator="lessThan" id="{00000000-0000-0000-0000-000000000000}">
            <xm:f>INDEX('1.Locations'!$F$2:$F$97,$BC$48 + 1)</xm:f>
            <x14:dxf>
              <fill>
                <patternFill>
                  <bgColor indexed="52"/>
                </patternFill>
              </fill>
            </x14:dxf>
          </x14:cfRule>
          <xm:sqref>BJ48</xm:sqref>
        </x14:conditionalFormatting>
        <x14:conditionalFormatting xmlns:xm="http://schemas.microsoft.com/office/excel/2006/main">
          <x14:cfRule type="expression" priority="926" stopIfTrue="1" id="{00000000-0000-0000-0000-000000000000}">
            <xm:f>(60 * HOUR($BK$48) + MINUTE($BK$48)) &gt;(60 * HOUR(INDEX('1.Locations'!$G$2:$G$97,$BC$48 + 1)) +MINUTE(INDEX('1.Locations'!$G$2:$G$97,$BC$48 + 1)))</xm:f>
            <x14:dxf>
              <fill>
                <patternFill>
                  <bgColor indexed="10"/>
                </patternFill>
              </fill>
            </x14:dxf>
          </x14:cfRule>
          <xm:sqref>BK48</xm:sqref>
        </x14:conditionalFormatting>
        <x14:conditionalFormatting xmlns:xm="http://schemas.microsoft.com/office/excel/2006/main">
          <x14:cfRule type="cellIs" priority="927" stopIfTrue="1" operator="lessThan" id="{00000000-0000-0000-0000-000000000000}">
            <xm:f>INDEX('1.Locations'!$F$2:$F$97,$BC$49 + 1)</xm:f>
            <x14:dxf>
              <fill>
                <patternFill>
                  <bgColor indexed="52"/>
                </patternFill>
              </fill>
            </x14:dxf>
          </x14:cfRule>
          <xm:sqref>BJ49</xm:sqref>
        </x14:conditionalFormatting>
        <x14:conditionalFormatting xmlns:xm="http://schemas.microsoft.com/office/excel/2006/main">
          <x14:cfRule type="expression" priority="928" stopIfTrue="1" id="{00000000-0000-0000-0000-000000000000}">
            <xm:f>(60 * HOUR($BK$49) + MINUTE($BK$49)) &gt;(60 * HOUR(INDEX('1.Locations'!$G$2:$G$97,$BC$49 + 1)) +MINUTE(INDEX('1.Locations'!$G$2:$G$97,$BC$49 + 1)))</xm:f>
            <x14:dxf>
              <fill>
                <patternFill>
                  <bgColor indexed="10"/>
                </patternFill>
              </fill>
            </x14:dxf>
          </x14:cfRule>
          <xm:sqref>BK49</xm:sqref>
        </x14:conditionalFormatting>
        <x14:conditionalFormatting xmlns:xm="http://schemas.microsoft.com/office/excel/2006/main">
          <x14:cfRule type="cellIs" priority="929" stopIfTrue="1" operator="lessThan" id="{00000000-0000-0000-0000-000000000000}">
            <xm:f>INDEX('1.Locations'!$F$2:$F$97,$BC$50 + 1)</xm:f>
            <x14:dxf>
              <fill>
                <patternFill>
                  <bgColor indexed="52"/>
                </patternFill>
              </fill>
            </x14:dxf>
          </x14:cfRule>
          <xm:sqref>BJ50</xm:sqref>
        </x14:conditionalFormatting>
        <x14:conditionalFormatting xmlns:xm="http://schemas.microsoft.com/office/excel/2006/main">
          <x14:cfRule type="expression" priority="930" stopIfTrue="1" id="{00000000-0000-0000-0000-000000000000}">
            <xm:f>(60 * HOUR($BK$50) + MINUTE($BK$50)) &gt;(60 * HOUR(INDEX('1.Locations'!$G$2:$G$97,$BC$50 + 1)) +MINUTE(INDEX('1.Locations'!$G$2:$G$97,$BC$50 + 1)))</xm:f>
            <x14:dxf>
              <fill>
                <patternFill>
                  <bgColor indexed="10"/>
                </patternFill>
              </fill>
            </x14:dxf>
          </x14:cfRule>
          <xm:sqref>BK50</xm:sqref>
        </x14:conditionalFormatting>
        <x14:conditionalFormatting xmlns:xm="http://schemas.microsoft.com/office/excel/2006/main">
          <x14:cfRule type="cellIs" priority="931" stopIfTrue="1" operator="lessThan" id="{00000000-0000-0000-0000-000000000000}">
            <xm:f>INDEX('1.Locations'!$F$2:$F$97,$BC$51 + 1)</xm:f>
            <x14:dxf>
              <fill>
                <patternFill>
                  <bgColor indexed="52"/>
                </patternFill>
              </fill>
            </x14:dxf>
          </x14:cfRule>
          <xm:sqref>BJ51</xm:sqref>
        </x14:conditionalFormatting>
        <x14:conditionalFormatting xmlns:xm="http://schemas.microsoft.com/office/excel/2006/main">
          <x14:cfRule type="expression" priority="932" stopIfTrue="1" id="{00000000-0000-0000-0000-000000000000}">
            <xm:f>(60 * HOUR($BK$51) + MINUTE($BK$51)) &gt;(60 * HOUR(INDEX('1.Locations'!$G$2:$G$97,$BC$51 + 1)) +MINUTE(INDEX('1.Locations'!$G$2:$G$97,$BC$51 + 1)))</xm:f>
            <x14:dxf>
              <fill>
                <patternFill>
                  <bgColor indexed="10"/>
                </patternFill>
              </fill>
            </x14:dxf>
          </x14:cfRule>
          <xm:sqref>BK51</xm:sqref>
        </x14:conditionalFormatting>
        <x14:conditionalFormatting xmlns:xm="http://schemas.microsoft.com/office/excel/2006/main">
          <x14:cfRule type="cellIs" priority="933" stopIfTrue="1" operator="lessThan" id="{00000000-0000-0000-0000-000000000000}">
            <xm:f>INDEX('1.Locations'!$F$2:$F$97,$BC$52 + 1)</xm:f>
            <x14:dxf>
              <fill>
                <patternFill>
                  <bgColor indexed="52"/>
                </patternFill>
              </fill>
            </x14:dxf>
          </x14:cfRule>
          <xm:sqref>BJ52</xm:sqref>
        </x14:conditionalFormatting>
        <x14:conditionalFormatting xmlns:xm="http://schemas.microsoft.com/office/excel/2006/main">
          <x14:cfRule type="expression" priority="934" stopIfTrue="1" id="{00000000-0000-0000-0000-000000000000}">
            <xm:f>(60 * HOUR($BK$52) + MINUTE($BK$52)) &gt;(60 * HOUR(INDEX('1.Locations'!$G$2:$G$97,$BC$52 + 1)) +MINUTE(INDEX('1.Locations'!$G$2:$G$97,$BC$52 + 1)))</xm:f>
            <x14:dxf>
              <fill>
                <patternFill>
                  <bgColor indexed="10"/>
                </patternFill>
              </fill>
            </x14:dxf>
          </x14:cfRule>
          <xm:sqref>BK52</xm:sqref>
        </x14:conditionalFormatting>
        <x14:conditionalFormatting xmlns:xm="http://schemas.microsoft.com/office/excel/2006/main">
          <x14:cfRule type="cellIs" priority="935" stopIfTrue="1" operator="lessThan" id="{00000000-0000-0000-0000-000000000000}">
            <xm:f>INDEX('1.Locations'!$F$2:$F$97,$BC$53 + 1)</xm:f>
            <x14:dxf>
              <fill>
                <patternFill>
                  <bgColor indexed="52"/>
                </patternFill>
              </fill>
            </x14:dxf>
          </x14:cfRule>
          <xm:sqref>BJ53</xm:sqref>
        </x14:conditionalFormatting>
        <x14:conditionalFormatting xmlns:xm="http://schemas.microsoft.com/office/excel/2006/main">
          <x14:cfRule type="expression" priority="936" stopIfTrue="1" id="{00000000-0000-0000-0000-000000000000}">
            <xm:f>(60 * HOUR($BK$53) + MINUTE($BK$53)) &gt;(60 * HOUR(INDEX('1.Locations'!$G$2:$G$97,$BC$53 + 1)) +MINUTE(INDEX('1.Locations'!$G$2:$G$97,$BC$53 + 1)))</xm:f>
            <x14:dxf>
              <fill>
                <patternFill>
                  <bgColor indexed="10"/>
                </patternFill>
              </fill>
            </x14:dxf>
          </x14:cfRule>
          <xm:sqref>BK53</xm:sqref>
        </x14:conditionalFormatting>
        <x14:conditionalFormatting xmlns:xm="http://schemas.microsoft.com/office/excel/2006/main">
          <x14:cfRule type="cellIs" priority="937" stopIfTrue="1" operator="lessThan" id="{00000000-0000-0000-0000-000000000000}">
            <xm:f>INDEX('1.Locations'!$F$2:$F$97,$BC$54 + 1)</xm:f>
            <x14:dxf>
              <fill>
                <patternFill>
                  <bgColor indexed="52"/>
                </patternFill>
              </fill>
            </x14:dxf>
          </x14:cfRule>
          <xm:sqref>BJ54</xm:sqref>
        </x14:conditionalFormatting>
        <x14:conditionalFormatting xmlns:xm="http://schemas.microsoft.com/office/excel/2006/main">
          <x14:cfRule type="expression" priority="938" stopIfTrue="1" id="{00000000-0000-0000-0000-000000000000}">
            <xm:f>(60 * HOUR($BK$54) + MINUTE($BK$54)) &gt;(60 * HOUR(INDEX('1.Locations'!$G$2:$G$97,$BC$54 + 1)) +MINUTE(INDEX('1.Locations'!$G$2:$G$97,$BC$54 + 1)))</xm:f>
            <x14:dxf>
              <fill>
                <patternFill>
                  <bgColor indexed="10"/>
                </patternFill>
              </fill>
            </x14:dxf>
          </x14:cfRule>
          <xm:sqref>BK54</xm:sqref>
        </x14:conditionalFormatting>
        <x14:conditionalFormatting xmlns:xm="http://schemas.microsoft.com/office/excel/2006/main">
          <x14:cfRule type="cellIs" priority="939" stopIfTrue="1" operator="lessThan" id="{00000000-0000-0000-0000-000000000000}">
            <xm:f>INDEX('1.Locations'!$F$2:$F$97,$BC$55 + 1)</xm:f>
            <x14:dxf>
              <fill>
                <patternFill>
                  <bgColor indexed="52"/>
                </patternFill>
              </fill>
            </x14:dxf>
          </x14:cfRule>
          <xm:sqref>BJ55</xm:sqref>
        </x14:conditionalFormatting>
        <x14:conditionalFormatting xmlns:xm="http://schemas.microsoft.com/office/excel/2006/main">
          <x14:cfRule type="expression" priority="940" stopIfTrue="1" id="{00000000-0000-0000-0000-000000000000}">
            <xm:f>(60 * HOUR($BK$55) + MINUTE($BK$55)) &gt;(60 * HOUR(INDEX('1.Locations'!$G$2:$G$97,$BC$55 + 1)) +MINUTE(INDEX('1.Locations'!$G$2:$G$97,$BC$55 + 1)))</xm:f>
            <x14:dxf>
              <fill>
                <patternFill>
                  <bgColor indexed="10"/>
                </patternFill>
              </fill>
            </x14:dxf>
          </x14:cfRule>
          <xm:sqref>BK55</xm:sqref>
        </x14:conditionalFormatting>
        <x14:conditionalFormatting xmlns:xm="http://schemas.microsoft.com/office/excel/2006/main">
          <x14:cfRule type="cellIs" priority="941" stopIfTrue="1" operator="lessThan" id="{00000000-0000-0000-0000-000000000000}">
            <xm:f>INDEX('1.Locations'!$F$2:$F$97,$BC$56 + 1)</xm:f>
            <x14:dxf>
              <fill>
                <patternFill>
                  <bgColor indexed="52"/>
                </patternFill>
              </fill>
            </x14:dxf>
          </x14:cfRule>
          <xm:sqref>BJ56</xm:sqref>
        </x14:conditionalFormatting>
        <x14:conditionalFormatting xmlns:xm="http://schemas.microsoft.com/office/excel/2006/main">
          <x14:cfRule type="expression" priority="942" stopIfTrue="1" id="{00000000-0000-0000-0000-000000000000}">
            <xm:f>(60 * HOUR($BK$56) + MINUTE($BK$56)) &gt;(60 * HOUR(INDEX('1.Locations'!$G$2:$G$97,$BC$56 + 1)) +MINUTE(INDEX('1.Locations'!$G$2:$G$97,$BC$56 + 1)))</xm:f>
            <x14:dxf>
              <fill>
                <patternFill>
                  <bgColor indexed="10"/>
                </patternFill>
              </fill>
            </x14:dxf>
          </x14:cfRule>
          <xm:sqref>BK56</xm:sqref>
        </x14:conditionalFormatting>
        <x14:conditionalFormatting xmlns:xm="http://schemas.microsoft.com/office/excel/2006/main">
          <x14:cfRule type="cellIs" priority="943" stopIfTrue="1" operator="lessThan" id="{00000000-0000-0000-0000-000000000000}">
            <xm:f>INDEX('1.Locations'!$F$2:$F$97,$BC$57 + 1)</xm:f>
            <x14:dxf>
              <fill>
                <patternFill>
                  <bgColor indexed="52"/>
                </patternFill>
              </fill>
            </x14:dxf>
          </x14:cfRule>
          <xm:sqref>BJ57</xm:sqref>
        </x14:conditionalFormatting>
        <x14:conditionalFormatting xmlns:xm="http://schemas.microsoft.com/office/excel/2006/main">
          <x14:cfRule type="expression" priority="944" stopIfTrue="1" id="{00000000-0000-0000-0000-000000000000}">
            <xm:f>(60 * HOUR($BK$57) + MINUTE($BK$57)) &gt;(60 * HOUR(INDEX('1.Locations'!$G$2:$G$97,$BC$57 + 1)) +MINUTE(INDEX('1.Locations'!$G$2:$G$97,$BC$57 + 1)))</xm:f>
            <x14:dxf>
              <fill>
                <patternFill>
                  <bgColor indexed="10"/>
                </patternFill>
              </fill>
            </x14:dxf>
          </x14:cfRule>
          <xm:sqref>BK57</xm:sqref>
        </x14:conditionalFormatting>
        <x14:conditionalFormatting xmlns:xm="http://schemas.microsoft.com/office/excel/2006/main">
          <x14:cfRule type="cellIs" priority="945" stopIfTrue="1" operator="lessThan" id="{00000000-0000-0000-0000-000000000000}">
            <xm:f>INDEX('1.Locations'!$F$2:$F$97,$BC$58 + 1)</xm:f>
            <x14:dxf>
              <fill>
                <patternFill>
                  <bgColor indexed="52"/>
                </patternFill>
              </fill>
            </x14:dxf>
          </x14:cfRule>
          <xm:sqref>BJ58</xm:sqref>
        </x14:conditionalFormatting>
        <x14:conditionalFormatting xmlns:xm="http://schemas.microsoft.com/office/excel/2006/main">
          <x14:cfRule type="expression" priority="946" stopIfTrue="1" id="{00000000-0000-0000-0000-000000000000}">
            <xm:f>(60 * HOUR($BK$58) + MINUTE($BK$58)) &gt;(60 * HOUR(INDEX('1.Locations'!$G$2:$G$97,$BC$58 + 1)) +MINUTE(INDEX('1.Locations'!$G$2:$G$97,$BC$58 + 1)))</xm:f>
            <x14:dxf>
              <fill>
                <patternFill>
                  <bgColor indexed="10"/>
                </patternFill>
              </fill>
            </x14:dxf>
          </x14:cfRule>
          <xm:sqref>BK58</xm:sqref>
        </x14:conditionalFormatting>
        <x14:conditionalFormatting xmlns:xm="http://schemas.microsoft.com/office/excel/2006/main">
          <x14:cfRule type="cellIs" priority="947" stopIfTrue="1" operator="lessThan" id="{00000000-0000-0000-0000-000000000000}">
            <xm:f>INDEX('1.Locations'!$F$2:$F$97,$BC$59 + 1)</xm:f>
            <x14:dxf>
              <fill>
                <patternFill>
                  <bgColor indexed="52"/>
                </patternFill>
              </fill>
            </x14:dxf>
          </x14:cfRule>
          <xm:sqref>BJ59</xm:sqref>
        </x14:conditionalFormatting>
        <x14:conditionalFormatting xmlns:xm="http://schemas.microsoft.com/office/excel/2006/main">
          <x14:cfRule type="expression" priority="948" stopIfTrue="1" id="{00000000-0000-0000-0000-000000000000}">
            <xm:f>(60 * HOUR($BK$59) + MINUTE($BK$59)) &gt;(60 * HOUR(INDEX('1.Locations'!$G$2:$G$97,$BC$59 + 1)) +MINUTE(INDEX('1.Locations'!$G$2:$G$97,$BC$59 + 1)))</xm:f>
            <x14:dxf>
              <fill>
                <patternFill>
                  <bgColor indexed="10"/>
                </patternFill>
              </fill>
            </x14:dxf>
          </x14:cfRule>
          <xm:sqref>BK59</xm:sqref>
        </x14:conditionalFormatting>
        <x14:conditionalFormatting xmlns:xm="http://schemas.microsoft.com/office/excel/2006/main">
          <x14:cfRule type="cellIs" priority="949" stopIfTrue="1" operator="lessThan" id="{00000000-0000-0000-0000-000000000000}">
            <xm:f>INDEX('1.Locations'!$F$2:$F$97,$BC$60 + 1)</xm:f>
            <x14:dxf>
              <fill>
                <patternFill>
                  <bgColor indexed="52"/>
                </patternFill>
              </fill>
            </x14:dxf>
          </x14:cfRule>
          <xm:sqref>BJ60</xm:sqref>
        </x14:conditionalFormatting>
        <x14:conditionalFormatting xmlns:xm="http://schemas.microsoft.com/office/excel/2006/main">
          <x14:cfRule type="expression" priority="950" stopIfTrue="1" id="{00000000-0000-0000-0000-000000000000}">
            <xm:f>(60 * HOUR($BK$60) + MINUTE($BK$60)) &gt;(60 * HOUR(INDEX('1.Locations'!$G$2:$G$97,$BC$60 + 1)) +MINUTE(INDEX('1.Locations'!$G$2:$G$97,$BC$60 + 1)))</xm:f>
            <x14:dxf>
              <fill>
                <patternFill>
                  <bgColor indexed="10"/>
                </patternFill>
              </fill>
            </x14:dxf>
          </x14:cfRule>
          <xm:sqref>BK60</xm:sqref>
        </x14:conditionalFormatting>
        <x14:conditionalFormatting xmlns:xm="http://schemas.microsoft.com/office/excel/2006/main">
          <x14:cfRule type="cellIs" priority="951" stopIfTrue="1" operator="lessThan" id="{00000000-0000-0000-0000-000000000000}">
            <xm:f>INDEX('1.Locations'!$F$2:$F$97,$BC$61 + 1)</xm:f>
            <x14:dxf>
              <fill>
                <patternFill>
                  <bgColor indexed="52"/>
                </patternFill>
              </fill>
            </x14:dxf>
          </x14:cfRule>
          <xm:sqref>BJ61</xm:sqref>
        </x14:conditionalFormatting>
        <x14:conditionalFormatting xmlns:xm="http://schemas.microsoft.com/office/excel/2006/main">
          <x14:cfRule type="expression" priority="952" stopIfTrue="1" id="{00000000-0000-0000-0000-000000000000}">
            <xm:f>(60 * HOUR($BK$61) + MINUTE($BK$61)) &gt;(60 * HOUR(INDEX('1.Locations'!$G$2:$G$97,$BC$61 + 1)) +MINUTE(INDEX('1.Locations'!$G$2:$G$97,$BC$61 + 1)))</xm:f>
            <x14:dxf>
              <fill>
                <patternFill>
                  <bgColor indexed="10"/>
                </patternFill>
              </fill>
            </x14:dxf>
          </x14:cfRule>
          <xm:sqref>BK61</xm:sqref>
        </x14:conditionalFormatting>
        <x14:conditionalFormatting xmlns:xm="http://schemas.microsoft.com/office/excel/2006/main">
          <x14:cfRule type="cellIs" priority="953" stopIfTrue="1" operator="lessThan" id="{00000000-0000-0000-0000-000000000000}">
            <xm:f>INDEX('1.Locations'!$F$2:$F$97,$BC$62 + 1)</xm:f>
            <x14:dxf>
              <fill>
                <patternFill>
                  <bgColor indexed="52"/>
                </patternFill>
              </fill>
            </x14:dxf>
          </x14:cfRule>
          <xm:sqref>BJ62</xm:sqref>
        </x14:conditionalFormatting>
        <x14:conditionalFormatting xmlns:xm="http://schemas.microsoft.com/office/excel/2006/main">
          <x14:cfRule type="expression" priority="954" stopIfTrue="1" id="{00000000-0000-0000-0000-000000000000}">
            <xm:f>(60 * HOUR($BK$62) + MINUTE($BK$62)) &gt;(60 * HOUR(INDEX('1.Locations'!$G$2:$G$97,$BC$62 + 1)) +MINUTE(INDEX('1.Locations'!$G$2:$G$97,$BC$62 + 1)))</xm:f>
            <x14:dxf>
              <fill>
                <patternFill>
                  <bgColor indexed="10"/>
                </patternFill>
              </fill>
            </x14:dxf>
          </x14:cfRule>
          <xm:sqref>BK62</xm:sqref>
        </x14:conditionalFormatting>
        <x14:conditionalFormatting xmlns:xm="http://schemas.microsoft.com/office/excel/2006/main">
          <x14:cfRule type="cellIs" priority="955" stopIfTrue="1" operator="lessThan" id="{00000000-0000-0000-0000-000000000000}">
            <xm:f>INDEX('1.Locations'!$F$2:$F$97,$BC$63 + 1)</xm:f>
            <x14:dxf>
              <fill>
                <patternFill>
                  <bgColor indexed="52"/>
                </patternFill>
              </fill>
            </x14:dxf>
          </x14:cfRule>
          <xm:sqref>BJ63</xm:sqref>
        </x14:conditionalFormatting>
        <x14:conditionalFormatting xmlns:xm="http://schemas.microsoft.com/office/excel/2006/main">
          <x14:cfRule type="expression" priority="956" stopIfTrue="1" id="{00000000-0000-0000-0000-000000000000}">
            <xm:f>(60 * HOUR($BK$63) + MINUTE($BK$63)) &gt;(60 * HOUR(INDEX('1.Locations'!$G$2:$G$97,$BC$63 + 1)) +MINUTE(INDEX('1.Locations'!$G$2:$G$97,$BC$63 + 1)))</xm:f>
            <x14:dxf>
              <fill>
                <patternFill>
                  <bgColor indexed="10"/>
                </patternFill>
              </fill>
            </x14:dxf>
          </x14:cfRule>
          <xm:sqref>BK63</xm:sqref>
        </x14:conditionalFormatting>
        <x14:conditionalFormatting xmlns:xm="http://schemas.microsoft.com/office/excel/2006/main">
          <x14:cfRule type="cellIs" priority="957" stopIfTrue="1" operator="lessThan" id="{00000000-0000-0000-0000-000000000000}">
            <xm:f>INDEX('1.Locations'!$F$2:$F$97,$BC$64 + 1)</xm:f>
            <x14:dxf>
              <fill>
                <patternFill>
                  <bgColor indexed="52"/>
                </patternFill>
              </fill>
            </x14:dxf>
          </x14:cfRule>
          <xm:sqref>BJ64</xm:sqref>
        </x14:conditionalFormatting>
        <x14:conditionalFormatting xmlns:xm="http://schemas.microsoft.com/office/excel/2006/main">
          <x14:cfRule type="expression" priority="958" stopIfTrue="1" id="{00000000-0000-0000-0000-000000000000}">
            <xm:f>(60 * HOUR($BK$64) + MINUTE($BK$64)) &gt;(60 * HOUR(INDEX('1.Locations'!$G$2:$G$97,$BC$64 + 1)) +MINUTE(INDEX('1.Locations'!$G$2:$G$97,$BC$64 + 1)))</xm:f>
            <x14:dxf>
              <fill>
                <patternFill>
                  <bgColor indexed="10"/>
                </patternFill>
              </fill>
            </x14:dxf>
          </x14:cfRule>
          <xm:sqref>BK64</xm:sqref>
        </x14:conditionalFormatting>
        <x14:conditionalFormatting xmlns:xm="http://schemas.microsoft.com/office/excel/2006/main">
          <x14:cfRule type="cellIs" priority="959" stopIfTrue="1" operator="lessThan" id="{00000000-0000-0000-0000-000000000000}">
            <xm:f>INDEX('1.Locations'!$F$2:$F$97,$BC$65 + 1)</xm:f>
            <x14:dxf>
              <fill>
                <patternFill>
                  <bgColor indexed="52"/>
                </patternFill>
              </fill>
            </x14:dxf>
          </x14:cfRule>
          <xm:sqref>BJ65</xm:sqref>
        </x14:conditionalFormatting>
        <x14:conditionalFormatting xmlns:xm="http://schemas.microsoft.com/office/excel/2006/main">
          <x14:cfRule type="expression" priority="960" stopIfTrue="1" id="{00000000-0000-0000-0000-000000000000}">
            <xm:f>(60 * HOUR($BK$65) + MINUTE($BK$65)) &gt;(60 * HOUR(INDEX('1.Locations'!$G$2:$G$97,$BC$65 + 1)) +MINUTE(INDEX('1.Locations'!$G$2:$G$97,$BC$65 + 1)))</xm:f>
            <x14:dxf>
              <fill>
                <patternFill>
                  <bgColor indexed="10"/>
                </patternFill>
              </fill>
            </x14:dxf>
          </x14:cfRule>
          <xm:sqref>BK65</xm:sqref>
        </x14:conditionalFormatting>
        <x14:conditionalFormatting xmlns:xm="http://schemas.microsoft.com/office/excel/2006/main">
          <x14:cfRule type="cellIs" priority="961" stopIfTrue="1" operator="lessThan" id="{00000000-0000-0000-0000-000000000000}">
            <xm:f>INDEX('1.Locations'!$F$2:$F$97,$BC$66 + 1)</xm:f>
            <x14:dxf>
              <fill>
                <patternFill>
                  <bgColor indexed="52"/>
                </patternFill>
              </fill>
            </x14:dxf>
          </x14:cfRule>
          <xm:sqref>BJ66</xm:sqref>
        </x14:conditionalFormatting>
        <x14:conditionalFormatting xmlns:xm="http://schemas.microsoft.com/office/excel/2006/main">
          <x14:cfRule type="expression" priority="962" stopIfTrue="1" id="{00000000-0000-0000-0000-000000000000}">
            <xm:f>(60 * HOUR($BK$66) + MINUTE($BK$66)) &gt;(60 * HOUR(INDEX('1.Locations'!$G$2:$G$97,$BC$66 + 1)) +MINUTE(INDEX('1.Locations'!$G$2:$G$97,$BC$66 + 1)))</xm:f>
            <x14:dxf>
              <fill>
                <patternFill>
                  <bgColor indexed="10"/>
                </patternFill>
              </fill>
            </x14:dxf>
          </x14:cfRule>
          <xm:sqref>BK66</xm:sqref>
        </x14:conditionalFormatting>
        <x14:conditionalFormatting xmlns:xm="http://schemas.microsoft.com/office/excel/2006/main">
          <x14:cfRule type="cellIs" priority="963" stopIfTrue="1" operator="lessThan" id="{00000000-0000-0000-0000-000000000000}">
            <xm:f>INDEX('1.Locations'!$F$2:$F$97,$BC$67 + 1)</xm:f>
            <x14:dxf>
              <fill>
                <patternFill>
                  <bgColor indexed="52"/>
                </patternFill>
              </fill>
            </x14:dxf>
          </x14:cfRule>
          <xm:sqref>BJ67</xm:sqref>
        </x14:conditionalFormatting>
        <x14:conditionalFormatting xmlns:xm="http://schemas.microsoft.com/office/excel/2006/main">
          <x14:cfRule type="expression" priority="964" stopIfTrue="1" id="{00000000-0000-0000-0000-000000000000}">
            <xm:f>(60 * HOUR($BK$67) + MINUTE($BK$67)) &gt;(60 * HOUR(INDEX('1.Locations'!$G$2:$G$97,$BC$67 + 1)) +MINUTE(INDEX('1.Locations'!$G$2:$G$97,$BC$67 + 1)))</xm:f>
            <x14:dxf>
              <fill>
                <patternFill>
                  <bgColor indexed="10"/>
                </patternFill>
              </fill>
            </x14:dxf>
          </x14:cfRule>
          <xm:sqref>BK67</xm:sqref>
        </x14:conditionalFormatting>
        <x14:conditionalFormatting xmlns:xm="http://schemas.microsoft.com/office/excel/2006/main">
          <x14:cfRule type="cellIs" priority="965" stopIfTrue="1" operator="lessThan" id="{00000000-0000-0000-0000-000000000000}">
            <xm:f>INDEX('1.Locations'!$F$2:$F$97,$BC$68 + 1)</xm:f>
            <x14:dxf>
              <fill>
                <patternFill>
                  <bgColor indexed="52"/>
                </patternFill>
              </fill>
            </x14:dxf>
          </x14:cfRule>
          <xm:sqref>BJ68</xm:sqref>
        </x14:conditionalFormatting>
        <x14:conditionalFormatting xmlns:xm="http://schemas.microsoft.com/office/excel/2006/main">
          <x14:cfRule type="expression" priority="966" stopIfTrue="1" id="{00000000-0000-0000-0000-000000000000}">
            <xm:f>(60 * HOUR($BK$68) + MINUTE($BK$68)) &gt;(60 * HOUR(INDEX('1.Locations'!$G$2:$G$97,$BC$68 + 1)) +MINUTE(INDEX('1.Locations'!$G$2:$G$97,$BC$68 + 1)))</xm:f>
            <x14:dxf>
              <fill>
                <patternFill>
                  <bgColor indexed="10"/>
                </patternFill>
              </fill>
            </x14:dxf>
          </x14:cfRule>
          <xm:sqref>BK68</xm:sqref>
        </x14:conditionalFormatting>
        <x14:conditionalFormatting xmlns:xm="http://schemas.microsoft.com/office/excel/2006/main">
          <x14:cfRule type="cellIs" priority="967" stopIfTrue="1" operator="lessThan" id="{00000000-0000-0000-0000-000000000000}">
            <xm:f>INDEX('1.Locations'!$F$2:$F$97,$BC$69 + 1)</xm:f>
            <x14:dxf>
              <fill>
                <patternFill>
                  <bgColor indexed="52"/>
                </patternFill>
              </fill>
            </x14:dxf>
          </x14:cfRule>
          <xm:sqref>BJ69</xm:sqref>
        </x14:conditionalFormatting>
        <x14:conditionalFormatting xmlns:xm="http://schemas.microsoft.com/office/excel/2006/main">
          <x14:cfRule type="expression" priority="968" stopIfTrue="1" id="{00000000-0000-0000-0000-000000000000}">
            <xm:f>(60 * HOUR($BK$69) + MINUTE($BK$69)) &gt;(60 * HOUR(INDEX('1.Locations'!$G$2:$G$97,$BC$69 + 1)) +MINUTE(INDEX('1.Locations'!$G$2:$G$97,$BC$69 + 1)))</xm:f>
            <x14:dxf>
              <fill>
                <patternFill>
                  <bgColor indexed="10"/>
                </patternFill>
              </fill>
            </x14:dxf>
          </x14:cfRule>
          <xm:sqref>BK69</xm:sqref>
        </x14:conditionalFormatting>
        <x14:conditionalFormatting xmlns:xm="http://schemas.microsoft.com/office/excel/2006/main">
          <x14:cfRule type="cellIs" priority="969" stopIfTrue="1" operator="lessThan" id="{00000000-0000-0000-0000-000000000000}">
            <xm:f>INDEX('1.Locations'!$F$2:$F$97,$BC$70 + 1)</xm:f>
            <x14:dxf>
              <fill>
                <patternFill>
                  <bgColor indexed="52"/>
                </patternFill>
              </fill>
            </x14:dxf>
          </x14:cfRule>
          <xm:sqref>BJ70</xm:sqref>
        </x14:conditionalFormatting>
        <x14:conditionalFormatting xmlns:xm="http://schemas.microsoft.com/office/excel/2006/main">
          <x14:cfRule type="expression" priority="970" stopIfTrue="1" id="{00000000-0000-0000-0000-000000000000}">
            <xm:f>(60 * HOUR($BK$70) + MINUTE($BK$70)) &gt;(60 * HOUR(INDEX('1.Locations'!$G$2:$G$97,$BC$70 + 1)) +MINUTE(INDEX('1.Locations'!$G$2:$G$97,$BC$70 + 1)))</xm:f>
            <x14:dxf>
              <fill>
                <patternFill>
                  <bgColor indexed="10"/>
                </patternFill>
              </fill>
            </x14:dxf>
          </x14:cfRule>
          <xm:sqref>BK70</xm:sqref>
        </x14:conditionalFormatting>
        <x14:conditionalFormatting xmlns:xm="http://schemas.microsoft.com/office/excel/2006/main">
          <x14:cfRule type="cellIs" priority="971" stopIfTrue="1" operator="lessThan" id="{00000000-0000-0000-0000-000000000000}">
            <xm:f>INDEX('1.Locations'!$F$2:$F$97,$BC$71 + 1)</xm:f>
            <x14:dxf>
              <fill>
                <patternFill>
                  <bgColor indexed="52"/>
                </patternFill>
              </fill>
            </x14:dxf>
          </x14:cfRule>
          <xm:sqref>BJ71</xm:sqref>
        </x14:conditionalFormatting>
        <x14:conditionalFormatting xmlns:xm="http://schemas.microsoft.com/office/excel/2006/main">
          <x14:cfRule type="expression" priority="972" stopIfTrue="1" id="{00000000-0000-0000-0000-000000000000}">
            <xm:f>(60 * HOUR($BK$71) + MINUTE($BK$71)) &gt;(60 * HOUR(INDEX('1.Locations'!$G$2:$G$97,$BC$71 + 1)) +MINUTE(INDEX('1.Locations'!$G$2:$G$97,$BC$71 + 1)))</xm:f>
            <x14:dxf>
              <fill>
                <patternFill>
                  <bgColor indexed="10"/>
                </patternFill>
              </fill>
            </x14:dxf>
          </x14:cfRule>
          <xm:sqref>BK71</xm:sqref>
        </x14:conditionalFormatting>
        <x14:conditionalFormatting xmlns:xm="http://schemas.microsoft.com/office/excel/2006/main">
          <x14:cfRule type="cellIs" priority="973" stopIfTrue="1" operator="lessThan" id="{00000000-0000-0000-0000-000000000000}">
            <xm:f>INDEX('1.Locations'!$F$2:$F$97,$BC$72 + 1)</xm:f>
            <x14:dxf>
              <fill>
                <patternFill>
                  <bgColor indexed="52"/>
                </patternFill>
              </fill>
            </x14:dxf>
          </x14:cfRule>
          <xm:sqref>BJ72</xm:sqref>
        </x14:conditionalFormatting>
        <x14:conditionalFormatting xmlns:xm="http://schemas.microsoft.com/office/excel/2006/main">
          <x14:cfRule type="expression" priority="974" stopIfTrue="1" id="{00000000-0000-0000-0000-000000000000}">
            <xm:f>(60 * HOUR($BK$72) + MINUTE($BK$72)) &gt;(60 * HOUR(INDEX('1.Locations'!$G$2:$G$97,$BC$72 + 1)) +MINUTE(INDEX('1.Locations'!$G$2:$G$97,$BC$72 + 1)))</xm:f>
            <x14:dxf>
              <fill>
                <patternFill>
                  <bgColor indexed="10"/>
                </patternFill>
              </fill>
            </x14:dxf>
          </x14:cfRule>
          <xm:sqref>BK72</xm:sqref>
        </x14:conditionalFormatting>
        <x14:conditionalFormatting xmlns:xm="http://schemas.microsoft.com/office/excel/2006/main">
          <x14:cfRule type="cellIs" priority="975" stopIfTrue="1" operator="lessThan" id="{00000000-0000-0000-0000-000000000000}">
            <xm:f>INDEX('1.Locations'!$F$2:$F$97,$BC$73 + 1)</xm:f>
            <x14:dxf>
              <fill>
                <patternFill>
                  <bgColor indexed="52"/>
                </patternFill>
              </fill>
            </x14:dxf>
          </x14:cfRule>
          <xm:sqref>BJ73</xm:sqref>
        </x14:conditionalFormatting>
        <x14:conditionalFormatting xmlns:xm="http://schemas.microsoft.com/office/excel/2006/main">
          <x14:cfRule type="expression" priority="976" stopIfTrue="1" id="{00000000-0000-0000-0000-000000000000}">
            <xm:f>(60 * HOUR($BK$73) + MINUTE($BK$73)) &gt;(60 * HOUR(INDEX('1.Locations'!$G$2:$G$97,$BC$73 + 1)) +MINUTE(INDEX('1.Locations'!$G$2:$G$97,$BC$73 + 1)))</xm:f>
            <x14:dxf>
              <fill>
                <patternFill>
                  <bgColor indexed="10"/>
                </patternFill>
              </fill>
            </x14:dxf>
          </x14:cfRule>
          <xm:sqref>BK73</xm:sqref>
        </x14:conditionalFormatting>
        <x14:conditionalFormatting xmlns:xm="http://schemas.microsoft.com/office/excel/2006/main">
          <x14:cfRule type="cellIs" priority="977" stopIfTrue="1" operator="lessThan" id="{00000000-0000-0000-0000-000000000000}">
            <xm:f>INDEX('1.Locations'!$F$2:$F$97,$BC$74 + 1)</xm:f>
            <x14:dxf>
              <fill>
                <patternFill>
                  <bgColor indexed="52"/>
                </patternFill>
              </fill>
            </x14:dxf>
          </x14:cfRule>
          <xm:sqref>BJ74</xm:sqref>
        </x14:conditionalFormatting>
        <x14:conditionalFormatting xmlns:xm="http://schemas.microsoft.com/office/excel/2006/main">
          <x14:cfRule type="expression" priority="978" stopIfTrue="1" id="{00000000-0000-0000-0000-000000000000}">
            <xm:f>(60 * HOUR($BK$74) + MINUTE($BK$74)) &gt;(60 * HOUR(INDEX('1.Locations'!$G$2:$G$97,$BC$74 + 1)) +MINUTE(INDEX('1.Locations'!$G$2:$G$97,$BC$74 + 1)))</xm:f>
            <x14:dxf>
              <fill>
                <patternFill>
                  <bgColor indexed="10"/>
                </patternFill>
              </fill>
            </x14:dxf>
          </x14:cfRule>
          <xm:sqref>BK74</xm:sqref>
        </x14:conditionalFormatting>
        <x14:conditionalFormatting xmlns:xm="http://schemas.microsoft.com/office/excel/2006/main">
          <x14:cfRule type="cellIs" priority="979" stopIfTrue="1" operator="lessThan" id="{00000000-0000-0000-0000-000000000000}">
            <xm:f>INDEX('1.Locations'!$F$2:$F$97,$BC$75 + 1)</xm:f>
            <x14:dxf>
              <fill>
                <patternFill>
                  <bgColor indexed="52"/>
                </patternFill>
              </fill>
            </x14:dxf>
          </x14:cfRule>
          <xm:sqref>BJ75</xm:sqref>
        </x14:conditionalFormatting>
        <x14:conditionalFormatting xmlns:xm="http://schemas.microsoft.com/office/excel/2006/main">
          <x14:cfRule type="expression" priority="980" stopIfTrue="1" id="{00000000-0000-0000-0000-000000000000}">
            <xm:f>(60 * HOUR($BK$75) + MINUTE($BK$75)) &gt;(60 * HOUR(INDEX('1.Locations'!$G$2:$G$97,$BC$75 + 1)) +MINUTE(INDEX('1.Locations'!$G$2:$G$97,$BC$75 + 1)))</xm:f>
            <x14:dxf>
              <fill>
                <patternFill>
                  <bgColor indexed="10"/>
                </patternFill>
              </fill>
            </x14:dxf>
          </x14:cfRule>
          <xm:sqref>BK75</xm:sqref>
        </x14:conditionalFormatting>
        <x14:conditionalFormatting xmlns:xm="http://schemas.microsoft.com/office/excel/2006/main">
          <x14:cfRule type="cellIs" priority="981" stopIfTrue="1" operator="lessThan" id="{00000000-0000-0000-0000-000000000000}">
            <xm:f>INDEX('1.Locations'!$F$2:$F$97,$BC$76 + 1)</xm:f>
            <x14:dxf>
              <fill>
                <patternFill>
                  <bgColor indexed="52"/>
                </patternFill>
              </fill>
            </x14:dxf>
          </x14:cfRule>
          <xm:sqref>BJ76</xm:sqref>
        </x14:conditionalFormatting>
        <x14:conditionalFormatting xmlns:xm="http://schemas.microsoft.com/office/excel/2006/main">
          <x14:cfRule type="expression" priority="982" stopIfTrue="1" id="{00000000-0000-0000-0000-000000000000}">
            <xm:f>(60 * HOUR($BK$76) + MINUTE($BK$76)) &gt;(60 * HOUR(INDEX('1.Locations'!$G$2:$G$97,$BC$76 + 1)) +MINUTE(INDEX('1.Locations'!$G$2:$G$97,$BC$76 + 1)))</xm:f>
            <x14:dxf>
              <fill>
                <patternFill>
                  <bgColor indexed="10"/>
                </patternFill>
              </fill>
            </x14:dxf>
          </x14:cfRule>
          <xm:sqref>BK76</xm:sqref>
        </x14:conditionalFormatting>
        <x14:conditionalFormatting xmlns:xm="http://schemas.microsoft.com/office/excel/2006/main">
          <x14:cfRule type="cellIs" priority="983" stopIfTrue="1" operator="lessThan" id="{00000000-0000-0000-0000-000000000000}">
            <xm:f>INDEX('1.Locations'!$F$2:$F$97,$BC$77 + 1)</xm:f>
            <x14:dxf>
              <fill>
                <patternFill>
                  <bgColor indexed="52"/>
                </patternFill>
              </fill>
            </x14:dxf>
          </x14:cfRule>
          <xm:sqref>BJ77</xm:sqref>
        </x14:conditionalFormatting>
        <x14:conditionalFormatting xmlns:xm="http://schemas.microsoft.com/office/excel/2006/main">
          <x14:cfRule type="expression" priority="984" stopIfTrue="1" id="{00000000-0000-0000-0000-000000000000}">
            <xm:f>(60 * HOUR($BK$77) + MINUTE($BK$77)) &gt;(60 * HOUR(INDEX('1.Locations'!$G$2:$G$97,$BC$77 + 1)) +MINUTE(INDEX('1.Locations'!$G$2:$G$97,$BC$77 + 1)))</xm:f>
            <x14:dxf>
              <fill>
                <patternFill>
                  <bgColor indexed="10"/>
                </patternFill>
              </fill>
            </x14:dxf>
          </x14:cfRule>
          <xm:sqref>BK77</xm:sqref>
        </x14:conditionalFormatting>
        <x14:conditionalFormatting xmlns:xm="http://schemas.microsoft.com/office/excel/2006/main">
          <x14:cfRule type="cellIs" priority="985" stopIfTrue="1" operator="lessThan" id="{00000000-0000-0000-0000-000000000000}">
            <xm:f>INDEX('1.Locations'!$F$2:$F$97,$BC$78 + 1)</xm:f>
            <x14:dxf>
              <fill>
                <patternFill>
                  <bgColor indexed="52"/>
                </patternFill>
              </fill>
            </x14:dxf>
          </x14:cfRule>
          <xm:sqref>BJ78</xm:sqref>
        </x14:conditionalFormatting>
        <x14:conditionalFormatting xmlns:xm="http://schemas.microsoft.com/office/excel/2006/main">
          <x14:cfRule type="expression" priority="986" stopIfTrue="1" id="{00000000-0000-0000-0000-000000000000}">
            <xm:f>(60 * HOUR($BK$78) + MINUTE($BK$78)) &gt;(60 * HOUR(INDEX('1.Locations'!$G$2:$G$97,$BC$78 + 1)) +MINUTE(INDEX('1.Locations'!$G$2:$G$97,$BC$78 + 1)))</xm:f>
            <x14:dxf>
              <fill>
                <patternFill>
                  <bgColor indexed="10"/>
                </patternFill>
              </fill>
            </x14:dxf>
          </x14:cfRule>
          <xm:sqref>BK78</xm:sqref>
        </x14:conditionalFormatting>
        <x14:conditionalFormatting xmlns:xm="http://schemas.microsoft.com/office/excel/2006/main">
          <x14:cfRule type="cellIs" priority="987" stopIfTrue="1" operator="lessThan" id="{00000000-0000-0000-0000-000000000000}">
            <xm:f>INDEX('1.Locations'!$F$2:$F$97,$BC$79 + 1)</xm:f>
            <x14:dxf>
              <fill>
                <patternFill>
                  <bgColor indexed="52"/>
                </patternFill>
              </fill>
            </x14:dxf>
          </x14:cfRule>
          <xm:sqref>BJ79</xm:sqref>
        </x14:conditionalFormatting>
        <x14:conditionalFormatting xmlns:xm="http://schemas.microsoft.com/office/excel/2006/main">
          <x14:cfRule type="expression" priority="988" stopIfTrue="1" id="{00000000-0000-0000-0000-000000000000}">
            <xm:f>(60 * HOUR($BK$79) + MINUTE($BK$79)) &gt;(60 * HOUR(INDEX('1.Locations'!$G$2:$G$97,$BC$79 + 1)) +MINUTE(INDEX('1.Locations'!$G$2:$G$97,$BC$79 + 1)))</xm:f>
            <x14:dxf>
              <fill>
                <patternFill>
                  <bgColor indexed="10"/>
                </patternFill>
              </fill>
            </x14:dxf>
          </x14:cfRule>
          <xm:sqref>BK79</xm:sqref>
        </x14:conditionalFormatting>
        <x14:conditionalFormatting xmlns:xm="http://schemas.microsoft.com/office/excel/2006/main">
          <x14:cfRule type="cellIs" priority="989" stopIfTrue="1" operator="lessThan" id="{00000000-0000-0000-0000-000000000000}">
            <xm:f>INDEX('1.Locations'!$F$2:$F$97,$BC$80 + 1)</xm:f>
            <x14:dxf>
              <fill>
                <patternFill>
                  <bgColor indexed="52"/>
                </patternFill>
              </fill>
            </x14:dxf>
          </x14:cfRule>
          <xm:sqref>BJ80</xm:sqref>
        </x14:conditionalFormatting>
        <x14:conditionalFormatting xmlns:xm="http://schemas.microsoft.com/office/excel/2006/main">
          <x14:cfRule type="expression" priority="990" stopIfTrue="1" id="{00000000-0000-0000-0000-000000000000}">
            <xm:f>(60 * HOUR($BK$80) + MINUTE($BK$80)) &gt;(60 * HOUR(INDEX('1.Locations'!$G$2:$G$97,$BC$80 + 1)) +MINUTE(INDEX('1.Locations'!$G$2:$G$97,$BC$80 + 1)))</xm:f>
            <x14:dxf>
              <fill>
                <patternFill>
                  <bgColor indexed="10"/>
                </patternFill>
              </fill>
            </x14:dxf>
          </x14:cfRule>
          <xm:sqref>BK80</xm:sqref>
        </x14:conditionalFormatting>
        <x14:conditionalFormatting xmlns:xm="http://schemas.microsoft.com/office/excel/2006/main">
          <x14:cfRule type="cellIs" priority="991" stopIfTrue="1" operator="lessThan" id="{00000000-0000-0000-0000-000000000000}">
            <xm:f>INDEX('1.Locations'!$F$2:$F$97,$BC$81 + 1)</xm:f>
            <x14:dxf>
              <fill>
                <patternFill>
                  <bgColor indexed="52"/>
                </patternFill>
              </fill>
            </x14:dxf>
          </x14:cfRule>
          <xm:sqref>BJ81</xm:sqref>
        </x14:conditionalFormatting>
        <x14:conditionalFormatting xmlns:xm="http://schemas.microsoft.com/office/excel/2006/main">
          <x14:cfRule type="expression" priority="992" stopIfTrue="1" id="{00000000-0000-0000-0000-000000000000}">
            <xm:f>(60 * HOUR($BK$81) + MINUTE($BK$81)) &gt;(60 * HOUR(INDEX('1.Locations'!$G$2:$G$97,$BC$81 + 1)) +MINUTE(INDEX('1.Locations'!$G$2:$G$97,$BC$81 + 1)))</xm:f>
            <x14:dxf>
              <fill>
                <patternFill>
                  <bgColor indexed="10"/>
                </patternFill>
              </fill>
            </x14:dxf>
          </x14:cfRule>
          <xm:sqref>BK81</xm:sqref>
        </x14:conditionalFormatting>
        <x14:conditionalFormatting xmlns:xm="http://schemas.microsoft.com/office/excel/2006/main">
          <x14:cfRule type="cellIs" priority="993" stopIfTrue="1" operator="lessThan" id="{00000000-0000-0000-0000-000000000000}">
            <xm:f>INDEX('1.Locations'!$F$2:$F$97,$BC$82 + 1)</xm:f>
            <x14:dxf>
              <fill>
                <patternFill>
                  <bgColor indexed="52"/>
                </patternFill>
              </fill>
            </x14:dxf>
          </x14:cfRule>
          <xm:sqref>BJ82</xm:sqref>
        </x14:conditionalFormatting>
        <x14:conditionalFormatting xmlns:xm="http://schemas.microsoft.com/office/excel/2006/main">
          <x14:cfRule type="expression" priority="994" stopIfTrue="1" id="{00000000-0000-0000-0000-000000000000}">
            <xm:f>(60 * HOUR($BK$82) + MINUTE($BK$82)) &gt;(60 * HOUR(INDEX('1.Locations'!$G$2:$G$97,$BC$82 + 1)) +MINUTE(INDEX('1.Locations'!$G$2:$G$97,$BC$82 + 1)))</xm:f>
            <x14:dxf>
              <fill>
                <patternFill>
                  <bgColor indexed="10"/>
                </patternFill>
              </fill>
            </x14:dxf>
          </x14:cfRule>
          <xm:sqref>BK82</xm:sqref>
        </x14:conditionalFormatting>
        <x14:conditionalFormatting xmlns:xm="http://schemas.microsoft.com/office/excel/2006/main">
          <x14:cfRule type="cellIs" priority="995" stopIfTrue="1" operator="lessThan" id="{00000000-0000-0000-0000-000000000000}">
            <xm:f>INDEX('1.Locations'!$F$2:$F$97,$BC$83 + 1)</xm:f>
            <x14:dxf>
              <fill>
                <patternFill>
                  <bgColor indexed="52"/>
                </patternFill>
              </fill>
            </x14:dxf>
          </x14:cfRule>
          <xm:sqref>BJ83</xm:sqref>
        </x14:conditionalFormatting>
        <x14:conditionalFormatting xmlns:xm="http://schemas.microsoft.com/office/excel/2006/main">
          <x14:cfRule type="expression" priority="996" stopIfTrue="1" id="{00000000-0000-0000-0000-000000000000}">
            <xm:f>(60 * HOUR($BK$83) + MINUTE($BK$83)) &gt;(60 * HOUR(INDEX('1.Locations'!$G$2:$G$97,$BC$83 + 1)) +MINUTE(INDEX('1.Locations'!$G$2:$G$97,$BC$83 + 1)))</xm:f>
            <x14:dxf>
              <fill>
                <patternFill>
                  <bgColor indexed="10"/>
                </patternFill>
              </fill>
            </x14:dxf>
          </x14:cfRule>
          <xm:sqref>BK83</xm:sqref>
        </x14:conditionalFormatting>
        <x14:conditionalFormatting xmlns:xm="http://schemas.microsoft.com/office/excel/2006/main">
          <x14:cfRule type="cellIs" priority="997" stopIfTrue="1" operator="lessThan" id="{00000000-0000-0000-0000-000000000000}">
            <xm:f>INDEX('1.Locations'!$F$2:$F$97,$BC$84 + 1)</xm:f>
            <x14:dxf>
              <fill>
                <patternFill>
                  <bgColor indexed="52"/>
                </patternFill>
              </fill>
            </x14:dxf>
          </x14:cfRule>
          <xm:sqref>BJ84</xm:sqref>
        </x14:conditionalFormatting>
        <x14:conditionalFormatting xmlns:xm="http://schemas.microsoft.com/office/excel/2006/main">
          <x14:cfRule type="expression" priority="998" stopIfTrue="1" id="{00000000-0000-0000-0000-000000000000}">
            <xm:f>(60 * HOUR($BK$84) + MINUTE($BK$84)) &gt;(60 * HOUR(INDEX('1.Locations'!$G$2:$G$97,$BC$84 + 1)) +MINUTE(INDEX('1.Locations'!$G$2:$G$97,$BC$84 + 1)))</xm:f>
            <x14:dxf>
              <fill>
                <patternFill>
                  <bgColor indexed="10"/>
                </patternFill>
              </fill>
            </x14:dxf>
          </x14:cfRule>
          <xm:sqref>BK84</xm:sqref>
        </x14:conditionalFormatting>
        <x14:conditionalFormatting xmlns:xm="http://schemas.microsoft.com/office/excel/2006/main">
          <x14:cfRule type="cellIs" priority="999" stopIfTrue="1" operator="lessThan" id="{00000000-0000-0000-0000-000000000000}">
            <xm:f>INDEX('1.Locations'!$F$2:$F$97,$BC$85 + 1)</xm:f>
            <x14:dxf>
              <fill>
                <patternFill>
                  <bgColor indexed="52"/>
                </patternFill>
              </fill>
            </x14:dxf>
          </x14:cfRule>
          <xm:sqref>BJ85</xm:sqref>
        </x14:conditionalFormatting>
        <x14:conditionalFormatting xmlns:xm="http://schemas.microsoft.com/office/excel/2006/main">
          <x14:cfRule type="expression" priority="1000" stopIfTrue="1" id="{00000000-0000-0000-0000-000000000000}">
            <xm:f>(60 * HOUR($BK$85) + MINUTE($BK$85)) &gt;(60 * HOUR(INDEX('1.Locations'!$G$2:$G$97,$BC$85 + 1)) +MINUTE(INDEX('1.Locations'!$G$2:$G$97,$BC$85 + 1)))</xm:f>
            <x14:dxf>
              <fill>
                <patternFill>
                  <bgColor indexed="10"/>
                </patternFill>
              </fill>
            </x14:dxf>
          </x14:cfRule>
          <xm:sqref>BK85</xm:sqref>
        </x14:conditionalFormatting>
        <x14:conditionalFormatting xmlns:xm="http://schemas.microsoft.com/office/excel/2006/main">
          <x14:cfRule type="cellIs" priority="1001" stopIfTrue="1" operator="lessThan" id="{00000000-0000-0000-0000-000000000000}">
            <xm:f>INDEX('1.Locations'!$F$2:$F$97,$BC$86 + 1)</xm:f>
            <x14:dxf>
              <fill>
                <patternFill>
                  <bgColor indexed="52"/>
                </patternFill>
              </fill>
            </x14:dxf>
          </x14:cfRule>
          <xm:sqref>BJ86</xm:sqref>
        </x14:conditionalFormatting>
        <x14:conditionalFormatting xmlns:xm="http://schemas.microsoft.com/office/excel/2006/main">
          <x14:cfRule type="expression" priority="1002" stopIfTrue="1" id="{00000000-0000-0000-0000-000000000000}">
            <xm:f>(60 * HOUR($BK$86) + MINUTE($BK$86)) &gt;(60 * HOUR(INDEX('1.Locations'!$G$2:$G$97,$BC$86 + 1)) +MINUTE(INDEX('1.Locations'!$G$2:$G$97,$BC$86 + 1)))</xm:f>
            <x14:dxf>
              <fill>
                <patternFill>
                  <bgColor indexed="10"/>
                </patternFill>
              </fill>
            </x14:dxf>
          </x14:cfRule>
          <xm:sqref>BK86</xm:sqref>
        </x14:conditionalFormatting>
        <x14:conditionalFormatting xmlns:xm="http://schemas.microsoft.com/office/excel/2006/main">
          <x14:cfRule type="cellIs" priority="1003" stopIfTrue="1" operator="lessThan" id="{00000000-0000-0000-0000-000000000000}">
            <xm:f>INDEX('1.Locations'!$F$2:$F$97,$BC$87 + 1)</xm:f>
            <x14:dxf>
              <fill>
                <patternFill>
                  <bgColor indexed="52"/>
                </patternFill>
              </fill>
            </x14:dxf>
          </x14:cfRule>
          <xm:sqref>BJ87</xm:sqref>
        </x14:conditionalFormatting>
        <x14:conditionalFormatting xmlns:xm="http://schemas.microsoft.com/office/excel/2006/main">
          <x14:cfRule type="expression" priority="1004" stopIfTrue="1" id="{00000000-0000-0000-0000-000000000000}">
            <xm:f>(60 * HOUR($BK$87) + MINUTE($BK$87)) &gt;(60 * HOUR(INDEX('1.Locations'!$G$2:$G$97,$BC$87 + 1)) +MINUTE(INDEX('1.Locations'!$G$2:$G$97,$BC$87 + 1)))</xm:f>
            <x14:dxf>
              <fill>
                <patternFill>
                  <bgColor indexed="10"/>
                </patternFill>
              </fill>
            </x14:dxf>
          </x14:cfRule>
          <xm:sqref>BK87</xm:sqref>
        </x14:conditionalFormatting>
        <x14:conditionalFormatting xmlns:xm="http://schemas.microsoft.com/office/excel/2006/main">
          <x14:cfRule type="cellIs" priority="1005" stopIfTrue="1" operator="lessThan" id="{00000000-0000-0000-0000-000000000000}">
            <xm:f>INDEX('1.Locations'!$F$2:$F$97,$BC$88 + 1)</xm:f>
            <x14:dxf>
              <fill>
                <patternFill>
                  <bgColor indexed="52"/>
                </patternFill>
              </fill>
            </x14:dxf>
          </x14:cfRule>
          <xm:sqref>BJ88</xm:sqref>
        </x14:conditionalFormatting>
        <x14:conditionalFormatting xmlns:xm="http://schemas.microsoft.com/office/excel/2006/main">
          <x14:cfRule type="expression" priority="1006" stopIfTrue="1" id="{00000000-0000-0000-0000-000000000000}">
            <xm:f>(60 * HOUR($BK$88) + MINUTE($BK$88)) &gt;(60 * HOUR(INDEX('1.Locations'!$G$2:$G$97,$BC$88 + 1)) +MINUTE(INDEX('1.Locations'!$G$2:$G$97,$BC$88 + 1)))</xm:f>
            <x14:dxf>
              <fill>
                <patternFill>
                  <bgColor indexed="10"/>
                </patternFill>
              </fill>
            </x14:dxf>
          </x14:cfRule>
          <xm:sqref>BK88</xm:sqref>
        </x14:conditionalFormatting>
        <x14:conditionalFormatting xmlns:xm="http://schemas.microsoft.com/office/excel/2006/main">
          <x14:cfRule type="cellIs" priority="1007" stopIfTrue="1" operator="lessThan" id="{00000000-0000-0000-0000-000000000000}">
            <xm:f>INDEX('1.Locations'!$F$2:$F$97,$BC$89 + 1)</xm:f>
            <x14:dxf>
              <fill>
                <patternFill>
                  <bgColor indexed="52"/>
                </patternFill>
              </fill>
            </x14:dxf>
          </x14:cfRule>
          <xm:sqref>BJ89</xm:sqref>
        </x14:conditionalFormatting>
        <x14:conditionalFormatting xmlns:xm="http://schemas.microsoft.com/office/excel/2006/main">
          <x14:cfRule type="expression" priority="1008" stopIfTrue="1" id="{00000000-0000-0000-0000-000000000000}">
            <xm:f>(60 * HOUR($BK$89) + MINUTE($BK$89)) &gt;(60 * HOUR(INDEX('1.Locations'!$G$2:$G$97,$BC$89 + 1)) +MINUTE(INDEX('1.Locations'!$G$2:$G$97,$BC$89 + 1)))</xm:f>
            <x14:dxf>
              <fill>
                <patternFill>
                  <bgColor indexed="10"/>
                </patternFill>
              </fill>
            </x14:dxf>
          </x14:cfRule>
          <xm:sqref>BK89</xm:sqref>
        </x14:conditionalFormatting>
        <x14:conditionalFormatting xmlns:xm="http://schemas.microsoft.com/office/excel/2006/main">
          <x14:cfRule type="cellIs" priority="1009" stopIfTrue="1" operator="lessThan" id="{00000000-0000-0000-0000-000000000000}">
            <xm:f>INDEX('1.Locations'!$F$2:$F$97,$BC$90 + 1)</xm:f>
            <x14:dxf>
              <fill>
                <patternFill>
                  <bgColor indexed="52"/>
                </patternFill>
              </fill>
            </x14:dxf>
          </x14:cfRule>
          <xm:sqref>BJ90</xm:sqref>
        </x14:conditionalFormatting>
        <x14:conditionalFormatting xmlns:xm="http://schemas.microsoft.com/office/excel/2006/main">
          <x14:cfRule type="expression" priority="1010" stopIfTrue="1" id="{00000000-0000-0000-0000-000000000000}">
            <xm:f>(60 * HOUR($BK$90) + MINUTE($BK$90)) &gt;(60 * HOUR(INDEX('1.Locations'!$G$2:$G$97,$BC$90 + 1)) +MINUTE(INDEX('1.Locations'!$G$2:$G$97,$BC$90 + 1)))</xm:f>
            <x14:dxf>
              <fill>
                <patternFill>
                  <bgColor indexed="10"/>
                </patternFill>
              </fill>
            </x14:dxf>
          </x14:cfRule>
          <xm:sqref>BK90</xm:sqref>
        </x14:conditionalFormatting>
        <x14:conditionalFormatting xmlns:xm="http://schemas.microsoft.com/office/excel/2006/main">
          <x14:cfRule type="cellIs" priority="1011" stopIfTrue="1" operator="lessThan" id="{00000000-0000-0000-0000-000000000000}">
            <xm:f>INDEX('1.Locations'!$F$2:$F$97,$BC$91 + 1)</xm:f>
            <x14:dxf>
              <fill>
                <patternFill>
                  <bgColor indexed="52"/>
                </patternFill>
              </fill>
            </x14:dxf>
          </x14:cfRule>
          <xm:sqref>BJ91</xm:sqref>
        </x14:conditionalFormatting>
        <x14:conditionalFormatting xmlns:xm="http://schemas.microsoft.com/office/excel/2006/main">
          <x14:cfRule type="expression" priority="1012" stopIfTrue="1" id="{00000000-0000-0000-0000-000000000000}">
            <xm:f>(60 * HOUR($BK$91) + MINUTE($BK$91)) &gt;(60 * HOUR(INDEX('1.Locations'!$G$2:$G$97,$BC$91 + 1)) +MINUTE(INDEX('1.Locations'!$G$2:$G$97,$BC$91 + 1)))</xm:f>
            <x14:dxf>
              <fill>
                <patternFill>
                  <bgColor indexed="10"/>
                </patternFill>
              </fill>
            </x14:dxf>
          </x14:cfRule>
          <xm:sqref>BK91</xm:sqref>
        </x14:conditionalFormatting>
        <x14:conditionalFormatting xmlns:xm="http://schemas.microsoft.com/office/excel/2006/main">
          <x14:cfRule type="cellIs" priority="1013" stopIfTrue="1" operator="lessThan" id="{00000000-0000-0000-0000-000000000000}">
            <xm:f>INDEX('1.Locations'!$F$2:$F$97,$BC$92 + 1)</xm:f>
            <x14:dxf>
              <fill>
                <patternFill>
                  <bgColor indexed="52"/>
                </patternFill>
              </fill>
            </x14:dxf>
          </x14:cfRule>
          <xm:sqref>BJ92</xm:sqref>
        </x14:conditionalFormatting>
        <x14:conditionalFormatting xmlns:xm="http://schemas.microsoft.com/office/excel/2006/main">
          <x14:cfRule type="expression" priority="1014" stopIfTrue="1" id="{00000000-0000-0000-0000-000000000000}">
            <xm:f>(60 * HOUR($BK$92) + MINUTE($BK$92)) &gt;(60 * HOUR(INDEX('1.Locations'!$G$2:$G$97,$BC$92 + 1)) +MINUTE(INDEX('1.Locations'!$G$2:$G$97,$BC$92 + 1)))</xm:f>
            <x14:dxf>
              <fill>
                <patternFill>
                  <bgColor indexed="10"/>
                </patternFill>
              </fill>
            </x14:dxf>
          </x14:cfRule>
          <xm:sqref>BK92</xm:sqref>
        </x14:conditionalFormatting>
        <x14:conditionalFormatting xmlns:xm="http://schemas.microsoft.com/office/excel/2006/main">
          <x14:cfRule type="cellIs" priority="1015" stopIfTrue="1" operator="lessThan" id="{00000000-0000-0000-0000-000000000000}">
            <xm:f>INDEX('1.Locations'!$F$2:$F$97,$BC$93 + 1)</xm:f>
            <x14:dxf>
              <fill>
                <patternFill>
                  <bgColor indexed="52"/>
                </patternFill>
              </fill>
            </x14:dxf>
          </x14:cfRule>
          <xm:sqref>BJ93</xm:sqref>
        </x14:conditionalFormatting>
        <x14:conditionalFormatting xmlns:xm="http://schemas.microsoft.com/office/excel/2006/main">
          <x14:cfRule type="expression" priority="1016" stopIfTrue="1" id="{00000000-0000-0000-0000-000000000000}">
            <xm:f>(60 * HOUR($BK$93) + MINUTE($BK$93)) &gt;(60 * HOUR(INDEX('1.Locations'!$G$2:$G$97,$BC$93 + 1)) +MINUTE(INDEX('1.Locations'!$G$2:$G$97,$BC$93 + 1)))</xm:f>
            <x14:dxf>
              <fill>
                <patternFill>
                  <bgColor indexed="10"/>
                </patternFill>
              </fill>
            </x14:dxf>
          </x14:cfRule>
          <xm:sqref>BK93</xm:sqref>
        </x14:conditionalFormatting>
        <x14:conditionalFormatting xmlns:xm="http://schemas.microsoft.com/office/excel/2006/main">
          <x14:cfRule type="cellIs" priority="1017" stopIfTrue="1" operator="lessThan" id="{00000000-0000-0000-0000-000000000000}">
            <xm:f>INDEX('1.Locations'!$F$2:$F$97,$BC$94 + 1)</xm:f>
            <x14:dxf>
              <fill>
                <patternFill>
                  <bgColor indexed="52"/>
                </patternFill>
              </fill>
            </x14:dxf>
          </x14:cfRule>
          <xm:sqref>BJ94</xm:sqref>
        </x14:conditionalFormatting>
        <x14:conditionalFormatting xmlns:xm="http://schemas.microsoft.com/office/excel/2006/main">
          <x14:cfRule type="expression" priority="1018" stopIfTrue="1" id="{00000000-0000-0000-0000-000000000000}">
            <xm:f>(60 * HOUR($BK$94) + MINUTE($BK$94)) &gt;(60 * HOUR(INDEX('1.Locations'!$G$2:$G$97,$BC$94 + 1)) +MINUTE(INDEX('1.Locations'!$G$2:$G$97,$BC$94 + 1)))</xm:f>
            <x14:dxf>
              <fill>
                <patternFill>
                  <bgColor indexed="10"/>
                </patternFill>
              </fill>
            </x14:dxf>
          </x14:cfRule>
          <xm:sqref>BK94</xm:sqref>
        </x14:conditionalFormatting>
        <x14:conditionalFormatting xmlns:xm="http://schemas.microsoft.com/office/excel/2006/main">
          <x14:cfRule type="cellIs" priority="1019" stopIfTrue="1" operator="lessThan" id="{00000000-0000-0000-0000-000000000000}">
            <xm:f>INDEX('1.Locations'!$F$2:$F$97,$BC$95 + 1)</xm:f>
            <x14:dxf>
              <fill>
                <patternFill>
                  <bgColor indexed="52"/>
                </patternFill>
              </fill>
            </x14:dxf>
          </x14:cfRule>
          <xm:sqref>BJ95</xm:sqref>
        </x14:conditionalFormatting>
        <x14:conditionalFormatting xmlns:xm="http://schemas.microsoft.com/office/excel/2006/main">
          <x14:cfRule type="expression" priority="1020" stopIfTrue="1" id="{00000000-0000-0000-0000-000000000000}">
            <xm:f>(60 * HOUR($BK$95) + MINUTE($BK$95)) &gt;(60 * HOUR(INDEX('1.Locations'!$G$2:$G$97,$BC$95 + 1)) +MINUTE(INDEX('1.Locations'!$G$2:$G$97,$BC$95 + 1)))</xm:f>
            <x14:dxf>
              <fill>
                <patternFill>
                  <bgColor indexed="10"/>
                </patternFill>
              </fill>
            </x14:dxf>
          </x14:cfRule>
          <xm:sqref>BK95</xm:sqref>
        </x14:conditionalFormatting>
        <x14:conditionalFormatting xmlns:xm="http://schemas.microsoft.com/office/excel/2006/main">
          <x14:cfRule type="cellIs" priority="1021" stopIfTrue="1" operator="lessThan" id="{00000000-0000-0000-0000-000000000000}">
            <xm:f>INDEX('1.Locations'!$F$2:$F$97,$BC$96 + 1)</xm:f>
            <x14:dxf>
              <fill>
                <patternFill>
                  <bgColor indexed="52"/>
                </patternFill>
              </fill>
            </x14:dxf>
          </x14:cfRule>
          <xm:sqref>BJ96</xm:sqref>
        </x14:conditionalFormatting>
        <x14:conditionalFormatting xmlns:xm="http://schemas.microsoft.com/office/excel/2006/main">
          <x14:cfRule type="expression" priority="1022" stopIfTrue="1" id="{00000000-0000-0000-0000-000000000000}">
            <xm:f>(60 * HOUR($BK$96) + MINUTE($BK$96)) &gt;(60 * HOUR(INDEX('1.Locations'!$G$2:$G$97,$BC$96 + 1)) +MINUTE(INDEX('1.Locations'!$G$2:$G$97,$BC$96 + 1)))</xm:f>
            <x14:dxf>
              <fill>
                <patternFill>
                  <bgColor indexed="10"/>
                </patternFill>
              </fill>
            </x14:dxf>
          </x14:cfRule>
          <xm:sqref>BK96</xm:sqref>
        </x14:conditionalFormatting>
        <x14:conditionalFormatting xmlns:xm="http://schemas.microsoft.com/office/excel/2006/main">
          <x14:cfRule type="cellIs" priority="1023" stopIfTrue="1" operator="lessThan" id="{00000000-0000-0000-0000-000000000000}">
            <xm:f>INDEX('1.Locations'!$F$2:$F$97,$BC$97 + 1)</xm:f>
            <x14:dxf>
              <fill>
                <patternFill>
                  <bgColor indexed="52"/>
                </patternFill>
              </fill>
            </x14:dxf>
          </x14:cfRule>
          <xm:sqref>BJ97</xm:sqref>
        </x14:conditionalFormatting>
        <x14:conditionalFormatting xmlns:xm="http://schemas.microsoft.com/office/excel/2006/main">
          <x14:cfRule type="expression" priority="1024" stopIfTrue="1" id="{00000000-0000-0000-0000-000000000000}">
            <xm:f>(60 * HOUR($BK$97) + MINUTE($BK$97)) &gt;(60 * HOUR(INDEX('1.Locations'!$G$2:$G$97,$BC$97 + 1)) +MINUTE(INDEX('1.Locations'!$G$2:$G$97,$BC$97 + 1)))</xm:f>
            <x14:dxf>
              <fill>
                <patternFill>
                  <bgColor indexed="10"/>
                </patternFill>
              </fill>
            </x14:dxf>
          </x14:cfRule>
          <xm:sqref>BK97</xm:sqref>
        </x14:conditionalFormatting>
        <x14:conditionalFormatting xmlns:xm="http://schemas.microsoft.com/office/excel/2006/main">
          <x14:cfRule type="cellIs" priority="1025" stopIfTrue="1" operator="lessThan" id="{00000000-0000-0000-0000-000000000000}">
            <xm:f>INDEX('1.Locations'!$F$2:$F$97,$BC$98 + 1)</xm:f>
            <x14:dxf>
              <fill>
                <patternFill>
                  <bgColor indexed="52"/>
                </patternFill>
              </fill>
            </x14:dxf>
          </x14:cfRule>
          <xm:sqref>BJ98</xm:sqref>
        </x14:conditionalFormatting>
        <x14:conditionalFormatting xmlns:xm="http://schemas.microsoft.com/office/excel/2006/main">
          <x14:cfRule type="expression" priority="1026" stopIfTrue="1" id="{00000000-0000-0000-0000-000000000000}">
            <xm:f>(60 * HOUR($BK$98) + MINUTE($BK$98)) &gt;(60 * HOUR(INDEX('1.Locations'!$G$2:$G$97,$BC$98 + 1)) +MINUTE(INDEX('1.Locations'!$G$2:$G$97,$BC$98 + 1)))</xm:f>
            <x14:dxf>
              <fill>
                <patternFill>
                  <bgColor indexed="10"/>
                </patternFill>
              </fill>
            </x14:dxf>
          </x14:cfRule>
          <xm:sqref>BK98</xm:sqref>
        </x14:conditionalFormatting>
        <x14:conditionalFormatting xmlns:xm="http://schemas.microsoft.com/office/excel/2006/main">
          <x14:cfRule type="cellIs" priority="1027" stopIfTrue="1" operator="lessThan" id="{00000000-0000-0000-0000-000000000000}">
            <xm:f>INDEX('1.Locations'!$F$2:$F$97,$BC$99 + 1)</xm:f>
            <x14:dxf>
              <fill>
                <patternFill>
                  <bgColor indexed="52"/>
                </patternFill>
              </fill>
            </x14:dxf>
          </x14:cfRule>
          <xm:sqref>BJ99</xm:sqref>
        </x14:conditionalFormatting>
        <x14:conditionalFormatting xmlns:xm="http://schemas.microsoft.com/office/excel/2006/main">
          <x14:cfRule type="expression" priority="1028" stopIfTrue="1" id="{00000000-0000-0000-0000-000000000000}">
            <xm:f>(60 * HOUR($BK$99) + MINUTE($BK$99)) &gt;(60 * HOUR(INDEX('1.Locations'!$G$2:$G$97,$BC$99 + 1)) +MINUTE(INDEX('1.Locations'!$G$2:$G$97,$BC$99 + 1)))</xm:f>
            <x14:dxf>
              <fill>
                <patternFill>
                  <bgColor indexed="10"/>
                </patternFill>
              </fill>
            </x14:dxf>
          </x14:cfRule>
          <xm:sqref>BK99</xm:sqref>
        </x14:conditionalFormatting>
        <x14:conditionalFormatting xmlns:xm="http://schemas.microsoft.com/office/excel/2006/main">
          <x14:cfRule type="cellIs" priority="1029" stopIfTrue="1" operator="lessThan" id="{00000000-0000-0000-0000-000000000000}">
            <xm:f>INDEX('1.Locations'!$F$2:$F$97,$BC$100 + 1)</xm:f>
            <x14:dxf>
              <fill>
                <patternFill>
                  <bgColor indexed="52"/>
                </patternFill>
              </fill>
            </x14:dxf>
          </x14:cfRule>
          <xm:sqref>BJ100</xm:sqref>
        </x14:conditionalFormatting>
        <x14:conditionalFormatting xmlns:xm="http://schemas.microsoft.com/office/excel/2006/main">
          <x14:cfRule type="expression" priority="1030" stopIfTrue="1" id="{00000000-0000-0000-0000-000000000000}">
            <xm:f>(60 * HOUR($BK$100) + MINUTE($BK$100)) &gt;(60 * HOUR(INDEX('1.Locations'!$G$2:$G$97,$BC$100 + 1)) +MINUTE(INDEX('1.Locations'!$G$2:$G$97,$BC$100 + 1)))</xm:f>
            <x14:dxf>
              <fill>
                <patternFill>
                  <bgColor indexed="10"/>
                </patternFill>
              </fill>
            </x14:dxf>
          </x14:cfRule>
          <xm:sqref>BK100</xm:sqref>
        </x14:conditionalFormatting>
        <x14:conditionalFormatting xmlns:xm="http://schemas.microsoft.com/office/excel/2006/main">
          <x14:cfRule type="cellIs" priority="1031" stopIfTrue="1" operator="lessThan" id="{00000000-0000-0000-0000-000000000000}">
            <xm:f>INDEX('1.Locations'!$F$2:$F$97,$BC$101 + 1)</xm:f>
            <x14:dxf>
              <fill>
                <patternFill>
                  <bgColor indexed="52"/>
                </patternFill>
              </fill>
            </x14:dxf>
          </x14:cfRule>
          <xm:sqref>BJ101</xm:sqref>
        </x14:conditionalFormatting>
        <x14:conditionalFormatting xmlns:xm="http://schemas.microsoft.com/office/excel/2006/main">
          <x14:cfRule type="expression" priority="1032" stopIfTrue="1" id="{00000000-0000-0000-0000-000000000000}">
            <xm:f>(60 * HOUR($BK$101) + MINUTE($BK$101)) &gt;(60 * HOUR(INDEX('1.Locations'!$G$2:$G$97,$BC$101 + 1)) +MINUTE(INDEX('1.Locations'!$G$2:$G$97,$BC$101 + 1)))</xm:f>
            <x14:dxf>
              <fill>
                <patternFill>
                  <bgColor indexed="10"/>
                </patternFill>
              </fill>
            </x14:dxf>
          </x14:cfRule>
          <xm:sqref>BK101</xm:sqref>
        </x14:conditionalFormatting>
        <x14:conditionalFormatting xmlns:xm="http://schemas.microsoft.com/office/excel/2006/main">
          <x14:cfRule type="cellIs" priority="1033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BF6:BF101</xm:sqref>
        </x14:conditionalFormatting>
        <x14:conditionalFormatting xmlns:xm="http://schemas.microsoft.com/office/excel/2006/main">
          <x14:cfRule type="cellIs" priority="1034" stopIfTrue="1" operator="greaterThan" id="{00000000-0000-0000-0000-000000000000}">
            <xm:f>'3.Vehicles'!$C$6</xm:f>
            <x14:dxf>
              <fill>
                <patternFill>
                  <bgColor indexed="10"/>
                </patternFill>
              </fill>
            </x14:dxf>
          </x14:cfRule>
          <xm:sqref>BG6:BG101</xm:sqref>
        </x14:conditionalFormatting>
        <x14:conditionalFormatting xmlns:xm="http://schemas.microsoft.com/office/excel/2006/main">
          <x14:cfRule type="cellIs" priority="1035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BI6:BI101</xm:sqref>
        </x14:conditionalFormatting>
        <x14:conditionalFormatting xmlns:xm="http://schemas.microsoft.com/office/excel/2006/main">
          <x14:cfRule type="cellIs" priority="1036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BL6:BL101</xm:sqref>
        </x14:conditionalFormatting>
        <x14:conditionalFormatting xmlns:xm="http://schemas.microsoft.com/office/excel/2006/main">
          <x14:cfRule type="cellIs" priority="1038" stopIfTrue="1" operator="lessThan" id="{00000000-0000-0000-0000-000000000000}">
            <xm:f>INDEX('1.Locations'!$F$2:$F$97,$BP$5 + 1)</xm:f>
            <x14:dxf>
              <fill>
                <patternFill>
                  <bgColor indexed="52"/>
                </patternFill>
              </fill>
            </x14:dxf>
          </x14:cfRule>
          <xm:sqref>BW5</xm:sqref>
        </x14:conditionalFormatting>
        <x14:conditionalFormatting xmlns:xm="http://schemas.microsoft.com/office/excel/2006/main">
          <x14:cfRule type="expression" priority="1039" stopIfTrue="1" id="{00000000-0000-0000-0000-000000000000}">
            <xm:f>(60 * HOUR($BX$5) + MINUTE($BX$5)) &gt;(60 * HOUR(INDEX('1.Locations'!$G$2:$G$97,$BP$5 + 1)) +MINUTE(INDEX('1.Locations'!$G$2:$G$97,$BP$5 + 1)))</xm:f>
            <x14:dxf>
              <fill>
                <patternFill>
                  <bgColor indexed="10"/>
                </patternFill>
              </fill>
            </x14:dxf>
          </x14:cfRule>
          <xm:sqref>BX5</xm:sqref>
        </x14:conditionalFormatting>
        <x14:conditionalFormatting xmlns:xm="http://schemas.microsoft.com/office/excel/2006/main">
          <x14:cfRule type="cellIs" priority="1040" stopIfTrue="1" operator="lessThan" id="{00000000-0000-0000-0000-000000000000}">
            <xm:f>INDEX('1.Locations'!$F$2:$F$97,$BP$6 + 1)</xm:f>
            <x14:dxf>
              <fill>
                <patternFill>
                  <bgColor indexed="52"/>
                </patternFill>
              </fill>
            </x14:dxf>
          </x14:cfRule>
          <xm:sqref>BW6</xm:sqref>
        </x14:conditionalFormatting>
        <x14:conditionalFormatting xmlns:xm="http://schemas.microsoft.com/office/excel/2006/main">
          <x14:cfRule type="expression" priority="1041" stopIfTrue="1" id="{00000000-0000-0000-0000-000000000000}">
            <xm:f>(60 * HOUR($BX$6) + MINUTE($BX$6)) &gt;(60 * HOUR(INDEX('1.Locations'!$G$2:$G$97,$BP$6 + 1)) +MINUTE(INDEX('1.Locations'!$G$2:$G$97,$BP$6 + 1)))</xm:f>
            <x14:dxf>
              <fill>
                <patternFill>
                  <bgColor indexed="10"/>
                </patternFill>
              </fill>
            </x14:dxf>
          </x14:cfRule>
          <xm:sqref>BX6</xm:sqref>
        </x14:conditionalFormatting>
        <x14:conditionalFormatting xmlns:xm="http://schemas.microsoft.com/office/excel/2006/main">
          <x14:cfRule type="cellIs" priority="1042" stopIfTrue="1" operator="lessThan" id="{00000000-0000-0000-0000-000000000000}">
            <xm:f>INDEX('1.Locations'!$F$2:$F$97,$BP$7 + 1)</xm:f>
            <x14:dxf>
              <fill>
                <patternFill>
                  <bgColor indexed="52"/>
                </patternFill>
              </fill>
            </x14:dxf>
          </x14:cfRule>
          <xm:sqref>BW7</xm:sqref>
        </x14:conditionalFormatting>
        <x14:conditionalFormatting xmlns:xm="http://schemas.microsoft.com/office/excel/2006/main">
          <x14:cfRule type="expression" priority="1043" stopIfTrue="1" id="{00000000-0000-0000-0000-000000000000}">
            <xm:f>(60 * HOUR($BX$7) + MINUTE($BX$7)) &gt;(60 * HOUR(INDEX('1.Locations'!$G$2:$G$97,$BP$7 + 1)) +MINUTE(INDEX('1.Locations'!$G$2:$G$97,$BP$7 + 1)))</xm:f>
            <x14:dxf>
              <fill>
                <patternFill>
                  <bgColor indexed="10"/>
                </patternFill>
              </fill>
            </x14:dxf>
          </x14:cfRule>
          <xm:sqref>BX7</xm:sqref>
        </x14:conditionalFormatting>
        <x14:conditionalFormatting xmlns:xm="http://schemas.microsoft.com/office/excel/2006/main">
          <x14:cfRule type="cellIs" priority="1044" stopIfTrue="1" operator="lessThan" id="{00000000-0000-0000-0000-000000000000}">
            <xm:f>INDEX('1.Locations'!$F$2:$F$97,$BP$8 + 1)</xm:f>
            <x14:dxf>
              <fill>
                <patternFill>
                  <bgColor indexed="52"/>
                </patternFill>
              </fill>
            </x14:dxf>
          </x14:cfRule>
          <xm:sqref>BW8</xm:sqref>
        </x14:conditionalFormatting>
        <x14:conditionalFormatting xmlns:xm="http://schemas.microsoft.com/office/excel/2006/main">
          <x14:cfRule type="expression" priority="1045" stopIfTrue="1" id="{00000000-0000-0000-0000-000000000000}">
            <xm:f>(60 * HOUR($BX$8) + MINUTE($BX$8)) &gt;(60 * HOUR(INDEX('1.Locations'!$G$2:$G$97,$BP$8 + 1)) +MINUTE(INDEX('1.Locations'!$G$2:$G$97,$BP$8 + 1)))</xm:f>
            <x14:dxf>
              <fill>
                <patternFill>
                  <bgColor indexed="10"/>
                </patternFill>
              </fill>
            </x14:dxf>
          </x14:cfRule>
          <xm:sqref>BX8</xm:sqref>
        </x14:conditionalFormatting>
        <x14:conditionalFormatting xmlns:xm="http://schemas.microsoft.com/office/excel/2006/main">
          <x14:cfRule type="cellIs" priority="1046" stopIfTrue="1" operator="lessThan" id="{00000000-0000-0000-0000-000000000000}">
            <xm:f>INDEX('1.Locations'!$F$2:$F$97,$BP$9 + 1)</xm:f>
            <x14:dxf>
              <fill>
                <patternFill>
                  <bgColor indexed="52"/>
                </patternFill>
              </fill>
            </x14:dxf>
          </x14:cfRule>
          <xm:sqref>BW9</xm:sqref>
        </x14:conditionalFormatting>
        <x14:conditionalFormatting xmlns:xm="http://schemas.microsoft.com/office/excel/2006/main">
          <x14:cfRule type="expression" priority="1047" stopIfTrue="1" id="{00000000-0000-0000-0000-000000000000}">
            <xm:f>(60 * HOUR($BX$9) + MINUTE($BX$9)) &gt;(60 * HOUR(INDEX('1.Locations'!$G$2:$G$97,$BP$9 + 1)) +MINUTE(INDEX('1.Locations'!$G$2:$G$97,$BP$9 + 1)))</xm:f>
            <x14:dxf>
              <fill>
                <patternFill>
                  <bgColor indexed="10"/>
                </patternFill>
              </fill>
            </x14:dxf>
          </x14:cfRule>
          <xm:sqref>BX9</xm:sqref>
        </x14:conditionalFormatting>
        <x14:conditionalFormatting xmlns:xm="http://schemas.microsoft.com/office/excel/2006/main">
          <x14:cfRule type="cellIs" priority="1048" stopIfTrue="1" operator="lessThan" id="{00000000-0000-0000-0000-000000000000}">
            <xm:f>INDEX('1.Locations'!$F$2:$F$97,$BP$10 + 1)</xm:f>
            <x14:dxf>
              <fill>
                <patternFill>
                  <bgColor indexed="52"/>
                </patternFill>
              </fill>
            </x14:dxf>
          </x14:cfRule>
          <xm:sqref>BW10</xm:sqref>
        </x14:conditionalFormatting>
        <x14:conditionalFormatting xmlns:xm="http://schemas.microsoft.com/office/excel/2006/main">
          <x14:cfRule type="expression" priority="1049" stopIfTrue="1" id="{00000000-0000-0000-0000-000000000000}">
            <xm:f>(60 * HOUR($BX$10) + MINUTE($BX$10)) &gt;(60 * HOUR(INDEX('1.Locations'!$G$2:$G$97,$BP$10 + 1)) +MINUTE(INDEX('1.Locations'!$G$2:$G$97,$BP$10 + 1)))</xm:f>
            <x14:dxf>
              <fill>
                <patternFill>
                  <bgColor indexed="10"/>
                </patternFill>
              </fill>
            </x14:dxf>
          </x14:cfRule>
          <xm:sqref>BX10</xm:sqref>
        </x14:conditionalFormatting>
        <x14:conditionalFormatting xmlns:xm="http://schemas.microsoft.com/office/excel/2006/main">
          <x14:cfRule type="cellIs" priority="1050" stopIfTrue="1" operator="lessThan" id="{00000000-0000-0000-0000-000000000000}">
            <xm:f>INDEX('1.Locations'!$F$2:$F$97,$BP$11 + 1)</xm:f>
            <x14:dxf>
              <fill>
                <patternFill>
                  <bgColor indexed="52"/>
                </patternFill>
              </fill>
            </x14:dxf>
          </x14:cfRule>
          <xm:sqref>BW11</xm:sqref>
        </x14:conditionalFormatting>
        <x14:conditionalFormatting xmlns:xm="http://schemas.microsoft.com/office/excel/2006/main">
          <x14:cfRule type="expression" priority="1051" stopIfTrue="1" id="{00000000-0000-0000-0000-000000000000}">
            <xm:f>(60 * HOUR($BX$11) + MINUTE($BX$11)) &gt;(60 * HOUR(INDEX('1.Locations'!$G$2:$G$97,$BP$11 + 1)) +MINUTE(INDEX('1.Locations'!$G$2:$G$97,$BP$11 + 1)))</xm:f>
            <x14:dxf>
              <fill>
                <patternFill>
                  <bgColor indexed="10"/>
                </patternFill>
              </fill>
            </x14:dxf>
          </x14:cfRule>
          <xm:sqref>BX11</xm:sqref>
        </x14:conditionalFormatting>
        <x14:conditionalFormatting xmlns:xm="http://schemas.microsoft.com/office/excel/2006/main">
          <x14:cfRule type="cellIs" priority="1052" stopIfTrue="1" operator="lessThan" id="{00000000-0000-0000-0000-000000000000}">
            <xm:f>INDEX('1.Locations'!$F$2:$F$97,$BP$12 + 1)</xm:f>
            <x14:dxf>
              <fill>
                <patternFill>
                  <bgColor indexed="52"/>
                </patternFill>
              </fill>
            </x14:dxf>
          </x14:cfRule>
          <xm:sqref>BW12</xm:sqref>
        </x14:conditionalFormatting>
        <x14:conditionalFormatting xmlns:xm="http://schemas.microsoft.com/office/excel/2006/main">
          <x14:cfRule type="expression" priority="1053" stopIfTrue="1" id="{00000000-0000-0000-0000-000000000000}">
            <xm:f>(60 * HOUR($BX$12) + MINUTE($BX$12)) &gt;(60 * HOUR(INDEX('1.Locations'!$G$2:$G$97,$BP$12 + 1)) +MINUTE(INDEX('1.Locations'!$G$2:$G$97,$BP$12 + 1)))</xm:f>
            <x14:dxf>
              <fill>
                <patternFill>
                  <bgColor indexed="10"/>
                </patternFill>
              </fill>
            </x14:dxf>
          </x14:cfRule>
          <xm:sqref>BX12</xm:sqref>
        </x14:conditionalFormatting>
        <x14:conditionalFormatting xmlns:xm="http://schemas.microsoft.com/office/excel/2006/main">
          <x14:cfRule type="cellIs" priority="1054" stopIfTrue="1" operator="lessThan" id="{00000000-0000-0000-0000-000000000000}">
            <xm:f>INDEX('1.Locations'!$F$2:$F$97,$BP$13 + 1)</xm:f>
            <x14:dxf>
              <fill>
                <patternFill>
                  <bgColor indexed="52"/>
                </patternFill>
              </fill>
            </x14:dxf>
          </x14:cfRule>
          <xm:sqref>BW13</xm:sqref>
        </x14:conditionalFormatting>
        <x14:conditionalFormatting xmlns:xm="http://schemas.microsoft.com/office/excel/2006/main">
          <x14:cfRule type="expression" priority="1055" stopIfTrue="1" id="{00000000-0000-0000-0000-000000000000}">
            <xm:f>(60 * HOUR($BX$13) + MINUTE($BX$13)) &gt;(60 * HOUR(INDEX('1.Locations'!$G$2:$G$97,$BP$13 + 1)) +MINUTE(INDEX('1.Locations'!$G$2:$G$97,$BP$13 + 1)))</xm:f>
            <x14:dxf>
              <fill>
                <patternFill>
                  <bgColor indexed="10"/>
                </patternFill>
              </fill>
            </x14:dxf>
          </x14:cfRule>
          <xm:sqref>BX13</xm:sqref>
        </x14:conditionalFormatting>
        <x14:conditionalFormatting xmlns:xm="http://schemas.microsoft.com/office/excel/2006/main">
          <x14:cfRule type="cellIs" priority="1056" stopIfTrue="1" operator="lessThan" id="{00000000-0000-0000-0000-000000000000}">
            <xm:f>INDEX('1.Locations'!$F$2:$F$97,$BP$14 + 1)</xm:f>
            <x14:dxf>
              <fill>
                <patternFill>
                  <bgColor indexed="52"/>
                </patternFill>
              </fill>
            </x14:dxf>
          </x14:cfRule>
          <xm:sqref>BW14</xm:sqref>
        </x14:conditionalFormatting>
        <x14:conditionalFormatting xmlns:xm="http://schemas.microsoft.com/office/excel/2006/main">
          <x14:cfRule type="expression" priority="1057" stopIfTrue="1" id="{00000000-0000-0000-0000-000000000000}">
            <xm:f>(60 * HOUR($BX$14) + MINUTE($BX$14)) &gt;(60 * HOUR(INDEX('1.Locations'!$G$2:$G$97,$BP$14 + 1)) +MINUTE(INDEX('1.Locations'!$G$2:$G$97,$BP$14 + 1)))</xm:f>
            <x14:dxf>
              <fill>
                <patternFill>
                  <bgColor indexed="10"/>
                </patternFill>
              </fill>
            </x14:dxf>
          </x14:cfRule>
          <xm:sqref>BX14</xm:sqref>
        </x14:conditionalFormatting>
        <x14:conditionalFormatting xmlns:xm="http://schemas.microsoft.com/office/excel/2006/main">
          <x14:cfRule type="cellIs" priority="1058" stopIfTrue="1" operator="lessThan" id="{00000000-0000-0000-0000-000000000000}">
            <xm:f>INDEX('1.Locations'!$F$2:$F$97,$BP$15 + 1)</xm:f>
            <x14:dxf>
              <fill>
                <patternFill>
                  <bgColor indexed="52"/>
                </patternFill>
              </fill>
            </x14:dxf>
          </x14:cfRule>
          <xm:sqref>BW15</xm:sqref>
        </x14:conditionalFormatting>
        <x14:conditionalFormatting xmlns:xm="http://schemas.microsoft.com/office/excel/2006/main">
          <x14:cfRule type="expression" priority="1059" stopIfTrue="1" id="{00000000-0000-0000-0000-000000000000}">
            <xm:f>(60 * HOUR($BX$15) + MINUTE($BX$15)) &gt;(60 * HOUR(INDEX('1.Locations'!$G$2:$G$97,$BP$15 + 1)) +MINUTE(INDEX('1.Locations'!$G$2:$G$97,$BP$15 + 1)))</xm:f>
            <x14:dxf>
              <fill>
                <patternFill>
                  <bgColor indexed="10"/>
                </patternFill>
              </fill>
            </x14:dxf>
          </x14:cfRule>
          <xm:sqref>BX15</xm:sqref>
        </x14:conditionalFormatting>
        <x14:conditionalFormatting xmlns:xm="http://schemas.microsoft.com/office/excel/2006/main">
          <x14:cfRule type="cellIs" priority="1060" stopIfTrue="1" operator="lessThan" id="{00000000-0000-0000-0000-000000000000}">
            <xm:f>INDEX('1.Locations'!$F$2:$F$97,$BP$16 + 1)</xm:f>
            <x14:dxf>
              <fill>
                <patternFill>
                  <bgColor indexed="52"/>
                </patternFill>
              </fill>
            </x14:dxf>
          </x14:cfRule>
          <xm:sqref>BW16</xm:sqref>
        </x14:conditionalFormatting>
        <x14:conditionalFormatting xmlns:xm="http://schemas.microsoft.com/office/excel/2006/main">
          <x14:cfRule type="expression" priority="1061" stopIfTrue="1" id="{00000000-0000-0000-0000-000000000000}">
            <xm:f>(60 * HOUR($BX$16) + MINUTE($BX$16)) &gt;(60 * HOUR(INDEX('1.Locations'!$G$2:$G$97,$BP$16 + 1)) +MINUTE(INDEX('1.Locations'!$G$2:$G$97,$BP$16 + 1)))</xm:f>
            <x14:dxf>
              <fill>
                <patternFill>
                  <bgColor indexed="10"/>
                </patternFill>
              </fill>
            </x14:dxf>
          </x14:cfRule>
          <xm:sqref>BX16</xm:sqref>
        </x14:conditionalFormatting>
        <x14:conditionalFormatting xmlns:xm="http://schemas.microsoft.com/office/excel/2006/main">
          <x14:cfRule type="cellIs" priority="1062" stopIfTrue="1" operator="lessThan" id="{00000000-0000-0000-0000-000000000000}">
            <xm:f>INDEX('1.Locations'!$F$2:$F$97,$BP$17 + 1)</xm:f>
            <x14:dxf>
              <fill>
                <patternFill>
                  <bgColor indexed="52"/>
                </patternFill>
              </fill>
            </x14:dxf>
          </x14:cfRule>
          <xm:sqref>BW17</xm:sqref>
        </x14:conditionalFormatting>
        <x14:conditionalFormatting xmlns:xm="http://schemas.microsoft.com/office/excel/2006/main">
          <x14:cfRule type="expression" priority="1063" stopIfTrue="1" id="{00000000-0000-0000-0000-000000000000}">
            <xm:f>(60 * HOUR($BX$17) + MINUTE($BX$17)) &gt;(60 * HOUR(INDEX('1.Locations'!$G$2:$G$97,$BP$17 + 1)) +MINUTE(INDEX('1.Locations'!$G$2:$G$97,$BP$17 + 1)))</xm:f>
            <x14:dxf>
              <fill>
                <patternFill>
                  <bgColor indexed="10"/>
                </patternFill>
              </fill>
            </x14:dxf>
          </x14:cfRule>
          <xm:sqref>BX17</xm:sqref>
        </x14:conditionalFormatting>
        <x14:conditionalFormatting xmlns:xm="http://schemas.microsoft.com/office/excel/2006/main">
          <x14:cfRule type="cellIs" priority="1064" stopIfTrue="1" operator="lessThan" id="{00000000-0000-0000-0000-000000000000}">
            <xm:f>INDEX('1.Locations'!$F$2:$F$97,$BP$18 + 1)</xm:f>
            <x14:dxf>
              <fill>
                <patternFill>
                  <bgColor indexed="52"/>
                </patternFill>
              </fill>
            </x14:dxf>
          </x14:cfRule>
          <xm:sqref>BW18</xm:sqref>
        </x14:conditionalFormatting>
        <x14:conditionalFormatting xmlns:xm="http://schemas.microsoft.com/office/excel/2006/main">
          <x14:cfRule type="expression" priority="1065" stopIfTrue="1" id="{00000000-0000-0000-0000-000000000000}">
            <xm:f>(60 * HOUR($BX$18) + MINUTE($BX$18)) &gt;(60 * HOUR(INDEX('1.Locations'!$G$2:$G$97,$BP$18 + 1)) +MINUTE(INDEX('1.Locations'!$G$2:$G$97,$BP$18 + 1)))</xm:f>
            <x14:dxf>
              <fill>
                <patternFill>
                  <bgColor indexed="10"/>
                </patternFill>
              </fill>
            </x14:dxf>
          </x14:cfRule>
          <xm:sqref>BX18</xm:sqref>
        </x14:conditionalFormatting>
        <x14:conditionalFormatting xmlns:xm="http://schemas.microsoft.com/office/excel/2006/main">
          <x14:cfRule type="cellIs" priority="1066" stopIfTrue="1" operator="lessThan" id="{00000000-0000-0000-0000-000000000000}">
            <xm:f>INDEX('1.Locations'!$F$2:$F$97,$BP$19 + 1)</xm:f>
            <x14:dxf>
              <fill>
                <patternFill>
                  <bgColor indexed="52"/>
                </patternFill>
              </fill>
            </x14:dxf>
          </x14:cfRule>
          <xm:sqref>BW19</xm:sqref>
        </x14:conditionalFormatting>
        <x14:conditionalFormatting xmlns:xm="http://schemas.microsoft.com/office/excel/2006/main">
          <x14:cfRule type="expression" priority="1067" stopIfTrue="1" id="{00000000-0000-0000-0000-000000000000}">
            <xm:f>(60 * HOUR($BX$19) + MINUTE($BX$19)) &gt;(60 * HOUR(INDEX('1.Locations'!$G$2:$G$97,$BP$19 + 1)) +MINUTE(INDEX('1.Locations'!$G$2:$G$97,$BP$19 + 1)))</xm:f>
            <x14:dxf>
              <fill>
                <patternFill>
                  <bgColor indexed="10"/>
                </patternFill>
              </fill>
            </x14:dxf>
          </x14:cfRule>
          <xm:sqref>BX19</xm:sqref>
        </x14:conditionalFormatting>
        <x14:conditionalFormatting xmlns:xm="http://schemas.microsoft.com/office/excel/2006/main">
          <x14:cfRule type="cellIs" priority="1068" stopIfTrue="1" operator="lessThan" id="{00000000-0000-0000-0000-000000000000}">
            <xm:f>INDEX('1.Locations'!$F$2:$F$97,$BP$20 + 1)</xm:f>
            <x14:dxf>
              <fill>
                <patternFill>
                  <bgColor indexed="52"/>
                </patternFill>
              </fill>
            </x14:dxf>
          </x14:cfRule>
          <xm:sqref>BW20</xm:sqref>
        </x14:conditionalFormatting>
        <x14:conditionalFormatting xmlns:xm="http://schemas.microsoft.com/office/excel/2006/main">
          <x14:cfRule type="expression" priority="1069" stopIfTrue="1" id="{00000000-0000-0000-0000-000000000000}">
            <xm:f>(60 * HOUR($BX$20) + MINUTE($BX$20)) &gt;(60 * HOUR(INDEX('1.Locations'!$G$2:$G$97,$BP$20 + 1)) +MINUTE(INDEX('1.Locations'!$G$2:$G$97,$BP$20 + 1)))</xm:f>
            <x14:dxf>
              <fill>
                <patternFill>
                  <bgColor indexed="10"/>
                </patternFill>
              </fill>
            </x14:dxf>
          </x14:cfRule>
          <xm:sqref>BX20</xm:sqref>
        </x14:conditionalFormatting>
        <x14:conditionalFormatting xmlns:xm="http://schemas.microsoft.com/office/excel/2006/main">
          <x14:cfRule type="cellIs" priority="1070" stopIfTrue="1" operator="lessThan" id="{00000000-0000-0000-0000-000000000000}">
            <xm:f>INDEX('1.Locations'!$F$2:$F$97,$BP$21 + 1)</xm:f>
            <x14:dxf>
              <fill>
                <patternFill>
                  <bgColor indexed="52"/>
                </patternFill>
              </fill>
            </x14:dxf>
          </x14:cfRule>
          <xm:sqref>BW21</xm:sqref>
        </x14:conditionalFormatting>
        <x14:conditionalFormatting xmlns:xm="http://schemas.microsoft.com/office/excel/2006/main">
          <x14:cfRule type="expression" priority="1071" stopIfTrue="1" id="{00000000-0000-0000-0000-000000000000}">
            <xm:f>(60 * HOUR($BX$21) + MINUTE($BX$21)) &gt;(60 * HOUR(INDEX('1.Locations'!$G$2:$G$97,$BP$21 + 1)) +MINUTE(INDEX('1.Locations'!$G$2:$G$97,$BP$21 + 1)))</xm:f>
            <x14:dxf>
              <fill>
                <patternFill>
                  <bgColor indexed="10"/>
                </patternFill>
              </fill>
            </x14:dxf>
          </x14:cfRule>
          <xm:sqref>BX21</xm:sqref>
        </x14:conditionalFormatting>
        <x14:conditionalFormatting xmlns:xm="http://schemas.microsoft.com/office/excel/2006/main">
          <x14:cfRule type="cellIs" priority="1072" stopIfTrue="1" operator="lessThan" id="{00000000-0000-0000-0000-000000000000}">
            <xm:f>INDEX('1.Locations'!$F$2:$F$97,$BP$22 + 1)</xm:f>
            <x14:dxf>
              <fill>
                <patternFill>
                  <bgColor indexed="52"/>
                </patternFill>
              </fill>
            </x14:dxf>
          </x14:cfRule>
          <xm:sqref>BW22</xm:sqref>
        </x14:conditionalFormatting>
        <x14:conditionalFormatting xmlns:xm="http://schemas.microsoft.com/office/excel/2006/main">
          <x14:cfRule type="expression" priority="1073" stopIfTrue="1" id="{00000000-0000-0000-0000-000000000000}">
            <xm:f>(60 * HOUR($BX$22) + MINUTE($BX$22)) &gt;(60 * HOUR(INDEX('1.Locations'!$G$2:$G$97,$BP$22 + 1)) +MINUTE(INDEX('1.Locations'!$G$2:$G$97,$BP$22 + 1)))</xm:f>
            <x14:dxf>
              <fill>
                <patternFill>
                  <bgColor indexed="10"/>
                </patternFill>
              </fill>
            </x14:dxf>
          </x14:cfRule>
          <xm:sqref>BX22</xm:sqref>
        </x14:conditionalFormatting>
        <x14:conditionalFormatting xmlns:xm="http://schemas.microsoft.com/office/excel/2006/main">
          <x14:cfRule type="cellIs" priority="1074" stopIfTrue="1" operator="lessThan" id="{00000000-0000-0000-0000-000000000000}">
            <xm:f>INDEX('1.Locations'!$F$2:$F$97,$BP$23 + 1)</xm:f>
            <x14:dxf>
              <fill>
                <patternFill>
                  <bgColor indexed="52"/>
                </patternFill>
              </fill>
            </x14:dxf>
          </x14:cfRule>
          <xm:sqref>BW23</xm:sqref>
        </x14:conditionalFormatting>
        <x14:conditionalFormatting xmlns:xm="http://schemas.microsoft.com/office/excel/2006/main">
          <x14:cfRule type="expression" priority="1075" stopIfTrue="1" id="{00000000-0000-0000-0000-000000000000}">
            <xm:f>(60 * HOUR($BX$23) + MINUTE($BX$23)) &gt;(60 * HOUR(INDEX('1.Locations'!$G$2:$G$97,$BP$23 + 1)) +MINUTE(INDEX('1.Locations'!$G$2:$G$97,$BP$23 + 1)))</xm:f>
            <x14:dxf>
              <fill>
                <patternFill>
                  <bgColor indexed="10"/>
                </patternFill>
              </fill>
            </x14:dxf>
          </x14:cfRule>
          <xm:sqref>BX23</xm:sqref>
        </x14:conditionalFormatting>
        <x14:conditionalFormatting xmlns:xm="http://schemas.microsoft.com/office/excel/2006/main">
          <x14:cfRule type="cellIs" priority="1076" stopIfTrue="1" operator="lessThan" id="{00000000-0000-0000-0000-000000000000}">
            <xm:f>INDEX('1.Locations'!$F$2:$F$97,$BP$24 + 1)</xm:f>
            <x14:dxf>
              <fill>
                <patternFill>
                  <bgColor indexed="52"/>
                </patternFill>
              </fill>
            </x14:dxf>
          </x14:cfRule>
          <xm:sqref>BW24</xm:sqref>
        </x14:conditionalFormatting>
        <x14:conditionalFormatting xmlns:xm="http://schemas.microsoft.com/office/excel/2006/main">
          <x14:cfRule type="expression" priority="1077" stopIfTrue="1" id="{00000000-0000-0000-0000-000000000000}">
            <xm:f>(60 * HOUR($BX$24) + MINUTE($BX$24)) &gt;(60 * HOUR(INDEX('1.Locations'!$G$2:$G$97,$BP$24 + 1)) +MINUTE(INDEX('1.Locations'!$G$2:$G$97,$BP$24 + 1)))</xm:f>
            <x14:dxf>
              <fill>
                <patternFill>
                  <bgColor indexed="10"/>
                </patternFill>
              </fill>
            </x14:dxf>
          </x14:cfRule>
          <xm:sqref>BX24</xm:sqref>
        </x14:conditionalFormatting>
        <x14:conditionalFormatting xmlns:xm="http://schemas.microsoft.com/office/excel/2006/main">
          <x14:cfRule type="cellIs" priority="1078" stopIfTrue="1" operator="lessThan" id="{00000000-0000-0000-0000-000000000000}">
            <xm:f>INDEX('1.Locations'!$F$2:$F$97,$BP$25 + 1)</xm:f>
            <x14:dxf>
              <fill>
                <patternFill>
                  <bgColor indexed="52"/>
                </patternFill>
              </fill>
            </x14:dxf>
          </x14:cfRule>
          <xm:sqref>BW25</xm:sqref>
        </x14:conditionalFormatting>
        <x14:conditionalFormatting xmlns:xm="http://schemas.microsoft.com/office/excel/2006/main">
          <x14:cfRule type="expression" priority="1079" stopIfTrue="1" id="{00000000-0000-0000-0000-000000000000}">
            <xm:f>(60 * HOUR($BX$25) + MINUTE($BX$25)) &gt;(60 * HOUR(INDEX('1.Locations'!$G$2:$G$97,$BP$25 + 1)) +MINUTE(INDEX('1.Locations'!$G$2:$G$97,$BP$25 + 1)))</xm:f>
            <x14:dxf>
              <fill>
                <patternFill>
                  <bgColor indexed="10"/>
                </patternFill>
              </fill>
            </x14:dxf>
          </x14:cfRule>
          <xm:sqref>BX25</xm:sqref>
        </x14:conditionalFormatting>
        <x14:conditionalFormatting xmlns:xm="http://schemas.microsoft.com/office/excel/2006/main">
          <x14:cfRule type="cellIs" priority="1080" stopIfTrue="1" operator="lessThan" id="{00000000-0000-0000-0000-000000000000}">
            <xm:f>INDEX('1.Locations'!$F$2:$F$97,$BP$26 + 1)</xm:f>
            <x14:dxf>
              <fill>
                <patternFill>
                  <bgColor indexed="52"/>
                </patternFill>
              </fill>
            </x14:dxf>
          </x14:cfRule>
          <xm:sqref>BW26</xm:sqref>
        </x14:conditionalFormatting>
        <x14:conditionalFormatting xmlns:xm="http://schemas.microsoft.com/office/excel/2006/main">
          <x14:cfRule type="expression" priority="1081" stopIfTrue="1" id="{00000000-0000-0000-0000-000000000000}">
            <xm:f>(60 * HOUR($BX$26) + MINUTE($BX$26)) &gt;(60 * HOUR(INDEX('1.Locations'!$G$2:$G$97,$BP$26 + 1)) +MINUTE(INDEX('1.Locations'!$G$2:$G$97,$BP$26 + 1)))</xm:f>
            <x14:dxf>
              <fill>
                <patternFill>
                  <bgColor indexed="10"/>
                </patternFill>
              </fill>
            </x14:dxf>
          </x14:cfRule>
          <xm:sqref>BX26</xm:sqref>
        </x14:conditionalFormatting>
        <x14:conditionalFormatting xmlns:xm="http://schemas.microsoft.com/office/excel/2006/main">
          <x14:cfRule type="cellIs" priority="1082" stopIfTrue="1" operator="lessThan" id="{00000000-0000-0000-0000-000000000000}">
            <xm:f>INDEX('1.Locations'!$F$2:$F$97,$BP$27 + 1)</xm:f>
            <x14:dxf>
              <fill>
                <patternFill>
                  <bgColor indexed="52"/>
                </patternFill>
              </fill>
            </x14:dxf>
          </x14:cfRule>
          <xm:sqref>BW27</xm:sqref>
        </x14:conditionalFormatting>
        <x14:conditionalFormatting xmlns:xm="http://schemas.microsoft.com/office/excel/2006/main">
          <x14:cfRule type="expression" priority="1083" stopIfTrue="1" id="{00000000-0000-0000-0000-000000000000}">
            <xm:f>(60 * HOUR($BX$27) + MINUTE($BX$27)) &gt;(60 * HOUR(INDEX('1.Locations'!$G$2:$G$97,$BP$27 + 1)) +MINUTE(INDEX('1.Locations'!$G$2:$G$97,$BP$27 + 1)))</xm:f>
            <x14:dxf>
              <fill>
                <patternFill>
                  <bgColor indexed="10"/>
                </patternFill>
              </fill>
            </x14:dxf>
          </x14:cfRule>
          <xm:sqref>BX27</xm:sqref>
        </x14:conditionalFormatting>
        <x14:conditionalFormatting xmlns:xm="http://schemas.microsoft.com/office/excel/2006/main">
          <x14:cfRule type="cellIs" priority="1084" stopIfTrue="1" operator="lessThan" id="{00000000-0000-0000-0000-000000000000}">
            <xm:f>INDEX('1.Locations'!$F$2:$F$97,$BP$28 + 1)</xm:f>
            <x14:dxf>
              <fill>
                <patternFill>
                  <bgColor indexed="52"/>
                </patternFill>
              </fill>
            </x14:dxf>
          </x14:cfRule>
          <xm:sqref>BW28</xm:sqref>
        </x14:conditionalFormatting>
        <x14:conditionalFormatting xmlns:xm="http://schemas.microsoft.com/office/excel/2006/main">
          <x14:cfRule type="expression" priority="1085" stopIfTrue="1" id="{00000000-0000-0000-0000-000000000000}">
            <xm:f>(60 * HOUR($BX$28) + MINUTE($BX$28)) &gt;(60 * HOUR(INDEX('1.Locations'!$G$2:$G$97,$BP$28 + 1)) +MINUTE(INDEX('1.Locations'!$G$2:$G$97,$BP$28 + 1)))</xm:f>
            <x14:dxf>
              <fill>
                <patternFill>
                  <bgColor indexed="10"/>
                </patternFill>
              </fill>
            </x14:dxf>
          </x14:cfRule>
          <xm:sqref>BX28</xm:sqref>
        </x14:conditionalFormatting>
        <x14:conditionalFormatting xmlns:xm="http://schemas.microsoft.com/office/excel/2006/main">
          <x14:cfRule type="cellIs" priority="1086" stopIfTrue="1" operator="lessThan" id="{00000000-0000-0000-0000-000000000000}">
            <xm:f>INDEX('1.Locations'!$F$2:$F$97,$BP$29 + 1)</xm:f>
            <x14:dxf>
              <fill>
                <patternFill>
                  <bgColor indexed="52"/>
                </patternFill>
              </fill>
            </x14:dxf>
          </x14:cfRule>
          <xm:sqref>BW29</xm:sqref>
        </x14:conditionalFormatting>
        <x14:conditionalFormatting xmlns:xm="http://schemas.microsoft.com/office/excel/2006/main">
          <x14:cfRule type="expression" priority="1087" stopIfTrue="1" id="{00000000-0000-0000-0000-000000000000}">
            <xm:f>(60 * HOUR($BX$29) + MINUTE($BX$29)) &gt;(60 * HOUR(INDEX('1.Locations'!$G$2:$G$97,$BP$29 + 1)) +MINUTE(INDEX('1.Locations'!$G$2:$G$97,$BP$29 + 1)))</xm:f>
            <x14:dxf>
              <fill>
                <patternFill>
                  <bgColor indexed="10"/>
                </patternFill>
              </fill>
            </x14:dxf>
          </x14:cfRule>
          <xm:sqref>BX29</xm:sqref>
        </x14:conditionalFormatting>
        <x14:conditionalFormatting xmlns:xm="http://schemas.microsoft.com/office/excel/2006/main">
          <x14:cfRule type="cellIs" priority="1088" stopIfTrue="1" operator="lessThan" id="{00000000-0000-0000-0000-000000000000}">
            <xm:f>INDEX('1.Locations'!$F$2:$F$97,$BP$30 + 1)</xm:f>
            <x14:dxf>
              <fill>
                <patternFill>
                  <bgColor indexed="52"/>
                </patternFill>
              </fill>
            </x14:dxf>
          </x14:cfRule>
          <xm:sqref>BW30</xm:sqref>
        </x14:conditionalFormatting>
        <x14:conditionalFormatting xmlns:xm="http://schemas.microsoft.com/office/excel/2006/main">
          <x14:cfRule type="expression" priority="1089" stopIfTrue="1" id="{00000000-0000-0000-0000-000000000000}">
            <xm:f>(60 * HOUR($BX$30) + MINUTE($BX$30)) &gt;(60 * HOUR(INDEX('1.Locations'!$G$2:$G$97,$BP$30 + 1)) +MINUTE(INDEX('1.Locations'!$G$2:$G$97,$BP$30 + 1)))</xm:f>
            <x14:dxf>
              <fill>
                <patternFill>
                  <bgColor indexed="10"/>
                </patternFill>
              </fill>
            </x14:dxf>
          </x14:cfRule>
          <xm:sqref>BX30</xm:sqref>
        </x14:conditionalFormatting>
        <x14:conditionalFormatting xmlns:xm="http://schemas.microsoft.com/office/excel/2006/main">
          <x14:cfRule type="cellIs" priority="1090" stopIfTrue="1" operator="lessThan" id="{00000000-0000-0000-0000-000000000000}">
            <xm:f>INDEX('1.Locations'!$F$2:$F$97,$BP$31 + 1)</xm:f>
            <x14:dxf>
              <fill>
                <patternFill>
                  <bgColor indexed="52"/>
                </patternFill>
              </fill>
            </x14:dxf>
          </x14:cfRule>
          <xm:sqref>BW31</xm:sqref>
        </x14:conditionalFormatting>
        <x14:conditionalFormatting xmlns:xm="http://schemas.microsoft.com/office/excel/2006/main">
          <x14:cfRule type="expression" priority="1091" stopIfTrue="1" id="{00000000-0000-0000-0000-000000000000}">
            <xm:f>(60 * HOUR($BX$31) + MINUTE($BX$31)) &gt;(60 * HOUR(INDEX('1.Locations'!$G$2:$G$97,$BP$31 + 1)) +MINUTE(INDEX('1.Locations'!$G$2:$G$97,$BP$31 + 1)))</xm:f>
            <x14:dxf>
              <fill>
                <patternFill>
                  <bgColor indexed="10"/>
                </patternFill>
              </fill>
            </x14:dxf>
          </x14:cfRule>
          <xm:sqref>BX31</xm:sqref>
        </x14:conditionalFormatting>
        <x14:conditionalFormatting xmlns:xm="http://schemas.microsoft.com/office/excel/2006/main">
          <x14:cfRule type="cellIs" priority="1092" stopIfTrue="1" operator="lessThan" id="{00000000-0000-0000-0000-000000000000}">
            <xm:f>INDEX('1.Locations'!$F$2:$F$97,$BP$32 + 1)</xm:f>
            <x14:dxf>
              <fill>
                <patternFill>
                  <bgColor indexed="52"/>
                </patternFill>
              </fill>
            </x14:dxf>
          </x14:cfRule>
          <xm:sqref>BW32</xm:sqref>
        </x14:conditionalFormatting>
        <x14:conditionalFormatting xmlns:xm="http://schemas.microsoft.com/office/excel/2006/main">
          <x14:cfRule type="expression" priority="1093" stopIfTrue="1" id="{00000000-0000-0000-0000-000000000000}">
            <xm:f>(60 * HOUR($BX$32) + MINUTE($BX$32)) &gt;(60 * HOUR(INDEX('1.Locations'!$G$2:$G$97,$BP$32 + 1)) +MINUTE(INDEX('1.Locations'!$G$2:$G$97,$BP$32 + 1)))</xm:f>
            <x14:dxf>
              <fill>
                <patternFill>
                  <bgColor indexed="10"/>
                </patternFill>
              </fill>
            </x14:dxf>
          </x14:cfRule>
          <xm:sqref>BX32</xm:sqref>
        </x14:conditionalFormatting>
        <x14:conditionalFormatting xmlns:xm="http://schemas.microsoft.com/office/excel/2006/main">
          <x14:cfRule type="cellIs" priority="1094" stopIfTrue="1" operator="lessThan" id="{00000000-0000-0000-0000-000000000000}">
            <xm:f>INDEX('1.Locations'!$F$2:$F$97,$BP$33 + 1)</xm:f>
            <x14:dxf>
              <fill>
                <patternFill>
                  <bgColor indexed="52"/>
                </patternFill>
              </fill>
            </x14:dxf>
          </x14:cfRule>
          <xm:sqref>BW33</xm:sqref>
        </x14:conditionalFormatting>
        <x14:conditionalFormatting xmlns:xm="http://schemas.microsoft.com/office/excel/2006/main">
          <x14:cfRule type="expression" priority="1095" stopIfTrue="1" id="{00000000-0000-0000-0000-000000000000}">
            <xm:f>(60 * HOUR($BX$33) + MINUTE($BX$33)) &gt;(60 * HOUR(INDEX('1.Locations'!$G$2:$G$97,$BP$33 + 1)) +MINUTE(INDEX('1.Locations'!$G$2:$G$97,$BP$33 + 1)))</xm:f>
            <x14:dxf>
              <fill>
                <patternFill>
                  <bgColor indexed="10"/>
                </patternFill>
              </fill>
            </x14:dxf>
          </x14:cfRule>
          <xm:sqref>BX33</xm:sqref>
        </x14:conditionalFormatting>
        <x14:conditionalFormatting xmlns:xm="http://schemas.microsoft.com/office/excel/2006/main">
          <x14:cfRule type="cellIs" priority="1096" stopIfTrue="1" operator="lessThan" id="{00000000-0000-0000-0000-000000000000}">
            <xm:f>INDEX('1.Locations'!$F$2:$F$97,$BP$34 + 1)</xm:f>
            <x14:dxf>
              <fill>
                <patternFill>
                  <bgColor indexed="52"/>
                </patternFill>
              </fill>
            </x14:dxf>
          </x14:cfRule>
          <xm:sqref>BW34</xm:sqref>
        </x14:conditionalFormatting>
        <x14:conditionalFormatting xmlns:xm="http://schemas.microsoft.com/office/excel/2006/main">
          <x14:cfRule type="expression" priority="1097" stopIfTrue="1" id="{00000000-0000-0000-0000-000000000000}">
            <xm:f>(60 * HOUR($BX$34) + MINUTE($BX$34)) &gt;(60 * HOUR(INDEX('1.Locations'!$G$2:$G$97,$BP$34 + 1)) +MINUTE(INDEX('1.Locations'!$G$2:$G$97,$BP$34 + 1)))</xm:f>
            <x14:dxf>
              <fill>
                <patternFill>
                  <bgColor indexed="10"/>
                </patternFill>
              </fill>
            </x14:dxf>
          </x14:cfRule>
          <xm:sqref>BX34</xm:sqref>
        </x14:conditionalFormatting>
        <x14:conditionalFormatting xmlns:xm="http://schemas.microsoft.com/office/excel/2006/main">
          <x14:cfRule type="cellIs" priority="1098" stopIfTrue="1" operator="lessThan" id="{00000000-0000-0000-0000-000000000000}">
            <xm:f>INDEX('1.Locations'!$F$2:$F$97,$BP$35 + 1)</xm:f>
            <x14:dxf>
              <fill>
                <patternFill>
                  <bgColor indexed="52"/>
                </patternFill>
              </fill>
            </x14:dxf>
          </x14:cfRule>
          <xm:sqref>BW35</xm:sqref>
        </x14:conditionalFormatting>
        <x14:conditionalFormatting xmlns:xm="http://schemas.microsoft.com/office/excel/2006/main">
          <x14:cfRule type="expression" priority="1099" stopIfTrue="1" id="{00000000-0000-0000-0000-000000000000}">
            <xm:f>(60 * HOUR($BX$35) + MINUTE($BX$35)) &gt;(60 * HOUR(INDEX('1.Locations'!$G$2:$G$97,$BP$35 + 1)) +MINUTE(INDEX('1.Locations'!$G$2:$G$97,$BP$35 + 1)))</xm:f>
            <x14:dxf>
              <fill>
                <patternFill>
                  <bgColor indexed="10"/>
                </patternFill>
              </fill>
            </x14:dxf>
          </x14:cfRule>
          <xm:sqref>BX35</xm:sqref>
        </x14:conditionalFormatting>
        <x14:conditionalFormatting xmlns:xm="http://schemas.microsoft.com/office/excel/2006/main">
          <x14:cfRule type="cellIs" priority="1100" stopIfTrue="1" operator="lessThan" id="{00000000-0000-0000-0000-000000000000}">
            <xm:f>INDEX('1.Locations'!$F$2:$F$97,$BP$36 + 1)</xm:f>
            <x14:dxf>
              <fill>
                <patternFill>
                  <bgColor indexed="52"/>
                </patternFill>
              </fill>
            </x14:dxf>
          </x14:cfRule>
          <xm:sqref>BW36</xm:sqref>
        </x14:conditionalFormatting>
        <x14:conditionalFormatting xmlns:xm="http://schemas.microsoft.com/office/excel/2006/main">
          <x14:cfRule type="expression" priority="1101" stopIfTrue="1" id="{00000000-0000-0000-0000-000000000000}">
            <xm:f>(60 * HOUR($BX$36) + MINUTE($BX$36)) &gt;(60 * HOUR(INDEX('1.Locations'!$G$2:$G$97,$BP$36 + 1)) +MINUTE(INDEX('1.Locations'!$G$2:$G$97,$BP$36 + 1)))</xm:f>
            <x14:dxf>
              <fill>
                <patternFill>
                  <bgColor indexed="10"/>
                </patternFill>
              </fill>
            </x14:dxf>
          </x14:cfRule>
          <xm:sqref>BX36</xm:sqref>
        </x14:conditionalFormatting>
        <x14:conditionalFormatting xmlns:xm="http://schemas.microsoft.com/office/excel/2006/main">
          <x14:cfRule type="cellIs" priority="1102" stopIfTrue="1" operator="lessThan" id="{00000000-0000-0000-0000-000000000000}">
            <xm:f>INDEX('1.Locations'!$F$2:$F$97,$BP$37 + 1)</xm:f>
            <x14:dxf>
              <fill>
                <patternFill>
                  <bgColor indexed="52"/>
                </patternFill>
              </fill>
            </x14:dxf>
          </x14:cfRule>
          <xm:sqref>BW37</xm:sqref>
        </x14:conditionalFormatting>
        <x14:conditionalFormatting xmlns:xm="http://schemas.microsoft.com/office/excel/2006/main">
          <x14:cfRule type="expression" priority="1103" stopIfTrue="1" id="{00000000-0000-0000-0000-000000000000}">
            <xm:f>(60 * HOUR($BX$37) + MINUTE($BX$37)) &gt;(60 * HOUR(INDEX('1.Locations'!$G$2:$G$97,$BP$37 + 1)) +MINUTE(INDEX('1.Locations'!$G$2:$G$97,$BP$37 + 1)))</xm:f>
            <x14:dxf>
              <fill>
                <patternFill>
                  <bgColor indexed="10"/>
                </patternFill>
              </fill>
            </x14:dxf>
          </x14:cfRule>
          <xm:sqref>BX37</xm:sqref>
        </x14:conditionalFormatting>
        <x14:conditionalFormatting xmlns:xm="http://schemas.microsoft.com/office/excel/2006/main">
          <x14:cfRule type="cellIs" priority="1104" stopIfTrue="1" operator="lessThan" id="{00000000-0000-0000-0000-000000000000}">
            <xm:f>INDEX('1.Locations'!$F$2:$F$97,$BP$38 + 1)</xm:f>
            <x14:dxf>
              <fill>
                <patternFill>
                  <bgColor indexed="52"/>
                </patternFill>
              </fill>
            </x14:dxf>
          </x14:cfRule>
          <xm:sqref>BW38</xm:sqref>
        </x14:conditionalFormatting>
        <x14:conditionalFormatting xmlns:xm="http://schemas.microsoft.com/office/excel/2006/main">
          <x14:cfRule type="expression" priority="1105" stopIfTrue="1" id="{00000000-0000-0000-0000-000000000000}">
            <xm:f>(60 * HOUR($BX$38) + MINUTE($BX$38)) &gt;(60 * HOUR(INDEX('1.Locations'!$G$2:$G$97,$BP$38 + 1)) +MINUTE(INDEX('1.Locations'!$G$2:$G$97,$BP$38 + 1)))</xm:f>
            <x14:dxf>
              <fill>
                <patternFill>
                  <bgColor indexed="10"/>
                </patternFill>
              </fill>
            </x14:dxf>
          </x14:cfRule>
          <xm:sqref>BX38</xm:sqref>
        </x14:conditionalFormatting>
        <x14:conditionalFormatting xmlns:xm="http://schemas.microsoft.com/office/excel/2006/main">
          <x14:cfRule type="cellIs" priority="1106" stopIfTrue="1" operator="lessThan" id="{00000000-0000-0000-0000-000000000000}">
            <xm:f>INDEX('1.Locations'!$F$2:$F$97,$BP$39 + 1)</xm:f>
            <x14:dxf>
              <fill>
                <patternFill>
                  <bgColor indexed="52"/>
                </patternFill>
              </fill>
            </x14:dxf>
          </x14:cfRule>
          <xm:sqref>BW39</xm:sqref>
        </x14:conditionalFormatting>
        <x14:conditionalFormatting xmlns:xm="http://schemas.microsoft.com/office/excel/2006/main">
          <x14:cfRule type="expression" priority="1107" stopIfTrue="1" id="{00000000-0000-0000-0000-000000000000}">
            <xm:f>(60 * HOUR($BX$39) + MINUTE($BX$39)) &gt;(60 * HOUR(INDEX('1.Locations'!$G$2:$G$97,$BP$39 + 1)) +MINUTE(INDEX('1.Locations'!$G$2:$G$97,$BP$39 + 1)))</xm:f>
            <x14:dxf>
              <fill>
                <patternFill>
                  <bgColor indexed="10"/>
                </patternFill>
              </fill>
            </x14:dxf>
          </x14:cfRule>
          <xm:sqref>BX39</xm:sqref>
        </x14:conditionalFormatting>
        <x14:conditionalFormatting xmlns:xm="http://schemas.microsoft.com/office/excel/2006/main">
          <x14:cfRule type="cellIs" priority="1108" stopIfTrue="1" operator="lessThan" id="{00000000-0000-0000-0000-000000000000}">
            <xm:f>INDEX('1.Locations'!$F$2:$F$97,$BP$40 + 1)</xm:f>
            <x14:dxf>
              <fill>
                <patternFill>
                  <bgColor indexed="52"/>
                </patternFill>
              </fill>
            </x14:dxf>
          </x14:cfRule>
          <xm:sqref>BW40</xm:sqref>
        </x14:conditionalFormatting>
        <x14:conditionalFormatting xmlns:xm="http://schemas.microsoft.com/office/excel/2006/main">
          <x14:cfRule type="expression" priority="1109" stopIfTrue="1" id="{00000000-0000-0000-0000-000000000000}">
            <xm:f>(60 * HOUR($BX$40) + MINUTE($BX$40)) &gt;(60 * HOUR(INDEX('1.Locations'!$G$2:$G$97,$BP$40 + 1)) +MINUTE(INDEX('1.Locations'!$G$2:$G$97,$BP$40 + 1)))</xm:f>
            <x14:dxf>
              <fill>
                <patternFill>
                  <bgColor indexed="10"/>
                </patternFill>
              </fill>
            </x14:dxf>
          </x14:cfRule>
          <xm:sqref>BX40</xm:sqref>
        </x14:conditionalFormatting>
        <x14:conditionalFormatting xmlns:xm="http://schemas.microsoft.com/office/excel/2006/main">
          <x14:cfRule type="cellIs" priority="1110" stopIfTrue="1" operator="lessThan" id="{00000000-0000-0000-0000-000000000000}">
            <xm:f>INDEX('1.Locations'!$F$2:$F$97,$BP$41 + 1)</xm:f>
            <x14:dxf>
              <fill>
                <patternFill>
                  <bgColor indexed="52"/>
                </patternFill>
              </fill>
            </x14:dxf>
          </x14:cfRule>
          <xm:sqref>BW41</xm:sqref>
        </x14:conditionalFormatting>
        <x14:conditionalFormatting xmlns:xm="http://schemas.microsoft.com/office/excel/2006/main">
          <x14:cfRule type="expression" priority="1111" stopIfTrue="1" id="{00000000-0000-0000-0000-000000000000}">
            <xm:f>(60 * HOUR($BX$41) + MINUTE($BX$41)) &gt;(60 * HOUR(INDEX('1.Locations'!$G$2:$G$97,$BP$41 + 1)) +MINUTE(INDEX('1.Locations'!$G$2:$G$97,$BP$41 + 1)))</xm:f>
            <x14:dxf>
              <fill>
                <patternFill>
                  <bgColor indexed="10"/>
                </patternFill>
              </fill>
            </x14:dxf>
          </x14:cfRule>
          <xm:sqref>BX41</xm:sqref>
        </x14:conditionalFormatting>
        <x14:conditionalFormatting xmlns:xm="http://schemas.microsoft.com/office/excel/2006/main">
          <x14:cfRule type="cellIs" priority="1112" stopIfTrue="1" operator="lessThan" id="{00000000-0000-0000-0000-000000000000}">
            <xm:f>INDEX('1.Locations'!$F$2:$F$97,$BP$42 + 1)</xm:f>
            <x14:dxf>
              <fill>
                <patternFill>
                  <bgColor indexed="52"/>
                </patternFill>
              </fill>
            </x14:dxf>
          </x14:cfRule>
          <xm:sqref>BW42</xm:sqref>
        </x14:conditionalFormatting>
        <x14:conditionalFormatting xmlns:xm="http://schemas.microsoft.com/office/excel/2006/main">
          <x14:cfRule type="expression" priority="1113" stopIfTrue="1" id="{00000000-0000-0000-0000-000000000000}">
            <xm:f>(60 * HOUR($BX$42) + MINUTE($BX$42)) &gt;(60 * HOUR(INDEX('1.Locations'!$G$2:$G$97,$BP$42 + 1)) +MINUTE(INDEX('1.Locations'!$G$2:$G$97,$BP$42 + 1)))</xm:f>
            <x14:dxf>
              <fill>
                <patternFill>
                  <bgColor indexed="10"/>
                </patternFill>
              </fill>
            </x14:dxf>
          </x14:cfRule>
          <xm:sqref>BX42</xm:sqref>
        </x14:conditionalFormatting>
        <x14:conditionalFormatting xmlns:xm="http://schemas.microsoft.com/office/excel/2006/main">
          <x14:cfRule type="cellIs" priority="1114" stopIfTrue="1" operator="lessThan" id="{00000000-0000-0000-0000-000000000000}">
            <xm:f>INDEX('1.Locations'!$F$2:$F$97,$BP$43 + 1)</xm:f>
            <x14:dxf>
              <fill>
                <patternFill>
                  <bgColor indexed="52"/>
                </patternFill>
              </fill>
            </x14:dxf>
          </x14:cfRule>
          <xm:sqref>BW43</xm:sqref>
        </x14:conditionalFormatting>
        <x14:conditionalFormatting xmlns:xm="http://schemas.microsoft.com/office/excel/2006/main">
          <x14:cfRule type="expression" priority="1115" stopIfTrue="1" id="{00000000-0000-0000-0000-000000000000}">
            <xm:f>(60 * HOUR($BX$43) + MINUTE($BX$43)) &gt;(60 * HOUR(INDEX('1.Locations'!$G$2:$G$97,$BP$43 + 1)) +MINUTE(INDEX('1.Locations'!$G$2:$G$97,$BP$43 + 1)))</xm:f>
            <x14:dxf>
              <fill>
                <patternFill>
                  <bgColor indexed="10"/>
                </patternFill>
              </fill>
            </x14:dxf>
          </x14:cfRule>
          <xm:sqref>BX43</xm:sqref>
        </x14:conditionalFormatting>
        <x14:conditionalFormatting xmlns:xm="http://schemas.microsoft.com/office/excel/2006/main">
          <x14:cfRule type="cellIs" priority="1116" stopIfTrue="1" operator="lessThan" id="{00000000-0000-0000-0000-000000000000}">
            <xm:f>INDEX('1.Locations'!$F$2:$F$97,$BP$44 + 1)</xm:f>
            <x14:dxf>
              <fill>
                <patternFill>
                  <bgColor indexed="52"/>
                </patternFill>
              </fill>
            </x14:dxf>
          </x14:cfRule>
          <xm:sqref>BW44</xm:sqref>
        </x14:conditionalFormatting>
        <x14:conditionalFormatting xmlns:xm="http://schemas.microsoft.com/office/excel/2006/main">
          <x14:cfRule type="expression" priority="1117" stopIfTrue="1" id="{00000000-0000-0000-0000-000000000000}">
            <xm:f>(60 * HOUR($BX$44) + MINUTE($BX$44)) &gt;(60 * HOUR(INDEX('1.Locations'!$G$2:$G$97,$BP$44 + 1)) +MINUTE(INDEX('1.Locations'!$G$2:$G$97,$BP$44 + 1)))</xm:f>
            <x14:dxf>
              <fill>
                <patternFill>
                  <bgColor indexed="10"/>
                </patternFill>
              </fill>
            </x14:dxf>
          </x14:cfRule>
          <xm:sqref>BX44</xm:sqref>
        </x14:conditionalFormatting>
        <x14:conditionalFormatting xmlns:xm="http://schemas.microsoft.com/office/excel/2006/main">
          <x14:cfRule type="cellIs" priority="1118" stopIfTrue="1" operator="lessThan" id="{00000000-0000-0000-0000-000000000000}">
            <xm:f>INDEX('1.Locations'!$F$2:$F$97,$BP$45 + 1)</xm:f>
            <x14:dxf>
              <fill>
                <patternFill>
                  <bgColor indexed="52"/>
                </patternFill>
              </fill>
            </x14:dxf>
          </x14:cfRule>
          <xm:sqref>BW45</xm:sqref>
        </x14:conditionalFormatting>
        <x14:conditionalFormatting xmlns:xm="http://schemas.microsoft.com/office/excel/2006/main">
          <x14:cfRule type="expression" priority="1119" stopIfTrue="1" id="{00000000-0000-0000-0000-000000000000}">
            <xm:f>(60 * HOUR($BX$45) + MINUTE($BX$45)) &gt;(60 * HOUR(INDEX('1.Locations'!$G$2:$G$97,$BP$45 + 1)) +MINUTE(INDEX('1.Locations'!$G$2:$G$97,$BP$45 + 1)))</xm:f>
            <x14:dxf>
              <fill>
                <patternFill>
                  <bgColor indexed="10"/>
                </patternFill>
              </fill>
            </x14:dxf>
          </x14:cfRule>
          <xm:sqref>BX45</xm:sqref>
        </x14:conditionalFormatting>
        <x14:conditionalFormatting xmlns:xm="http://schemas.microsoft.com/office/excel/2006/main">
          <x14:cfRule type="cellIs" priority="1120" stopIfTrue="1" operator="lessThan" id="{00000000-0000-0000-0000-000000000000}">
            <xm:f>INDEX('1.Locations'!$F$2:$F$97,$BP$46 + 1)</xm:f>
            <x14:dxf>
              <fill>
                <patternFill>
                  <bgColor indexed="52"/>
                </patternFill>
              </fill>
            </x14:dxf>
          </x14:cfRule>
          <xm:sqref>BW46</xm:sqref>
        </x14:conditionalFormatting>
        <x14:conditionalFormatting xmlns:xm="http://schemas.microsoft.com/office/excel/2006/main">
          <x14:cfRule type="expression" priority="1121" stopIfTrue="1" id="{00000000-0000-0000-0000-000000000000}">
            <xm:f>(60 * HOUR($BX$46) + MINUTE($BX$46)) &gt;(60 * HOUR(INDEX('1.Locations'!$G$2:$G$97,$BP$46 + 1)) +MINUTE(INDEX('1.Locations'!$G$2:$G$97,$BP$46 + 1)))</xm:f>
            <x14:dxf>
              <fill>
                <patternFill>
                  <bgColor indexed="10"/>
                </patternFill>
              </fill>
            </x14:dxf>
          </x14:cfRule>
          <xm:sqref>BX46</xm:sqref>
        </x14:conditionalFormatting>
        <x14:conditionalFormatting xmlns:xm="http://schemas.microsoft.com/office/excel/2006/main">
          <x14:cfRule type="cellIs" priority="1122" stopIfTrue="1" operator="lessThan" id="{00000000-0000-0000-0000-000000000000}">
            <xm:f>INDEX('1.Locations'!$F$2:$F$97,$BP$47 + 1)</xm:f>
            <x14:dxf>
              <fill>
                <patternFill>
                  <bgColor indexed="52"/>
                </patternFill>
              </fill>
            </x14:dxf>
          </x14:cfRule>
          <xm:sqref>BW47</xm:sqref>
        </x14:conditionalFormatting>
        <x14:conditionalFormatting xmlns:xm="http://schemas.microsoft.com/office/excel/2006/main">
          <x14:cfRule type="expression" priority="1123" stopIfTrue="1" id="{00000000-0000-0000-0000-000000000000}">
            <xm:f>(60 * HOUR($BX$47) + MINUTE($BX$47)) &gt;(60 * HOUR(INDEX('1.Locations'!$G$2:$G$97,$BP$47 + 1)) +MINUTE(INDEX('1.Locations'!$G$2:$G$97,$BP$47 + 1)))</xm:f>
            <x14:dxf>
              <fill>
                <patternFill>
                  <bgColor indexed="10"/>
                </patternFill>
              </fill>
            </x14:dxf>
          </x14:cfRule>
          <xm:sqref>BX47</xm:sqref>
        </x14:conditionalFormatting>
        <x14:conditionalFormatting xmlns:xm="http://schemas.microsoft.com/office/excel/2006/main">
          <x14:cfRule type="cellIs" priority="1124" stopIfTrue="1" operator="lessThan" id="{00000000-0000-0000-0000-000000000000}">
            <xm:f>INDEX('1.Locations'!$F$2:$F$97,$BP$48 + 1)</xm:f>
            <x14:dxf>
              <fill>
                <patternFill>
                  <bgColor indexed="52"/>
                </patternFill>
              </fill>
            </x14:dxf>
          </x14:cfRule>
          <xm:sqref>BW48</xm:sqref>
        </x14:conditionalFormatting>
        <x14:conditionalFormatting xmlns:xm="http://schemas.microsoft.com/office/excel/2006/main">
          <x14:cfRule type="expression" priority="1125" stopIfTrue="1" id="{00000000-0000-0000-0000-000000000000}">
            <xm:f>(60 * HOUR($BX$48) + MINUTE($BX$48)) &gt;(60 * HOUR(INDEX('1.Locations'!$G$2:$G$97,$BP$48 + 1)) +MINUTE(INDEX('1.Locations'!$G$2:$G$97,$BP$48 + 1)))</xm:f>
            <x14:dxf>
              <fill>
                <patternFill>
                  <bgColor indexed="10"/>
                </patternFill>
              </fill>
            </x14:dxf>
          </x14:cfRule>
          <xm:sqref>BX48</xm:sqref>
        </x14:conditionalFormatting>
        <x14:conditionalFormatting xmlns:xm="http://schemas.microsoft.com/office/excel/2006/main">
          <x14:cfRule type="cellIs" priority="1126" stopIfTrue="1" operator="lessThan" id="{00000000-0000-0000-0000-000000000000}">
            <xm:f>INDEX('1.Locations'!$F$2:$F$97,$BP$49 + 1)</xm:f>
            <x14:dxf>
              <fill>
                <patternFill>
                  <bgColor indexed="52"/>
                </patternFill>
              </fill>
            </x14:dxf>
          </x14:cfRule>
          <xm:sqref>BW49</xm:sqref>
        </x14:conditionalFormatting>
        <x14:conditionalFormatting xmlns:xm="http://schemas.microsoft.com/office/excel/2006/main">
          <x14:cfRule type="expression" priority="1127" stopIfTrue="1" id="{00000000-0000-0000-0000-000000000000}">
            <xm:f>(60 * HOUR($BX$49) + MINUTE($BX$49)) &gt;(60 * HOUR(INDEX('1.Locations'!$G$2:$G$97,$BP$49 + 1)) +MINUTE(INDEX('1.Locations'!$G$2:$G$97,$BP$49 + 1)))</xm:f>
            <x14:dxf>
              <fill>
                <patternFill>
                  <bgColor indexed="10"/>
                </patternFill>
              </fill>
            </x14:dxf>
          </x14:cfRule>
          <xm:sqref>BX49</xm:sqref>
        </x14:conditionalFormatting>
        <x14:conditionalFormatting xmlns:xm="http://schemas.microsoft.com/office/excel/2006/main">
          <x14:cfRule type="cellIs" priority="1128" stopIfTrue="1" operator="lessThan" id="{00000000-0000-0000-0000-000000000000}">
            <xm:f>INDEX('1.Locations'!$F$2:$F$97,$BP$50 + 1)</xm:f>
            <x14:dxf>
              <fill>
                <patternFill>
                  <bgColor indexed="52"/>
                </patternFill>
              </fill>
            </x14:dxf>
          </x14:cfRule>
          <xm:sqref>BW50</xm:sqref>
        </x14:conditionalFormatting>
        <x14:conditionalFormatting xmlns:xm="http://schemas.microsoft.com/office/excel/2006/main">
          <x14:cfRule type="expression" priority="1129" stopIfTrue="1" id="{00000000-0000-0000-0000-000000000000}">
            <xm:f>(60 * HOUR($BX$50) + MINUTE($BX$50)) &gt;(60 * HOUR(INDEX('1.Locations'!$G$2:$G$97,$BP$50 + 1)) +MINUTE(INDEX('1.Locations'!$G$2:$G$97,$BP$50 + 1)))</xm:f>
            <x14:dxf>
              <fill>
                <patternFill>
                  <bgColor indexed="10"/>
                </patternFill>
              </fill>
            </x14:dxf>
          </x14:cfRule>
          <xm:sqref>BX50</xm:sqref>
        </x14:conditionalFormatting>
        <x14:conditionalFormatting xmlns:xm="http://schemas.microsoft.com/office/excel/2006/main">
          <x14:cfRule type="cellIs" priority="1130" stopIfTrue="1" operator="lessThan" id="{00000000-0000-0000-0000-000000000000}">
            <xm:f>INDEX('1.Locations'!$F$2:$F$97,$BP$51 + 1)</xm:f>
            <x14:dxf>
              <fill>
                <patternFill>
                  <bgColor indexed="52"/>
                </patternFill>
              </fill>
            </x14:dxf>
          </x14:cfRule>
          <xm:sqref>BW51</xm:sqref>
        </x14:conditionalFormatting>
        <x14:conditionalFormatting xmlns:xm="http://schemas.microsoft.com/office/excel/2006/main">
          <x14:cfRule type="expression" priority="1131" stopIfTrue="1" id="{00000000-0000-0000-0000-000000000000}">
            <xm:f>(60 * HOUR($BX$51) + MINUTE($BX$51)) &gt;(60 * HOUR(INDEX('1.Locations'!$G$2:$G$97,$BP$51 + 1)) +MINUTE(INDEX('1.Locations'!$G$2:$G$97,$BP$51 + 1)))</xm:f>
            <x14:dxf>
              <fill>
                <patternFill>
                  <bgColor indexed="10"/>
                </patternFill>
              </fill>
            </x14:dxf>
          </x14:cfRule>
          <xm:sqref>BX51</xm:sqref>
        </x14:conditionalFormatting>
        <x14:conditionalFormatting xmlns:xm="http://schemas.microsoft.com/office/excel/2006/main">
          <x14:cfRule type="cellIs" priority="1132" stopIfTrue="1" operator="lessThan" id="{00000000-0000-0000-0000-000000000000}">
            <xm:f>INDEX('1.Locations'!$F$2:$F$97,$BP$52 + 1)</xm:f>
            <x14:dxf>
              <fill>
                <patternFill>
                  <bgColor indexed="52"/>
                </patternFill>
              </fill>
            </x14:dxf>
          </x14:cfRule>
          <xm:sqref>BW52</xm:sqref>
        </x14:conditionalFormatting>
        <x14:conditionalFormatting xmlns:xm="http://schemas.microsoft.com/office/excel/2006/main">
          <x14:cfRule type="expression" priority="1133" stopIfTrue="1" id="{00000000-0000-0000-0000-000000000000}">
            <xm:f>(60 * HOUR($BX$52) + MINUTE($BX$52)) &gt;(60 * HOUR(INDEX('1.Locations'!$G$2:$G$97,$BP$52 + 1)) +MINUTE(INDEX('1.Locations'!$G$2:$G$97,$BP$52 + 1)))</xm:f>
            <x14:dxf>
              <fill>
                <patternFill>
                  <bgColor indexed="10"/>
                </patternFill>
              </fill>
            </x14:dxf>
          </x14:cfRule>
          <xm:sqref>BX52</xm:sqref>
        </x14:conditionalFormatting>
        <x14:conditionalFormatting xmlns:xm="http://schemas.microsoft.com/office/excel/2006/main">
          <x14:cfRule type="cellIs" priority="1134" stopIfTrue="1" operator="lessThan" id="{00000000-0000-0000-0000-000000000000}">
            <xm:f>INDEX('1.Locations'!$F$2:$F$97,$BP$53 + 1)</xm:f>
            <x14:dxf>
              <fill>
                <patternFill>
                  <bgColor indexed="52"/>
                </patternFill>
              </fill>
            </x14:dxf>
          </x14:cfRule>
          <xm:sqref>BW53</xm:sqref>
        </x14:conditionalFormatting>
        <x14:conditionalFormatting xmlns:xm="http://schemas.microsoft.com/office/excel/2006/main">
          <x14:cfRule type="expression" priority="1135" stopIfTrue="1" id="{00000000-0000-0000-0000-000000000000}">
            <xm:f>(60 * HOUR($BX$53) + MINUTE($BX$53)) &gt;(60 * HOUR(INDEX('1.Locations'!$G$2:$G$97,$BP$53 + 1)) +MINUTE(INDEX('1.Locations'!$G$2:$G$97,$BP$53 + 1)))</xm:f>
            <x14:dxf>
              <fill>
                <patternFill>
                  <bgColor indexed="10"/>
                </patternFill>
              </fill>
            </x14:dxf>
          </x14:cfRule>
          <xm:sqref>BX53</xm:sqref>
        </x14:conditionalFormatting>
        <x14:conditionalFormatting xmlns:xm="http://schemas.microsoft.com/office/excel/2006/main">
          <x14:cfRule type="cellIs" priority="1136" stopIfTrue="1" operator="lessThan" id="{00000000-0000-0000-0000-000000000000}">
            <xm:f>INDEX('1.Locations'!$F$2:$F$97,$BP$54 + 1)</xm:f>
            <x14:dxf>
              <fill>
                <patternFill>
                  <bgColor indexed="52"/>
                </patternFill>
              </fill>
            </x14:dxf>
          </x14:cfRule>
          <xm:sqref>BW54</xm:sqref>
        </x14:conditionalFormatting>
        <x14:conditionalFormatting xmlns:xm="http://schemas.microsoft.com/office/excel/2006/main">
          <x14:cfRule type="expression" priority="1137" stopIfTrue="1" id="{00000000-0000-0000-0000-000000000000}">
            <xm:f>(60 * HOUR($BX$54) + MINUTE($BX$54)) &gt;(60 * HOUR(INDEX('1.Locations'!$G$2:$G$97,$BP$54 + 1)) +MINUTE(INDEX('1.Locations'!$G$2:$G$97,$BP$54 + 1)))</xm:f>
            <x14:dxf>
              <fill>
                <patternFill>
                  <bgColor indexed="10"/>
                </patternFill>
              </fill>
            </x14:dxf>
          </x14:cfRule>
          <xm:sqref>BX54</xm:sqref>
        </x14:conditionalFormatting>
        <x14:conditionalFormatting xmlns:xm="http://schemas.microsoft.com/office/excel/2006/main">
          <x14:cfRule type="cellIs" priority="1138" stopIfTrue="1" operator="lessThan" id="{00000000-0000-0000-0000-000000000000}">
            <xm:f>INDEX('1.Locations'!$F$2:$F$97,$BP$55 + 1)</xm:f>
            <x14:dxf>
              <fill>
                <patternFill>
                  <bgColor indexed="52"/>
                </patternFill>
              </fill>
            </x14:dxf>
          </x14:cfRule>
          <xm:sqref>BW55</xm:sqref>
        </x14:conditionalFormatting>
        <x14:conditionalFormatting xmlns:xm="http://schemas.microsoft.com/office/excel/2006/main">
          <x14:cfRule type="expression" priority="1139" stopIfTrue="1" id="{00000000-0000-0000-0000-000000000000}">
            <xm:f>(60 * HOUR($BX$55) + MINUTE($BX$55)) &gt;(60 * HOUR(INDEX('1.Locations'!$G$2:$G$97,$BP$55 + 1)) +MINUTE(INDEX('1.Locations'!$G$2:$G$97,$BP$55 + 1)))</xm:f>
            <x14:dxf>
              <fill>
                <patternFill>
                  <bgColor indexed="10"/>
                </patternFill>
              </fill>
            </x14:dxf>
          </x14:cfRule>
          <xm:sqref>BX55</xm:sqref>
        </x14:conditionalFormatting>
        <x14:conditionalFormatting xmlns:xm="http://schemas.microsoft.com/office/excel/2006/main">
          <x14:cfRule type="cellIs" priority="1140" stopIfTrue="1" operator="lessThan" id="{00000000-0000-0000-0000-000000000000}">
            <xm:f>INDEX('1.Locations'!$F$2:$F$97,$BP$56 + 1)</xm:f>
            <x14:dxf>
              <fill>
                <patternFill>
                  <bgColor indexed="52"/>
                </patternFill>
              </fill>
            </x14:dxf>
          </x14:cfRule>
          <xm:sqref>BW56</xm:sqref>
        </x14:conditionalFormatting>
        <x14:conditionalFormatting xmlns:xm="http://schemas.microsoft.com/office/excel/2006/main">
          <x14:cfRule type="expression" priority="1141" stopIfTrue="1" id="{00000000-0000-0000-0000-000000000000}">
            <xm:f>(60 * HOUR($BX$56) + MINUTE($BX$56)) &gt;(60 * HOUR(INDEX('1.Locations'!$G$2:$G$97,$BP$56 + 1)) +MINUTE(INDEX('1.Locations'!$G$2:$G$97,$BP$56 + 1)))</xm:f>
            <x14:dxf>
              <fill>
                <patternFill>
                  <bgColor indexed="10"/>
                </patternFill>
              </fill>
            </x14:dxf>
          </x14:cfRule>
          <xm:sqref>BX56</xm:sqref>
        </x14:conditionalFormatting>
        <x14:conditionalFormatting xmlns:xm="http://schemas.microsoft.com/office/excel/2006/main">
          <x14:cfRule type="cellIs" priority="1142" stopIfTrue="1" operator="lessThan" id="{00000000-0000-0000-0000-000000000000}">
            <xm:f>INDEX('1.Locations'!$F$2:$F$97,$BP$57 + 1)</xm:f>
            <x14:dxf>
              <fill>
                <patternFill>
                  <bgColor indexed="52"/>
                </patternFill>
              </fill>
            </x14:dxf>
          </x14:cfRule>
          <xm:sqref>BW57</xm:sqref>
        </x14:conditionalFormatting>
        <x14:conditionalFormatting xmlns:xm="http://schemas.microsoft.com/office/excel/2006/main">
          <x14:cfRule type="expression" priority="1143" stopIfTrue="1" id="{00000000-0000-0000-0000-000000000000}">
            <xm:f>(60 * HOUR($BX$57) + MINUTE($BX$57)) &gt;(60 * HOUR(INDEX('1.Locations'!$G$2:$G$97,$BP$57 + 1)) +MINUTE(INDEX('1.Locations'!$G$2:$G$97,$BP$57 + 1)))</xm:f>
            <x14:dxf>
              <fill>
                <patternFill>
                  <bgColor indexed="10"/>
                </patternFill>
              </fill>
            </x14:dxf>
          </x14:cfRule>
          <xm:sqref>BX57</xm:sqref>
        </x14:conditionalFormatting>
        <x14:conditionalFormatting xmlns:xm="http://schemas.microsoft.com/office/excel/2006/main">
          <x14:cfRule type="cellIs" priority="1144" stopIfTrue="1" operator="lessThan" id="{00000000-0000-0000-0000-000000000000}">
            <xm:f>INDEX('1.Locations'!$F$2:$F$97,$BP$58 + 1)</xm:f>
            <x14:dxf>
              <fill>
                <patternFill>
                  <bgColor indexed="52"/>
                </patternFill>
              </fill>
            </x14:dxf>
          </x14:cfRule>
          <xm:sqref>BW58</xm:sqref>
        </x14:conditionalFormatting>
        <x14:conditionalFormatting xmlns:xm="http://schemas.microsoft.com/office/excel/2006/main">
          <x14:cfRule type="expression" priority="1145" stopIfTrue="1" id="{00000000-0000-0000-0000-000000000000}">
            <xm:f>(60 * HOUR($BX$58) + MINUTE($BX$58)) &gt;(60 * HOUR(INDEX('1.Locations'!$G$2:$G$97,$BP$58 + 1)) +MINUTE(INDEX('1.Locations'!$G$2:$G$97,$BP$58 + 1)))</xm:f>
            <x14:dxf>
              <fill>
                <patternFill>
                  <bgColor indexed="10"/>
                </patternFill>
              </fill>
            </x14:dxf>
          </x14:cfRule>
          <xm:sqref>BX58</xm:sqref>
        </x14:conditionalFormatting>
        <x14:conditionalFormatting xmlns:xm="http://schemas.microsoft.com/office/excel/2006/main">
          <x14:cfRule type="cellIs" priority="1146" stopIfTrue="1" operator="lessThan" id="{00000000-0000-0000-0000-000000000000}">
            <xm:f>INDEX('1.Locations'!$F$2:$F$97,$BP$59 + 1)</xm:f>
            <x14:dxf>
              <fill>
                <patternFill>
                  <bgColor indexed="52"/>
                </patternFill>
              </fill>
            </x14:dxf>
          </x14:cfRule>
          <xm:sqref>BW59</xm:sqref>
        </x14:conditionalFormatting>
        <x14:conditionalFormatting xmlns:xm="http://schemas.microsoft.com/office/excel/2006/main">
          <x14:cfRule type="expression" priority="1147" stopIfTrue="1" id="{00000000-0000-0000-0000-000000000000}">
            <xm:f>(60 * HOUR($BX$59) + MINUTE($BX$59)) &gt;(60 * HOUR(INDEX('1.Locations'!$G$2:$G$97,$BP$59 + 1)) +MINUTE(INDEX('1.Locations'!$G$2:$G$97,$BP$59 + 1)))</xm:f>
            <x14:dxf>
              <fill>
                <patternFill>
                  <bgColor indexed="10"/>
                </patternFill>
              </fill>
            </x14:dxf>
          </x14:cfRule>
          <xm:sqref>BX59</xm:sqref>
        </x14:conditionalFormatting>
        <x14:conditionalFormatting xmlns:xm="http://schemas.microsoft.com/office/excel/2006/main">
          <x14:cfRule type="cellIs" priority="1148" stopIfTrue="1" operator="lessThan" id="{00000000-0000-0000-0000-000000000000}">
            <xm:f>INDEX('1.Locations'!$F$2:$F$97,$BP$60 + 1)</xm:f>
            <x14:dxf>
              <fill>
                <patternFill>
                  <bgColor indexed="52"/>
                </patternFill>
              </fill>
            </x14:dxf>
          </x14:cfRule>
          <xm:sqref>BW60</xm:sqref>
        </x14:conditionalFormatting>
        <x14:conditionalFormatting xmlns:xm="http://schemas.microsoft.com/office/excel/2006/main">
          <x14:cfRule type="expression" priority="1149" stopIfTrue="1" id="{00000000-0000-0000-0000-000000000000}">
            <xm:f>(60 * HOUR($BX$60) + MINUTE($BX$60)) &gt;(60 * HOUR(INDEX('1.Locations'!$G$2:$G$97,$BP$60 + 1)) +MINUTE(INDEX('1.Locations'!$G$2:$G$97,$BP$60 + 1)))</xm:f>
            <x14:dxf>
              <fill>
                <patternFill>
                  <bgColor indexed="10"/>
                </patternFill>
              </fill>
            </x14:dxf>
          </x14:cfRule>
          <xm:sqref>BX60</xm:sqref>
        </x14:conditionalFormatting>
        <x14:conditionalFormatting xmlns:xm="http://schemas.microsoft.com/office/excel/2006/main">
          <x14:cfRule type="cellIs" priority="1150" stopIfTrue="1" operator="lessThan" id="{00000000-0000-0000-0000-000000000000}">
            <xm:f>INDEX('1.Locations'!$F$2:$F$97,$BP$61 + 1)</xm:f>
            <x14:dxf>
              <fill>
                <patternFill>
                  <bgColor indexed="52"/>
                </patternFill>
              </fill>
            </x14:dxf>
          </x14:cfRule>
          <xm:sqref>BW61</xm:sqref>
        </x14:conditionalFormatting>
        <x14:conditionalFormatting xmlns:xm="http://schemas.microsoft.com/office/excel/2006/main">
          <x14:cfRule type="expression" priority="1151" stopIfTrue="1" id="{00000000-0000-0000-0000-000000000000}">
            <xm:f>(60 * HOUR($BX$61) + MINUTE($BX$61)) &gt;(60 * HOUR(INDEX('1.Locations'!$G$2:$G$97,$BP$61 + 1)) +MINUTE(INDEX('1.Locations'!$G$2:$G$97,$BP$61 + 1)))</xm:f>
            <x14:dxf>
              <fill>
                <patternFill>
                  <bgColor indexed="10"/>
                </patternFill>
              </fill>
            </x14:dxf>
          </x14:cfRule>
          <xm:sqref>BX61</xm:sqref>
        </x14:conditionalFormatting>
        <x14:conditionalFormatting xmlns:xm="http://schemas.microsoft.com/office/excel/2006/main">
          <x14:cfRule type="cellIs" priority="1152" stopIfTrue="1" operator="lessThan" id="{00000000-0000-0000-0000-000000000000}">
            <xm:f>INDEX('1.Locations'!$F$2:$F$97,$BP$62 + 1)</xm:f>
            <x14:dxf>
              <fill>
                <patternFill>
                  <bgColor indexed="52"/>
                </patternFill>
              </fill>
            </x14:dxf>
          </x14:cfRule>
          <xm:sqref>BW62</xm:sqref>
        </x14:conditionalFormatting>
        <x14:conditionalFormatting xmlns:xm="http://schemas.microsoft.com/office/excel/2006/main">
          <x14:cfRule type="expression" priority="1153" stopIfTrue="1" id="{00000000-0000-0000-0000-000000000000}">
            <xm:f>(60 * HOUR($BX$62) + MINUTE($BX$62)) &gt;(60 * HOUR(INDEX('1.Locations'!$G$2:$G$97,$BP$62 + 1)) +MINUTE(INDEX('1.Locations'!$G$2:$G$97,$BP$62 + 1)))</xm:f>
            <x14:dxf>
              <fill>
                <patternFill>
                  <bgColor indexed="10"/>
                </patternFill>
              </fill>
            </x14:dxf>
          </x14:cfRule>
          <xm:sqref>BX62</xm:sqref>
        </x14:conditionalFormatting>
        <x14:conditionalFormatting xmlns:xm="http://schemas.microsoft.com/office/excel/2006/main">
          <x14:cfRule type="cellIs" priority="1154" stopIfTrue="1" operator="lessThan" id="{00000000-0000-0000-0000-000000000000}">
            <xm:f>INDEX('1.Locations'!$F$2:$F$97,$BP$63 + 1)</xm:f>
            <x14:dxf>
              <fill>
                <patternFill>
                  <bgColor indexed="52"/>
                </patternFill>
              </fill>
            </x14:dxf>
          </x14:cfRule>
          <xm:sqref>BW63</xm:sqref>
        </x14:conditionalFormatting>
        <x14:conditionalFormatting xmlns:xm="http://schemas.microsoft.com/office/excel/2006/main">
          <x14:cfRule type="expression" priority="1155" stopIfTrue="1" id="{00000000-0000-0000-0000-000000000000}">
            <xm:f>(60 * HOUR($BX$63) + MINUTE($BX$63)) &gt;(60 * HOUR(INDEX('1.Locations'!$G$2:$G$97,$BP$63 + 1)) +MINUTE(INDEX('1.Locations'!$G$2:$G$97,$BP$63 + 1)))</xm:f>
            <x14:dxf>
              <fill>
                <patternFill>
                  <bgColor indexed="10"/>
                </patternFill>
              </fill>
            </x14:dxf>
          </x14:cfRule>
          <xm:sqref>BX63</xm:sqref>
        </x14:conditionalFormatting>
        <x14:conditionalFormatting xmlns:xm="http://schemas.microsoft.com/office/excel/2006/main">
          <x14:cfRule type="cellIs" priority="1156" stopIfTrue="1" operator="lessThan" id="{00000000-0000-0000-0000-000000000000}">
            <xm:f>INDEX('1.Locations'!$F$2:$F$97,$BP$64 + 1)</xm:f>
            <x14:dxf>
              <fill>
                <patternFill>
                  <bgColor indexed="52"/>
                </patternFill>
              </fill>
            </x14:dxf>
          </x14:cfRule>
          <xm:sqref>BW64</xm:sqref>
        </x14:conditionalFormatting>
        <x14:conditionalFormatting xmlns:xm="http://schemas.microsoft.com/office/excel/2006/main">
          <x14:cfRule type="expression" priority="1157" stopIfTrue="1" id="{00000000-0000-0000-0000-000000000000}">
            <xm:f>(60 * HOUR($BX$64) + MINUTE($BX$64)) &gt;(60 * HOUR(INDEX('1.Locations'!$G$2:$G$97,$BP$64 + 1)) +MINUTE(INDEX('1.Locations'!$G$2:$G$97,$BP$64 + 1)))</xm:f>
            <x14:dxf>
              <fill>
                <patternFill>
                  <bgColor indexed="10"/>
                </patternFill>
              </fill>
            </x14:dxf>
          </x14:cfRule>
          <xm:sqref>BX64</xm:sqref>
        </x14:conditionalFormatting>
        <x14:conditionalFormatting xmlns:xm="http://schemas.microsoft.com/office/excel/2006/main">
          <x14:cfRule type="cellIs" priority="1158" stopIfTrue="1" operator="lessThan" id="{00000000-0000-0000-0000-000000000000}">
            <xm:f>INDEX('1.Locations'!$F$2:$F$97,$BP$65 + 1)</xm:f>
            <x14:dxf>
              <fill>
                <patternFill>
                  <bgColor indexed="52"/>
                </patternFill>
              </fill>
            </x14:dxf>
          </x14:cfRule>
          <xm:sqref>BW65</xm:sqref>
        </x14:conditionalFormatting>
        <x14:conditionalFormatting xmlns:xm="http://schemas.microsoft.com/office/excel/2006/main">
          <x14:cfRule type="expression" priority="1159" stopIfTrue="1" id="{00000000-0000-0000-0000-000000000000}">
            <xm:f>(60 * HOUR($BX$65) + MINUTE($BX$65)) &gt;(60 * HOUR(INDEX('1.Locations'!$G$2:$G$97,$BP$65 + 1)) +MINUTE(INDEX('1.Locations'!$G$2:$G$97,$BP$65 + 1)))</xm:f>
            <x14:dxf>
              <fill>
                <patternFill>
                  <bgColor indexed="10"/>
                </patternFill>
              </fill>
            </x14:dxf>
          </x14:cfRule>
          <xm:sqref>BX65</xm:sqref>
        </x14:conditionalFormatting>
        <x14:conditionalFormatting xmlns:xm="http://schemas.microsoft.com/office/excel/2006/main">
          <x14:cfRule type="cellIs" priority="1160" stopIfTrue="1" operator="lessThan" id="{00000000-0000-0000-0000-000000000000}">
            <xm:f>INDEX('1.Locations'!$F$2:$F$97,$BP$66 + 1)</xm:f>
            <x14:dxf>
              <fill>
                <patternFill>
                  <bgColor indexed="52"/>
                </patternFill>
              </fill>
            </x14:dxf>
          </x14:cfRule>
          <xm:sqref>BW66</xm:sqref>
        </x14:conditionalFormatting>
        <x14:conditionalFormatting xmlns:xm="http://schemas.microsoft.com/office/excel/2006/main">
          <x14:cfRule type="expression" priority="1161" stopIfTrue="1" id="{00000000-0000-0000-0000-000000000000}">
            <xm:f>(60 * HOUR($BX$66) + MINUTE($BX$66)) &gt;(60 * HOUR(INDEX('1.Locations'!$G$2:$G$97,$BP$66 + 1)) +MINUTE(INDEX('1.Locations'!$G$2:$G$97,$BP$66 + 1)))</xm:f>
            <x14:dxf>
              <fill>
                <patternFill>
                  <bgColor indexed="10"/>
                </patternFill>
              </fill>
            </x14:dxf>
          </x14:cfRule>
          <xm:sqref>BX66</xm:sqref>
        </x14:conditionalFormatting>
        <x14:conditionalFormatting xmlns:xm="http://schemas.microsoft.com/office/excel/2006/main">
          <x14:cfRule type="cellIs" priority="1162" stopIfTrue="1" operator="lessThan" id="{00000000-0000-0000-0000-000000000000}">
            <xm:f>INDEX('1.Locations'!$F$2:$F$97,$BP$67 + 1)</xm:f>
            <x14:dxf>
              <fill>
                <patternFill>
                  <bgColor indexed="52"/>
                </patternFill>
              </fill>
            </x14:dxf>
          </x14:cfRule>
          <xm:sqref>BW67</xm:sqref>
        </x14:conditionalFormatting>
        <x14:conditionalFormatting xmlns:xm="http://schemas.microsoft.com/office/excel/2006/main">
          <x14:cfRule type="expression" priority="1163" stopIfTrue="1" id="{00000000-0000-0000-0000-000000000000}">
            <xm:f>(60 * HOUR($BX$67) + MINUTE($BX$67)) &gt;(60 * HOUR(INDEX('1.Locations'!$G$2:$G$97,$BP$67 + 1)) +MINUTE(INDEX('1.Locations'!$G$2:$G$97,$BP$67 + 1)))</xm:f>
            <x14:dxf>
              <fill>
                <patternFill>
                  <bgColor indexed="10"/>
                </patternFill>
              </fill>
            </x14:dxf>
          </x14:cfRule>
          <xm:sqref>BX67</xm:sqref>
        </x14:conditionalFormatting>
        <x14:conditionalFormatting xmlns:xm="http://schemas.microsoft.com/office/excel/2006/main">
          <x14:cfRule type="cellIs" priority="1164" stopIfTrue="1" operator="lessThan" id="{00000000-0000-0000-0000-000000000000}">
            <xm:f>INDEX('1.Locations'!$F$2:$F$97,$BP$68 + 1)</xm:f>
            <x14:dxf>
              <fill>
                <patternFill>
                  <bgColor indexed="52"/>
                </patternFill>
              </fill>
            </x14:dxf>
          </x14:cfRule>
          <xm:sqref>BW68</xm:sqref>
        </x14:conditionalFormatting>
        <x14:conditionalFormatting xmlns:xm="http://schemas.microsoft.com/office/excel/2006/main">
          <x14:cfRule type="expression" priority="1165" stopIfTrue="1" id="{00000000-0000-0000-0000-000000000000}">
            <xm:f>(60 * HOUR($BX$68) + MINUTE($BX$68)) &gt;(60 * HOUR(INDEX('1.Locations'!$G$2:$G$97,$BP$68 + 1)) +MINUTE(INDEX('1.Locations'!$G$2:$G$97,$BP$68 + 1)))</xm:f>
            <x14:dxf>
              <fill>
                <patternFill>
                  <bgColor indexed="10"/>
                </patternFill>
              </fill>
            </x14:dxf>
          </x14:cfRule>
          <xm:sqref>BX68</xm:sqref>
        </x14:conditionalFormatting>
        <x14:conditionalFormatting xmlns:xm="http://schemas.microsoft.com/office/excel/2006/main">
          <x14:cfRule type="cellIs" priority="1166" stopIfTrue="1" operator="lessThan" id="{00000000-0000-0000-0000-000000000000}">
            <xm:f>INDEX('1.Locations'!$F$2:$F$97,$BP$69 + 1)</xm:f>
            <x14:dxf>
              <fill>
                <patternFill>
                  <bgColor indexed="52"/>
                </patternFill>
              </fill>
            </x14:dxf>
          </x14:cfRule>
          <xm:sqref>BW69</xm:sqref>
        </x14:conditionalFormatting>
        <x14:conditionalFormatting xmlns:xm="http://schemas.microsoft.com/office/excel/2006/main">
          <x14:cfRule type="expression" priority="1167" stopIfTrue="1" id="{00000000-0000-0000-0000-000000000000}">
            <xm:f>(60 * HOUR($BX$69) + MINUTE($BX$69)) &gt;(60 * HOUR(INDEX('1.Locations'!$G$2:$G$97,$BP$69 + 1)) +MINUTE(INDEX('1.Locations'!$G$2:$G$97,$BP$69 + 1)))</xm:f>
            <x14:dxf>
              <fill>
                <patternFill>
                  <bgColor indexed="10"/>
                </patternFill>
              </fill>
            </x14:dxf>
          </x14:cfRule>
          <xm:sqref>BX69</xm:sqref>
        </x14:conditionalFormatting>
        <x14:conditionalFormatting xmlns:xm="http://schemas.microsoft.com/office/excel/2006/main">
          <x14:cfRule type="cellIs" priority="1168" stopIfTrue="1" operator="lessThan" id="{00000000-0000-0000-0000-000000000000}">
            <xm:f>INDEX('1.Locations'!$F$2:$F$97,$BP$70 + 1)</xm:f>
            <x14:dxf>
              <fill>
                <patternFill>
                  <bgColor indexed="52"/>
                </patternFill>
              </fill>
            </x14:dxf>
          </x14:cfRule>
          <xm:sqref>BW70</xm:sqref>
        </x14:conditionalFormatting>
        <x14:conditionalFormatting xmlns:xm="http://schemas.microsoft.com/office/excel/2006/main">
          <x14:cfRule type="expression" priority="1169" stopIfTrue="1" id="{00000000-0000-0000-0000-000000000000}">
            <xm:f>(60 * HOUR($BX$70) + MINUTE($BX$70)) &gt;(60 * HOUR(INDEX('1.Locations'!$G$2:$G$97,$BP$70 + 1)) +MINUTE(INDEX('1.Locations'!$G$2:$G$97,$BP$70 + 1)))</xm:f>
            <x14:dxf>
              <fill>
                <patternFill>
                  <bgColor indexed="10"/>
                </patternFill>
              </fill>
            </x14:dxf>
          </x14:cfRule>
          <xm:sqref>BX70</xm:sqref>
        </x14:conditionalFormatting>
        <x14:conditionalFormatting xmlns:xm="http://schemas.microsoft.com/office/excel/2006/main">
          <x14:cfRule type="cellIs" priority="1170" stopIfTrue="1" operator="lessThan" id="{00000000-0000-0000-0000-000000000000}">
            <xm:f>INDEX('1.Locations'!$F$2:$F$97,$BP$71 + 1)</xm:f>
            <x14:dxf>
              <fill>
                <patternFill>
                  <bgColor indexed="52"/>
                </patternFill>
              </fill>
            </x14:dxf>
          </x14:cfRule>
          <xm:sqref>BW71</xm:sqref>
        </x14:conditionalFormatting>
        <x14:conditionalFormatting xmlns:xm="http://schemas.microsoft.com/office/excel/2006/main">
          <x14:cfRule type="expression" priority="1171" stopIfTrue="1" id="{00000000-0000-0000-0000-000000000000}">
            <xm:f>(60 * HOUR($BX$71) + MINUTE($BX$71)) &gt;(60 * HOUR(INDEX('1.Locations'!$G$2:$G$97,$BP$71 + 1)) +MINUTE(INDEX('1.Locations'!$G$2:$G$97,$BP$71 + 1)))</xm:f>
            <x14:dxf>
              <fill>
                <patternFill>
                  <bgColor indexed="10"/>
                </patternFill>
              </fill>
            </x14:dxf>
          </x14:cfRule>
          <xm:sqref>BX71</xm:sqref>
        </x14:conditionalFormatting>
        <x14:conditionalFormatting xmlns:xm="http://schemas.microsoft.com/office/excel/2006/main">
          <x14:cfRule type="cellIs" priority="1172" stopIfTrue="1" operator="lessThan" id="{00000000-0000-0000-0000-000000000000}">
            <xm:f>INDEX('1.Locations'!$F$2:$F$97,$BP$72 + 1)</xm:f>
            <x14:dxf>
              <fill>
                <patternFill>
                  <bgColor indexed="52"/>
                </patternFill>
              </fill>
            </x14:dxf>
          </x14:cfRule>
          <xm:sqref>BW72</xm:sqref>
        </x14:conditionalFormatting>
        <x14:conditionalFormatting xmlns:xm="http://schemas.microsoft.com/office/excel/2006/main">
          <x14:cfRule type="expression" priority="1173" stopIfTrue="1" id="{00000000-0000-0000-0000-000000000000}">
            <xm:f>(60 * HOUR($BX$72) + MINUTE($BX$72)) &gt;(60 * HOUR(INDEX('1.Locations'!$G$2:$G$97,$BP$72 + 1)) +MINUTE(INDEX('1.Locations'!$G$2:$G$97,$BP$72 + 1)))</xm:f>
            <x14:dxf>
              <fill>
                <patternFill>
                  <bgColor indexed="10"/>
                </patternFill>
              </fill>
            </x14:dxf>
          </x14:cfRule>
          <xm:sqref>BX72</xm:sqref>
        </x14:conditionalFormatting>
        <x14:conditionalFormatting xmlns:xm="http://schemas.microsoft.com/office/excel/2006/main">
          <x14:cfRule type="cellIs" priority="1174" stopIfTrue="1" operator="lessThan" id="{00000000-0000-0000-0000-000000000000}">
            <xm:f>INDEX('1.Locations'!$F$2:$F$97,$BP$73 + 1)</xm:f>
            <x14:dxf>
              <fill>
                <patternFill>
                  <bgColor indexed="52"/>
                </patternFill>
              </fill>
            </x14:dxf>
          </x14:cfRule>
          <xm:sqref>BW73</xm:sqref>
        </x14:conditionalFormatting>
        <x14:conditionalFormatting xmlns:xm="http://schemas.microsoft.com/office/excel/2006/main">
          <x14:cfRule type="expression" priority="1175" stopIfTrue="1" id="{00000000-0000-0000-0000-000000000000}">
            <xm:f>(60 * HOUR($BX$73) + MINUTE($BX$73)) &gt;(60 * HOUR(INDEX('1.Locations'!$G$2:$G$97,$BP$73 + 1)) +MINUTE(INDEX('1.Locations'!$G$2:$G$97,$BP$73 + 1)))</xm:f>
            <x14:dxf>
              <fill>
                <patternFill>
                  <bgColor indexed="10"/>
                </patternFill>
              </fill>
            </x14:dxf>
          </x14:cfRule>
          <xm:sqref>BX73</xm:sqref>
        </x14:conditionalFormatting>
        <x14:conditionalFormatting xmlns:xm="http://schemas.microsoft.com/office/excel/2006/main">
          <x14:cfRule type="cellIs" priority="1176" stopIfTrue="1" operator="lessThan" id="{00000000-0000-0000-0000-000000000000}">
            <xm:f>INDEX('1.Locations'!$F$2:$F$97,$BP$74 + 1)</xm:f>
            <x14:dxf>
              <fill>
                <patternFill>
                  <bgColor indexed="52"/>
                </patternFill>
              </fill>
            </x14:dxf>
          </x14:cfRule>
          <xm:sqref>BW74</xm:sqref>
        </x14:conditionalFormatting>
        <x14:conditionalFormatting xmlns:xm="http://schemas.microsoft.com/office/excel/2006/main">
          <x14:cfRule type="expression" priority="1177" stopIfTrue="1" id="{00000000-0000-0000-0000-000000000000}">
            <xm:f>(60 * HOUR($BX$74) + MINUTE($BX$74)) &gt;(60 * HOUR(INDEX('1.Locations'!$G$2:$G$97,$BP$74 + 1)) +MINUTE(INDEX('1.Locations'!$G$2:$G$97,$BP$74 + 1)))</xm:f>
            <x14:dxf>
              <fill>
                <patternFill>
                  <bgColor indexed="10"/>
                </patternFill>
              </fill>
            </x14:dxf>
          </x14:cfRule>
          <xm:sqref>BX74</xm:sqref>
        </x14:conditionalFormatting>
        <x14:conditionalFormatting xmlns:xm="http://schemas.microsoft.com/office/excel/2006/main">
          <x14:cfRule type="cellIs" priority="1178" stopIfTrue="1" operator="lessThan" id="{00000000-0000-0000-0000-000000000000}">
            <xm:f>INDEX('1.Locations'!$F$2:$F$97,$BP$75 + 1)</xm:f>
            <x14:dxf>
              <fill>
                <patternFill>
                  <bgColor indexed="52"/>
                </patternFill>
              </fill>
            </x14:dxf>
          </x14:cfRule>
          <xm:sqref>BW75</xm:sqref>
        </x14:conditionalFormatting>
        <x14:conditionalFormatting xmlns:xm="http://schemas.microsoft.com/office/excel/2006/main">
          <x14:cfRule type="expression" priority="1179" stopIfTrue="1" id="{00000000-0000-0000-0000-000000000000}">
            <xm:f>(60 * HOUR($BX$75) + MINUTE($BX$75)) &gt;(60 * HOUR(INDEX('1.Locations'!$G$2:$G$97,$BP$75 + 1)) +MINUTE(INDEX('1.Locations'!$G$2:$G$97,$BP$75 + 1)))</xm:f>
            <x14:dxf>
              <fill>
                <patternFill>
                  <bgColor indexed="10"/>
                </patternFill>
              </fill>
            </x14:dxf>
          </x14:cfRule>
          <xm:sqref>BX75</xm:sqref>
        </x14:conditionalFormatting>
        <x14:conditionalFormatting xmlns:xm="http://schemas.microsoft.com/office/excel/2006/main">
          <x14:cfRule type="cellIs" priority="1180" stopIfTrue="1" operator="lessThan" id="{00000000-0000-0000-0000-000000000000}">
            <xm:f>INDEX('1.Locations'!$F$2:$F$97,$BP$76 + 1)</xm:f>
            <x14:dxf>
              <fill>
                <patternFill>
                  <bgColor indexed="52"/>
                </patternFill>
              </fill>
            </x14:dxf>
          </x14:cfRule>
          <xm:sqref>BW76</xm:sqref>
        </x14:conditionalFormatting>
        <x14:conditionalFormatting xmlns:xm="http://schemas.microsoft.com/office/excel/2006/main">
          <x14:cfRule type="expression" priority="1181" stopIfTrue="1" id="{00000000-0000-0000-0000-000000000000}">
            <xm:f>(60 * HOUR($BX$76) + MINUTE($BX$76)) &gt;(60 * HOUR(INDEX('1.Locations'!$G$2:$G$97,$BP$76 + 1)) +MINUTE(INDEX('1.Locations'!$G$2:$G$97,$BP$76 + 1)))</xm:f>
            <x14:dxf>
              <fill>
                <patternFill>
                  <bgColor indexed="10"/>
                </patternFill>
              </fill>
            </x14:dxf>
          </x14:cfRule>
          <xm:sqref>BX76</xm:sqref>
        </x14:conditionalFormatting>
        <x14:conditionalFormatting xmlns:xm="http://schemas.microsoft.com/office/excel/2006/main">
          <x14:cfRule type="cellIs" priority="1182" stopIfTrue="1" operator="lessThan" id="{00000000-0000-0000-0000-000000000000}">
            <xm:f>INDEX('1.Locations'!$F$2:$F$97,$BP$77 + 1)</xm:f>
            <x14:dxf>
              <fill>
                <patternFill>
                  <bgColor indexed="52"/>
                </patternFill>
              </fill>
            </x14:dxf>
          </x14:cfRule>
          <xm:sqref>BW77</xm:sqref>
        </x14:conditionalFormatting>
        <x14:conditionalFormatting xmlns:xm="http://schemas.microsoft.com/office/excel/2006/main">
          <x14:cfRule type="expression" priority="1183" stopIfTrue="1" id="{00000000-0000-0000-0000-000000000000}">
            <xm:f>(60 * HOUR($BX$77) + MINUTE($BX$77)) &gt;(60 * HOUR(INDEX('1.Locations'!$G$2:$G$97,$BP$77 + 1)) +MINUTE(INDEX('1.Locations'!$G$2:$G$97,$BP$77 + 1)))</xm:f>
            <x14:dxf>
              <fill>
                <patternFill>
                  <bgColor indexed="10"/>
                </patternFill>
              </fill>
            </x14:dxf>
          </x14:cfRule>
          <xm:sqref>BX77</xm:sqref>
        </x14:conditionalFormatting>
        <x14:conditionalFormatting xmlns:xm="http://schemas.microsoft.com/office/excel/2006/main">
          <x14:cfRule type="cellIs" priority="1184" stopIfTrue="1" operator="lessThan" id="{00000000-0000-0000-0000-000000000000}">
            <xm:f>INDEX('1.Locations'!$F$2:$F$97,$BP$78 + 1)</xm:f>
            <x14:dxf>
              <fill>
                <patternFill>
                  <bgColor indexed="52"/>
                </patternFill>
              </fill>
            </x14:dxf>
          </x14:cfRule>
          <xm:sqref>BW78</xm:sqref>
        </x14:conditionalFormatting>
        <x14:conditionalFormatting xmlns:xm="http://schemas.microsoft.com/office/excel/2006/main">
          <x14:cfRule type="expression" priority="1185" stopIfTrue="1" id="{00000000-0000-0000-0000-000000000000}">
            <xm:f>(60 * HOUR($BX$78) + MINUTE($BX$78)) &gt;(60 * HOUR(INDEX('1.Locations'!$G$2:$G$97,$BP$78 + 1)) +MINUTE(INDEX('1.Locations'!$G$2:$G$97,$BP$78 + 1)))</xm:f>
            <x14:dxf>
              <fill>
                <patternFill>
                  <bgColor indexed="10"/>
                </patternFill>
              </fill>
            </x14:dxf>
          </x14:cfRule>
          <xm:sqref>BX78</xm:sqref>
        </x14:conditionalFormatting>
        <x14:conditionalFormatting xmlns:xm="http://schemas.microsoft.com/office/excel/2006/main">
          <x14:cfRule type="cellIs" priority="1186" stopIfTrue="1" operator="lessThan" id="{00000000-0000-0000-0000-000000000000}">
            <xm:f>INDEX('1.Locations'!$F$2:$F$97,$BP$79 + 1)</xm:f>
            <x14:dxf>
              <fill>
                <patternFill>
                  <bgColor indexed="52"/>
                </patternFill>
              </fill>
            </x14:dxf>
          </x14:cfRule>
          <xm:sqref>BW79</xm:sqref>
        </x14:conditionalFormatting>
        <x14:conditionalFormatting xmlns:xm="http://schemas.microsoft.com/office/excel/2006/main">
          <x14:cfRule type="expression" priority="1187" stopIfTrue="1" id="{00000000-0000-0000-0000-000000000000}">
            <xm:f>(60 * HOUR($BX$79) + MINUTE($BX$79)) &gt;(60 * HOUR(INDEX('1.Locations'!$G$2:$G$97,$BP$79 + 1)) +MINUTE(INDEX('1.Locations'!$G$2:$G$97,$BP$79 + 1)))</xm:f>
            <x14:dxf>
              <fill>
                <patternFill>
                  <bgColor indexed="10"/>
                </patternFill>
              </fill>
            </x14:dxf>
          </x14:cfRule>
          <xm:sqref>BX79</xm:sqref>
        </x14:conditionalFormatting>
        <x14:conditionalFormatting xmlns:xm="http://schemas.microsoft.com/office/excel/2006/main">
          <x14:cfRule type="cellIs" priority="1188" stopIfTrue="1" operator="lessThan" id="{00000000-0000-0000-0000-000000000000}">
            <xm:f>INDEX('1.Locations'!$F$2:$F$97,$BP$80 + 1)</xm:f>
            <x14:dxf>
              <fill>
                <patternFill>
                  <bgColor indexed="52"/>
                </patternFill>
              </fill>
            </x14:dxf>
          </x14:cfRule>
          <xm:sqref>BW80</xm:sqref>
        </x14:conditionalFormatting>
        <x14:conditionalFormatting xmlns:xm="http://schemas.microsoft.com/office/excel/2006/main">
          <x14:cfRule type="expression" priority="1189" stopIfTrue="1" id="{00000000-0000-0000-0000-000000000000}">
            <xm:f>(60 * HOUR($BX$80) + MINUTE($BX$80)) &gt;(60 * HOUR(INDEX('1.Locations'!$G$2:$G$97,$BP$80 + 1)) +MINUTE(INDEX('1.Locations'!$G$2:$G$97,$BP$80 + 1)))</xm:f>
            <x14:dxf>
              <fill>
                <patternFill>
                  <bgColor indexed="10"/>
                </patternFill>
              </fill>
            </x14:dxf>
          </x14:cfRule>
          <xm:sqref>BX80</xm:sqref>
        </x14:conditionalFormatting>
        <x14:conditionalFormatting xmlns:xm="http://schemas.microsoft.com/office/excel/2006/main">
          <x14:cfRule type="cellIs" priority="1190" stopIfTrue="1" operator="lessThan" id="{00000000-0000-0000-0000-000000000000}">
            <xm:f>INDEX('1.Locations'!$F$2:$F$97,$BP$81 + 1)</xm:f>
            <x14:dxf>
              <fill>
                <patternFill>
                  <bgColor indexed="52"/>
                </patternFill>
              </fill>
            </x14:dxf>
          </x14:cfRule>
          <xm:sqref>BW81</xm:sqref>
        </x14:conditionalFormatting>
        <x14:conditionalFormatting xmlns:xm="http://schemas.microsoft.com/office/excel/2006/main">
          <x14:cfRule type="expression" priority="1191" stopIfTrue="1" id="{00000000-0000-0000-0000-000000000000}">
            <xm:f>(60 * HOUR($BX$81) + MINUTE($BX$81)) &gt;(60 * HOUR(INDEX('1.Locations'!$G$2:$G$97,$BP$81 + 1)) +MINUTE(INDEX('1.Locations'!$G$2:$G$97,$BP$81 + 1)))</xm:f>
            <x14:dxf>
              <fill>
                <patternFill>
                  <bgColor indexed="10"/>
                </patternFill>
              </fill>
            </x14:dxf>
          </x14:cfRule>
          <xm:sqref>BX81</xm:sqref>
        </x14:conditionalFormatting>
        <x14:conditionalFormatting xmlns:xm="http://schemas.microsoft.com/office/excel/2006/main">
          <x14:cfRule type="cellIs" priority="1192" stopIfTrue="1" operator="lessThan" id="{00000000-0000-0000-0000-000000000000}">
            <xm:f>INDEX('1.Locations'!$F$2:$F$97,$BP$82 + 1)</xm:f>
            <x14:dxf>
              <fill>
                <patternFill>
                  <bgColor indexed="52"/>
                </patternFill>
              </fill>
            </x14:dxf>
          </x14:cfRule>
          <xm:sqref>BW82</xm:sqref>
        </x14:conditionalFormatting>
        <x14:conditionalFormatting xmlns:xm="http://schemas.microsoft.com/office/excel/2006/main">
          <x14:cfRule type="expression" priority="1193" stopIfTrue="1" id="{00000000-0000-0000-0000-000000000000}">
            <xm:f>(60 * HOUR($BX$82) + MINUTE($BX$82)) &gt;(60 * HOUR(INDEX('1.Locations'!$G$2:$G$97,$BP$82 + 1)) +MINUTE(INDEX('1.Locations'!$G$2:$G$97,$BP$82 + 1)))</xm:f>
            <x14:dxf>
              <fill>
                <patternFill>
                  <bgColor indexed="10"/>
                </patternFill>
              </fill>
            </x14:dxf>
          </x14:cfRule>
          <xm:sqref>BX82</xm:sqref>
        </x14:conditionalFormatting>
        <x14:conditionalFormatting xmlns:xm="http://schemas.microsoft.com/office/excel/2006/main">
          <x14:cfRule type="cellIs" priority="1194" stopIfTrue="1" operator="lessThan" id="{00000000-0000-0000-0000-000000000000}">
            <xm:f>INDEX('1.Locations'!$F$2:$F$97,$BP$83 + 1)</xm:f>
            <x14:dxf>
              <fill>
                <patternFill>
                  <bgColor indexed="52"/>
                </patternFill>
              </fill>
            </x14:dxf>
          </x14:cfRule>
          <xm:sqref>BW83</xm:sqref>
        </x14:conditionalFormatting>
        <x14:conditionalFormatting xmlns:xm="http://schemas.microsoft.com/office/excel/2006/main">
          <x14:cfRule type="expression" priority="1195" stopIfTrue="1" id="{00000000-0000-0000-0000-000000000000}">
            <xm:f>(60 * HOUR($BX$83) + MINUTE($BX$83)) &gt;(60 * HOUR(INDEX('1.Locations'!$G$2:$G$97,$BP$83 + 1)) +MINUTE(INDEX('1.Locations'!$G$2:$G$97,$BP$83 + 1)))</xm:f>
            <x14:dxf>
              <fill>
                <patternFill>
                  <bgColor indexed="10"/>
                </patternFill>
              </fill>
            </x14:dxf>
          </x14:cfRule>
          <xm:sqref>BX83</xm:sqref>
        </x14:conditionalFormatting>
        <x14:conditionalFormatting xmlns:xm="http://schemas.microsoft.com/office/excel/2006/main">
          <x14:cfRule type="cellIs" priority="1196" stopIfTrue="1" operator="lessThan" id="{00000000-0000-0000-0000-000000000000}">
            <xm:f>INDEX('1.Locations'!$F$2:$F$97,$BP$84 + 1)</xm:f>
            <x14:dxf>
              <fill>
                <patternFill>
                  <bgColor indexed="52"/>
                </patternFill>
              </fill>
            </x14:dxf>
          </x14:cfRule>
          <xm:sqref>BW84</xm:sqref>
        </x14:conditionalFormatting>
        <x14:conditionalFormatting xmlns:xm="http://schemas.microsoft.com/office/excel/2006/main">
          <x14:cfRule type="expression" priority="1197" stopIfTrue="1" id="{00000000-0000-0000-0000-000000000000}">
            <xm:f>(60 * HOUR($BX$84) + MINUTE($BX$84)) &gt;(60 * HOUR(INDEX('1.Locations'!$G$2:$G$97,$BP$84 + 1)) +MINUTE(INDEX('1.Locations'!$G$2:$G$97,$BP$84 + 1)))</xm:f>
            <x14:dxf>
              <fill>
                <patternFill>
                  <bgColor indexed="10"/>
                </patternFill>
              </fill>
            </x14:dxf>
          </x14:cfRule>
          <xm:sqref>BX84</xm:sqref>
        </x14:conditionalFormatting>
        <x14:conditionalFormatting xmlns:xm="http://schemas.microsoft.com/office/excel/2006/main">
          <x14:cfRule type="cellIs" priority="1198" stopIfTrue="1" operator="lessThan" id="{00000000-0000-0000-0000-000000000000}">
            <xm:f>INDEX('1.Locations'!$F$2:$F$97,$BP$85 + 1)</xm:f>
            <x14:dxf>
              <fill>
                <patternFill>
                  <bgColor indexed="52"/>
                </patternFill>
              </fill>
            </x14:dxf>
          </x14:cfRule>
          <xm:sqref>BW85</xm:sqref>
        </x14:conditionalFormatting>
        <x14:conditionalFormatting xmlns:xm="http://schemas.microsoft.com/office/excel/2006/main">
          <x14:cfRule type="expression" priority="1199" stopIfTrue="1" id="{00000000-0000-0000-0000-000000000000}">
            <xm:f>(60 * HOUR($BX$85) + MINUTE($BX$85)) &gt;(60 * HOUR(INDEX('1.Locations'!$G$2:$G$97,$BP$85 + 1)) +MINUTE(INDEX('1.Locations'!$G$2:$G$97,$BP$85 + 1)))</xm:f>
            <x14:dxf>
              <fill>
                <patternFill>
                  <bgColor indexed="10"/>
                </patternFill>
              </fill>
            </x14:dxf>
          </x14:cfRule>
          <xm:sqref>BX85</xm:sqref>
        </x14:conditionalFormatting>
        <x14:conditionalFormatting xmlns:xm="http://schemas.microsoft.com/office/excel/2006/main">
          <x14:cfRule type="cellIs" priority="1200" stopIfTrue="1" operator="lessThan" id="{00000000-0000-0000-0000-000000000000}">
            <xm:f>INDEX('1.Locations'!$F$2:$F$97,$BP$86 + 1)</xm:f>
            <x14:dxf>
              <fill>
                <patternFill>
                  <bgColor indexed="52"/>
                </patternFill>
              </fill>
            </x14:dxf>
          </x14:cfRule>
          <xm:sqref>BW86</xm:sqref>
        </x14:conditionalFormatting>
        <x14:conditionalFormatting xmlns:xm="http://schemas.microsoft.com/office/excel/2006/main">
          <x14:cfRule type="expression" priority="1201" stopIfTrue="1" id="{00000000-0000-0000-0000-000000000000}">
            <xm:f>(60 * HOUR($BX$86) + MINUTE($BX$86)) &gt;(60 * HOUR(INDEX('1.Locations'!$G$2:$G$97,$BP$86 + 1)) +MINUTE(INDEX('1.Locations'!$G$2:$G$97,$BP$86 + 1)))</xm:f>
            <x14:dxf>
              <fill>
                <patternFill>
                  <bgColor indexed="10"/>
                </patternFill>
              </fill>
            </x14:dxf>
          </x14:cfRule>
          <xm:sqref>BX86</xm:sqref>
        </x14:conditionalFormatting>
        <x14:conditionalFormatting xmlns:xm="http://schemas.microsoft.com/office/excel/2006/main">
          <x14:cfRule type="cellIs" priority="1202" stopIfTrue="1" operator="lessThan" id="{00000000-0000-0000-0000-000000000000}">
            <xm:f>INDEX('1.Locations'!$F$2:$F$97,$BP$87 + 1)</xm:f>
            <x14:dxf>
              <fill>
                <patternFill>
                  <bgColor indexed="52"/>
                </patternFill>
              </fill>
            </x14:dxf>
          </x14:cfRule>
          <xm:sqref>BW87</xm:sqref>
        </x14:conditionalFormatting>
        <x14:conditionalFormatting xmlns:xm="http://schemas.microsoft.com/office/excel/2006/main">
          <x14:cfRule type="expression" priority="1203" stopIfTrue="1" id="{00000000-0000-0000-0000-000000000000}">
            <xm:f>(60 * HOUR($BX$87) + MINUTE($BX$87)) &gt;(60 * HOUR(INDEX('1.Locations'!$G$2:$G$97,$BP$87 + 1)) +MINUTE(INDEX('1.Locations'!$G$2:$G$97,$BP$87 + 1)))</xm:f>
            <x14:dxf>
              <fill>
                <patternFill>
                  <bgColor indexed="10"/>
                </patternFill>
              </fill>
            </x14:dxf>
          </x14:cfRule>
          <xm:sqref>BX87</xm:sqref>
        </x14:conditionalFormatting>
        <x14:conditionalFormatting xmlns:xm="http://schemas.microsoft.com/office/excel/2006/main">
          <x14:cfRule type="cellIs" priority="1204" stopIfTrue="1" operator="lessThan" id="{00000000-0000-0000-0000-000000000000}">
            <xm:f>INDEX('1.Locations'!$F$2:$F$97,$BP$88 + 1)</xm:f>
            <x14:dxf>
              <fill>
                <patternFill>
                  <bgColor indexed="52"/>
                </patternFill>
              </fill>
            </x14:dxf>
          </x14:cfRule>
          <xm:sqref>BW88</xm:sqref>
        </x14:conditionalFormatting>
        <x14:conditionalFormatting xmlns:xm="http://schemas.microsoft.com/office/excel/2006/main">
          <x14:cfRule type="expression" priority="1205" stopIfTrue="1" id="{00000000-0000-0000-0000-000000000000}">
            <xm:f>(60 * HOUR($BX$88) + MINUTE($BX$88)) &gt;(60 * HOUR(INDEX('1.Locations'!$G$2:$G$97,$BP$88 + 1)) +MINUTE(INDEX('1.Locations'!$G$2:$G$97,$BP$88 + 1)))</xm:f>
            <x14:dxf>
              <fill>
                <patternFill>
                  <bgColor indexed="10"/>
                </patternFill>
              </fill>
            </x14:dxf>
          </x14:cfRule>
          <xm:sqref>BX88</xm:sqref>
        </x14:conditionalFormatting>
        <x14:conditionalFormatting xmlns:xm="http://schemas.microsoft.com/office/excel/2006/main">
          <x14:cfRule type="cellIs" priority="1206" stopIfTrue="1" operator="lessThan" id="{00000000-0000-0000-0000-000000000000}">
            <xm:f>INDEX('1.Locations'!$F$2:$F$97,$BP$89 + 1)</xm:f>
            <x14:dxf>
              <fill>
                <patternFill>
                  <bgColor indexed="52"/>
                </patternFill>
              </fill>
            </x14:dxf>
          </x14:cfRule>
          <xm:sqref>BW89</xm:sqref>
        </x14:conditionalFormatting>
        <x14:conditionalFormatting xmlns:xm="http://schemas.microsoft.com/office/excel/2006/main">
          <x14:cfRule type="expression" priority="1207" stopIfTrue="1" id="{00000000-0000-0000-0000-000000000000}">
            <xm:f>(60 * HOUR($BX$89) + MINUTE($BX$89)) &gt;(60 * HOUR(INDEX('1.Locations'!$G$2:$G$97,$BP$89 + 1)) +MINUTE(INDEX('1.Locations'!$G$2:$G$97,$BP$89 + 1)))</xm:f>
            <x14:dxf>
              <fill>
                <patternFill>
                  <bgColor indexed="10"/>
                </patternFill>
              </fill>
            </x14:dxf>
          </x14:cfRule>
          <xm:sqref>BX89</xm:sqref>
        </x14:conditionalFormatting>
        <x14:conditionalFormatting xmlns:xm="http://schemas.microsoft.com/office/excel/2006/main">
          <x14:cfRule type="cellIs" priority="1208" stopIfTrue="1" operator="lessThan" id="{00000000-0000-0000-0000-000000000000}">
            <xm:f>INDEX('1.Locations'!$F$2:$F$97,$BP$90 + 1)</xm:f>
            <x14:dxf>
              <fill>
                <patternFill>
                  <bgColor indexed="52"/>
                </patternFill>
              </fill>
            </x14:dxf>
          </x14:cfRule>
          <xm:sqref>BW90</xm:sqref>
        </x14:conditionalFormatting>
        <x14:conditionalFormatting xmlns:xm="http://schemas.microsoft.com/office/excel/2006/main">
          <x14:cfRule type="expression" priority="1209" stopIfTrue="1" id="{00000000-0000-0000-0000-000000000000}">
            <xm:f>(60 * HOUR($BX$90) + MINUTE($BX$90)) &gt;(60 * HOUR(INDEX('1.Locations'!$G$2:$G$97,$BP$90 + 1)) +MINUTE(INDEX('1.Locations'!$G$2:$G$97,$BP$90 + 1)))</xm:f>
            <x14:dxf>
              <fill>
                <patternFill>
                  <bgColor indexed="10"/>
                </patternFill>
              </fill>
            </x14:dxf>
          </x14:cfRule>
          <xm:sqref>BX90</xm:sqref>
        </x14:conditionalFormatting>
        <x14:conditionalFormatting xmlns:xm="http://schemas.microsoft.com/office/excel/2006/main">
          <x14:cfRule type="cellIs" priority="1210" stopIfTrue="1" operator="lessThan" id="{00000000-0000-0000-0000-000000000000}">
            <xm:f>INDEX('1.Locations'!$F$2:$F$97,$BP$91 + 1)</xm:f>
            <x14:dxf>
              <fill>
                <patternFill>
                  <bgColor indexed="52"/>
                </patternFill>
              </fill>
            </x14:dxf>
          </x14:cfRule>
          <xm:sqref>BW91</xm:sqref>
        </x14:conditionalFormatting>
        <x14:conditionalFormatting xmlns:xm="http://schemas.microsoft.com/office/excel/2006/main">
          <x14:cfRule type="expression" priority="1211" stopIfTrue="1" id="{00000000-0000-0000-0000-000000000000}">
            <xm:f>(60 * HOUR($BX$91) + MINUTE($BX$91)) &gt;(60 * HOUR(INDEX('1.Locations'!$G$2:$G$97,$BP$91 + 1)) +MINUTE(INDEX('1.Locations'!$G$2:$G$97,$BP$91 + 1)))</xm:f>
            <x14:dxf>
              <fill>
                <patternFill>
                  <bgColor indexed="10"/>
                </patternFill>
              </fill>
            </x14:dxf>
          </x14:cfRule>
          <xm:sqref>BX91</xm:sqref>
        </x14:conditionalFormatting>
        <x14:conditionalFormatting xmlns:xm="http://schemas.microsoft.com/office/excel/2006/main">
          <x14:cfRule type="cellIs" priority="1212" stopIfTrue="1" operator="lessThan" id="{00000000-0000-0000-0000-000000000000}">
            <xm:f>INDEX('1.Locations'!$F$2:$F$97,$BP$92 + 1)</xm:f>
            <x14:dxf>
              <fill>
                <patternFill>
                  <bgColor indexed="52"/>
                </patternFill>
              </fill>
            </x14:dxf>
          </x14:cfRule>
          <xm:sqref>BW92</xm:sqref>
        </x14:conditionalFormatting>
        <x14:conditionalFormatting xmlns:xm="http://schemas.microsoft.com/office/excel/2006/main">
          <x14:cfRule type="expression" priority="1213" stopIfTrue="1" id="{00000000-0000-0000-0000-000000000000}">
            <xm:f>(60 * HOUR($BX$92) + MINUTE($BX$92)) &gt;(60 * HOUR(INDEX('1.Locations'!$G$2:$G$97,$BP$92 + 1)) +MINUTE(INDEX('1.Locations'!$G$2:$G$97,$BP$92 + 1)))</xm:f>
            <x14:dxf>
              <fill>
                <patternFill>
                  <bgColor indexed="10"/>
                </patternFill>
              </fill>
            </x14:dxf>
          </x14:cfRule>
          <xm:sqref>BX92</xm:sqref>
        </x14:conditionalFormatting>
        <x14:conditionalFormatting xmlns:xm="http://schemas.microsoft.com/office/excel/2006/main">
          <x14:cfRule type="cellIs" priority="1214" stopIfTrue="1" operator="lessThan" id="{00000000-0000-0000-0000-000000000000}">
            <xm:f>INDEX('1.Locations'!$F$2:$F$97,$BP$93 + 1)</xm:f>
            <x14:dxf>
              <fill>
                <patternFill>
                  <bgColor indexed="52"/>
                </patternFill>
              </fill>
            </x14:dxf>
          </x14:cfRule>
          <xm:sqref>BW93</xm:sqref>
        </x14:conditionalFormatting>
        <x14:conditionalFormatting xmlns:xm="http://schemas.microsoft.com/office/excel/2006/main">
          <x14:cfRule type="expression" priority="1215" stopIfTrue="1" id="{00000000-0000-0000-0000-000000000000}">
            <xm:f>(60 * HOUR($BX$93) + MINUTE($BX$93)) &gt;(60 * HOUR(INDEX('1.Locations'!$G$2:$G$97,$BP$93 + 1)) +MINUTE(INDEX('1.Locations'!$G$2:$G$97,$BP$93 + 1)))</xm:f>
            <x14:dxf>
              <fill>
                <patternFill>
                  <bgColor indexed="10"/>
                </patternFill>
              </fill>
            </x14:dxf>
          </x14:cfRule>
          <xm:sqref>BX93</xm:sqref>
        </x14:conditionalFormatting>
        <x14:conditionalFormatting xmlns:xm="http://schemas.microsoft.com/office/excel/2006/main">
          <x14:cfRule type="cellIs" priority="1216" stopIfTrue="1" operator="lessThan" id="{00000000-0000-0000-0000-000000000000}">
            <xm:f>INDEX('1.Locations'!$F$2:$F$97,$BP$94 + 1)</xm:f>
            <x14:dxf>
              <fill>
                <patternFill>
                  <bgColor indexed="52"/>
                </patternFill>
              </fill>
            </x14:dxf>
          </x14:cfRule>
          <xm:sqref>BW94</xm:sqref>
        </x14:conditionalFormatting>
        <x14:conditionalFormatting xmlns:xm="http://schemas.microsoft.com/office/excel/2006/main">
          <x14:cfRule type="expression" priority="1217" stopIfTrue="1" id="{00000000-0000-0000-0000-000000000000}">
            <xm:f>(60 * HOUR($BX$94) + MINUTE($BX$94)) &gt;(60 * HOUR(INDEX('1.Locations'!$G$2:$G$97,$BP$94 + 1)) +MINUTE(INDEX('1.Locations'!$G$2:$G$97,$BP$94 + 1)))</xm:f>
            <x14:dxf>
              <fill>
                <patternFill>
                  <bgColor indexed="10"/>
                </patternFill>
              </fill>
            </x14:dxf>
          </x14:cfRule>
          <xm:sqref>BX94</xm:sqref>
        </x14:conditionalFormatting>
        <x14:conditionalFormatting xmlns:xm="http://schemas.microsoft.com/office/excel/2006/main">
          <x14:cfRule type="cellIs" priority="1218" stopIfTrue="1" operator="lessThan" id="{00000000-0000-0000-0000-000000000000}">
            <xm:f>INDEX('1.Locations'!$F$2:$F$97,$BP$95 + 1)</xm:f>
            <x14:dxf>
              <fill>
                <patternFill>
                  <bgColor indexed="52"/>
                </patternFill>
              </fill>
            </x14:dxf>
          </x14:cfRule>
          <xm:sqref>BW95</xm:sqref>
        </x14:conditionalFormatting>
        <x14:conditionalFormatting xmlns:xm="http://schemas.microsoft.com/office/excel/2006/main">
          <x14:cfRule type="expression" priority="1219" stopIfTrue="1" id="{00000000-0000-0000-0000-000000000000}">
            <xm:f>(60 * HOUR($BX$95) + MINUTE($BX$95)) &gt;(60 * HOUR(INDEX('1.Locations'!$G$2:$G$97,$BP$95 + 1)) +MINUTE(INDEX('1.Locations'!$G$2:$G$97,$BP$95 + 1)))</xm:f>
            <x14:dxf>
              <fill>
                <patternFill>
                  <bgColor indexed="10"/>
                </patternFill>
              </fill>
            </x14:dxf>
          </x14:cfRule>
          <xm:sqref>BX95</xm:sqref>
        </x14:conditionalFormatting>
        <x14:conditionalFormatting xmlns:xm="http://schemas.microsoft.com/office/excel/2006/main">
          <x14:cfRule type="cellIs" priority="1220" stopIfTrue="1" operator="lessThan" id="{00000000-0000-0000-0000-000000000000}">
            <xm:f>INDEX('1.Locations'!$F$2:$F$97,$BP$96 + 1)</xm:f>
            <x14:dxf>
              <fill>
                <patternFill>
                  <bgColor indexed="52"/>
                </patternFill>
              </fill>
            </x14:dxf>
          </x14:cfRule>
          <xm:sqref>BW96</xm:sqref>
        </x14:conditionalFormatting>
        <x14:conditionalFormatting xmlns:xm="http://schemas.microsoft.com/office/excel/2006/main">
          <x14:cfRule type="expression" priority="1221" stopIfTrue="1" id="{00000000-0000-0000-0000-000000000000}">
            <xm:f>(60 * HOUR($BX$96) + MINUTE($BX$96)) &gt;(60 * HOUR(INDEX('1.Locations'!$G$2:$G$97,$BP$96 + 1)) +MINUTE(INDEX('1.Locations'!$G$2:$G$97,$BP$96 + 1)))</xm:f>
            <x14:dxf>
              <fill>
                <patternFill>
                  <bgColor indexed="10"/>
                </patternFill>
              </fill>
            </x14:dxf>
          </x14:cfRule>
          <xm:sqref>BX96</xm:sqref>
        </x14:conditionalFormatting>
        <x14:conditionalFormatting xmlns:xm="http://schemas.microsoft.com/office/excel/2006/main">
          <x14:cfRule type="cellIs" priority="1222" stopIfTrue="1" operator="lessThan" id="{00000000-0000-0000-0000-000000000000}">
            <xm:f>INDEX('1.Locations'!$F$2:$F$97,$BP$97 + 1)</xm:f>
            <x14:dxf>
              <fill>
                <patternFill>
                  <bgColor indexed="52"/>
                </patternFill>
              </fill>
            </x14:dxf>
          </x14:cfRule>
          <xm:sqref>BW97</xm:sqref>
        </x14:conditionalFormatting>
        <x14:conditionalFormatting xmlns:xm="http://schemas.microsoft.com/office/excel/2006/main">
          <x14:cfRule type="expression" priority="1223" stopIfTrue="1" id="{00000000-0000-0000-0000-000000000000}">
            <xm:f>(60 * HOUR($BX$97) + MINUTE($BX$97)) &gt;(60 * HOUR(INDEX('1.Locations'!$G$2:$G$97,$BP$97 + 1)) +MINUTE(INDEX('1.Locations'!$G$2:$G$97,$BP$97 + 1)))</xm:f>
            <x14:dxf>
              <fill>
                <patternFill>
                  <bgColor indexed="10"/>
                </patternFill>
              </fill>
            </x14:dxf>
          </x14:cfRule>
          <xm:sqref>BX97</xm:sqref>
        </x14:conditionalFormatting>
        <x14:conditionalFormatting xmlns:xm="http://schemas.microsoft.com/office/excel/2006/main">
          <x14:cfRule type="cellIs" priority="1224" stopIfTrue="1" operator="lessThan" id="{00000000-0000-0000-0000-000000000000}">
            <xm:f>INDEX('1.Locations'!$F$2:$F$97,$BP$98 + 1)</xm:f>
            <x14:dxf>
              <fill>
                <patternFill>
                  <bgColor indexed="52"/>
                </patternFill>
              </fill>
            </x14:dxf>
          </x14:cfRule>
          <xm:sqref>BW98</xm:sqref>
        </x14:conditionalFormatting>
        <x14:conditionalFormatting xmlns:xm="http://schemas.microsoft.com/office/excel/2006/main">
          <x14:cfRule type="expression" priority="1225" stopIfTrue="1" id="{00000000-0000-0000-0000-000000000000}">
            <xm:f>(60 * HOUR($BX$98) + MINUTE($BX$98)) &gt;(60 * HOUR(INDEX('1.Locations'!$G$2:$G$97,$BP$98 + 1)) +MINUTE(INDEX('1.Locations'!$G$2:$G$97,$BP$98 + 1)))</xm:f>
            <x14:dxf>
              <fill>
                <patternFill>
                  <bgColor indexed="10"/>
                </patternFill>
              </fill>
            </x14:dxf>
          </x14:cfRule>
          <xm:sqref>BX98</xm:sqref>
        </x14:conditionalFormatting>
        <x14:conditionalFormatting xmlns:xm="http://schemas.microsoft.com/office/excel/2006/main">
          <x14:cfRule type="cellIs" priority="1226" stopIfTrue="1" operator="lessThan" id="{00000000-0000-0000-0000-000000000000}">
            <xm:f>INDEX('1.Locations'!$F$2:$F$97,$BP$99 + 1)</xm:f>
            <x14:dxf>
              <fill>
                <patternFill>
                  <bgColor indexed="52"/>
                </patternFill>
              </fill>
            </x14:dxf>
          </x14:cfRule>
          <xm:sqref>BW99</xm:sqref>
        </x14:conditionalFormatting>
        <x14:conditionalFormatting xmlns:xm="http://schemas.microsoft.com/office/excel/2006/main">
          <x14:cfRule type="expression" priority="1227" stopIfTrue="1" id="{00000000-0000-0000-0000-000000000000}">
            <xm:f>(60 * HOUR($BX$99) + MINUTE($BX$99)) &gt;(60 * HOUR(INDEX('1.Locations'!$G$2:$G$97,$BP$99 + 1)) +MINUTE(INDEX('1.Locations'!$G$2:$G$97,$BP$99 + 1)))</xm:f>
            <x14:dxf>
              <fill>
                <patternFill>
                  <bgColor indexed="10"/>
                </patternFill>
              </fill>
            </x14:dxf>
          </x14:cfRule>
          <xm:sqref>BX99</xm:sqref>
        </x14:conditionalFormatting>
        <x14:conditionalFormatting xmlns:xm="http://schemas.microsoft.com/office/excel/2006/main">
          <x14:cfRule type="cellIs" priority="1228" stopIfTrue="1" operator="lessThan" id="{00000000-0000-0000-0000-000000000000}">
            <xm:f>INDEX('1.Locations'!$F$2:$F$97,$BP$100 + 1)</xm:f>
            <x14:dxf>
              <fill>
                <patternFill>
                  <bgColor indexed="52"/>
                </patternFill>
              </fill>
            </x14:dxf>
          </x14:cfRule>
          <xm:sqref>BW100</xm:sqref>
        </x14:conditionalFormatting>
        <x14:conditionalFormatting xmlns:xm="http://schemas.microsoft.com/office/excel/2006/main">
          <x14:cfRule type="expression" priority="1229" stopIfTrue="1" id="{00000000-0000-0000-0000-000000000000}">
            <xm:f>(60 * HOUR($BX$100) + MINUTE($BX$100)) &gt;(60 * HOUR(INDEX('1.Locations'!$G$2:$G$97,$BP$100 + 1)) +MINUTE(INDEX('1.Locations'!$G$2:$G$97,$BP$100 + 1)))</xm:f>
            <x14:dxf>
              <fill>
                <patternFill>
                  <bgColor indexed="10"/>
                </patternFill>
              </fill>
            </x14:dxf>
          </x14:cfRule>
          <xm:sqref>BX100</xm:sqref>
        </x14:conditionalFormatting>
        <x14:conditionalFormatting xmlns:xm="http://schemas.microsoft.com/office/excel/2006/main">
          <x14:cfRule type="cellIs" priority="1230" stopIfTrue="1" operator="lessThan" id="{00000000-0000-0000-0000-000000000000}">
            <xm:f>INDEX('1.Locations'!$F$2:$F$97,$BP$101 + 1)</xm:f>
            <x14:dxf>
              <fill>
                <patternFill>
                  <bgColor indexed="52"/>
                </patternFill>
              </fill>
            </x14:dxf>
          </x14:cfRule>
          <xm:sqref>BW101</xm:sqref>
        </x14:conditionalFormatting>
        <x14:conditionalFormatting xmlns:xm="http://schemas.microsoft.com/office/excel/2006/main">
          <x14:cfRule type="expression" priority="1231" stopIfTrue="1" id="{00000000-0000-0000-0000-000000000000}">
            <xm:f>(60 * HOUR($BX$101) + MINUTE($BX$101)) &gt;(60 * HOUR(INDEX('1.Locations'!$G$2:$G$97,$BP$101 + 1)) +MINUTE(INDEX('1.Locations'!$G$2:$G$97,$BP$101 + 1)))</xm:f>
            <x14:dxf>
              <fill>
                <patternFill>
                  <bgColor indexed="10"/>
                </patternFill>
              </fill>
            </x14:dxf>
          </x14:cfRule>
          <xm:sqref>BX101</xm:sqref>
        </x14:conditionalFormatting>
        <x14:conditionalFormatting xmlns:xm="http://schemas.microsoft.com/office/excel/2006/main">
          <x14:cfRule type="cellIs" priority="1232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BS6:BS101</xm:sqref>
        </x14:conditionalFormatting>
        <x14:conditionalFormatting xmlns:xm="http://schemas.microsoft.com/office/excel/2006/main">
          <x14:cfRule type="cellIs" priority="1233" stopIfTrue="1" operator="greaterThan" id="{00000000-0000-0000-0000-000000000000}">
            <xm:f>'3.Vehicles'!$C$7</xm:f>
            <x14:dxf>
              <fill>
                <patternFill>
                  <bgColor indexed="10"/>
                </patternFill>
              </fill>
            </x14:dxf>
          </x14:cfRule>
          <xm:sqref>BT6:BT101</xm:sqref>
        </x14:conditionalFormatting>
        <x14:conditionalFormatting xmlns:xm="http://schemas.microsoft.com/office/excel/2006/main">
          <x14:cfRule type="cellIs" priority="1234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BV6:BV101</xm:sqref>
        </x14:conditionalFormatting>
        <x14:conditionalFormatting xmlns:xm="http://schemas.microsoft.com/office/excel/2006/main">
          <x14:cfRule type="cellIs" priority="1235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BY6:BY101</xm:sqref>
        </x14:conditionalFormatting>
        <x14:conditionalFormatting xmlns:xm="http://schemas.microsoft.com/office/excel/2006/main">
          <x14:cfRule type="cellIs" priority="1237" stopIfTrue="1" operator="lessThan" id="{00000000-0000-0000-0000-000000000000}">
            <xm:f>INDEX('1.Locations'!$F$2:$F$97,$CC$5 + 1)</xm:f>
            <x14:dxf>
              <fill>
                <patternFill>
                  <bgColor indexed="52"/>
                </patternFill>
              </fill>
            </x14:dxf>
          </x14:cfRule>
          <xm:sqref>CJ5</xm:sqref>
        </x14:conditionalFormatting>
        <x14:conditionalFormatting xmlns:xm="http://schemas.microsoft.com/office/excel/2006/main">
          <x14:cfRule type="expression" priority="1238" stopIfTrue="1" id="{00000000-0000-0000-0000-000000000000}">
            <xm:f>(60 * HOUR($CK$5) + MINUTE($CK$5)) &gt;(60 * HOUR(INDEX('1.Locations'!$G$2:$G$97,$CC$5 + 1)) +MINUTE(INDEX('1.Locations'!$G$2:$G$97,$CC$5 + 1)))</xm:f>
            <x14:dxf>
              <fill>
                <patternFill>
                  <bgColor indexed="10"/>
                </patternFill>
              </fill>
            </x14:dxf>
          </x14:cfRule>
          <xm:sqref>CK5</xm:sqref>
        </x14:conditionalFormatting>
        <x14:conditionalFormatting xmlns:xm="http://schemas.microsoft.com/office/excel/2006/main">
          <x14:cfRule type="cellIs" priority="1239" stopIfTrue="1" operator="lessThan" id="{00000000-0000-0000-0000-000000000000}">
            <xm:f>INDEX('1.Locations'!$F$2:$F$97,$CC$6 + 1)</xm:f>
            <x14:dxf>
              <fill>
                <patternFill>
                  <bgColor indexed="52"/>
                </patternFill>
              </fill>
            </x14:dxf>
          </x14:cfRule>
          <xm:sqref>CJ6</xm:sqref>
        </x14:conditionalFormatting>
        <x14:conditionalFormatting xmlns:xm="http://schemas.microsoft.com/office/excel/2006/main">
          <x14:cfRule type="expression" priority="1240" stopIfTrue="1" id="{00000000-0000-0000-0000-000000000000}">
            <xm:f>(60 * HOUR($CK$6) + MINUTE($CK$6)) &gt;(60 * HOUR(INDEX('1.Locations'!$G$2:$G$97,$CC$6 + 1)) +MINUTE(INDEX('1.Locations'!$G$2:$G$97,$CC$6 + 1)))</xm:f>
            <x14:dxf>
              <fill>
                <patternFill>
                  <bgColor indexed="10"/>
                </patternFill>
              </fill>
            </x14:dxf>
          </x14:cfRule>
          <xm:sqref>CK6</xm:sqref>
        </x14:conditionalFormatting>
        <x14:conditionalFormatting xmlns:xm="http://schemas.microsoft.com/office/excel/2006/main">
          <x14:cfRule type="cellIs" priority="1241" stopIfTrue="1" operator="lessThan" id="{00000000-0000-0000-0000-000000000000}">
            <xm:f>INDEX('1.Locations'!$F$2:$F$97,$CC$7 + 1)</xm:f>
            <x14:dxf>
              <fill>
                <patternFill>
                  <bgColor indexed="52"/>
                </patternFill>
              </fill>
            </x14:dxf>
          </x14:cfRule>
          <xm:sqref>CJ7</xm:sqref>
        </x14:conditionalFormatting>
        <x14:conditionalFormatting xmlns:xm="http://schemas.microsoft.com/office/excel/2006/main">
          <x14:cfRule type="expression" priority="1242" stopIfTrue="1" id="{00000000-0000-0000-0000-000000000000}">
            <xm:f>(60 * HOUR($CK$7) + MINUTE($CK$7)) &gt;(60 * HOUR(INDEX('1.Locations'!$G$2:$G$97,$CC$7 + 1)) +MINUTE(INDEX('1.Locations'!$G$2:$G$97,$CC$7 + 1)))</xm:f>
            <x14:dxf>
              <fill>
                <patternFill>
                  <bgColor indexed="10"/>
                </patternFill>
              </fill>
            </x14:dxf>
          </x14:cfRule>
          <xm:sqref>CK7</xm:sqref>
        </x14:conditionalFormatting>
        <x14:conditionalFormatting xmlns:xm="http://schemas.microsoft.com/office/excel/2006/main">
          <x14:cfRule type="cellIs" priority="1243" stopIfTrue="1" operator="lessThan" id="{00000000-0000-0000-0000-000000000000}">
            <xm:f>INDEX('1.Locations'!$F$2:$F$97,$CC$8 + 1)</xm:f>
            <x14:dxf>
              <fill>
                <patternFill>
                  <bgColor indexed="52"/>
                </patternFill>
              </fill>
            </x14:dxf>
          </x14:cfRule>
          <xm:sqref>CJ8</xm:sqref>
        </x14:conditionalFormatting>
        <x14:conditionalFormatting xmlns:xm="http://schemas.microsoft.com/office/excel/2006/main">
          <x14:cfRule type="expression" priority="1244" stopIfTrue="1" id="{00000000-0000-0000-0000-000000000000}">
            <xm:f>(60 * HOUR($CK$8) + MINUTE($CK$8)) &gt;(60 * HOUR(INDEX('1.Locations'!$G$2:$G$97,$CC$8 + 1)) +MINUTE(INDEX('1.Locations'!$G$2:$G$97,$CC$8 + 1)))</xm:f>
            <x14:dxf>
              <fill>
                <patternFill>
                  <bgColor indexed="10"/>
                </patternFill>
              </fill>
            </x14:dxf>
          </x14:cfRule>
          <xm:sqref>CK8</xm:sqref>
        </x14:conditionalFormatting>
        <x14:conditionalFormatting xmlns:xm="http://schemas.microsoft.com/office/excel/2006/main">
          <x14:cfRule type="cellIs" priority="1245" stopIfTrue="1" operator="lessThan" id="{00000000-0000-0000-0000-000000000000}">
            <xm:f>INDEX('1.Locations'!$F$2:$F$97,$CC$9 + 1)</xm:f>
            <x14:dxf>
              <fill>
                <patternFill>
                  <bgColor indexed="52"/>
                </patternFill>
              </fill>
            </x14:dxf>
          </x14:cfRule>
          <xm:sqref>CJ9</xm:sqref>
        </x14:conditionalFormatting>
        <x14:conditionalFormatting xmlns:xm="http://schemas.microsoft.com/office/excel/2006/main">
          <x14:cfRule type="expression" priority="1246" stopIfTrue="1" id="{00000000-0000-0000-0000-000000000000}">
            <xm:f>(60 * HOUR($CK$9) + MINUTE($CK$9)) &gt;(60 * HOUR(INDEX('1.Locations'!$G$2:$G$97,$CC$9 + 1)) +MINUTE(INDEX('1.Locations'!$G$2:$G$97,$CC$9 + 1)))</xm:f>
            <x14:dxf>
              <fill>
                <patternFill>
                  <bgColor indexed="10"/>
                </patternFill>
              </fill>
            </x14:dxf>
          </x14:cfRule>
          <xm:sqref>CK9</xm:sqref>
        </x14:conditionalFormatting>
        <x14:conditionalFormatting xmlns:xm="http://schemas.microsoft.com/office/excel/2006/main">
          <x14:cfRule type="cellIs" priority="1247" stopIfTrue="1" operator="lessThan" id="{00000000-0000-0000-0000-000000000000}">
            <xm:f>INDEX('1.Locations'!$F$2:$F$97,$CC$10 + 1)</xm:f>
            <x14:dxf>
              <fill>
                <patternFill>
                  <bgColor indexed="52"/>
                </patternFill>
              </fill>
            </x14:dxf>
          </x14:cfRule>
          <xm:sqref>CJ10</xm:sqref>
        </x14:conditionalFormatting>
        <x14:conditionalFormatting xmlns:xm="http://schemas.microsoft.com/office/excel/2006/main">
          <x14:cfRule type="expression" priority="1248" stopIfTrue="1" id="{00000000-0000-0000-0000-000000000000}">
            <xm:f>(60 * HOUR($CK$10) + MINUTE($CK$10)) &gt;(60 * HOUR(INDEX('1.Locations'!$G$2:$G$97,$CC$10 + 1)) +MINUTE(INDEX('1.Locations'!$G$2:$G$97,$CC$10 + 1)))</xm:f>
            <x14:dxf>
              <fill>
                <patternFill>
                  <bgColor indexed="10"/>
                </patternFill>
              </fill>
            </x14:dxf>
          </x14:cfRule>
          <xm:sqref>CK10</xm:sqref>
        </x14:conditionalFormatting>
        <x14:conditionalFormatting xmlns:xm="http://schemas.microsoft.com/office/excel/2006/main">
          <x14:cfRule type="cellIs" priority="1249" stopIfTrue="1" operator="lessThan" id="{00000000-0000-0000-0000-000000000000}">
            <xm:f>INDEX('1.Locations'!$F$2:$F$97,$CC$11 + 1)</xm:f>
            <x14:dxf>
              <fill>
                <patternFill>
                  <bgColor indexed="52"/>
                </patternFill>
              </fill>
            </x14:dxf>
          </x14:cfRule>
          <xm:sqref>CJ11</xm:sqref>
        </x14:conditionalFormatting>
        <x14:conditionalFormatting xmlns:xm="http://schemas.microsoft.com/office/excel/2006/main">
          <x14:cfRule type="expression" priority="1250" stopIfTrue="1" id="{00000000-0000-0000-0000-000000000000}">
            <xm:f>(60 * HOUR($CK$11) + MINUTE($CK$11)) &gt;(60 * HOUR(INDEX('1.Locations'!$G$2:$G$97,$CC$11 + 1)) +MINUTE(INDEX('1.Locations'!$G$2:$G$97,$CC$11 + 1)))</xm:f>
            <x14:dxf>
              <fill>
                <patternFill>
                  <bgColor indexed="10"/>
                </patternFill>
              </fill>
            </x14:dxf>
          </x14:cfRule>
          <xm:sqref>CK11</xm:sqref>
        </x14:conditionalFormatting>
        <x14:conditionalFormatting xmlns:xm="http://schemas.microsoft.com/office/excel/2006/main">
          <x14:cfRule type="cellIs" priority="1251" stopIfTrue="1" operator="lessThan" id="{00000000-0000-0000-0000-000000000000}">
            <xm:f>INDEX('1.Locations'!$F$2:$F$97,$CC$12 + 1)</xm:f>
            <x14:dxf>
              <fill>
                <patternFill>
                  <bgColor indexed="52"/>
                </patternFill>
              </fill>
            </x14:dxf>
          </x14:cfRule>
          <xm:sqref>CJ12</xm:sqref>
        </x14:conditionalFormatting>
        <x14:conditionalFormatting xmlns:xm="http://schemas.microsoft.com/office/excel/2006/main">
          <x14:cfRule type="expression" priority="1252" stopIfTrue="1" id="{00000000-0000-0000-0000-000000000000}">
            <xm:f>(60 * HOUR($CK$12) + MINUTE($CK$12)) &gt;(60 * HOUR(INDEX('1.Locations'!$G$2:$G$97,$CC$12 + 1)) +MINUTE(INDEX('1.Locations'!$G$2:$G$97,$CC$12 + 1)))</xm:f>
            <x14:dxf>
              <fill>
                <patternFill>
                  <bgColor indexed="10"/>
                </patternFill>
              </fill>
            </x14:dxf>
          </x14:cfRule>
          <xm:sqref>CK12</xm:sqref>
        </x14:conditionalFormatting>
        <x14:conditionalFormatting xmlns:xm="http://schemas.microsoft.com/office/excel/2006/main">
          <x14:cfRule type="cellIs" priority="1253" stopIfTrue="1" operator="lessThan" id="{00000000-0000-0000-0000-000000000000}">
            <xm:f>INDEX('1.Locations'!$F$2:$F$97,$CC$13 + 1)</xm:f>
            <x14:dxf>
              <fill>
                <patternFill>
                  <bgColor indexed="52"/>
                </patternFill>
              </fill>
            </x14:dxf>
          </x14:cfRule>
          <xm:sqref>CJ13</xm:sqref>
        </x14:conditionalFormatting>
        <x14:conditionalFormatting xmlns:xm="http://schemas.microsoft.com/office/excel/2006/main">
          <x14:cfRule type="expression" priority="1254" stopIfTrue="1" id="{00000000-0000-0000-0000-000000000000}">
            <xm:f>(60 * HOUR($CK$13) + MINUTE($CK$13)) &gt;(60 * HOUR(INDEX('1.Locations'!$G$2:$G$97,$CC$13 + 1)) +MINUTE(INDEX('1.Locations'!$G$2:$G$97,$CC$13 + 1)))</xm:f>
            <x14:dxf>
              <fill>
                <patternFill>
                  <bgColor indexed="10"/>
                </patternFill>
              </fill>
            </x14:dxf>
          </x14:cfRule>
          <xm:sqref>CK13</xm:sqref>
        </x14:conditionalFormatting>
        <x14:conditionalFormatting xmlns:xm="http://schemas.microsoft.com/office/excel/2006/main">
          <x14:cfRule type="cellIs" priority="1255" stopIfTrue="1" operator="lessThan" id="{00000000-0000-0000-0000-000000000000}">
            <xm:f>INDEX('1.Locations'!$F$2:$F$97,$CC$14 + 1)</xm:f>
            <x14:dxf>
              <fill>
                <patternFill>
                  <bgColor indexed="52"/>
                </patternFill>
              </fill>
            </x14:dxf>
          </x14:cfRule>
          <xm:sqref>CJ14</xm:sqref>
        </x14:conditionalFormatting>
        <x14:conditionalFormatting xmlns:xm="http://schemas.microsoft.com/office/excel/2006/main">
          <x14:cfRule type="expression" priority="1256" stopIfTrue="1" id="{00000000-0000-0000-0000-000000000000}">
            <xm:f>(60 * HOUR($CK$14) + MINUTE($CK$14)) &gt;(60 * HOUR(INDEX('1.Locations'!$G$2:$G$97,$CC$14 + 1)) +MINUTE(INDEX('1.Locations'!$G$2:$G$97,$CC$14 + 1)))</xm:f>
            <x14:dxf>
              <fill>
                <patternFill>
                  <bgColor indexed="10"/>
                </patternFill>
              </fill>
            </x14:dxf>
          </x14:cfRule>
          <xm:sqref>CK14</xm:sqref>
        </x14:conditionalFormatting>
        <x14:conditionalFormatting xmlns:xm="http://schemas.microsoft.com/office/excel/2006/main">
          <x14:cfRule type="cellIs" priority="1257" stopIfTrue="1" operator="lessThan" id="{00000000-0000-0000-0000-000000000000}">
            <xm:f>INDEX('1.Locations'!$F$2:$F$97,$CC$15 + 1)</xm:f>
            <x14:dxf>
              <fill>
                <patternFill>
                  <bgColor indexed="52"/>
                </patternFill>
              </fill>
            </x14:dxf>
          </x14:cfRule>
          <xm:sqref>CJ15</xm:sqref>
        </x14:conditionalFormatting>
        <x14:conditionalFormatting xmlns:xm="http://schemas.microsoft.com/office/excel/2006/main">
          <x14:cfRule type="expression" priority="1258" stopIfTrue="1" id="{00000000-0000-0000-0000-000000000000}">
            <xm:f>(60 * HOUR($CK$15) + MINUTE($CK$15)) &gt;(60 * HOUR(INDEX('1.Locations'!$G$2:$G$97,$CC$15 + 1)) +MINUTE(INDEX('1.Locations'!$G$2:$G$97,$CC$15 + 1)))</xm:f>
            <x14:dxf>
              <fill>
                <patternFill>
                  <bgColor indexed="10"/>
                </patternFill>
              </fill>
            </x14:dxf>
          </x14:cfRule>
          <xm:sqref>CK15</xm:sqref>
        </x14:conditionalFormatting>
        <x14:conditionalFormatting xmlns:xm="http://schemas.microsoft.com/office/excel/2006/main">
          <x14:cfRule type="cellIs" priority="1259" stopIfTrue="1" operator="lessThan" id="{00000000-0000-0000-0000-000000000000}">
            <xm:f>INDEX('1.Locations'!$F$2:$F$97,$CC$16 + 1)</xm:f>
            <x14:dxf>
              <fill>
                <patternFill>
                  <bgColor indexed="52"/>
                </patternFill>
              </fill>
            </x14:dxf>
          </x14:cfRule>
          <xm:sqref>CJ16</xm:sqref>
        </x14:conditionalFormatting>
        <x14:conditionalFormatting xmlns:xm="http://schemas.microsoft.com/office/excel/2006/main">
          <x14:cfRule type="expression" priority="1260" stopIfTrue="1" id="{00000000-0000-0000-0000-000000000000}">
            <xm:f>(60 * HOUR($CK$16) + MINUTE($CK$16)) &gt;(60 * HOUR(INDEX('1.Locations'!$G$2:$G$97,$CC$16 + 1)) +MINUTE(INDEX('1.Locations'!$G$2:$G$97,$CC$16 + 1)))</xm:f>
            <x14:dxf>
              <fill>
                <patternFill>
                  <bgColor indexed="10"/>
                </patternFill>
              </fill>
            </x14:dxf>
          </x14:cfRule>
          <xm:sqref>CK16</xm:sqref>
        </x14:conditionalFormatting>
        <x14:conditionalFormatting xmlns:xm="http://schemas.microsoft.com/office/excel/2006/main">
          <x14:cfRule type="cellIs" priority="1261" stopIfTrue="1" operator="lessThan" id="{00000000-0000-0000-0000-000000000000}">
            <xm:f>INDEX('1.Locations'!$F$2:$F$97,$CC$17 + 1)</xm:f>
            <x14:dxf>
              <fill>
                <patternFill>
                  <bgColor indexed="52"/>
                </patternFill>
              </fill>
            </x14:dxf>
          </x14:cfRule>
          <xm:sqref>CJ17</xm:sqref>
        </x14:conditionalFormatting>
        <x14:conditionalFormatting xmlns:xm="http://schemas.microsoft.com/office/excel/2006/main">
          <x14:cfRule type="expression" priority="1262" stopIfTrue="1" id="{00000000-0000-0000-0000-000000000000}">
            <xm:f>(60 * HOUR($CK$17) + MINUTE($CK$17)) &gt;(60 * HOUR(INDEX('1.Locations'!$G$2:$G$97,$CC$17 + 1)) +MINUTE(INDEX('1.Locations'!$G$2:$G$97,$CC$17 + 1)))</xm:f>
            <x14:dxf>
              <fill>
                <patternFill>
                  <bgColor indexed="10"/>
                </patternFill>
              </fill>
            </x14:dxf>
          </x14:cfRule>
          <xm:sqref>CK17</xm:sqref>
        </x14:conditionalFormatting>
        <x14:conditionalFormatting xmlns:xm="http://schemas.microsoft.com/office/excel/2006/main">
          <x14:cfRule type="cellIs" priority="1263" stopIfTrue="1" operator="lessThan" id="{00000000-0000-0000-0000-000000000000}">
            <xm:f>INDEX('1.Locations'!$F$2:$F$97,$CC$18 + 1)</xm:f>
            <x14:dxf>
              <fill>
                <patternFill>
                  <bgColor indexed="52"/>
                </patternFill>
              </fill>
            </x14:dxf>
          </x14:cfRule>
          <xm:sqref>CJ18</xm:sqref>
        </x14:conditionalFormatting>
        <x14:conditionalFormatting xmlns:xm="http://schemas.microsoft.com/office/excel/2006/main">
          <x14:cfRule type="expression" priority="1264" stopIfTrue="1" id="{00000000-0000-0000-0000-000000000000}">
            <xm:f>(60 * HOUR($CK$18) + MINUTE($CK$18)) &gt;(60 * HOUR(INDEX('1.Locations'!$G$2:$G$97,$CC$18 + 1)) +MINUTE(INDEX('1.Locations'!$G$2:$G$97,$CC$18 + 1)))</xm:f>
            <x14:dxf>
              <fill>
                <patternFill>
                  <bgColor indexed="10"/>
                </patternFill>
              </fill>
            </x14:dxf>
          </x14:cfRule>
          <xm:sqref>CK18</xm:sqref>
        </x14:conditionalFormatting>
        <x14:conditionalFormatting xmlns:xm="http://schemas.microsoft.com/office/excel/2006/main">
          <x14:cfRule type="cellIs" priority="1265" stopIfTrue="1" operator="lessThan" id="{00000000-0000-0000-0000-000000000000}">
            <xm:f>INDEX('1.Locations'!$F$2:$F$97,$CC$19 + 1)</xm:f>
            <x14:dxf>
              <fill>
                <patternFill>
                  <bgColor indexed="52"/>
                </patternFill>
              </fill>
            </x14:dxf>
          </x14:cfRule>
          <xm:sqref>CJ19</xm:sqref>
        </x14:conditionalFormatting>
        <x14:conditionalFormatting xmlns:xm="http://schemas.microsoft.com/office/excel/2006/main">
          <x14:cfRule type="expression" priority="1266" stopIfTrue="1" id="{00000000-0000-0000-0000-000000000000}">
            <xm:f>(60 * HOUR($CK$19) + MINUTE($CK$19)) &gt;(60 * HOUR(INDEX('1.Locations'!$G$2:$G$97,$CC$19 + 1)) +MINUTE(INDEX('1.Locations'!$G$2:$G$97,$CC$19 + 1)))</xm:f>
            <x14:dxf>
              <fill>
                <patternFill>
                  <bgColor indexed="10"/>
                </patternFill>
              </fill>
            </x14:dxf>
          </x14:cfRule>
          <xm:sqref>CK19</xm:sqref>
        </x14:conditionalFormatting>
        <x14:conditionalFormatting xmlns:xm="http://schemas.microsoft.com/office/excel/2006/main">
          <x14:cfRule type="cellIs" priority="1267" stopIfTrue="1" operator="lessThan" id="{00000000-0000-0000-0000-000000000000}">
            <xm:f>INDEX('1.Locations'!$F$2:$F$97,$CC$20 + 1)</xm:f>
            <x14:dxf>
              <fill>
                <patternFill>
                  <bgColor indexed="52"/>
                </patternFill>
              </fill>
            </x14:dxf>
          </x14:cfRule>
          <xm:sqref>CJ20</xm:sqref>
        </x14:conditionalFormatting>
        <x14:conditionalFormatting xmlns:xm="http://schemas.microsoft.com/office/excel/2006/main">
          <x14:cfRule type="expression" priority="1268" stopIfTrue="1" id="{00000000-0000-0000-0000-000000000000}">
            <xm:f>(60 * HOUR($CK$20) + MINUTE($CK$20)) &gt;(60 * HOUR(INDEX('1.Locations'!$G$2:$G$97,$CC$20 + 1)) +MINUTE(INDEX('1.Locations'!$G$2:$G$97,$CC$20 + 1)))</xm:f>
            <x14:dxf>
              <fill>
                <patternFill>
                  <bgColor indexed="10"/>
                </patternFill>
              </fill>
            </x14:dxf>
          </x14:cfRule>
          <xm:sqref>CK20</xm:sqref>
        </x14:conditionalFormatting>
        <x14:conditionalFormatting xmlns:xm="http://schemas.microsoft.com/office/excel/2006/main">
          <x14:cfRule type="cellIs" priority="1269" stopIfTrue="1" operator="lessThan" id="{00000000-0000-0000-0000-000000000000}">
            <xm:f>INDEX('1.Locations'!$F$2:$F$97,$CC$21 + 1)</xm:f>
            <x14:dxf>
              <fill>
                <patternFill>
                  <bgColor indexed="52"/>
                </patternFill>
              </fill>
            </x14:dxf>
          </x14:cfRule>
          <xm:sqref>CJ21</xm:sqref>
        </x14:conditionalFormatting>
        <x14:conditionalFormatting xmlns:xm="http://schemas.microsoft.com/office/excel/2006/main">
          <x14:cfRule type="expression" priority="1270" stopIfTrue="1" id="{00000000-0000-0000-0000-000000000000}">
            <xm:f>(60 * HOUR($CK$21) + MINUTE($CK$21)) &gt;(60 * HOUR(INDEX('1.Locations'!$G$2:$G$97,$CC$21 + 1)) +MINUTE(INDEX('1.Locations'!$G$2:$G$97,$CC$21 + 1)))</xm:f>
            <x14:dxf>
              <fill>
                <patternFill>
                  <bgColor indexed="10"/>
                </patternFill>
              </fill>
            </x14:dxf>
          </x14:cfRule>
          <xm:sqref>CK21</xm:sqref>
        </x14:conditionalFormatting>
        <x14:conditionalFormatting xmlns:xm="http://schemas.microsoft.com/office/excel/2006/main">
          <x14:cfRule type="cellIs" priority="1271" stopIfTrue="1" operator="lessThan" id="{00000000-0000-0000-0000-000000000000}">
            <xm:f>INDEX('1.Locations'!$F$2:$F$97,$CC$22 + 1)</xm:f>
            <x14:dxf>
              <fill>
                <patternFill>
                  <bgColor indexed="52"/>
                </patternFill>
              </fill>
            </x14:dxf>
          </x14:cfRule>
          <xm:sqref>CJ22</xm:sqref>
        </x14:conditionalFormatting>
        <x14:conditionalFormatting xmlns:xm="http://schemas.microsoft.com/office/excel/2006/main">
          <x14:cfRule type="expression" priority="1272" stopIfTrue="1" id="{00000000-0000-0000-0000-000000000000}">
            <xm:f>(60 * HOUR($CK$22) + MINUTE($CK$22)) &gt;(60 * HOUR(INDEX('1.Locations'!$G$2:$G$97,$CC$22 + 1)) +MINUTE(INDEX('1.Locations'!$G$2:$G$97,$CC$22 + 1)))</xm:f>
            <x14:dxf>
              <fill>
                <patternFill>
                  <bgColor indexed="10"/>
                </patternFill>
              </fill>
            </x14:dxf>
          </x14:cfRule>
          <xm:sqref>CK22</xm:sqref>
        </x14:conditionalFormatting>
        <x14:conditionalFormatting xmlns:xm="http://schemas.microsoft.com/office/excel/2006/main">
          <x14:cfRule type="cellIs" priority="1273" stopIfTrue="1" operator="lessThan" id="{00000000-0000-0000-0000-000000000000}">
            <xm:f>INDEX('1.Locations'!$F$2:$F$97,$CC$23 + 1)</xm:f>
            <x14:dxf>
              <fill>
                <patternFill>
                  <bgColor indexed="52"/>
                </patternFill>
              </fill>
            </x14:dxf>
          </x14:cfRule>
          <xm:sqref>CJ23</xm:sqref>
        </x14:conditionalFormatting>
        <x14:conditionalFormatting xmlns:xm="http://schemas.microsoft.com/office/excel/2006/main">
          <x14:cfRule type="expression" priority="1274" stopIfTrue="1" id="{00000000-0000-0000-0000-000000000000}">
            <xm:f>(60 * HOUR($CK$23) + MINUTE($CK$23)) &gt;(60 * HOUR(INDEX('1.Locations'!$G$2:$G$97,$CC$23 + 1)) +MINUTE(INDEX('1.Locations'!$G$2:$G$97,$CC$23 + 1)))</xm:f>
            <x14:dxf>
              <fill>
                <patternFill>
                  <bgColor indexed="10"/>
                </patternFill>
              </fill>
            </x14:dxf>
          </x14:cfRule>
          <xm:sqref>CK23</xm:sqref>
        </x14:conditionalFormatting>
        <x14:conditionalFormatting xmlns:xm="http://schemas.microsoft.com/office/excel/2006/main">
          <x14:cfRule type="cellIs" priority="1275" stopIfTrue="1" operator="lessThan" id="{00000000-0000-0000-0000-000000000000}">
            <xm:f>INDEX('1.Locations'!$F$2:$F$97,$CC$24 + 1)</xm:f>
            <x14:dxf>
              <fill>
                <patternFill>
                  <bgColor indexed="52"/>
                </patternFill>
              </fill>
            </x14:dxf>
          </x14:cfRule>
          <xm:sqref>CJ24</xm:sqref>
        </x14:conditionalFormatting>
        <x14:conditionalFormatting xmlns:xm="http://schemas.microsoft.com/office/excel/2006/main">
          <x14:cfRule type="expression" priority="1276" stopIfTrue="1" id="{00000000-0000-0000-0000-000000000000}">
            <xm:f>(60 * HOUR($CK$24) + MINUTE($CK$24)) &gt;(60 * HOUR(INDEX('1.Locations'!$G$2:$G$97,$CC$24 + 1)) +MINUTE(INDEX('1.Locations'!$G$2:$G$97,$CC$24 + 1)))</xm:f>
            <x14:dxf>
              <fill>
                <patternFill>
                  <bgColor indexed="10"/>
                </patternFill>
              </fill>
            </x14:dxf>
          </x14:cfRule>
          <xm:sqref>CK24</xm:sqref>
        </x14:conditionalFormatting>
        <x14:conditionalFormatting xmlns:xm="http://schemas.microsoft.com/office/excel/2006/main">
          <x14:cfRule type="cellIs" priority="1277" stopIfTrue="1" operator="lessThan" id="{00000000-0000-0000-0000-000000000000}">
            <xm:f>INDEX('1.Locations'!$F$2:$F$97,$CC$25 + 1)</xm:f>
            <x14:dxf>
              <fill>
                <patternFill>
                  <bgColor indexed="52"/>
                </patternFill>
              </fill>
            </x14:dxf>
          </x14:cfRule>
          <xm:sqref>CJ25</xm:sqref>
        </x14:conditionalFormatting>
        <x14:conditionalFormatting xmlns:xm="http://schemas.microsoft.com/office/excel/2006/main">
          <x14:cfRule type="expression" priority="1278" stopIfTrue="1" id="{00000000-0000-0000-0000-000000000000}">
            <xm:f>(60 * HOUR($CK$25) + MINUTE($CK$25)) &gt;(60 * HOUR(INDEX('1.Locations'!$G$2:$G$97,$CC$25 + 1)) +MINUTE(INDEX('1.Locations'!$G$2:$G$97,$CC$25 + 1)))</xm:f>
            <x14:dxf>
              <fill>
                <patternFill>
                  <bgColor indexed="10"/>
                </patternFill>
              </fill>
            </x14:dxf>
          </x14:cfRule>
          <xm:sqref>CK25</xm:sqref>
        </x14:conditionalFormatting>
        <x14:conditionalFormatting xmlns:xm="http://schemas.microsoft.com/office/excel/2006/main">
          <x14:cfRule type="cellIs" priority="1279" stopIfTrue="1" operator="lessThan" id="{00000000-0000-0000-0000-000000000000}">
            <xm:f>INDEX('1.Locations'!$F$2:$F$97,$CC$26 + 1)</xm:f>
            <x14:dxf>
              <fill>
                <patternFill>
                  <bgColor indexed="52"/>
                </patternFill>
              </fill>
            </x14:dxf>
          </x14:cfRule>
          <xm:sqref>CJ26</xm:sqref>
        </x14:conditionalFormatting>
        <x14:conditionalFormatting xmlns:xm="http://schemas.microsoft.com/office/excel/2006/main">
          <x14:cfRule type="expression" priority="1280" stopIfTrue="1" id="{00000000-0000-0000-0000-000000000000}">
            <xm:f>(60 * HOUR($CK$26) + MINUTE($CK$26)) &gt;(60 * HOUR(INDEX('1.Locations'!$G$2:$G$97,$CC$26 + 1)) +MINUTE(INDEX('1.Locations'!$G$2:$G$97,$CC$26 + 1)))</xm:f>
            <x14:dxf>
              <fill>
                <patternFill>
                  <bgColor indexed="10"/>
                </patternFill>
              </fill>
            </x14:dxf>
          </x14:cfRule>
          <xm:sqref>CK26</xm:sqref>
        </x14:conditionalFormatting>
        <x14:conditionalFormatting xmlns:xm="http://schemas.microsoft.com/office/excel/2006/main">
          <x14:cfRule type="cellIs" priority="1281" stopIfTrue="1" operator="lessThan" id="{00000000-0000-0000-0000-000000000000}">
            <xm:f>INDEX('1.Locations'!$F$2:$F$97,$CC$27 + 1)</xm:f>
            <x14:dxf>
              <fill>
                <patternFill>
                  <bgColor indexed="52"/>
                </patternFill>
              </fill>
            </x14:dxf>
          </x14:cfRule>
          <xm:sqref>CJ27</xm:sqref>
        </x14:conditionalFormatting>
        <x14:conditionalFormatting xmlns:xm="http://schemas.microsoft.com/office/excel/2006/main">
          <x14:cfRule type="expression" priority="1282" stopIfTrue="1" id="{00000000-0000-0000-0000-000000000000}">
            <xm:f>(60 * HOUR($CK$27) + MINUTE($CK$27)) &gt;(60 * HOUR(INDEX('1.Locations'!$G$2:$G$97,$CC$27 + 1)) +MINUTE(INDEX('1.Locations'!$G$2:$G$97,$CC$27 + 1)))</xm:f>
            <x14:dxf>
              <fill>
                <patternFill>
                  <bgColor indexed="10"/>
                </patternFill>
              </fill>
            </x14:dxf>
          </x14:cfRule>
          <xm:sqref>CK27</xm:sqref>
        </x14:conditionalFormatting>
        <x14:conditionalFormatting xmlns:xm="http://schemas.microsoft.com/office/excel/2006/main">
          <x14:cfRule type="cellIs" priority="1283" stopIfTrue="1" operator="lessThan" id="{00000000-0000-0000-0000-000000000000}">
            <xm:f>INDEX('1.Locations'!$F$2:$F$97,$CC$28 + 1)</xm:f>
            <x14:dxf>
              <fill>
                <patternFill>
                  <bgColor indexed="52"/>
                </patternFill>
              </fill>
            </x14:dxf>
          </x14:cfRule>
          <xm:sqref>CJ28</xm:sqref>
        </x14:conditionalFormatting>
        <x14:conditionalFormatting xmlns:xm="http://schemas.microsoft.com/office/excel/2006/main">
          <x14:cfRule type="expression" priority="1284" stopIfTrue="1" id="{00000000-0000-0000-0000-000000000000}">
            <xm:f>(60 * HOUR($CK$28) + MINUTE($CK$28)) &gt;(60 * HOUR(INDEX('1.Locations'!$G$2:$G$97,$CC$28 + 1)) +MINUTE(INDEX('1.Locations'!$G$2:$G$97,$CC$28 + 1)))</xm:f>
            <x14:dxf>
              <fill>
                <patternFill>
                  <bgColor indexed="10"/>
                </patternFill>
              </fill>
            </x14:dxf>
          </x14:cfRule>
          <xm:sqref>CK28</xm:sqref>
        </x14:conditionalFormatting>
        <x14:conditionalFormatting xmlns:xm="http://schemas.microsoft.com/office/excel/2006/main">
          <x14:cfRule type="cellIs" priority="1285" stopIfTrue="1" operator="lessThan" id="{00000000-0000-0000-0000-000000000000}">
            <xm:f>INDEX('1.Locations'!$F$2:$F$97,$CC$29 + 1)</xm:f>
            <x14:dxf>
              <fill>
                <patternFill>
                  <bgColor indexed="52"/>
                </patternFill>
              </fill>
            </x14:dxf>
          </x14:cfRule>
          <xm:sqref>CJ29</xm:sqref>
        </x14:conditionalFormatting>
        <x14:conditionalFormatting xmlns:xm="http://schemas.microsoft.com/office/excel/2006/main">
          <x14:cfRule type="expression" priority="1286" stopIfTrue="1" id="{00000000-0000-0000-0000-000000000000}">
            <xm:f>(60 * HOUR($CK$29) + MINUTE($CK$29)) &gt;(60 * HOUR(INDEX('1.Locations'!$G$2:$G$97,$CC$29 + 1)) +MINUTE(INDEX('1.Locations'!$G$2:$G$97,$CC$29 + 1)))</xm:f>
            <x14:dxf>
              <fill>
                <patternFill>
                  <bgColor indexed="10"/>
                </patternFill>
              </fill>
            </x14:dxf>
          </x14:cfRule>
          <xm:sqref>CK29</xm:sqref>
        </x14:conditionalFormatting>
        <x14:conditionalFormatting xmlns:xm="http://schemas.microsoft.com/office/excel/2006/main">
          <x14:cfRule type="cellIs" priority="1287" stopIfTrue="1" operator="lessThan" id="{00000000-0000-0000-0000-000000000000}">
            <xm:f>INDEX('1.Locations'!$F$2:$F$97,$CC$30 + 1)</xm:f>
            <x14:dxf>
              <fill>
                <patternFill>
                  <bgColor indexed="52"/>
                </patternFill>
              </fill>
            </x14:dxf>
          </x14:cfRule>
          <xm:sqref>CJ30</xm:sqref>
        </x14:conditionalFormatting>
        <x14:conditionalFormatting xmlns:xm="http://schemas.microsoft.com/office/excel/2006/main">
          <x14:cfRule type="expression" priority="1288" stopIfTrue="1" id="{00000000-0000-0000-0000-000000000000}">
            <xm:f>(60 * HOUR($CK$30) + MINUTE($CK$30)) &gt;(60 * HOUR(INDEX('1.Locations'!$G$2:$G$97,$CC$30 + 1)) +MINUTE(INDEX('1.Locations'!$G$2:$G$97,$CC$30 + 1)))</xm:f>
            <x14:dxf>
              <fill>
                <patternFill>
                  <bgColor indexed="10"/>
                </patternFill>
              </fill>
            </x14:dxf>
          </x14:cfRule>
          <xm:sqref>CK30</xm:sqref>
        </x14:conditionalFormatting>
        <x14:conditionalFormatting xmlns:xm="http://schemas.microsoft.com/office/excel/2006/main">
          <x14:cfRule type="cellIs" priority="1289" stopIfTrue="1" operator="lessThan" id="{00000000-0000-0000-0000-000000000000}">
            <xm:f>INDEX('1.Locations'!$F$2:$F$97,$CC$31 + 1)</xm:f>
            <x14:dxf>
              <fill>
                <patternFill>
                  <bgColor indexed="52"/>
                </patternFill>
              </fill>
            </x14:dxf>
          </x14:cfRule>
          <xm:sqref>CJ31</xm:sqref>
        </x14:conditionalFormatting>
        <x14:conditionalFormatting xmlns:xm="http://schemas.microsoft.com/office/excel/2006/main">
          <x14:cfRule type="expression" priority="1290" stopIfTrue="1" id="{00000000-0000-0000-0000-000000000000}">
            <xm:f>(60 * HOUR($CK$31) + MINUTE($CK$31)) &gt;(60 * HOUR(INDEX('1.Locations'!$G$2:$G$97,$CC$31 + 1)) +MINUTE(INDEX('1.Locations'!$G$2:$G$97,$CC$31 + 1)))</xm:f>
            <x14:dxf>
              <fill>
                <patternFill>
                  <bgColor indexed="10"/>
                </patternFill>
              </fill>
            </x14:dxf>
          </x14:cfRule>
          <xm:sqref>CK31</xm:sqref>
        </x14:conditionalFormatting>
        <x14:conditionalFormatting xmlns:xm="http://schemas.microsoft.com/office/excel/2006/main">
          <x14:cfRule type="cellIs" priority="1291" stopIfTrue="1" operator="lessThan" id="{00000000-0000-0000-0000-000000000000}">
            <xm:f>INDEX('1.Locations'!$F$2:$F$97,$CC$32 + 1)</xm:f>
            <x14:dxf>
              <fill>
                <patternFill>
                  <bgColor indexed="52"/>
                </patternFill>
              </fill>
            </x14:dxf>
          </x14:cfRule>
          <xm:sqref>CJ32</xm:sqref>
        </x14:conditionalFormatting>
        <x14:conditionalFormatting xmlns:xm="http://schemas.microsoft.com/office/excel/2006/main">
          <x14:cfRule type="expression" priority="1292" stopIfTrue="1" id="{00000000-0000-0000-0000-000000000000}">
            <xm:f>(60 * HOUR($CK$32) + MINUTE($CK$32)) &gt;(60 * HOUR(INDEX('1.Locations'!$G$2:$G$97,$CC$32 + 1)) +MINUTE(INDEX('1.Locations'!$G$2:$G$97,$CC$32 + 1)))</xm:f>
            <x14:dxf>
              <fill>
                <patternFill>
                  <bgColor indexed="10"/>
                </patternFill>
              </fill>
            </x14:dxf>
          </x14:cfRule>
          <xm:sqref>CK32</xm:sqref>
        </x14:conditionalFormatting>
        <x14:conditionalFormatting xmlns:xm="http://schemas.microsoft.com/office/excel/2006/main">
          <x14:cfRule type="cellIs" priority="1293" stopIfTrue="1" operator="lessThan" id="{00000000-0000-0000-0000-000000000000}">
            <xm:f>INDEX('1.Locations'!$F$2:$F$97,$CC$33 + 1)</xm:f>
            <x14:dxf>
              <fill>
                <patternFill>
                  <bgColor indexed="52"/>
                </patternFill>
              </fill>
            </x14:dxf>
          </x14:cfRule>
          <xm:sqref>CJ33</xm:sqref>
        </x14:conditionalFormatting>
        <x14:conditionalFormatting xmlns:xm="http://schemas.microsoft.com/office/excel/2006/main">
          <x14:cfRule type="expression" priority="1294" stopIfTrue="1" id="{00000000-0000-0000-0000-000000000000}">
            <xm:f>(60 * HOUR($CK$33) + MINUTE($CK$33)) &gt;(60 * HOUR(INDEX('1.Locations'!$G$2:$G$97,$CC$33 + 1)) +MINUTE(INDEX('1.Locations'!$G$2:$G$97,$CC$33 + 1)))</xm:f>
            <x14:dxf>
              <fill>
                <patternFill>
                  <bgColor indexed="10"/>
                </patternFill>
              </fill>
            </x14:dxf>
          </x14:cfRule>
          <xm:sqref>CK33</xm:sqref>
        </x14:conditionalFormatting>
        <x14:conditionalFormatting xmlns:xm="http://schemas.microsoft.com/office/excel/2006/main">
          <x14:cfRule type="cellIs" priority="1295" stopIfTrue="1" operator="lessThan" id="{00000000-0000-0000-0000-000000000000}">
            <xm:f>INDEX('1.Locations'!$F$2:$F$97,$CC$34 + 1)</xm:f>
            <x14:dxf>
              <fill>
                <patternFill>
                  <bgColor indexed="52"/>
                </patternFill>
              </fill>
            </x14:dxf>
          </x14:cfRule>
          <xm:sqref>CJ34</xm:sqref>
        </x14:conditionalFormatting>
        <x14:conditionalFormatting xmlns:xm="http://schemas.microsoft.com/office/excel/2006/main">
          <x14:cfRule type="expression" priority="1296" stopIfTrue="1" id="{00000000-0000-0000-0000-000000000000}">
            <xm:f>(60 * HOUR($CK$34) + MINUTE($CK$34)) &gt;(60 * HOUR(INDEX('1.Locations'!$G$2:$G$97,$CC$34 + 1)) +MINUTE(INDEX('1.Locations'!$G$2:$G$97,$CC$34 + 1)))</xm:f>
            <x14:dxf>
              <fill>
                <patternFill>
                  <bgColor indexed="10"/>
                </patternFill>
              </fill>
            </x14:dxf>
          </x14:cfRule>
          <xm:sqref>CK34</xm:sqref>
        </x14:conditionalFormatting>
        <x14:conditionalFormatting xmlns:xm="http://schemas.microsoft.com/office/excel/2006/main">
          <x14:cfRule type="cellIs" priority="1297" stopIfTrue="1" operator="lessThan" id="{00000000-0000-0000-0000-000000000000}">
            <xm:f>INDEX('1.Locations'!$F$2:$F$97,$CC$35 + 1)</xm:f>
            <x14:dxf>
              <fill>
                <patternFill>
                  <bgColor indexed="52"/>
                </patternFill>
              </fill>
            </x14:dxf>
          </x14:cfRule>
          <xm:sqref>CJ35</xm:sqref>
        </x14:conditionalFormatting>
        <x14:conditionalFormatting xmlns:xm="http://schemas.microsoft.com/office/excel/2006/main">
          <x14:cfRule type="expression" priority="1298" stopIfTrue="1" id="{00000000-0000-0000-0000-000000000000}">
            <xm:f>(60 * HOUR($CK$35) + MINUTE($CK$35)) &gt;(60 * HOUR(INDEX('1.Locations'!$G$2:$G$97,$CC$35 + 1)) +MINUTE(INDEX('1.Locations'!$G$2:$G$97,$CC$35 + 1)))</xm:f>
            <x14:dxf>
              <fill>
                <patternFill>
                  <bgColor indexed="10"/>
                </patternFill>
              </fill>
            </x14:dxf>
          </x14:cfRule>
          <xm:sqref>CK35</xm:sqref>
        </x14:conditionalFormatting>
        <x14:conditionalFormatting xmlns:xm="http://schemas.microsoft.com/office/excel/2006/main">
          <x14:cfRule type="cellIs" priority="1299" stopIfTrue="1" operator="lessThan" id="{00000000-0000-0000-0000-000000000000}">
            <xm:f>INDEX('1.Locations'!$F$2:$F$97,$CC$36 + 1)</xm:f>
            <x14:dxf>
              <fill>
                <patternFill>
                  <bgColor indexed="52"/>
                </patternFill>
              </fill>
            </x14:dxf>
          </x14:cfRule>
          <xm:sqref>CJ36</xm:sqref>
        </x14:conditionalFormatting>
        <x14:conditionalFormatting xmlns:xm="http://schemas.microsoft.com/office/excel/2006/main">
          <x14:cfRule type="expression" priority="1300" stopIfTrue="1" id="{00000000-0000-0000-0000-000000000000}">
            <xm:f>(60 * HOUR($CK$36) + MINUTE($CK$36)) &gt;(60 * HOUR(INDEX('1.Locations'!$G$2:$G$97,$CC$36 + 1)) +MINUTE(INDEX('1.Locations'!$G$2:$G$97,$CC$36 + 1)))</xm:f>
            <x14:dxf>
              <fill>
                <patternFill>
                  <bgColor indexed="10"/>
                </patternFill>
              </fill>
            </x14:dxf>
          </x14:cfRule>
          <xm:sqref>CK36</xm:sqref>
        </x14:conditionalFormatting>
        <x14:conditionalFormatting xmlns:xm="http://schemas.microsoft.com/office/excel/2006/main">
          <x14:cfRule type="cellIs" priority="1301" stopIfTrue="1" operator="lessThan" id="{00000000-0000-0000-0000-000000000000}">
            <xm:f>INDEX('1.Locations'!$F$2:$F$97,$CC$37 + 1)</xm:f>
            <x14:dxf>
              <fill>
                <patternFill>
                  <bgColor indexed="52"/>
                </patternFill>
              </fill>
            </x14:dxf>
          </x14:cfRule>
          <xm:sqref>CJ37</xm:sqref>
        </x14:conditionalFormatting>
        <x14:conditionalFormatting xmlns:xm="http://schemas.microsoft.com/office/excel/2006/main">
          <x14:cfRule type="expression" priority="1302" stopIfTrue="1" id="{00000000-0000-0000-0000-000000000000}">
            <xm:f>(60 * HOUR($CK$37) + MINUTE($CK$37)) &gt;(60 * HOUR(INDEX('1.Locations'!$G$2:$G$97,$CC$37 + 1)) +MINUTE(INDEX('1.Locations'!$G$2:$G$97,$CC$37 + 1)))</xm:f>
            <x14:dxf>
              <fill>
                <patternFill>
                  <bgColor indexed="10"/>
                </patternFill>
              </fill>
            </x14:dxf>
          </x14:cfRule>
          <xm:sqref>CK37</xm:sqref>
        </x14:conditionalFormatting>
        <x14:conditionalFormatting xmlns:xm="http://schemas.microsoft.com/office/excel/2006/main">
          <x14:cfRule type="cellIs" priority="1303" stopIfTrue="1" operator="lessThan" id="{00000000-0000-0000-0000-000000000000}">
            <xm:f>INDEX('1.Locations'!$F$2:$F$97,$CC$38 + 1)</xm:f>
            <x14:dxf>
              <fill>
                <patternFill>
                  <bgColor indexed="52"/>
                </patternFill>
              </fill>
            </x14:dxf>
          </x14:cfRule>
          <xm:sqref>CJ38</xm:sqref>
        </x14:conditionalFormatting>
        <x14:conditionalFormatting xmlns:xm="http://schemas.microsoft.com/office/excel/2006/main">
          <x14:cfRule type="expression" priority="1304" stopIfTrue="1" id="{00000000-0000-0000-0000-000000000000}">
            <xm:f>(60 * HOUR($CK$38) + MINUTE($CK$38)) &gt;(60 * HOUR(INDEX('1.Locations'!$G$2:$G$97,$CC$38 + 1)) +MINUTE(INDEX('1.Locations'!$G$2:$G$97,$CC$38 + 1)))</xm:f>
            <x14:dxf>
              <fill>
                <patternFill>
                  <bgColor indexed="10"/>
                </patternFill>
              </fill>
            </x14:dxf>
          </x14:cfRule>
          <xm:sqref>CK38</xm:sqref>
        </x14:conditionalFormatting>
        <x14:conditionalFormatting xmlns:xm="http://schemas.microsoft.com/office/excel/2006/main">
          <x14:cfRule type="cellIs" priority="1305" stopIfTrue="1" operator="lessThan" id="{00000000-0000-0000-0000-000000000000}">
            <xm:f>INDEX('1.Locations'!$F$2:$F$97,$CC$39 + 1)</xm:f>
            <x14:dxf>
              <fill>
                <patternFill>
                  <bgColor indexed="52"/>
                </patternFill>
              </fill>
            </x14:dxf>
          </x14:cfRule>
          <xm:sqref>CJ39</xm:sqref>
        </x14:conditionalFormatting>
        <x14:conditionalFormatting xmlns:xm="http://schemas.microsoft.com/office/excel/2006/main">
          <x14:cfRule type="expression" priority="1306" stopIfTrue="1" id="{00000000-0000-0000-0000-000000000000}">
            <xm:f>(60 * HOUR($CK$39) + MINUTE($CK$39)) &gt;(60 * HOUR(INDEX('1.Locations'!$G$2:$G$97,$CC$39 + 1)) +MINUTE(INDEX('1.Locations'!$G$2:$G$97,$CC$39 + 1)))</xm:f>
            <x14:dxf>
              <fill>
                <patternFill>
                  <bgColor indexed="10"/>
                </patternFill>
              </fill>
            </x14:dxf>
          </x14:cfRule>
          <xm:sqref>CK39</xm:sqref>
        </x14:conditionalFormatting>
        <x14:conditionalFormatting xmlns:xm="http://schemas.microsoft.com/office/excel/2006/main">
          <x14:cfRule type="cellIs" priority="1307" stopIfTrue="1" operator="lessThan" id="{00000000-0000-0000-0000-000000000000}">
            <xm:f>INDEX('1.Locations'!$F$2:$F$97,$CC$40 + 1)</xm:f>
            <x14:dxf>
              <fill>
                <patternFill>
                  <bgColor indexed="52"/>
                </patternFill>
              </fill>
            </x14:dxf>
          </x14:cfRule>
          <xm:sqref>CJ40</xm:sqref>
        </x14:conditionalFormatting>
        <x14:conditionalFormatting xmlns:xm="http://schemas.microsoft.com/office/excel/2006/main">
          <x14:cfRule type="expression" priority="1308" stopIfTrue="1" id="{00000000-0000-0000-0000-000000000000}">
            <xm:f>(60 * HOUR($CK$40) + MINUTE($CK$40)) &gt;(60 * HOUR(INDEX('1.Locations'!$G$2:$G$97,$CC$40 + 1)) +MINUTE(INDEX('1.Locations'!$G$2:$G$97,$CC$40 + 1)))</xm:f>
            <x14:dxf>
              <fill>
                <patternFill>
                  <bgColor indexed="10"/>
                </patternFill>
              </fill>
            </x14:dxf>
          </x14:cfRule>
          <xm:sqref>CK40</xm:sqref>
        </x14:conditionalFormatting>
        <x14:conditionalFormatting xmlns:xm="http://schemas.microsoft.com/office/excel/2006/main">
          <x14:cfRule type="cellIs" priority="1309" stopIfTrue="1" operator="lessThan" id="{00000000-0000-0000-0000-000000000000}">
            <xm:f>INDEX('1.Locations'!$F$2:$F$97,$CC$41 + 1)</xm:f>
            <x14:dxf>
              <fill>
                <patternFill>
                  <bgColor indexed="52"/>
                </patternFill>
              </fill>
            </x14:dxf>
          </x14:cfRule>
          <xm:sqref>CJ41</xm:sqref>
        </x14:conditionalFormatting>
        <x14:conditionalFormatting xmlns:xm="http://schemas.microsoft.com/office/excel/2006/main">
          <x14:cfRule type="expression" priority="1310" stopIfTrue="1" id="{00000000-0000-0000-0000-000000000000}">
            <xm:f>(60 * HOUR($CK$41) + MINUTE($CK$41)) &gt;(60 * HOUR(INDEX('1.Locations'!$G$2:$G$97,$CC$41 + 1)) +MINUTE(INDEX('1.Locations'!$G$2:$G$97,$CC$41 + 1)))</xm:f>
            <x14:dxf>
              <fill>
                <patternFill>
                  <bgColor indexed="10"/>
                </patternFill>
              </fill>
            </x14:dxf>
          </x14:cfRule>
          <xm:sqref>CK41</xm:sqref>
        </x14:conditionalFormatting>
        <x14:conditionalFormatting xmlns:xm="http://schemas.microsoft.com/office/excel/2006/main">
          <x14:cfRule type="cellIs" priority="1311" stopIfTrue="1" operator="lessThan" id="{00000000-0000-0000-0000-000000000000}">
            <xm:f>INDEX('1.Locations'!$F$2:$F$97,$CC$42 + 1)</xm:f>
            <x14:dxf>
              <fill>
                <patternFill>
                  <bgColor indexed="52"/>
                </patternFill>
              </fill>
            </x14:dxf>
          </x14:cfRule>
          <xm:sqref>CJ42</xm:sqref>
        </x14:conditionalFormatting>
        <x14:conditionalFormatting xmlns:xm="http://schemas.microsoft.com/office/excel/2006/main">
          <x14:cfRule type="expression" priority="1312" stopIfTrue="1" id="{00000000-0000-0000-0000-000000000000}">
            <xm:f>(60 * HOUR($CK$42) + MINUTE($CK$42)) &gt;(60 * HOUR(INDEX('1.Locations'!$G$2:$G$97,$CC$42 + 1)) +MINUTE(INDEX('1.Locations'!$G$2:$G$97,$CC$42 + 1)))</xm:f>
            <x14:dxf>
              <fill>
                <patternFill>
                  <bgColor indexed="10"/>
                </patternFill>
              </fill>
            </x14:dxf>
          </x14:cfRule>
          <xm:sqref>CK42</xm:sqref>
        </x14:conditionalFormatting>
        <x14:conditionalFormatting xmlns:xm="http://schemas.microsoft.com/office/excel/2006/main">
          <x14:cfRule type="cellIs" priority="1313" stopIfTrue="1" operator="lessThan" id="{00000000-0000-0000-0000-000000000000}">
            <xm:f>INDEX('1.Locations'!$F$2:$F$97,$CC$43 + 1)</xm:f>
            <x14:dxf>
              <fill>
                <patternFill>
                  <bgColor indexed="52"/>
                </patternFill>
              </fill>
            </x14:dxf>
          </x14:cfRule>
          <xm:sqref>CJ43</xm:sqref>
        </x14:conditionalFormatting>
        <x14:conditionalFormatting xmlns:xm="http://schemas.microsoft.com/office/excel/2006/main">
          <x14:cfRule type="expression" priority="1314" stopIfTrue="1" id="{00000000-0000-0000-0000-000000000000}">
            <xm:f>(60 * HOUR($CK$43) + MINUTE($CK$43)) &gt;(60 * HOUR(INDEX('1.Locations'!$G$2:$G$97,$CC$43 + 1)) +MINUTE(INDEX('1.Locations'!$G$2:$G$97,$CC$43 + 1)))</xm:f>
            <x14:dxf>
              <fill>
                <patternFill>
                  <bgColor indexed="10"/>
                </patternFill>
              </fill>
            </x14:dxf>
          </x14:cfRule>
          <xm:sqref>CK43</xm:sqref>
        </x14:conditionalFormatting>
        <x14:conditionalFormatting xmlns:xm="http://schemas.microsoft.com/office/excel/2006/main">
          <x14:cfRule type="cellIs" priority="1315" stopIfTrue="1" operator="lessThan" id="{00000000-0000-0000-0000-000000000000}">
            <xm:f>INDEX('1.Locations'!$F$2:$F$97,$CC$44 + 1)</xm:f>
            <x14:dxf>
              <fill>
                <patternFill>
                  <bgColor indexed="52"/>
                </patternFill>
              </fill>
            </x14:dxf>
          </x14:cfRule>
          <xm:sqref>CJ44</xm:sqref>
        </x14:conditionalFormatting>
        <x14:conditionalFormatting xmlns:xm="http://schemas.microsoft.com/office/excel/2006/main">
          <x14:cfRule type="expression" priority="1316" stopIfTrue="1" id="{00000000-0000-0000-0000-000000000000}">
            <xm:f>(60 * HOUR($CK$44) + MINUTE($CK$44)) &gt;(60 * HOUR(INDEX('1.Locations'!$G$2:$G$97,$CC$44 + 1)) +MINUTE(INDEX('1.Locations'!$G$2:$G$97,$CC$44 + 1)))</xm:f>
            <x14:dxf>
              <fill>
                <patternFill>
                  <bgColor indexed="10"/>
                </patternFill>
              </fill>
            </x14:dxf>
          </x14:cfRule>
          <xm:sqref>CK44</xm:sqref>
        </x14:conditionalFormatting>
        <x14:conditionalFormatting xmlns:xm="http://schemas.microsoft.com/office/excel/2006/main">
          <x14:cfRule type="cellIs" priority="1317" stopIfTrue="1" operator="lessThan" id="{00000000-0000-0000-0000-000000000000}">
            <xm:f>INDEX('1.Locations'!$F$2:$F$97,$CC$45 + 1)</xm:f>
            <x14:dxf>
              <fill>
                <patternFill>
                  <bgColor indexed="52"/>
                </patternFill>
              </fill>
            </x14:dxf>
          </x14:cfRule>
          <xm:sqref>CJ45</xm:sqref>
        </x14:conditionalFormatting>
        <x14:conditionalFormatting xmlns:xm="http://schemas.microsoft.com/office/excel/2006/main">
          <x14:cfRule type="expression" priority="1318" stopIfTrue="1" id="{00000000-0000-0000-0000-000000000000}">
            <xm:f>(60 * HOUR($CK$45) + MINUTE($CK$45)) &gt;(60 * HOUR(INDEX('1.Locations'!$G$2:$G$97,$CC$45 + 1)) +MINUTE(INDEX('1.Locations'!$G$2:$G$97,$CC$45 + 1)))</xm:f>
            <x14:dxf>
              <fill>
                <patternFill>
                  <bgColor indexed="10"/>
                </patternFill>
              </fill>
            </x14:dxf>
          </x14:cfRule>
          <xm:sqref>CK45</xm:sqref>
        </x14:conditionalFormatting>
        <x14:conditionalFormatting xmlns:xm="http://schemas.microsoft.com/office/excel/2006/main">
          <x14:cfRule type="cellIs" priority="1319" stopIfTrue="1" operator="lessThan" id="{00000000-0000-0000-0000-000000000000}">
            <xm:f>INDEX('1.Locations'!$F$2:$F$97,$CC$46 + 1)</xm:f>
            <x14:dxf>
              <fill>
                <patternFill>
                  <bgColor indexed="52"/>
                </patternFill>
              </fill>
            </x14:dxf>
          </x14:cfRule>
          <xm:sqref>CJ46</xm:sqref>
        </x14:conditionalFormatting>
        <x14:conditionalFormatting xmlns:xm="http://schemas.microsoft.com/office/excel/2006/main">
          <x14:cfRule type="expression" priority="1320" stopIfTrue="1" id="{00000000-0000-0000-0000-000000000000}">
            <xm:f>(60 * HOUR($CK$46) + MINUTE($CK$46)) &gt;(60 * HOUR(INDEX('1.Locations'!$G$2:$G$97,$CC$46 + 1)) +MINUTE(INDEX('1.Locations'!$G$2:$G$97,$CC$46 + 1)))</xm:f>
            <x14:dxf>
              <fill>
                <patternFill>
                  <bgColor indexed="10"/>
                </patternFill>
              </fill>
            </x14:dxf>
          </x14:cfRule>
          <xm:sqref>CK46</xm:sqref>
        </x14:conditionalFormatting>
        <x14:conditionalFormatting xmlns:xm="http://schemas.microsoft.com/office/excel/2006/main">
          <x14:cfRule type="cellIs" priority="1321" stopIfTrue="1" operator="lessThan" id="{00000000-0000-0000-0000-000000000000}">
            <xm:f>INDEX('1.Locations'!$F$2:$F$97,$CC$47 + 1)</xm:f>
            <x14:dxf>
              <fill>
                <patternFill>
                  <bgColor indexed="52"/>
                </patternFill>
              </fill>
            </x14:dxf>
          </x14:cfRule>
          <xm:sqref>CJ47</xm:sqref>
        </x14:conditionalFormatting>
        <x14:conditionalFormatting xmlns:xm="http://schemas.microsoft.com/office/excel/2006/main">
          <x14:cfRule type="expression" priority="1322" stopIfTrue="1" id="{00000000-0000-0000-0000-000000000000}">
            <xm:f>(60 * HOUR($CK$47) + MINUTE($CK$47)) &gt;(60 * HOUR(INDEX('1.Locations'!$G$2:$G$97,$CC$47 + 1)) +MINUTE(INDEX('1.Locations'!$G$2:$G$97,$CC$47 + 1)))</xm:f>
            <x14:dxf>
              <fill>
                <patternFill>
                  <bgColor indexed="10"/>
                </patternFill>
              </fill>
            </x14:dxf>
          </x14:cfRule>
          <xm:sqref>CK47</xm:sqref>
        </x14:conditionalFormatting>
        <x14:conditionalFormatting xmlns:xm="http://schemas.microsoft.com/office/excel/2006/main">
          <x14:cfRule type="cellIs" priority="1323" stopIfTrue="1" operator="lessThan" id="{00000000-0000-0000-0000-000000000000}">
            <xm:f>INDEX('1.Locations'!$F$2:$F$97,$CC$48 + 1)</xm:f>
            <x14:dxf>
              <fill>
                <patternFill>
                  <bgColor indexed="52"/>
                </patternFill>
              </fill>
            </x14:dxf>
          </x14:cfRule>
          <xm:sqref>CJ48</xm:sqref>
        </x14:conditionalFormatting>
        <x14:conditionalFormatting xmlns:xm="http://schemas.microsoft.com/office/excel/2006/main">
          <x14:cfRule type="expression" priority="1324" stopIfTrue="1" id="{00000000-0000-0000-0000-000000000000}">
            <xm:f>(60 * HOUR($CK$48) + MINUTE($CK$48)) &gt;(60 * HOUR(INDEX('1.Locations'!$G$2:$G$97,$CC$48 + 1)) +MINUTE(INDEX('1.Locations'!$G$2:$G$97,$CC$48 + 1)))</xm:f>
            <x14:dxf>
              <fill>
                <patternFill>
                  <bgColor indexed="10"/>
                </patternFill>
              </fill>
            </x14:dxf>
          </x14:cfRule>
          <xm:sqref>CK48</xm:sqref>
        </x14:conditionalFormatting>
        <x14:conditionalFormatting xmlns:xm="http://schemas.microsoft.com/office/excel/2006/main">
          <x14:cfRule type="cellIs" priority="1325" stopIfTrue="1" operator="lessThan" id="{00000000-0000-0000-0000-000000000000}">
            <xm:f>INDEX('1.Locations'!$F$2:$F$97,$CC$49 + 1)</xm:f>
            <x14:dxf>
              <fill>
                <patternFill>
                  <bgColor indexed="52"/>
                </patternFill>
              </fill>
            </x14:dxf>
          </x14:cfRule>
          <xm:sqref>CJ49</xm:sqref>
        </x14:conditionalFormatting>
        <x14:conditionalFormatting xmlns:xm="http://schemas.microsoft.com/office/excel/2006/main">
          <x14:cfRule type="expression" priority="1326" stopIfTrue="1" id="{00000000-0000-0000-0000-000000000000}">
            <xm:f>(60 * HOUR($CK$49) + MINUTE($CK$49)) &gt;(60 * HOUR(INDEX('1.Locations'!$G$2:$G$97,$CC$49 + 1)) +MINUTE(INDEX('1.Locations'!$G$2:$G$97,$CC$49 + 1)))</xm:f>
            <x14:dxf>
              <fill>
                <patternFill>
                  <bgColor indexed="10"/>
                </patternFill>
              </fill>
            </x14:dxf>
          </x14:cfRule>
          <xm:sqref>CK49</xm:sqref>
        </x14:conditionalFormatting>
        <x14:conditionalFormatting xmlns:xm="http://schemas.microsoft.com/office/excel/2006/main">
          <x14:cfRule type="cellIs" priority="1327" stopIfTrue="1" operator="lessThan" id="{00000000-0000-0000-0000-000000000000}">
            <xm:f>INDEX('1.Locations'!$F$2:$F$97,$CC$50 + 1)</xm:f>
            <x14:dxf>
              <fill>
                <patternFill>
                  <bgColor indexed="52"/>
                </patternFill>
              </fill>
            </x14:dxf>
          </x14:cfRule>
          <xm:sqref>CJ50</xm:sqref>
        </x14:conditionalFormatting>
        <x14:conditionalFormatting xmlns:xm="http://schemas.microsoft.com/office/excel/2006/main">
          <x14:cfRule type="expression" priority="1328" stopIfTrue="1" id="{00000000-0000-0000-0000-000000000000}">
            <xm:f>(60 * HOUR($CK$50) + MINUTE($CK$50)) &gt;(60 * HOUR(INDEX('1.Locations'!$G$2:$G$97,$CC$50 + 1)) +MINUTE(INDEX('1.Locations'!$G$2:$G$97,$CC$50 + 1)))</xm:f>
            <x14:dxf>
              <fill>
                <patternFill>
                  <bgColor indexed="10"/>
                </patternFill>
              </fill>
            </x14:dxf>
          </x14:cfRule>
          <xm:sqref>CK50</xm:sqref>
        </x14:conditionalFormatting>
        <x14:conditionalFormatting xmlns:xm="http://schemas.microsoft.com/office/excel/2006/main">
          <x14:cfRule type="cellIs" priority="1329" stopIfTrue="1" operator="lessThan" id="{00000000-0000-0000-0000-000000000000}">
            <xm:f>INDEX('1.Locations'!$F$2:$F$97,$CC$51 + 1)</xm:f>
            <x14:dxf>
              <fill>
                <patternFill>
                  <bgColor indexed="52"/>
                </patternFill>
              </fill>
            </x14:dxf>
          </x14:cfRule>
          <xm:sqref>CJ51</xm:sqref>
        </x14:conditionalFormatting>
        <x14:conditionalFormatting xmlns:xm="http://schemas.microsoft.com/office/excel/2006/main">
          <x14:cfRule type="expression" priority="1330" stopIfTrue="1" id="{00000000-0000-0000-0000-000000000000}">
            <xm:f>(60 * HOUR($CK$51) + MINUTE($CK$51)) &gt;(60 * HOUR(INDEX('1.Locations'!$G$2:$G$97,$CC$51 + 1)) +MINUTE(INDEX('1.Locations'!$G$2:$G$97,$CC$51 + 1)))</xm:f>
            <x14:dxf>
              <fill>
                <patternFill>
                  <bgColor indexed="10"/>
                </patternFill>
              </fill>
            </x14:dxf>
          </x14:cfRule>
          <xm:sqref>CK51</xm:sqref>
        </x14:conditionalFormatting>
        <x14:conditionalFormatting xmlns:xm="http://schemas.microsoft.com/office/excel/2006/main">
          <x14:cfRule type="cellIs" priority="1331" stopIfTrue="1" operator="lessThan" id="{00000000-0000-0000-0000-000000000000}">
            <xm:f>INDEX('1.Locations'!$F$2:$F$97,$CC$52 + 1)</xm:f>
            <x14:dxf>
              <fill>
                <patternFill>
                  <bgColor indexed="52"/>
                </patternFill>
              </fill>
            </x14:dxf>
          </x14:cfRule>
          <xm:sqref>CJ52</xm:sqref>
        </x14:conditionalFormatting>
        <x14:conditionalFormatting xmlns:xm="http://schemas.microsoft.com/office/excel/2006/main">
          <x14:cfRule type="expression" priority="1332" stopIfTrue="1" id="{00000000-0000-0000-0000-000000000000}">
            <xm:f>(60 * HOUR($CK$52) + MINUTE($CK$52)) &gt;(60 * HOUR(INDEX('1.Locations'!$G$2:$G$97,$CC$52 + 1)) +MINUTE(INDEX('1.Locations'!$G$2:$G$97,$CC$52 + 1)))</xm:f>
            <x14:dxf>
              <fill>
                <patternFill>
                  <bgColor indexed="10"/>
                </patternFill>
              </fill>
            </x14:dxf>
          </x14:cfRule>
          <xm:sqref>CK52</xm:sqref>
        </x14:conditionalFormatting>
        <x14:conditionalFormatting xmlns:xm="http://schemas.microsoft.com/office/excel/2006/main">
          <x14:cfRule type="cellIs" priority="1333" stopIfTrue="1" operator="lessThan" id="{00000000-0000-0000-0000-000000000000}">
            <xm:f>INDEX('1.Locations'!$F$2:$F$97,$CC$53 + 1)</xm:f>
            <x14:dxf>
              <fill>
                <patternFill>
                  <bgColor indexed="52"/>
                </patternFill>
              </fill>
            </x14:dxf>
          </x14:cfRule>
          <xm:sqref>CJ53</xm:sqref>
        </x14:conditionalFormatting>
        <x14:conditionalFormatting xmlns:xm="http://schemas.microsoft.com/office/excel/2006/main">
          <x14:cfRule type="expression" priority="1334" stopIfTrue="1" id="{00000000-0000-0000-0000-000000000000}">
            <xm:f>(60 * HOUR($CK$53) + MINUTE($CK$53)) &gt;(60 * HOUR(INDEX('1.Locations'!$G$2:$G$97,$CC$53 + 1)) +MINUTE(INDEX('1.Locations'!$G$2:$G$97,$CC$53 + 1)))</xm:f>
            <x14:dxf>
              <fill>
                <patternFill>
                  <bgColor indexed="10"/>
                </patternFill>
              </fill>
            </x14:dxf>
          </x14:cfRule>
          <xm:sqref>CK53</xm:sqref>
        </x14:conditionalFormatting>
        <x14:conditionalFormatting xmlns:xm="http://schemas.microsoft.com/office/excel/2006/main">
          <x14:cfRule type="cellIs" priority="1335" stopIfTrue="1" operator="lessThan" id="{00000000-0000-0000-0000-000000000000}">
            <xm:f>INDEX('1.Locations'!$F$2:$F$97,$CC$54 + 1)</xm:f>
            <x14:dxf>
              <fill>
                <patternFill>
                  <bgColor indexed="52"/>
                </patternFill>
              </fill>
            </x14:dxf>
          </x14:cfRule>
          <xm:sqref>CJ54</xm:sqref>
        </x14:conditionalFormatting>
        <x14:conditionalFormatting xmlns:xm="http://schemas.microsoft.com/office/excel/2006/main">
          <x14:cfRule type="expression" priority="1336" stopIfTrue="1" id="{00000000-0000-0000-0000-000000000000}">
            <xm:f>(60 * HOUR($CK$54) + MINUTE($CK$54)) &gt;(60 * HOUR(INDEX('1.Locations'!$G$2:$G$97,$CC$54 + 1)) +MINUTE(INDEX('1.Locations'!$G$2:$G$97,$CC$54 + 1)))</xm:f>
            <x14:dxf>
              <fill>
                <patternFill>
                  <bgColor indexed="10"/>
                </patternFill>
              </fill>
            </x14:dxf>
          </x14:cfRule>
          <xm:sqref>CK54</xm:sqref>
        </x14:conditionalFormatting>
        <x14:conditionalFormatting xmlns:xm="http://schemas.microsoft.com/office/excel/2006/main">
          <x14:cfRule type="cellIs" priority="1337" stopIfTrue="1" operator="lessThan" id="{00000000-0000-0000-0000-000000000000}">
            <xm:f>INDEX('1.Locations'!$F$2:$F$97,$CC$55 + 1)</xm:f>
            <x14:dxf>
              <fill>
                <patternFill>
                  <bgColor indexed="52"/>
                </patternFill>
              </fill>
            </x14:dxf>
          </x14:cfRule>
          <xm:sqref>CJ55</xm:sqref>
        </x14:conditionalFormatting>
        <x14:conditionalFormatting xmlns:xm="http://schemas.microsoft.com/office/excel/2006/main">
          <x14:cfRule type="expression" priority="1338" stopIfTrue="1" id="{00000000-0000-0000-0000-000000000000}">
            <xm:f>(60 * HOUR($CK$55) + MINUTE($CK$55)) &gt;(60 * HOUR(INDEX('1.Locations'!$G$2:$G$97,$CC$55 + 1)) +MINUTE(INDEX('1.Locations'!$G$2:$G$97,$CC$55 + 1)))</xm:f>
            <x14:dxf>
              <fill>
                <patternFill>
                  <bgColor indexed="10"/>
                </patternFill>
              </fill>
            </x14:dxf>
          </x14:cfRule>
          <xm:sqref>CK55</xm:sqref>
        </x14:conditionalFormatting>
        <x14:conditionalFormatting xmlns:xm="http://schemas.microsoft.com/office/excel/2006/main">
          <x14:cfRule type="cellIs" priority="1339" stopIfTrue="1" operator="lessThan" id="{00000000-0000-0000-0000-000000000000}">
            <xm:f>INDEX('1.Locations'!$F$2:$F$97,$CC$56 + 1)</xm:f>
            <x14:dxf>
              <fill>
                <patternFill>
                  <bgColor indexed="52"/>
                </patternFill>
              </fill>
            </x14:dxf>
          </x14:cfRule>
          <xm:sqref>CJ56</xm:sqref>
        </x14:conditionalFormatting>
        <x14:conditionalFormatting xmlns:xm="http://schemas.microsoft.com/office/excel/2006/main">
          <x14:cfRule type="expression" priority="1340" stopIfTrue="1" id="{00000000-0000-0000-0000-000000000000}">
            <xm:f>(60 * HOUR($CK$56) + MINUTE($CK$56)) &gt;(60 * HOUR(INDEX('1.Locations'!$G$2:$G$97,$CC$56 + 1)) +MINUTE(INDEX('1.Locations'!$G$2:$G$97,$CC$56 + 1)))</xm:f>
            <x14:dxf>
              <fill>
                <patternFill>
                  <bgColor indexed="10"/>
                </patternFill>
              </fill>
            </x14:dxf>
          </x14:cfRule>
          <xm:sqref>CK56</xm:sqref>
        </x14:conditionalFormatting>
        <x14:conditionalFormatting xmlns:xm="http://schemas.microsoft.com/office/excel/2006/main">
          <x14:cfRule type="cellIs" priority="1341" stopIfTrue="1" operator="lessThan" id="{00000000-0000-0000-0000-000000000000}">
            <xm:f>INDEX('1.Locations'!$F$2:$F$97,$CC$57 + 1)</xm:f>
            <x14:dxf>
              <fill>
                <patternFill>
                  <bgColor indexed="52"/>
                </patternFill>
              </fill>
            </x14:dxf>
          </x14:cfRule>
          <xm:sqref>CJ57</xm:sqref>
        </x14:conditionalFormatting>
        <x14:conditionalFormatting xmlns:xm="http://schemas.microsoft.com/office/excel/2006/main">
          <x14:cfRule type="expression" priority="1342" stopIfTrue="1" id="{00000000-0000-0000-0000-000000000000}">
            <xm:f>(60 * HOUR($CK$57) + MINUTE($CK$57)) &gt;(60 * HOUR(INDEX('1.Locations'!$G$2:$G$97,$CC$57 + 1)) +MINUTE(INDEX('1.Locations'!$G$2:$G$97,$CC$57 + 1)))</xm:f>
            <x14:dxf>
              <fill>
                <patternFill>
                  <bgColor indexed="10"/>
                </patternFill>
              </fill>
            </x14:dxf>
          </x14:cfRule>
          <xm:sqref>CK57</xm:sqref>
        </x14:conditionalFormatting>
        <x14:conditionalFormatting xmlns:xm="http://schemas.microsoft.com/office/excel/2006/main">
          <x14:cfRule type="cellIs" priority="1343" stopIfTrue="1" operator="lessThan" id="{00000000-0000-0000-0000-000000000000}">
            <xm:f>INDEX('1.Locations'!$F$2:$F$97,$CC$58 + 1)</xm:f>
            <x14:dxf>
              <fill>
                <patternFill>
                  <bgColor indexed="52"/>
                </patternFill>
              </fill>
            </x14:dxf>
          </x14:cfRule>
          <xm:sqref>CJ58</xm:sqref>
        </x14:conditionalFormatting>
        <x14:conditionalFormatting xmlns:xm="http://schemas.microsoft.com/office/excel/2006/main">
          <x14:cfRule type="expression" priority="1344" stopIfTrue="1" id="{00000000-0000-0000-0000-000000000000}">
            <xm:f>(60 * HOUR($CK$58) + MINUTE($CK$58)) &gt;(60 * HOUR(INDEX('1.Locations'!$G$2:$G$97,$CC$58 + 1)) +MINUTE(INDEX('1.Locations'!$G$2:$G$97,$CC$58 + 1)))</xm:f>
            <x14:dxf>
              <fill>
                <patternFill>
                  <bgColor indexed="10"/>
                </patternFill>
              </fill>
            </x14:dxf>
          </x14:cfRule>
          <xm:sqref>CK58</xm:sqref>
        </x14:conditionalFormatting>
        <x14:conditionalFormatting xmlns:xm="http://schemas.microsoft.com/office/excel/2006/main">
          <x14:cfRule type="cellIs" priority="1345" stopIfTrue="1" operator="lessThan" id="{00000000-0000-0000-0000-000000000000}">
            <xm:f>INDEX('1.Locations'!$F$2:$F$97,$CC$59 + 1)</xm:f>
            <x14:dxf>
              <fill>
                <patternFill>
                  <bgColor indexed="52"/>
                </patternFill>
              </fill>
            </x14:dxf>
          </x14:cfRule>
          <xm:sqref>CJ59</xm:sqref>
        </x14:conditionalFormatting>
        <x14:conditionalFormatting xmlns:xm="http://schemas.microsoft.com/office/excel/2006/main">
          <x14:cfRule type="expression" priority="1346" stopIfTrue="1" id="{00000000-0000-0000-0000-000000000000}">
            <xm:f>(60 * HOUR($CK$59) + MINUTE($CK$59)) &gt;(60 * HOUR(INDEX('1.Locations'!$G$2:$G$97,$CC$59 + 1)) +MINUTE(INDEX('1.Locations'!$G$2:$G$97,$CC$59 + 1)))</xm:f>
            <x14:dxf>
              <fill>
                <patternFill>
                  <bgColor indexed="10"/>
                </patternFill>
              </fill>
            </x14:dxf>
          </x14:cfRule>
          <xm:sqref>CK59</xm:sqref>
        </x14:conditionalFormatting>
        <x14:conditionalFormatting xmlns:xm="http://schemas.microsoft.com/office/excel/2006/main">
          <x14:cfRule type="cellIs" priority="1347" stopIfTrue="1" operator="lessThan" id="{00000000-0000-0000-0000-000000000000}">
            <xm:f>INDEX('1.Locations'!$F$2:$F$97,$CC$60 + 1)</xm:f>
            <x14:dxf>
              <fill>
                <patternFill>
                  <bgColor indexed="52"/>
                </patternFill>
              </fill>
            </x14:dxf>
          </x14:cfRule>
          <xm:sqref>CJ60</xm:sqref>
        </x14:conditionalFormatting>
        <x14:conditionalFormatting xmlns:xm="http://schemas.microsoft.com/office/excel/2006/main">
          <x14:cfRule type="expression" priority="1348" stopIfTrue="1" id="{00000000-0000-0000-0000-000000000000}">
            <xm:f>(60 * HOUR($CK$60) + MINUTE($CK$60)) &gt;(60 * HOUR(INDEX('1.Locations'!$G$2:$G$97,$CC$60 + 1)) +MINUTE(INDEX('1.Locations'!$G$2:$G$97,$CC$60 + 1)))</xm:f>
            <x14:dxf>
              <fill>
                <patternFill>
                  <bgColor indexed="10"/>
                </patternFill>
              </fill>
            </x14:dxf>
          </x14:cfRule>
          <xm:sqref>CK60</xm:sqref>
        </x14:conditionalFormatting>
        <x14:conditionalFormatting xmlns:xm="http://schemas.microsoft.com/office/excel/2006/main">
          <x14:cfRule type="cellIs" priority="1349" stopIfTrue="1" operator="lessThan" id="{00000000-0000-0000-0000-000000000000}">
            <xm:f>INDEX('1.Locations'!$F$2:$F$97,$CC$61 + 1)</xm:f>
            <x14:dxf>
              <fill>
                <patternFill>
                  <bgColor indexed="52"/>
                </patternFill>
              </fill>
            </x14:dxf>
          </x14:cfRule>
          <xm:sqref>CJ61</xm:sqref>
        </x14:conditionalFormatting>
        <x14:conditionalFormatting xmlns:xm="http://schemas.microsoft.com/office/excel/2006/main">
          <x14:cfRule type="expression" priority="1350" stopIfTrue="1" id="{00000000-0000-0000-0000-000000000000}">
            <xm:f>(60 * HOUR($CK$61) + MINUTE($CK$61)) &gt;(60 * HOUR(INDEX('1.Locations'!$G$2:$G$97,$CC$61 + 1)) +MINUTE(INDEX('1.Locations'!$G$2:$G$97,$CC$61 + 1)))</xm:f>
            <x14:dxf>
              <fill>
                <patternFill>
                  <bgColor indexed="10"/>
                </patternFill>
              </fill>
            </x14:dxf>
          </x14:cfRule>
          <xm:sqref>CK61</xm:sqref>
        </x14:conditionalFormatting>
        <x14:conditionalFormatting xmlns:xm="http://schemas.microsoft.com/office/excel/2006/main">
          <x14:cfRule type="cellIs" priority="1351" stopIfTrue="1" operator="lessThan" id="{00000000-0000-0000-0000-000000000000}">
            <xm:f>INDEX('1.Locations'!$F$2:$F$97,$CC$62 + 1)</xm:f>
            <x14:dxf>
              <fill>
                <patternFill>
                  <bgColor indexed="52"/>
                </patternFill>
              </fill>
            </x14:dxf>
          </x14:cfRule>
          <xm:sqref>CJ62</xm:sqref>
        </x14:conditionalFormatting>
        <x14:conditionalFormatting xmlns:xm="http://schemas.microsoft.com/office/excel/2006/main">
          <x14:cfRule type="expression" priority="1352" stopIfTrue="1" id="{00000000-0000-0000-0000-000000000000}">
            <xm:f>(60 * HOUR($CK$62) + MINUTE($CK$62)) &gt;(60 * HOUR(INDEX('1.Locations'!$G$2:$G$97,$CC$62 + 1)) +MINUTE(INDEX('1.Locations'!$G$2:$G$97,$CC$62 + 1)))</xm:f>
            <x14:dxf>
              <fill>
                <patternFill>
                  <bgColor indexed="10"/>
                </patternFill>
              </fill>
            </x14:dxf>
          </x14:cfRule>
          <xm:sqref>CK62</xm:sqref>
        </x14:conditionalFormatting>
        <x14:conditionalFormatting xmlns:xm="http://schemas.microsoft.com/office/excel/2006/main">
          <x14:cfRule type="cellIs" priority="1353" stopIfTrue="1" operator="lessThan" id="{00000000-0000-0000-0000-000000000000}">
            <xm:f>INDEX('1.Locations'!$F$2:$F$97,$CC$63 + 1)</xm:f>
            <x14:dxf>
              <fill>
                <patternFill>
                  <bgColor indexed="52"/>
                </patternFill>
              </fill>
            </x14:dxf>
          </x14:cfRule>
          <xm:sqref>CJ63</xm:sqref>
        </x14:conditionalFormatting>
        <x14:conditionalFormatting xmlns:xm="http://schemas.microsoft.com/office/excel/2006/main">
          <x14:cfRule type="expression" priority="1354" stopIfTrue="1" id="{00000000-0000-0000-0000-000000000000}">
            <xm:f>(60 * HOUR($CK$63) + MINUTE($CK$63)) &gt;(60 * HOUR(INDEX('1.Locations'!$G$2:$G$97,$CC$63 + 1)) +MINUTE(INDEX('1.Locations'!$G$2:$G$97,$CC$63 + 1)))</xm:f>
            <x14:dxf>
              <fill>
                <patternFill>
                  <bgColor indexed="10"/>
                </patternFill>
              </fill>
            </x14:dxf>
          </x14:cfRule>
          <xm:sqref>CK63</xm:sqref>
        </x14:conditionalFormatting>
        <x14:conditionalFormatting xmlns:xm="http://schemas.microsoft.com/office/excel/2006/main">
          <x14:cfRule type="cellIs" priority="1355" stopIfTrue="1" operator="lessThan" id="{00000000-0000-0000-0000-000000000000}">
            <xm:f>INDEX('1.Locations'!$F$2:$F$97,$CC$64 + 1)</xm:f>
            <x14:dxf>
              <fill>
                <patternFill>
                  <bgColor indexed="52"/>
                </patternFill>
              </fill>
            </x14:dxf>
          </x14:cfRule>
          <xm:sqref>CJ64</xm:sqref>
        </x14:conditionalFormatting>
        <x14:conditionalFormatting xmlns:xm="http://schemas.microsoft.com/office/excel/2006/main">
          <x14:cfRule type="expression" priority="1356" stopIfTrue="1" id="{00000000-0000-0000-0000-000000000000}">
            <xm:f>(60 * HOUR($CK$64) + MINUTE($CK$64)) &gt;(60 * HOUR(INDEX('1.Locations'!$G$2:$G$97,$CC$64 + 1)) +MINUTE(INDEX('1.Locations'!$G$2:$G$97,$CC$64 + 1)))</xm:f>
            <x14:dxf>
              <fill>
                <patternFill>
                  <bgColor indexed="10"/>
                </patternFill>
              </fill>
            </x14:dxf>
          </x14:cfRule>
          <xm:sqref>CK64</xm:sqref>
        </x14:conditionalFormatting>
        <x14:conditionalFormatting xmlns:xm="http://schemas.microsoft.com/office/excel/2006/main">
          <x14:cfRule type="cellIs" priority="1357" stopIfTrue="1" operator="lessThan" id="{00000000-0000-0000-0000-000000000000}">
            <xm:f>INDEX('1.Locations'!$F$2:$F$97,$CC$65 + 1)</xm:f>
            <x14:dxf>
              <fill>
                <patternFill>
                  <bgColor indexed="52"/>
                </patternFill>
              </fill>
            </x14:dxf>
          </x14:cfRule>
          <xm:sqref>CJ65</xm:sqref>
        </x14:conditionalFormatting>
        <x14:conditionalFormatting xmlns:xm="http://schemas.microsoft.com/office/excel/2006/main">
          <x14:cfRule type="expression" priority="1358" stopIfTrue="1" id="{00000000-0000-0000-0000-000000000000}">
            <xm:f>(60 * HOUR($CK$65) + MINUTE($CK$65)) &gt;(60 * HOUR(INDEX('1.Locations'!$G$2:$G$97,$CC$65 + 1)) +MINUTE(INDEX('1.Locations'!$G$2:$G$97,$CC$65 + 1)))</xm:f>
            <x14:dxf>
              <fill>
                <patternFill>
                  <bgColor indexed="10"/>
                </patternFill>
              </fill>
            </x14:dxf>
          </x14:cfRule>
          <xm:sqref>CK65</xm:sqref>
        </x14:conditionalFormatting>
        <x14:conditionalFormatting xmlns:xm="http://schemas.microsoft.com/office/excel/2006/main">
          <x14:cfRule type="cellIs" priority="1359" stopIfTrue="1" operator="lessThan" id="{00000000-0000-0000-0000-000000000000}">
            <xm:f>INDEX('1.Locations'!$F$2:$F$97,$CC$66 + 1)</xm:f>
            <x14:dxf>
              <fill>
                <patternFill>
                  <bgColor indexed="52"/>
                </patternFill>
              </fill>
            </x14:dxf>
          </x14:cfRule>
          <xm:sqref>CJ66</xm:sqref>
        </x14:conditionalFormatting>
        <x14:conditionalFormatting xmlns:xm="http://schemas.microsoft.com/office/excel/2006/main">
          <x14:cfRule type="expression" priority="1360" stopIfTrue="1" id="{00000000-0000-0000-0000-000000000000}">
            <xm:f>(60 * HOUR($CK$66) + MINUTE($CK$66)) &gt;(60 * HOUR(INDEX('1.Locations'!$G$2:$G$97,$CC$66 + 1)) +MINUTE(INDEX('1.Locations'!$G$2:$G$97,$CC$66 + 1)))</xm:f>
            <x14:dxf>
              <fill>
                <patternFill>
                  <bgColor indexed="10"/>
                </patternFill>
              </fill>
            </x14:dxf>
          </x14:cfRule>
          <xm:sqref>CK66</xm:sqref>
        </x14:conditionalFormatting>
        <x14:conditionalFormatting xmlns:xm="http://schemas.microsoft.com/office/excel/2006/main">
          <x14:cfRule type="cellIs" priority="1361" stopIfTrue="1" operator="lessThan" id="{00000000-0000-0000-0000-000000000000}">
            <xm:f>INDEX('1.Locations'!$F$2:$F$97,$CC$67 + 1)</xm:f>
            <x14:dxf>
              <fill>
                <patternFill>
                  <bgColor indexed="52"/>
                </patternFill>
              </fill>
            </x14:dxf>
          </x14:cfRule>
          <xm:sqref>CJ67</xm:sqref>
        </x14:conditionalFormatting>
        <x14:conditionalFormatting xmlns:xm="http://schemas.microsoft.com/office/excel/2006/main">
          <x14:cfRule type="expression" priority="1362" stopIfTrue="1" id="{00000000-0000-0000-0000-000000000000}">
            <xm:f>(60 * HOUR($CK$67) + MINUTE($CK$67)) &gt;(60 * HOUR(INDEX('1.Locations'!$G$2:$G$97,$CC$67 + 1)) +MINUTE(INDEX('1.Locations'!$G$2:$G$97,$CC$67 + 1)))</xm:f>
            <x14:dxf>
              <fill>
                <patternFill>
                  <bgColor indexed="10"/>
                </patternFill>
              </fill>
            </x14:dxf>
          </x14:cfRule>
          <xm:sqref>CK67</xm:sqref>
        </x14:conditionalFormatting>
        <x14:conditionalFormatting xmlns:xm="http://schemas.microsoft.com/office/excel/2006/main">
          <x14:cfRule type="cellIs" priority="1363" stopIfTrue="1" operator="lessThan" id="{00000000-0000-0000-0000-000000000000}">
            <xm:f>INDEX('1.Locations'!$F$2:$F$97,$CC$68 + 1)</xm:f>
            <x14:dxf>
              <fill>
                <patternFill>
                  <bgColor indexed="52"/>
                </patternFill>
              </fill>
            </x14:dxf>
          </x14:cfRule>
          <xm:sqref>CJ68</xm:sqref>
        </x14:conditionalFormatting>
        <x14:conditionalFormatting xmlns:xm="http://schemas.microsoft.com/office/excel/2006/main">
          <x14:cfRule type="expression" priority="1364" stopIfTrue="1" id="{00000000-0000-0000-0000-000000000000}">
            <xm:f>(60 * HOUR($CK$68) + MINUTE($CK$68)) &gt;(60 * HOUR(INDEX('1.Locations'!$G$2:$G$97,$CC$68 + 1)) +MINUTE(INDEX('1.Locations'!$G$2:$G$97,$CC$68 + 1)))</xm:f>
            <x14:dxf>
              <fill>
                <patternFill>
                  <bgColor indexed="10"/>
                </patternFill>
              </fill>
            </x14:dxf>
          </x14:cfRule>
          <xm:sqref>CK68</xm:sqref>
        </x14:conditionalFormatting>
        <x14:conditionalFormatting xmlns:xm="http://schemas.microsoft.com/office/excel/2006/main">
          <x14:cfRule type="cellIs" priority="1365" stopIfTrue="1" operator="lessThan" id="{00000000-0000-0000-0000-000000000000}">
            <xm:f>INDEX('1.Locations'!$F$2:$F$97,$CC$69 + 1)</xm:f>
            <x14:dxf>
              <fill>
                <patternFill>
                  <bgColor indexed="52"/>
                </patternFill>
              </fill>
            </x14:dxf>
          </x14:cfRule>
          <xm:sqref>CJ69</xm:sqref>
        </x14:conditionalFormatting>
        <x14:conditionalFormatting xmlns:xm="http://schemas.microsoft.com/office/excel/2006/main">
          <x14:cfRule type="expression" priority="1366" stopIfTrue="1" id="{00000000-0000-0000-0000-000000000000}">
            <xm:f>(60 * HOUR($CK$69) + MINUTE($CK$69)) &gt;(60 * HOUR(INDEX('1.Locations'!$G$2:$G$97,$CC$69 + 1)) +MINUTE(INDEX('1.Locations'!$G$2:$G$97,$CC$69 + 1)))</xm:f>
            <x14:dxf>
              <fill>
                <patternFill>
                  <bgColor indexed="10"/>
                </patternFill>
              </fill>
            </x14:dxf>
          </x14:cfRule>
          <xm:sqref>CK69</xm:sqref>
        </x14:conditionalFormatting>
        <x14:conditionalFormatting xmlns:xm="http://schemas.microsoft.com/office/excel/2006/main">
          <x14:cfRule type="cellIs" priority="1367" stopIfTrue="1" operator="lessThan" id="{00000000-0000-0000-0000-000000000000}">
            <xm:f>INDEX('1.Locations'!$F$2:$F$97,$CC$70 + 1)</xm:f>
            <x14:dxf>
              <fill>
                <patternFill>
                  <bgColor indexed="52"/>
                </patternFill>
              </fill>
            </x14:dxf>
          </x14:cfRule>
          <xm:sqref>CJ70</xm:sqref>
        </x14:conditionalFormatting>
        <x14:conditionalFormatting xmlns:xm="http://schemas.microsoft.com/office/excel/2006/main">
          <x14:cfRule type="expression" priority="1368" stopIfTrue="1" id="{00000000-0000-0000-0000-000000000000}">
            <xm:f>(60 * HOUR($CK$70) + MINUTE($CK$70)) &gt;(60 * HOUR(INDEX('1.Locations'!$G$2:$G$97,$CC$70 + 1)) +MINUTE(INDEX('1.Locations'!$G$2:$G$97,$CC$70 + 1)))</xm:f>
            <x14:dxf>
              <fill>
                <patternFill>
                  <bgColor indexed="10"/>
                </patternFill>
              </fill>
            </x14:dxf>
          </x14:cfRule>
          <xm:sqref>CK70</xm:sqref>
        </x14:conditionalFormatting>
        <x14:conditionalFormatting xmlns:xm="http://schemas.microsoft.com/office/excel/2006/main">
          <x14:cfRule type="cellIs" priority="1369" stopIfTrue="1" operator="lessThan" id="{00000000-0000-0000-0000-000000000000}">
            <xm:f>INDEX('1.Locations'!$F$2:$F$97,$CC$71 + 1)</xm:f>
            <x14:dxf>
              <fill>
                <patternFill>
                  <bgColor indexed="52"/>
                </patternFill>
              </fill>
            </x14:dxf>
          </x14:cfRule>
          <xm:sqref>CJ71</xm:sqref>
        </x14:conditionalFormatting>
        <x14:conditionalFormatting xmlns:xm="http://schemas.microsoft.com/office/excel/2006/main">
          <x14:cfRule type="expression" priority="1370" stopIfTrue="1" id="{00000000-0000-0000-0000-000000000000}">
            <xm:f>(60 * HOUR($CK$71) + MINUTE($CK$71)) &gt;(60 * HOUR(INDEX('1.Locations'!$G$2:$G$97,$CC$71 + 1)) +MINUTE(INDEX('1.Locations'!$G$2:$G$97,$CC$71 + 1)))</xm:f>
            <x14:dxf>
              <fill>
                <patternFill>
                  <bgColor indexed="10"/>
                </patternFill>
              </fill>
            </x14:dxf>
          </x14:cfRule>
          <xm:sqref>CK71</xm:sqref>
        </x14:conditionalFormatting>
        <x14:conditionalFormatting xmlns:xm="http://schemas.microsoft.com/office/excel/2006/main">
          <x14:cfRule type="cellIs" priority="1371" stopIfTrue="1" operator="lessThan" id="{00000000-0000-0000-0000-000000000000}">
            <xm:f>INDEX('1.Locations'!$F$2:$F$97,$CC$72 + 1)</xm:f>
            <x14:dxf>
              <fill>
                <patternFill>
                  <bgColor indexed="52"/>
                </patternFill>
              </fill>
            </x14:dxf>
          </x14:cfRule>
          <xm:sqref>CJ72</xm:sqref>
        </x14:conditionalFormatting>
        <x14:conditionalFormatting xmlns:xm="http://schemas.microsoft.com/office/excel/2006/main">
          <x14:cfRule type="expression" priority="1372" stopIfTrue="1" id="{00000000-0000-0000-0000-000000000000}">
            <xm:f>(60 * HOUR($CK$72) + MINUTE($CK$72)) &gt;(60 * HOUR(INDEX('1.Locations'!$G$2:$G$97,$CC$72 + 1)) +MINUTE(INDEX('1.Locations'!$G$2:$G$97,$CC$72 + 1)))</xm:f>
            <x14:dxf>
              <fill>
                <patternFill>
                  <bgColor indexed="10"/>
                </patternFill>
              </fill>
            </x14:dxf>
          </x14:cfRule>
          <xm:sqref>CK72</xm:sqref>
        </x14:conditionalFormatting>
        <x14:conditionalFormatting xmlns:xm="http://schemas.microsoft.com/office/excel/2006/main">
          <x14:cfRule type="cellIs" priority="1373" stopIfTrue="1" operator="lessThan" id="{00000000-0000-0000-0000-000000000000}">
            <xm:f>INDEX('1.Locations'!$F$2:$F$97,$CC$73 + 1)</xm:f>
            <x14:dxf>
              <fill>
                <patternFill>
                  <bgColor indexed="52"/>
                </patternFill>
              </fill>
            </x14:dxf>
          </x14:cfRule>
          <xm:sqref>CJ73</xm:sqref>
        </x14:conditionalFormatting>
        <x14:conditionalFormatting xmlns:xm="http://schemas.microsoft.com/office/excel/2006/main">
          <x14:cfRule type="expression" priority="1374" stopIfTrue="1" id="{00000000-0000-0000-0000-000000000000}">
            <xm:f>(60 * HOUR($CK$73) + MINUTE($CK$73)) &gt;(60 * HOUR(INDEX('1.Locations'!$G$2:$G$97,$CC$73 + 1)) +MINUTE(INDEX('1.Locations'!$G$2:$G$97,$CC$73 + 1)))</xm:f>
            <x14:dxf>
              <fill>
                <patternFill>
                  <bgColor indexed="10"/>
                </patternFill>
              </fill>
            </x14:dxf>
          </x14:cfRule>
          <xm:sqref>CK73</xm:sqref>
        </x14:conditionalFormatting>
        <x14:conditionalFormatting xmlns:xm="http://schemas.microsoft.com/office/excel/2006/main">
          <x14:cfRule type="cellIs" priority="1375" stopIfTrue="1" operator="lessThan" id="{00000000-0000-0000-0000-000000000000}">
            <xm:f>INDEX('1.Locations'!$F$2:$F$97,$CC$74 + 1)</xm:f>
            <x14:dxf>
              <fill>
                <patternFill>
                  <bgColor indexed="52"/>
                </patternFill>
              </fill>
            </x14:dxf>
          </x14:cfRule>
          <xm:sqref>CJ74</xm:sqref>
        </x14:conditionalFormatting>
        <x14:conditionalFormatting xmlns:xm="http://schemas.microsoft.com/office/excel/2006/main">
          <x14:cfRule type="expression" priority="1376" stopIfTrue="1" id="{00000000-0000-0000-0000-000000000000}">
            <xm:f>(60 * HOUR($CK$74) + MINUTE($CK$74)) &gt;(60 * HOUR(INDEX('1.Locations'!$G$2:$G$97,$CC$74 + 1)) +MINUTE(INDEX('1.Locations'!$G$2:$G$97,$CC$74 + 1)))</xm:f>
            <x14:dxf>
              <fill>
                <patternFill>
                  <bgColor indexed="10"/>
                </patternFill>
              </fill>
            </x14:dxf>
          </x14:cfRule>
          <xm:sqref>CK74</xm:sqref>
        </x14:conditionalFormatting>
        <x14:conditionalFormatting xmlns:xm="http://schemas.microsoft.com/office/excel/2006/main">
          <x14:cfRule type="cellIs" priority="1377" stopIfTrue="1" operator="lessThan" id="{00000000-0000-0000-0000-000000000000}">
            <xm:f>INDEX('1.Locations'!$F$2:$F$97,$CC$75 + 1)</xm:f>
            <x14:dxf>
              <fill>
                <patternFill>
                  <bgColor indexed="52"/>
                </patternFill>
              </fill>
            </x14:dxf>
          </x14:cfRule>
          <xm:sqref>CJ75</xm:sqref>
        </x14:conditionalFormatting>
        <x14:conditionalFormatting xmlns:xm="http://schemas.microsoft.com/office/excel/2006/main">
          <x14:cfRule type="expression" priority="1378" stopIfTrue="1" id="{00000000-0000-0000-0000-000000000000}">
            <xm:f>(60 * HOUR($CK$75) + MINUTE($CK$75)) &gt;(60 * HOUR(INDEX('1.Locations'!$G$2:$G$97,$CC$75 + 1)) +MINUTE(INDEX('1.Locations'!$G$2:$G$97,$CC$75 + 1)))</xm:f>
            <x14:dxf>
              <fill>
                <patternFill>
                  <bgColor indexed="10"/>
                </patternFill>
              </fill>
            </x14:dxf>
          </x14:cfRule>
          <xm:sqref>CK75</xm:sqref>
        </x14:conditionalFormatting>
        <x14:conditionalFormatting xmlns:xm="http://schemas.microsoft.com/office/excel/2006/main">
          <x14:cfRule type="cellIs" priority="1379" stopIfTrue="1" operator="lessThan" id="{00000000-0000-0000-0000-000000000000}">
            <xm:f>INDEX('1.Locations'!$F$2:$F$97,$CC$76 + 1)</xm:f>
            <x14:dxf>
              <fill>
                <patternFill>
                  <bgColor indexed="52"/>
                </patternFill>
              </fill>
            </x14:dxf>
          </x14:cfRule>
          <xm:sqref>CJ76</xm:sqref>
        </x14:conditionalFormatting>
        <x14:conditionalFormatting xmlns:xm="http://schemas.microsoft.com/office/excel/2006/main">
          <x14:cfRule type="expression" priority="1380" stopIfTrue="1" id="{00000000-0000-0000-0000-000000000000}">
            <xm:f>(60 * HOUR($CK$76) + MINUTE($CK$76)) &gt;(60 * HOUR(INDEX('1.Locations'!$G$2:$G$97,$CC$76 + 1)) +MINUTE(INDEX('1.Locations'!$G$2:$G$97,$CC$76 + 1)))</xm:f>
            <x14:dxf>
              <fill>
                <patternFill>
                  <bgColor indexed="10"/>
                </patternFill>
              </fill>
            </x14:dxf>
          </x14:cfRule>
          <xm:sqref>CK76</xm:sqref>
        </x14:conditionalFormatting>
        <x14:conditionalFormatting xmlns:xm="http://schemas.microsoft.com/office/excel/2006/main">
          <x14:cfRule type="cellIs" priority="1381" stopIfTrue="1" operator="lessThan" id="{00000000-0000-0000-0000-000000000000}">
            <xm:f>INDEX('1.Locations'!$F$2:$F$97,$CC$77 + 1)</xm:f>
            <x14:dxf>
              <fill>
                <patternFill>
                  <bgColor indexed="52"/>
                </patternFill>
              </fill>
            </x14:dxf>
          </x14:cfRule>
          <xm:sqref>CJ77</xm:sqref>
        </x14:conditionalFormatting>
        <x14:conditionalFormatting xmlns:xm="http://schemas.microsoft.com/office/excel/2006/main">
          <x14:cfRule type="expression" priority="1382" stopIfTrue="1" id="{00000000-0000-0000-0000-000000000000}">
            <xm:f>(60 * HOUR($CK$77) + MINUTE($CK$77)) &gt;(60 * HOUR(INDEX('1.Locations'!$G$2:$G$97,$CC$77 + 1)) +MINUTE(INDEX('1.Locations'!$G$2:$G$97,$CC$77 + 1)))</xm:f>
            <x14:dxf>
              <fill>
                <patternFill>
                  <bgColor indexed="10"/>
                </patternFill>
              </fill>
            </x14:dxf>
          </x14:cfRule>
          <xm:sqref>CK77</xm:sqref>
        </x14:conditionalFormatting>
        <x14:conditionalFormatting xmlns:xm="http://schemas.microsoft.com/office/excel/2006/main">
          <x14:cfRule type="cellIs" priority="1383" stopIfTrue="1" operator="lessThan" id="{00000000-0000-0000-0000-000000000000}">
            <xm:f>INDEX('1.Locations'!$F$2:$F$97,$CC$78 + 1)</xm:f>
            <x14:dxf>
              <fill>
                <patternFill>
                  <bgColor indexed="52"/>
                </patternFill>
              </fill>
            </x14:dxf>
          </x14:cfRule>
          <xm:sqref>CJ78</xm:sqref>
        </x14:conditionalFormatting>
        <x14:conditionalFormatting xmlns:xm="http://schemas.microsoft.com/office/excel/2006/main">
          <x14:cfRule type="expression" priority="1384" stopIfTrue="1" id="{00000000-0000-0000-0000-000000000000}">
            <xm:f>(60 * HOUR($CK$78) + MINUTE($CK$78)) &gt;(60 * HOUR(INDEX('1.Locations'!$G$2:$G$97,$CC$78 + 1)) +MINUTE(INDEX('1.Locations'!$G$2:$G$97,$CC$78 + 1)))</xm:f>
            <x14:dxf>
              <fill>
                <patternFill>
                  <bgColor indexed="10"/>
                </patternFill>
              </fill>
            </x14:dxf>
          </x14:cfRule>
          <xm:sqref>CK78</xm:sqref>
        </x14:conditionalFormatting>
        <x14:conditionalFormatting xmlns:xm="http://schemas.microsoft.com/office/excel/2006/main">
          <x14:cfRule type="cellIs" priority="1385" stopIfTrue="1" operator="lessThan" id="{00000000-0000-0000-0000-000000000000}">
            <xm:f>INDEX('1.Locations'!$F$2:$F$97,$CC$79 + 1)</xm:f>
            <x14:dxf>
              <fill>
                <patternFill>
                  <bgColor indexed="52"/>
                </patternFill>
              </fill>
            </x14:dxf>
          </x14:cfRule>
          <xm:sqref>CJ79</xm:sqref>
        </x14:conditionalFormatting>
        <x14:conditionalFormatting xmlns:xm="http://schemas.microsoft.com/office/excel/2006/main">
          <x14:cfRule type="expression" priority="1386" stopIfTrue="1" id="{00000000-0000-0000-0000-000000000000}">
            <xm:f>(60 * HOUR($CK$79) + MINUTE($CK$79)) &gt;(60 * HOUR(INDEX('1.Locations'!$G$2:$G$97,$CC$79 + 1)) +MINUTE(INDEX('1.Locations'!$G$2:$G$97,$CC$79 + 1)))</xm:f>
            <x14:dxf>
              <fill>
                <patternFill>
                  <bgColor indexed="10"/>
                </patternFill>
              </fill>
            </x14:dxf>
          </x14:cfRule>
          <xm:sqref>CK79</xm:sqref>
        </x14:conditionalFormatting>
        <x14:conditionalFormatting xmlns:xm="http://schemas.microsoft.com/office/excel/2006/main">
          <x14:cfRule type="cellIs" priority="1387" stopIfTrue="1" operator="lessThan" id="{00000000-0000-0000-0000-000000000000}">
            <xm:f>INDEX('1.Locations'!$F$2:$F$97,$CC$80 + 1)</xm:f>
            <x14:dxf>
              <fill>
                <patternFill>
                  <bgColor indexed="52"/>
                </patternFill>
              </fill>
            </x14:dxf>
          </x14:cfRule>
          <xm:sqref>CJ80</xm:sqref>
        </x14:conditionalFormatting>
        <x14:conditionalFormatting xmlns:xm="http://schemas.microsoft.com/office/excel/2006/main">
          <x14:cfRule type="expression" priority="1388" stopIfTrue="1" id="{00000000-0000-0000-0000-000000000000}">
            <xm:f>(60 * HOUR($CK$80) + MINUTE($CK$80)) &gt;(60 * HOUR(INDEX('1.Locations'!$G$2:$G$97,$CC$80 + 1)) +MINUTE(INDEX('1.Locations'!$G$2:$G$97,$CC$80 + 1)))</xm:f>
            <x14:dxf>
              <fill>
                <patternFill>
                  <bgColor indexed="10"/>
                </patternFill>
              </fill>
            </x14:dxf>
          </x14:cfRule>
          <xm:sqref>CK80</xm:sqref>
        </x14:conditionalFormatting>
        <x14:conditionalFormatting xmlns:xm="http://schemas.microsoft.com/office/excel/2006/main">
          <x14:cfRule type="cellIs" priority="1389" stopIfTrue="1" operator="lessThan" id="{00000000-0000-0000-0000-000000000000}">
            <xm:f>INDEX('1.Locations'!$F$2:$F$97,$CC$81 + 1)</xm:f>
            <x14:dxf>
              <fill>
                <patternFill>
                  <bgColor indexed="52"/>
                </patternFill>
              </fill>
            </x14:dxf>
          </x14:cfRule>
          <xm:sqref>CJ81</xm:sqref>
        </x14:conditionalFormatting>
        <x14:conditionalFormatting xmlns:xm="http://schemas.microsoft.com/office/excel/2006/main">
          <x14:cfRule type="expression" priority="1390" stopIfTrue="1" id="{00000000-0000-0000-0000-000000000000}">
            <xm:f>(60 * HOUR($CK$81) + MINUTE($CK$81)) &gt;(60 * HOUR(INDEX('1.Locations'!$G$2:$G$97,$CC$81 + 1)) +MINUTE(INDEX('1.Locations'!$G$2:$G$97,$CC$81 + 1)))</xm:f>
            <x14:dxf>
              <fill>
                <patternFill>
                  <bgColor indexed="10"/>
                </patternFill>
              </fill>
            </x14:dxf>
          </x14:cfRule>
          <xm:sqref>CK81</xm:sqref>
        </x14:conditionalFormatting>
        <x14:conditionalFormatting xmlns:xm="http://schemas.microsoft.com/office/excel/2006/main">
          <x14:cfRule type="cellIs" priority="1391" stopIfTrue="1" operator="lessThan" id="{00000000-0000-0000-0000-000000000000}">
            <xm:f>INDEX('1.Locations'!$F$2:$F$97,$CC$82 + 1)</xm:f>
            <x14:dxf>
              <fill>
                <patternFill>
                  <bgColor indexed="52"/>
                </patternFill>
              </fill>
            </x14:dxf>
          </x14:cfRule>
          <xm:sqref>CJ82</xm:sqref>
        </x14:conditionalFormatting>
        <x14:conditionalFormatting xmlns:xm="http://schemas.microsoft.com/office/excel/2006/main">
          <x14:cfRule type="expression" priority="1392" stopIfTrue="1" id="{00000000-0000-0000-0000-000000000000}">
            <xm:f>(60 * HOUR($CK$82) + MINUTE($CK$82)) &gt;(60 * HOUR(INDEX('1.Locations'!$G$2:$G$97,$CC$82 + 1)) +MINUTE(INDEX('1.Locations'!$G$2:$G$97,$CC$82 + 1)))</xm:f>
            <x14:dxf>
              <fill>
                <patternFill>
                  <bgColor indexed="10"/>
                </patternFill>
              </fill>
            </x14:dxf>
          </x14:cfRule>
          <xm:sqref>CK82</xm:sqref>
        </x14:conditionalFormatting>
        <x14:conditionalFormatting xmlns:xm="http://schemas.microsoft.com/office/excel/2006/main">
          <x14:cfRule type="cellIs" priority="1393" stopIfTrue="1" operator="lessThan" id="{00000000-0000-0000-0000-000000000000}">
            <xm:f>INDEX('1.Locations'!$F$2:$F$97,$CC$83 + 1)</xm:f>
            <x14:dxf>
              <fill>
                <patternFill>
                  <bgColor indexed="52"/>
                </patternFill>
              </fill>
            </x14:dxf>
          </x14:cfRule>
          <xm:sqref>CJ83</xm:sqref>
        </x14:conditionalFormatting>
        <x14:conditionalFormatting xmlns:xm="http://schemas.microsoft.com/office/excel/2006/main">
          <x14:cfRule type="expression" priority="1394" stopIfTrue="1" id="{00000000-0000-0000-0000-000000000000}">
            <xm:f>(60 * HOUR($CK$83) + MINUTE($CK$83)) &gt;(60 * HOUR(INDEX('1.Locations'!$G$2:$G$97,$CC$83 + 1)) +MINUTE(INDEX('1.Locations'!$G$2:$G$97,$CC$83 + 1)))</xm:f>
            <x14:dxf>
              <fill>
                <patternFill>
                  <bgColor indexed="10"/>
                </patternFill>
              </fill>
            </x14:dxf>
          </x14:cfRule>
          <xm:sqref>CK83</xm:sqref>
        </x14:conditionalFormatting>
        <x14:conditionalFormatting xmlns:xm="http://schemas.microsoft.com/office/excel/2006/main">
          <x14:cfRule type="cellIs" priority="1395" stopIfTrue="1" operator="lessThan" id="{00000000-0000-0000-0000-000000000000}">
            <xm:f>INDEX('1.Locations'!$F$2:$F$97,$CC$84 + 1)</xm:f>
            <x14:dxf>
              <fill>
                <patternFill>
                  <bgColor indexed="52"/>
                </patternFill>
              </fill>
            </x14:dxf>
          </x14:cfRule>
          <xm:sqref>CJ84</xm:sqref>
        </x14:conditionalFormatting>
        <x14:conditionalFormatting xmlns:xm="http://schemas.microsoft.com/office/excel/2006/main">
          <x14:cfRule type="expression" priority="1396" stopIfTrue="1" id="{00000000-0000-0000-0000-000000000000}">
            <xm:f>(60 * HOUR($CK$84) + MINUTE($CK$84)) &gt;(60 * HOUR(INDEX('1.Locations'!$G$2:$G$97,$CC$84 + 1)) +MINUTE(INDEX('1.Locations'!$G$2:$G$97,$CC$84 + 1)))</xm:f>
            <x14:dxf>
              <fill>
                <patternFill>
                  <bgColor indexed="10"/>
                </patternFill>
              </fill>
            </x14:dxf>
          </x14:cfRule>
          <xm:sqref>CK84</xm:sqref>
        </x14:conditionalFormatting>
        <x14:conditionalFormatting xmlns:xm="http://schemas.microsoft.com/office/excel/2006/main">
          <x14:cfRule type="cellIs" priority="1397" stopIfTrue="1" operator="lessThan" id="{00000000-0000-0000-0000-000000000000}">
            <xm:f>INDEX('1.Locations'!$F$2:$F$97,$CC$85 + 1)</xm:f>
            <x14:dxf>
              <fill>
                <patternFill>
                  <bgColor indexed="52"/>
                </patternFill>
              </fill>
            </x14:dxf>
          </x14:cfRule>
          <xm:sqref>CJ85</xm:sqref>
        </x14:conditionalFormatting>
        <x14:conditionalFormatting xmlns:xm="http://schemas.microsoft.com/office/excel/2006/main">
          <x14:cfRule type="expression" priority="1398" stopIfTrue="1" id="{00000000-0000-0000-0000-000000000000}">
            <xm:f>(60 * HOUR($CK$85) + MINUTE($CK$85)) &gt;(60 * HOUR(INDEX('1.Locations'!$G$2:$G$97,$CC$85 + 1)) +MINUTE(INDEX('1.Locations'!$G$2:$G$97,$CC$85 + 1)))</xm:f>
            <x14:dxf>
              <fill>
                <patternFill>
                  <bgColor indexed="10"/>
                </patternFill>
              </fill>
            </x14:dxf>
          </x14:cfRule>
          <xm:sqref>CK85</xm:sqref>
        </x14:conditionalFormatting>
        <x14:conditionalFormatting xmlns:xm="http://schemas.microsoft.com/office/excel/2006/main">
          <x14:cfRule type="cellIs" priority="1399" stopIfTrue="1" operator="lessThan" id="{00000000-0000-0000-0000-000000000000}">
            <xm:f>INDEX('1.Locations'!$F$2:$F$97,$CC$86 + 1)</xm:f>
            <x14:dxf>
              <fill>
                <patternFill>
                  <bgColor indexed="52"/>
                </patternFill>
              </fill>
            </x14:dxf>
          </x14:cfRule>
          <xm:sqref>CJ86</xm:sqref>
        </x14:conditionalFormatting>
        <x14:conditionalFormatting xmlns:xm="http://schemas.microsoft.com/office/excel/2006/main">
          <x14:cfRule type="expression" priority="1400" stopIfTrue="1" id="{00000000-0000-0000-0000-000000000000}">
            <xm:f>(60 * HOUR($CK$86) + MINUTE($CK$86)) &gt;(60 * HOUR(INDEX('1.Locations'!$G$2:$G$97,$CC$86 + 1)) +MINUTE(INDEX('1.Locations'!$G$2:$G$97,$CC$86 + 1)))</xm:f>
            <x14:dxf>
              <fill>
                <patternFill>
                  <bgColor indexed="10"/>
                </patternFill>
              </fill>
            </x14:dxf>
          </x14:cfRule>
          <xm:sqref>CK86</xm:sqref>
        </x14:conditionalFormatting>
        <x14:conditionalFormatting xmlns:xm="http://schemas.microsoft.com/office/excel/2006/main">
          <x14:cfRule type="cellIs" priority="1401" stopIfTrue="1" operator="lessThan" id="{00000000-0000-0000-0000-000000000000}">
            <xm:f>INDEX('1.Locations'!$F$2:$F$97,$CC$87 + 1)</xm:f>
            <x14:dxf>
              <fill>
                <patternFill>
                  <bgColor indexed="52"/>
                </patternFill>
              </fill>
            </x14:dxf>
          </x14:cfRule>
          <xm:sqref>CJ87</xm:sqref>
        </x14:conditionalFormatting>
        <x14:conditionalFormatting xmlns:xm="http://schemas.microsoft.com/office/excel/2006/main">
          <x14:cfRule type="expression" priority="1402" stopIfTrue="1" id="{00000000-0000-0000-0000-000000000000}">
            <xm:f>(60 * HOUR($CK$87) + MINUTE($CK$87)) &gt;(60 * HOUR(INDEX('1.Locations'!$G$2:$G$97,$CC$87 + 1)) +MINUTE(INDEX('1.Locations'!$G$2:$G$97,$CC$87 + 1)))</xm:f>
            <x14:dxf>
              <fill>
                <patternFill>
                  <bgColor indexed="10"/>
                </patternFill>
              </fill>
            </x14:dxf>
          </x14:cfRule>
          <xm:sqref>CK87</xm:sqref>
        </x14:conditionalFormatting>
        <x14:conditionalFormatting xmlns:xm="http://schemas.microsoft.com/office/excel/2006/main">
          <x14:cfRule type="cellIs" priority="1403" stopIfTrue="1" operator="lessThan" id="{00000000-0000-0000-0000-000000000000}">
            <xm:f>INDEX('1.Locations'!$F$2:$F$97,$CC$88 + 1)</xm:f>
            <x14:dxf>
              <fill>
                <patternFill>
                  <bgColor indexed="52"/>
                </patternFill>
              </fill>
            </x14:dxf>
          </x14:cfRule>
          <xm:sqref>CJ88</xm:sqref>
        </x14:conditionalFormatting>
        <x14:conditionalFormatting xmlns:xm="http://schemas.microsoft.com/office/excel/2006/main">
          <x14:cfRule type="expression" priority="1404" stopIfTrue="1" id="{00000000-0000-0000-0000-000000000000}">
            <xm:f>(60 * HOUR($CK$88) + MINUTE($CK$88)) &gt;(60 * HOUR(INDEX('1.Locations'!$G$2:$G$97,$CC$88 + 1)) +MINUTE(INDEX('1.Locations'!$G$2:$G$97,$CC$88 + 1)))</xm:f>
            <x14:dxf>
              <fill>
                <patternFill>
                  <bgColor indexed="10"/>
                </patternFill>
              </fill>
            </x14:dxf>
          </x14:cfRule>
          <xm:sqref>CK88</xm:sqref>
        </x14:conditionalFormatting>
        <x14:conditionalFormatting xmlns:xm="http://schemas.microsoft.com/office/excel/2006/main">
          <x14:cfRule type="cellIs" priority="1405" stopIfTrue="1" operator="lessThan" id="{00000000-0000-0000-0000-000000000000}">
            <xm:f>INDEX('1.Locations'!$F$2:$F$97,$CC$89 + 1)</xm:f>
            <x14:dxf>
              <fill>
                <patternFill>
                  <bgColor indexed="52"/>
                </patternFill>
              </fill>
            </x14:dxf>
          </x14:cfRule>
          <xm:sqref>CJ89</xm:sqref>
        </x14:conditionalFormatting>
        <x14:conditionalFormatting xmlns:xm="http://schemas.microsoft.com/office/excel/2006/main">
          <x14:cfRule type="expression" priority="1406" stopIfTrue="1" id="{00000000-0000-0000-0000-000000000000}">
            <xm:f>(60 * HOUR($CK$89) + MINUTE($CK$89)) &gt;(60 * HOUR(INDEX('1.Locations'!$G$2:$G$97,$CC$89 + 1)) +MINUTE(INDEX('1.Locations'!$G$2:$G$97,$CC$89 + 1)))</xm:f>
            <x14:dxf>
              <fill>
                <patternFill>
                  <bgColor indexed="10"/>
                </patternFill>
              </fill>
            </x14:dxf>
          </x14:cfRule>
          <xm:sqref>CK89</xm:sqref>
        </x14:conditionalFormatting>
        <x14:conditionalFormatting xmlns:xm="http://schemas.microsoft.com/office/excel/2006/main">
          <x14:cfRule type="cellIs" priority="1407" stopIfTrue="1" operator="lessThan" id="{00000000-0000-0000-0000-000000000000}">
            <xm:f>INDEX('1.Locations'!$F$2:$F$97,$CC$90 + 1)</xm:f>
            <x14:dxf>
              <fill>
                <patternFill>
                  <bgColor indexed="52"/>
                </patternFill>
              </fill>
            </x14:dxf>
          </x14:cfRule>
          <xm:sqref>CJ90</xm:sqref>
        </x14:conditionalFormatting>
        <x14:conditionalFormatting xmlns:xm="http://schemas.microsoft.com/office/excel/2006/main">
          <x14:cfRule type="expression" priority="1408" stopIfTrue="1" id="{00000000-0000-0000-0000-000000000000}">
            <xm:f>(60 * HOUR($CK$90) + MINUTE($CK$90)) &gt;(60 * HOUR(INDEX('1.Locations'!$G$2:$G$97,$CC$90 + 1)) +MINUTE(INDEX('1.Locations'!$G$2:$G$97,$CC$90 + 1)))</xm:f>
            <x14:dxf>
              <fill>
                <patternFill>
                  <bgColor indexed="10"/>
                </patternFill>
              </fill>
            </x14:dxf>
          </x14:cfRule>
          <xm:sqref>CK90</xm:sqref>
        </x14:conditionalFormatting>
        <x14:conditionalFormatting xmlns:xm="http://schemas.microsoft.com/office/excel/2006/main">
          <x14:cfRule type="cellIs" priority="1409" stopIfTrue="1" operator="lessThan" id="{00000000-0000-0000-0000-000000000000}">
            <xm:f>INDEX('1.Locations'!$F$2:$F$97,$CC$91 + 1)</xm:f>
            <x14:dxf>
              <fill>
                <patternFill>
                  <bgColor indexed="52"/>
                </patternFill>
              </fill>
            </x14:dxf>
          </x14:cfRule>
          <xm:sqref>CJ91</xm:sqref>
        </x14:conditionalFormatting>
        <x14:conditionalFormatting xmlns:xm="http://schemas.microsoft.com/office/excel/2006/main">
          <x14:cfRule type="expression" priority="1410" stopIfTrue="1" id="{00000000-0000-0000-0000-000000000000}">
            <xm:f>(60 * HOUR($CK$91) + MINUTE($CK$91)) &gt;(60 * HOUR(INDEX('1.Locations'!$G$2:$G$97,$CC$91 + 1)) +MINUTE(INDEX('1.Locations'!$G$2:$G$97,$CC$91 + 1)))</xm:f>
            <x14:dxf>
              <fill>
                <patternFill>
                  <bgColor indexed="10"/>
                </patternFill>
              </fill>
            </x14:dxf>
          </x14:cfRule>
          <xm:sqref>CK91</xm:sqref>
        </x14:conditionalFormatting>
        <x14:conditionalFormatting xmlns:xm="http://schemas.microsoft.com/office/excel/2006/main">
          <x14:cfRule type="cellIs" priority="1411" stopIfTrue="1" operator="lessThan" id="{00000000-0000-0000-0000-000000000000}">
            <xm:f>INDEX('1.Locations'!$F$2:$F$97,$CC$92 + 1)</xm:f>
            <x14:dxf>
              <fill>
                <patternFill>
                  <bgColor indexed="52"/>
                </patternFill>
              </fill>
            </x14:dxf>
          </x14:cfRule>
          <xm:sqref>CJ92</xm:sqref>
        </x14:conditionalFormatting>
        <x14:conditionalFormatting xmlns:xm="http://schemas.microsoft.com/office/excel/2006/main">
          <x14:cfRule type="expression" priority="1412" stopIfTrue="1" id="{00000000-0000-0000-0000-000000000000}">
            <xm:f>(60 * HOUR($CK$92) + MINUTE($CK$92)) &gt;(60 * HOUR(INDEX('1.Locations'!$G$2:$G$97,$CC$92 + 1)) +MINUTE(INDEX('1.Locations'!$G$2:$G$97,$CC$92 + 1)))</xm:f>
            <x14:dxf>
              <fill>
                <patternFill>
                  <bgColor indexed="10"/>
                </patternFill>
              </fill>
            </x14:dxf>
          </x14:cfRule>
          <xm:sqref>CK92</xm:sqref>
        </x14:conditionalFormatting>
        <x14:conditionalFormatting xmlns:xm="http://schemas.microsoft.com/office/excel/2006/main">
          <x14:cfRule type="cellIs" priority="1413" stopIfTrue="1" operator="lessThan" id="{00000000-0000-0000-0000-000000000000}">
            <xm:f>INDEX('1.Locations'!$F$2:$F$97,$CC$93 + 1)</xm:f>
            <x14:dxf>
              <fill>
                <patternFill>
                  <bgColor indexed="52"/>
                </patternFill>
              </fill>
            </x14:dxf>
          </x14:cfRule>
          <xm:sqref>CJ93</xm:sqref>
        </x14:conditionalFormatting>
        <x14:conditionalFormatting xmlns:xm="http://schemas.microsoft.com/office/excel/2006/main">
          <x14:cfRule type="expression" priority="1414" stopIfTrue="1" id="{00000000-0000-0000-0000-000000000000}">
            <xm:f>(60 * HOUR($CK$93) + MINUTE($CK$93)) &gt;(60 * HOUR(INDEX('1.Locations'!$G$2:$G$97,$CC$93 + 1)) +MINUTE(INDEX('1.Locations'!$G$2:$G$97,$CC$93 + 1)))</xm:f>
            <x14:dxf>
              <fill>
                <patternFill>
                  <bgColor indexed="10"/>
                </patternFill>
              </fill>
            </x14:dxf>
          </x14:cfRule>
          <xm:sqref>CK93</xm:sqref>
        </x14:conditionalFormatting>
        <x14:conditionalFormatting xmlns:xm="http://schemas.microsoft.com/office/excel/2006/main">
          <x14:cfRule type="cellIs" priority="1415" stopIfTrue="1" operator="lessThan" id="{00000000-0000-0000-0000-000000000000}">
            <xm:f>INDEX('1.Locations'!$F$2:$F$97,$CC$94 + 1)</xm:f>
            <x14:dxf>
              <fill>
                <patternFill>
                  <bgColor indexed="52"/>
                </patternFill>
              </fill>
            </x14:dxf>
          </x14:cfRule>
          <xm:sqref>CJ94</xm:sqref>
        </x14:conditionalFormatting>
        <x14:conditionalFormatting xmlns:xm="http://schemas.microsoft.com/office/excel/2006/main">
          <x14:cfRule type="expression" priority="1416" stopIfTrue="1" id="{00000000-0000-0000-0000-000000000000}">
            <xm:f>(60 * HOUR($CK$94) + MINUTE($CK$94)) &gt;(60 * HOUR(INDEX('1.Locations'!$G$2:$G$97,$CC$94 + 1)) +MINUTE(INDEX('1.Locations'!$G$2:$G$97,$CC$94 + 1)))</xm:f>
            <x14:dxf>
              <fill>
                <patternFill>
                  <bgColor indexed="10"/>
                </patternFill>
              </fill>
            </x14:dxf>
          </x14:cfRule>
          <xm:sqref>CK94</xm:sqref>
        </x14:conditionalFormatting>
        <x14:conditionalFormatting xmlns:xm="http://schemas.microsoft.com/office/excel/2006/main">
          <x14:cfRule type="cellIs" priority="1417" stopIfTrue="1" operator="lessThan" id="{00000000-0000-0000-0000-000000000000}">
            <xm:f>INDEX('1.Locations'!$F$2:$F$97,$CC$95 + 1)</xm:f>
            <x14:dxf>
              <fill>
                <patternFill>
                  <bgColor indexed="52"/>
                </patternFill>
              </fill>
            </x14:dxf>
          </x14:cfRule>
          <xm:sqref>CJ95</xm:sqref>
        </x14:conditionalFormatting>
        <x14:conditionalFormatting xmlns:xm="http://schemas.microsoft.com/office/excel/2006/main">
          <x14:cfRule type="expression" priority="1418" stopIfTrue="1" id="{00000000-0000-0000-0000-000000000000}">
            <xm:f>(60 * HOUR($CK$95) + MINUTE($CK$95)) &gt;(60 * HOUR(INDEX('1.Locations'!$G$2:$G$97,$CC$95 + 1)) +MINUTE(INDEX('1.Locations'!$G$2:$G$97,$CC$95 + 1)))</xm:f>
            <x14:dxf>
              <fill>
                <patternFill>
                  <bgColor indexed="10"/>
                </patternFill>
              </fill>
            </x14:dxf>
          </x14:cfRule>
          <xm:sqref>CK95</xm:sqref>
        </x14:conditionalFormatting>
        <x14:conditionalFormatting xmlns:xm="http://schemas.microsoft.com/office/excel/2006/main">
          <x14:cfRule type="cellIs" priority="1419" stopIfTrue="1" operator="lessThan" id="{00000000-0000-0000-0000-000000000000}">
            <xm:f>INDEX('1.Locations'!$F$2:$F$97,$CC$96 + 1)</xm:f>
            <x14:dxf>
              <fill>
                <patternFill>
                  <bgColor indexed="52"/>
                </patternFill>
              </fill>
            </x14:dxf>
          </x14:cfRule>
          <xm:sqref>CJ96</xm:sqref>
        </x14:conditionalFormatting>
        <x14:conditionalFormatting xmlns:xm="http://schemas.microsoft.com/office/excel/2006/main">
          <x14:cfRule type="expression" priority="1420" stopIfTrue="1" id="{00000000-0000-0000-0000-000000000000}">
            <xm:f>(60 * HOUR($CK$96) + MINUTE($CK$96)) &gt;(60 * HOUR(INDEX('1.Locations'!$G$2:$G$97,$CC$96 + 1)) +MINUTE(INDEX('1.Locations'!$G$2:$G$97,$CC$96 + 1)))</xm:f>
            <x14:dxf>
              <fill>
                <patternFill>
                  <bgColor indexed="10"/>
                </patternFill>
              </fill>
            </x14:dxf>
          </x14:cfRule>
          <xm:sqref>CK96</xm:sqref>
        </x14:conditionalFormatting>
        <x14:conditionalFormatting xmlns:xm="http://schemas.microsoft.com/office/excel/2006/main">
          <x14:cfRule type="cellIs" priority="1421" stopIfTrue="1" operator="lessThan" id="{00000000-0000-0000-0000-000000000000}">
            <xm:f>INDEX('1.Locations'!$F$2:$F$97,$CC$97 + 1)</xm:f>
            <x14:dxf>
              <fill>
                <patternFill>
                  <bgColor indexed="52"/>
                </patternFill>
              </fill>
            </x14:dxf>
          </x14:cfRule>
          <xm:sqref>CJ97</xm:sqref>
        </x14:conditionalFormatting>
        <x14:conditionalFormatting xmlns:xm="http://schemas.microsoft.com/office/excel/2006/main">
          <x14:cfRule type="expression" priority="1422" stopIfTrue="1" id="{00000000-0000-0000-0000-000000000000}">
            <xm:f>(60 * HOUR($CK$97) + MINUTE($CK$97)) &gt;(60 * HOUR(INDEX('1.Locations'!$G$2:$G$97,$CC$97 + 1)) +MINUTE(INDEX('1.Locations'!$G$2:$G$97,$CC$97 + 1)))</xm:f>
            <x14:dxf>
              <fill>
                <patternFill>
                  <bgColor indexed="10"/>
                </patternFill>
              </fill>
            </x14:dxf>
          </x14:cfRule>
          <xm:sqref>CK97</xm:sqref>
        </x14:conditionalFormatting>
        <x14:conditionalFormatting xmlns:xm="http://schemas.microsoft.com/office/excel/2006/main">
          <x14:cfRule type="cellIs" priority="1423" stopIfTrue="1" operator="lessThan" id="{00000000-0000-0000-0000-000000000000}">
            <xm:f>INDEX('1.Locations'!$F$2:$F$97,$CC$98 + 1)</xm:f>
            <x14:dxf>
              <fill>
                <patternFill>
                  <bgColor indexed="52"/>
                </patternFill>
              </fill>
            </x14:dxf>
          </x14:cfRule>
          <xm:sqref>CJ98</xm:sqref>
        </x14:conditionalFormatting>
        <x14:conditionalFormatting xmlns:xm="http://schemas.microsoft.com/office/excel/2006/main">
          <x14:cfRule type="expression" priority="1424" stopIfTrue="1" id="{00000000-0000-0000-0000-000000000000}">
            <xm:f>(60 * HOUR($CK$98) + MINUTE($CK$98)) &gt;(60 * HOUR(INDEX('1.Locations'!$G$2:$G$97,$CC$98 + 1)) +MINUTE(INDEX('1.Locations'!$G$2:$G$97,$CC$98 + 1)))</xm:f>
            <x14:dxf>
              <fill>
                <patternFill>
                  <bgColor indexed="10"/>
                </patternFill>
              </fill>
            </x14:dxf>
          </x14:cfRule>
          <xm:sqref>CK98</xm:sqref>
        </x14:conditionalFormatting>
        <x14:conditionalFormatting xmlns:xm="http://schemas.microsoft.com/office/excel/2006/main">
          <x14:cfRule type="cellIs" priority="1425" stopIfTrue="1" operator="lessThan" id="{00000000-0000-0000-0000-000000000000}">
            <xm:f>INDEX('1.Locations'!$F$2:$F$97,$CC$99 + 1)</xm:f>
            <x14:dxf>
              <fill>
                <patternFill>
                  <bgColor indexed="52"/>
                </patternFill>
              </fill>
            </x14:dxf>
          </x14:cfRule>
          <xm:sqref>CJ99</xm:sqref>
        </x14:conditionalFormatting>
        <x14:conditionalFormatting xmlns:xm="http://schemas.microsoft.com/office/excel/2006/main">
          <x14:cfRule type="expression" priority="1426" stopIfTrue="1" id="{00000000-0000-0000-0000-000000000000}">
            <xm:f>(60 * HOUR($CK$99) + MINUTE($CK$99)) &gt;(60 * HOUR(INDEX('1.Locations'!$G$2:$G$97,$CC$99 + 1)) +MINUTE(INDEX('1.Locations'!$G$2:$G$97,$CC$99 + 1)))</xm:f>
            <x14:dxf>
              <fill>
                <patternFill>
                  <bgColor indexed="10"/>
                </patternFill>
              </fill>
            </x14:dxf>
          </x14:cfRule>
          <xm:sqref>CK99</xm:sqref>
        </x14:conditionalFormatting>
        <x14:conditionalFormatting xmlns:xm="http://schemas.microsoft.com/office/excel/2006/main">
          <x14:cfRule type="cellIs" priority="1427" stopIfTrue="1" operator="lessThan" id="{00000000-0000-0000-0000-000000000000}">
            <xm:f>INDEX('1.Locations'!$F$2:$F$97,$CC$100 + 1)</xm:f>
            <x14:dxf>
              <fill>
                <patternFill>
                  <bgColor indexed="52"/>
                </patternFill>
              </fill>
            </x14:dxf>
          </x14:cfRule>
          <xm:sqref>CJ100</xm:sqref>
        </x14:conditionalFormatting>
        <x14:conditionalFormatting xmlns:xm="http://schemas.microsoft.com/office/excel/2006/main">
          <x14:cfRule type="expression" priority="1428" stopIfTrue="1" id="{00000000-0000-0000-0000-000000000000}">
            <xm:f>(60 * HOUR($CK$100) + MINUTE($CK$100)) &gt;(60 * HOUR(INDEX('1.Locations'!$G$2:$G$97,$CC$100 + 1)) +MINUTE(INDEX('1.Locations'!$G$2:$G$97,$CC$100 + 1)))</xm:f>
            <x14:dxf>
              <fill>
                <patternFill>
                  <bgColor indexed="10"/>
                </patternFill>
              </fill>
            </x14:dxf>
          </x14:cfRule>
          <xm:sqref>CK100</xm:sqref>
        </x14:conditionalFormatting>
        <x14:conditionalFormatting xmlns:xm="http://schemas.microsoft.com/office/excel/2006/main">
          <x14:cfRule type="cellIs" priority="1429" stopIfTrue="1" operator="lessThan" id="{00000000-0000-0000-0000-000000000000}">
            <xm:f>INDEX('1.Locations'!$F$2:$F$97,$CC$101 + 1)</xm:f>
            <x14:dxf>
              <fill>
                <patternFill>
                  <bgColor indexed="52"/>
                </patternFill>
              </fill>
            </x14:dxf>
          </x14:cfRule>
          <xm:sqref>CJ101</xm:sqref>
        </x14:conditionalFormatting>
        <x14:conditionalFormatting xmlns:xm="http://schemas.microsoft.com/office/excel/2006/main">
          <x14:cfRule type="expression" priority="1430" stopIfTrue="1" id="{00000000-0000-0000-0000-000000000000}">
            <xm:f>(60 * HOUR($CK$101) + MINUTE($CK$101)) &gt;(60 * HOUR(INDEX('1.Locations'!$G$2:$G$97,$CC$101 + 1)) +MINUTE(INDEX('1.Locations'!$G$2:$G$97,$CC$101 + 1)))</xm:f>
            <x14:dxf>
              <fill>
                <patternFill>
                  <bgColor indexed="10"/>
                </patternFill>
              </fill>
            </x14:dxf>
          </x14:cfRule>
          <xm:sqref>CK101</xm:sqref>
        </x14:conditionalFormatting>
        <x14:conditionalFormatting xmlns:xm="http://schemas.microsoft.com/office/excel/2006/main">
          <x14:cfRule type="cellIs" priority="1431" stopIfTrue="1" operator="greaterThan" id="{00000000-0000-0000-0000-000000000000}">
            <xm:f>'VRP Solver Console'!$C$19</xm:f>
            <x14:dxf>
              <fill>
                <patternFill>
                  <bgColor indexed="10"/>
                </patternFill>
              </fill>
            </x14:dxf>
          </x14:cfRule>
          <xm:sqref>CF6:CF101</xm:sqref>
        </x14:conditionalFormatting>
        <x14:conditionalFormatting xmlns:xm="http://schemas.microsoft.com/office/excel/2006/main">
          <x14:cfRule type="cellIs" priority="1432" stopIfTrue="1" operator="greaterThan" id="{00000000-0000-0000-0000-000000000000}">
            <xm:f>'3.Vehicles'!$C$8</xm:f>
            <x14:dxf>
              <fill>
                <patternFill>
                  <bgColor indexed="10"/>
                </patternFill>
              </fill>
            </x14:dxf>
          </x14:cfRule>
          <xm:sqref>CG6:CG101</xm:sqref>
        </x14:conditionalFormatting>
        <x14:conditionalFormatting xmlns:xm="http://schemas.microsoft.com/office/excel/2006/main">
          <x14:cfRule type="cellIs" priority="1433" stopIfTrue="1" operator="greaterThan" id="{00000000-0000-0000-0000-000000000000}">
            <xm:f>'VRP Solver Console'!$C$17</xm:f>
            <x14:dxf>
              <fill>
                <patternFill>
                  <bgColor indexed="10"/>
                </patternFill>
              </fill>
            </x14:dxf>
          </x14:cfRule>
          <xm:sqref>CI6:CI101</xm:sqref>
        </x14:conditionalFormatting>
        <x14:conditionalFormatting xmlns:xm="http://schemas.microsoft.com/office/excel/2006/main">
          <x14:cfRule type="cellIs" priority="1434" stopIfTrue="1" operator="greaterThan" id="{00000000-0000-0000-0000-000000000000}">
            <xm:f>'VRP Solver Console'!$C$18</xm:f>
            <x14:dxf>
              <fill>
                <patternFill>
                  <bgColor indexed="10"/>
                </patternFill>
              </fill>
            </x14:dxf>
          </x14:cfRule>
          <xm:sqref>CL6:CL101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79"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B29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B39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B49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B59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B69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B79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B89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B99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B100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B101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O29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O39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O49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O59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O69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O79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O89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O99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O100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O101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AB29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AB39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AB49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AB59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AB69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AB79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AB89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AB99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AB100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AB101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AO29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AO39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AO49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AO59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AO69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AO79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AO89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AO99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AO100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AO101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BB29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BB39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BB49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BB59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BB69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BB79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BB89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BB99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BB100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BB101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BO29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BO39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BO49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BO59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BO69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BO79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BO89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BO99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BO100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BO101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CB29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CB39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CB49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CB59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CB69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CB79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CB89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CB91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CB92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CB93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CB94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CB95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CB96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CB97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CB98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CB99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CB100</xm:sqref>
        </x14:dataValidation>
        <x14:dataValidation type="list" allowBlank="1" showInputMessage="1" showErrorMessage="1" errorTitle="Warning" error="Please select a value from the list available in the selected cell.">
          <x14:formula1>
            <xm:f>'1.Locations'!$B$2:$B$97</xm:f>
          </x14:formula1>
          <xm:sqref>CB101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VRP</vt:lpstr>
      <vt:lpstr>VRP Solver Console</vt:lpstr>
      <vt:lpstr>1.Locations</vt:lpstr>
      <vt:lpstr>2.Distances</vt:lpstr>
      <vt:lpstr>3.Vehicles</vt:lpstr>
      <vt:lpstr>4.Solution</vt:lpstr>
    </vt:vector>
  </TitlesOfParts>
  <Company>University of Southampton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Gunes Erdogan</dc:creator>
  <cp:lastModifiedBy>user</cp:lastModifiedBy>
  <dcterms:created xsi:type="dcterms:W3CDTF">2013-07-17T23:20:08Z</dcterms:created>
  <dcterms:modified xsi:type="dcterms:W3CDTF">2020-01-16T06:08:07Z</dcterms:modified>
</cp:coreProperties>
</file>