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Users\paitoonsir\Desktop\อบรม\"/>
    </mc:Choice>
  </mc:AlternateContent>
  <xr:revisionPtr revIDLastSave="0" documentId="13_ncr:1_{632D0CC0-205E-4B45-B0DA-250AFC111F66}" xr6:coauthVersionLast="45" xr6:coauthVersionMax="45" xr10:uidLastSave="{00000000-0000-0000-0000-000000000000}"/>
  <bookViews>
    <workbookView xWindow="-120" yWindow="-120" windowWidth="20730" windowHeight="11160" tabRatio="705" activeTab="1" xr2:uid="{00000000-000D-0000-FFFF-FFFF00000000}"/>
  </bookViews>
  <sheets>
    <sheet name="VRP" sheetId="242" r:id="rId1"/>
    <sheet name="VRP Solver Console" sheetId="231" r:id="rId2"/>
    <sheet name="1.Locations" sheetId="245" r:id="rId3"/>
    <sheet name="2.Distances" sheetId="246" r:id="rId4"/>
    <sheet name="3.Vehicles" sheetId="247" r:id="rId5"/>
    <sheet name="4.Solution" sheetId="248" r:id="rId6"/>
    <sheet name="5.Visualization" sheetId="249" r:id="rId7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T3" i="248" l="1"/>
  <c r="EX5" i="248"/>
  <c r="EW5" i="248"/>
  <c r="EO5" i="248"/>
  <c r="EG3" i="248"/>
  <c r="EK5" i="248"/>
  <c r="EJ5" i="248"/>
  <c r="EB5" i="248"/>
  <c r="DT3" i="248"/>
  <c r="DX5" i="248"/>
  <c r="DW5" i="248"/>
  <c r="DO5" i="248"/>
  <c r="DG3" i="248"/>
  <c r="DK5" i="248"/>
  <c r="DJ5" i="248"/>
  <c r="DB5" i="248"/>
  <c r="CT3" i="248"/>
  <c r="CX5" i="248"/>
  <c r="CW5" i="248"/>
  <c r="CO5" i="248"/>
  <c r="CG3" i="248"/>
  <c r="CK5" i="248"/>
  <c r="CJ5" i="248"/>
  <c r="CB5" i="248"/>
  <c r="BT3" i="248"/>
  <c r="BX5" i="248"/>
  <c r="BW5" i="248"/>
  <c r="BO5" i="248"/>
  <c r="BG3" i="248"/>
  <c r="BK5" i="248"/>
  <c r="BJ5" i="248"/>
  <c r="BB5" i="248"/>
  <c r="AT3" i="248"/>
  <c r="AX5" i="248"/>
  <c r="AW5" i="248"/>
  <c r="AO5" i="248"/>
  <c r="AG3" i="248"/>
  <c r="AK5" i="248"/>
  <c r="AJ5" i="248"/>
  <c r="AB5" i="248"/>
  <c r="T3" i="248"/>
  <c r="X5" i="248"/>
  <c r="W5" i="248"/>
  <c r="O5" i="248"/>
  <c r="G3" i="248"/>
  <c r="K5" i="248"/>
  <c r="J5" i="248"/>
  <c r="B5" i="248"/>
  <c r="EP32" i="248"/>
  <c r="EP16" i="248"/>
  <c r="EC33" i="248"/>
  <c r="EC25" i="248"/>
  <c r="EC17" i="248"/>
  <c r="EC9" i="248"/>
  <c r="DP32" i="248"/>
  <c r="DP24" i="248"/>
  <c r="EP29" i="248"/>
  <c r="EP9" i="248"/>
  <c r="EC8" i="248"/>
  <c r="EP30" i="248"/>
  <c r="EP11" i="248"/>
  <c r="EC12" i="248"/>
  <c r="DP9" i="248"/>
  <c r="DC26" i="248"/>
  <c r="DC10" i="248"/>
  <c r="CP27" i="248"/>
  <c r="CP11" i="248"/>
  <c r="CC35" i="248"/>
  <c r="CC22" i="248"/>
  <c r="CC14" i="248"/>
  <c r="CC6" i="248"/>
  <c r="BP29" i="248"/>
  <c r="BP21" i="248"/>
  <c r="BP13" i="248"/>
  <c r="BC36" i="248"/>
  <c r="BC28" i="248"/>
  <c r="BC20" i="248"/>
  <c r="BC12" i="248"/>
  <c r="AP35" i="248"/>
  <c r="AP27" i="248"/>
  <c r="AP19" i="248"/>
  <c r="AP11" i="248"/>
  <c r="AC34" i="248"/>
  <c r="AC26" i="248"/>
  <c r="AC18" i="248"/>
  <c r="AC10" i="248"/>
  <c r="P33" i="248"/>
  <c r="P25" i="248"/>
  <c r="P17" i="248"/>
  <c r="P9" i="248"/>
  <c r="C32" i="248"/>
  <c r="EP6" i="248"/>
  <c r="DP14" i="248"/>
  <c r="DC24" i="248"/>
  <c r="CP32" i="248"/>
  <c r="CP12" i="248"/>
  <c r="CC17" i="248"/>
  <c r="BP18" i="248"/>
  <c r="BC27" i="248"/>
  <c r="AP36" i="248"/>
  <c r="AC29" i="248"/>
  <c r="P22" i="248"/>
  <c r="C28" i="248"/>
  <c r="C20" i="248"/>
  <c r="C12" i="248"/>
  <c r="EP35" i="248"/>
  <c r="EC28" i="248"/>
  <c r="DP29" i="248"/>
  <c r="DC31" i="248"/>
  <c r="DC11" i="248"/>
  <c r="CP24" i="248"/>
  <c r="CC34" i="248"/>
  <c r="CC5" i="248"/>
  <c r="BP12" i="248"/>
  <c r="AP30" i="248"/>
  <c r="AC31" i="248"/>
  <c r="P32" i="248"/>
  <c r="C33" i="248"/>
  <c r="EP17" i="248"/>
  <c r="DP10" i="248"/>
  <c r="DC23" i="248"/>
  <c r="CP33" i="248"/>
  <c r="CP13" i="248"/>
  <c r="DP12" i="248"/>
  <c r="CP15" i="248"/>
  <c r="BP14" i="248"/>
  <c r="AP16" i="248"/>
  <c r="P18" i="248"/>
  <c r="C17" i="248"/>
  <c r="CP20" i="248"/>
  <c r="BP16" i="248"/>
  <c r="AP18" i="248"/>
  <c r="P36" i="248"/>
  <c r="EC18" i="248"/>
  <c r="CP25" i="248"/>
  <c r="BP22" i="248"/>
  <c r="AP24" i="248"/>
  <c r="P26" i="248"/>
  <c r="C31" i="248"/>
  <c r="C15" i="248"/>
  <c r="DP7" i="248"/>
  <c r="CC30" i="248"/>
  <c r="BC33" i="248"/>
  <c r="AP5" i="248"/>
  <c r="P12" i="248"/>
  <c r="EP31" i="248"/>
  <c r="EP15" i="248"/>
  <c r="EC31" i="248"/>
  <c r="EC23" i="248"/>
  <c r="EC15" i="248"/>
  <c r="EC7" i="248"/>
  <c r="DP30" i="248"/>
  <c r="DP22" i="248"/>
  <c r="EP26" i="248"/>
  <c r="EC32" i="248"/>
  <c r="DP33" i="248"/>
  <c r="EP28" i="248"/>
  <c r="EP10" i="248"/>
  <c r="DP27" i="248"/>
  <c r="DP8" i="248"/>
  <c r="DC25" i="248"/>
  <c r="DC9" i="248"/>
  <c r="CP26" i="248"/>
  <c r="CP10" i="248"/>
  <c r="CC28" i="248"/>
  <c r="CC20" i="248"/>
  <c r="CC12" i="248"/>
  <c r="BP35" i="248"/>
  <c r="BP27" i="248"/>
  <c r="BP19" i="248"/>
  <c r="BP11" i="248"/>
  <c r="BC34" i="248"/>
  <c r="BC26" i="248"/>
  <c r="BC18" i="248"/>
  <c r="BC10" i="248"/>
  <c r="EP24" i="248"/>
  <c r="EC29" i="248"/>
  <c r="EC13" i="248"/>
  <c r="DP28" i="248"/>
  <c r="EP19" i="248"/>
  <c r="DP25" i="248"/>
  <c r="EC34" i="248"/>
  <c r="DC34" i="248"/>
  <c r="CP35" i="248"/>
  <c r="CP5" i="248"/>
  <c r="CC18" i="248"/>
  <c r="BP33" i="248"/>
  <c r="BP17" i="248"/>
  <c r="BC32" i="248"/>
  <c r="BC16" i="248"/>
  <c r="AP33" i="248"/>
  <c r="AP23" i="248"/>
  <c r="AP13" i="248"/>
  <c r="AC32" i="248"/>
  <c r="AC22" i="248"/>
  <c r="AC12" i="248"/>
  <c r="P31" i="248"/>
  <c r="P21" i="248"/>
  <c r="P11" i="248"/>
  <c r="EP34" i="248"/>
  <c r="EC14" i="248"/>
  <c r="DC29" i="248"/>
  <c r="CP29" i="248"/>
  <c r="CC32" i="248"/>
  <c r="BP26" i="248"/>
  <c r="BC19" i="248"/>
  <c r="AP20" i="248"/>
  <c r="P30" i="248"/>
  <c r="C26" i="248"/>
  <c r="C16" i="248"/>
  <c r="C6" i="248"/>
  <c r="EC26" i="248"/>
  <c r="DP13" i="248"/>
  <c r="DC16" i="248"/>
  <c r="CP21" i="248"/>
  <c r="CC19" i="248"/>
  <c r="BP20" i="248"/>
  <c r="AP22" i="248"/>
  <c r="AC15" i="248"/>
  <c r="P8" i="248"/>
  <c r="DC35" i="248"/>
  <c r="DC8" i="248"/>
  <c r="CP6" i="248"/>
  <c r="DC15" i="248"/>
  <c r="BP30" i="248"/>
  <c r="AC25" i="248"/>
  <c r="C25" i="248"/>
  <c r="EP33" i="248"/>
  <c r="BC25" i="248"/>
  <c r="AC11" i="248"/>
  <c r="CP8" i="248"/>
  <c r="BC31" i="248"/>
  <c r="AC17" i="248"/>
  <c r="C27" i="248"/>
  <c r="C7" i="248"/>
  <c r="CC33" i="248"/>
  <c r="BC17" i="248"/>
  <c r="AC19" i="248"/>
  <c r="EP23" i="248"/>
  <c r="EC27" i="248"/>
  <c r="EC11" i="248"/>
  <c r="DP26" i="248"/>
  <c r="EP14" i="248"/>
  <c r="DC5" i="248"/>
  <c r="EC22" i="248"/>
  <c r="DC33" i="248"/>
  <c r="CP34" i="248"/>
  <c r="CC36" i="248"/>
  <c r="CC16" i="248"/>
  <c r="BP31" i="248"/>
  <c r="BP15" i="248"/>
  <c r="BC30" i="248"/>
  <c r="BC14" i="248"/>
  <c r="AP31" i="248"/>
  <c r="AP21" i="248"/>
  <c r="AP9" i="248"/>
  <c r="AC30" i="248"/>
  <c r="AC20" i="248"/>
  <c r="AC8" i="248"/>
  <c r="P29" i="248"/>
  <c r="P19" i="248"/>
  <c r="P7" i="248"/>
  <c r="EP25" i="248"/>
  <c r="DP35" i="248"/>
  <c r="DC19" i="248"/>
  <c r="CP22" i="248"/>
  <c r="CC25" i="248"/>
  <c r="BP10" i="248"/>
  <c r="BC11" i="248"/>
  <c r="AP12" i="248"/>
  <c r="P14" i="248"/>
  <c r="C24" i="248"/>
  <c r="C14" i="248"/>
  <c r="EP21" i="248"/>
  <c r="EC10" i="248"/>
  <c r="DP6" i="248"/>
  <c r="DC6" i="248"/>
  <c r="CP14" i="248"/>
  <c r="CC11" i="248"/>
  <c r="BC29" i="248"/>
  <c r="AP14" i="248"/>
  <c r="AC7" i="248"/>
  <c r="EP27" i="248"/>
  <c r="EC6" i="248"/>
  <c r="DC30" i="248"/>
  <c r="CP28" i="248"/>
  <c r="EC20" i="248"/>
  <c r="DC12" i="248"/>
  <c r="BC23" i="248"/>
  <c r="AC9" i="248"/>
  <c r="C21" i="248"/>
  <c r="CC23" i="248"/>
  <c r="BC9" i="248"/>
  <c r="AC5" i="248"/>
  <c r="DP23" i="248"/>
  <c r="CC29" i="248"/>
  <c r="BC15" i="248"/>
  <c r="P10" i="248"/>
  <c r="C23" i="248"/>
  <c r="EC5" i="248"/>
  <c r="CC15" i="248"/>
  <c r="AP26" i="248"/>
  <c r="P28" i="248"/>
  <c r="EP8" i="248"/>
  <c r="EC21" i="248"/>
  <c r="DP36" i="248"/>
  <c r="DP20" i="248"/>
  <c r="EC24" i="248"/>
  <c r="EP13" i="248"/>
  <c r="DP17" i="248"/>
  <c r="DC18" i="248"/>
  <c r="CP19" i="248"/>
  <c r="CC26" i="248"/>
  <c r="CC10" i="248"/>
  <c r="BP25" i="248"/>
  <c r="BP9" i="248"/>
  <c r="BC24" i="248"/>
  <c r="BC8" i="248"/>
  <c r="AP29" i="248"/>
  <c r="AP17" i="248"/>
  <c r="AP7" i="248"/>
  <c r="AC28" i="248"/>
  <c r="AC16" i="248"/>
  <c r="AC6" i="248"/>
  <c r="P27" i="248"/>
  <c r="P15" i="248"/>
  <c r="C36" i="248"/>
  <c r="EP20" i="248"/>
  <c r="DP11" i="248"/>
  <c r="DC14" i="248"/>
  <c r="CP17" i="248"/>
  <c r="CC9" i="248"/>
  <c r="BP5" i="248"/>
  <c r="BC5" i="248"/>
  <c r="AC21" i="248"/>
  <c r="P6" i="248"/>
  <c r="C22" i="248"/>
  <c r="C10" i="248"/>
  <c r="EC36" i="248"/>
  <c r="DP31" i="248"/>
  <c r="DC28" i="248"/>
  <c r="CP36" i="248"/>
  <c r="CP9" i="248"/>
  <c r="BP36" i="248"/>
  <c r="BC21" i="248"/>
  <c r="AP6" i="248"/>
  <c r="P24" i="248"/>
  <c r="EP22" i="248"/>
  <c r="DP15" i="248"/>
  <c r="DC20" i="248"/>
  <c r="CP23" i="248"/>
  <c r="DP21" i="248"/>
  <c r="CC31" i="248"/>
  <c r="BC7" i="248"/>
  <c r="P34" i="248"/>
  <c r="C13" i="248"/>
  <c r="CC7" i="248"/>
  <c r="AP34" i="248"/>
  <c r="P20" i="248"/>
  <c r="DP19" i="248"/>
  <c r="CC13" i="248"/>
  <c r="AP8" i="248"/>
  <c r="P5" i="248"/>
  <c r="C19" i="248"/>
  <c r="DC27" i="248"/>
  <c r="BP24" i="248"/>
  <c r="AP10" i="248"/>
  <c r="EP5" i="248"/>
  <c r="EP7" i="248"/>
  <c r="EC19" i="248"/>
  <c r="DP34" i="248"/>
  <c r="EP36" i="248"/>
  <c r="EC16" i="248"/>
  <c r="EP12" i="248"/>
  <c r="DP16" i="248"/>
  <c r="DC17" i="248"/>
  <c r="CP18" i="248"/>
  <c r="CC24" i="248"/>
  <c r="CC8" i="248"/>
  <c r="BP23" i="248"/>
  <c r="BP7" i="248"/>
  <c r="BC22" i="248"/>
  <c r="BC6" i="248"/>
  <c r="AP25" i="248"/>
  <c r="AP15" i="248"/>
  <c r="AC36" i="248"/>
  <c r="AC24" i="248"/>
  <c r="AC14" i="248"/>
  <c r="P35" i="248"/>
  <c r="P23" i="248"/>
  <c r="P13" i="248"/>
  <c r="C34" i="248"/>
  <c r="EC35" i="248"/>
  <c r="DC36" i="248"/>
  <c r="DC7" i="248"/>
  <c r="CP7" i="248"/>
  <c r="BP34" i="248"/>
  <c r="BC35" i="248"/>
  <c r="AP28" i="248"/>
  <c r="AC13" i="248"/>
  <c r="C30" i="248"/>
  <c r="C18" i="248"/>
  <c r="C8" i="248"/>
  <c r="EC30" i="248"/>
  <c r="DP18" i="248"/>
  <c r="DC21" i="248"/>
  <c r="CP31" i="248"/>
  <c r="CC27" i="248"/>
  <c r="BP28" i="248"/>
  <c r="BC13" i="248"/>
  <c r="AC23" i="248"/>
  <c r="P16" i="248"/>
  <c r="EP18" i="248"/>
  <c r="DP5" i="248"/>
  <c r="DC13" i="248"/>
  <c r="CP16" i="248"/>
  <c r="DC32" i="248"/>
  <c r="CC21" i="248"/>
  <c r="AP32" i="248"/>
  <c r="C29" i="248"/>
  <c r="C9" i="248"/>
  <c r="BP32" i="248"/>
  <c r="AC27" i="248"/>
  <c r="C5" i="248"/>
  <c r="DC22" i="248"/>
  <c r="BP6" i="248"/>
  <c r="AC33" i="248"/>
  <c r="C11" i="248"/>
  <c r="CP30" i="248"/>
  <c r="BP8" i="248"/>
  <c r="EW3" i="248"/>
  <c r="EJ3" i="248"/>
  <c r="C35" i="248"/>
  <c r="AC35" i="248"/>
  <c r="V12" i="248" l="1"/>
  <c r="R12" i="248"/>
  <c r="T12" i="248"/>
  <c r="S12" i="248"/>
  <c r="W12" i="248"/>
  <c r="X12" i="248" s="1"/>
  <c r="U12" i="248"/>
  <c r="Q12" i="248"/>
  <c r="V28" i="248"/>
  <c r="R28" i="248"/>
  <c r="T28" i="248"/>
  <c r="S28" i="248"/>
  <c r="W28" i="248"/>
  <c r="X28" i="248" s="1"/>
  <c r="U28" i="248"/>
  <c r="Q28" i="248"/>
  <c r="AI19" i="248"/>
  <c r="AE19" i="248"/>
  <c r="AG19" i="248"/>
  <c r="AF19" i="248"/>
  <c r="AJ19" i="248"/>
  <c r="AK19" i="248" s="1"/>
  <c r="AH19" i="248"/>
  <c r="AD19" i="248"/>
  <c r="AI35" i="248"/>
  <c r="AE35" i="248"/>
  <c r="AG35" i="248"/>
  <c r="AF35" i="248"/>
  <c r="AJ35" i="248"/>
  <c r="AK35" i="248" s="1"/>
  <c r="AH35" i="248"/>
  <c r="AD35" i="248"/>
  <c r="AQ5" i="248"/>
  <c r="AY6" i="248"/>
  <c r="AY7" i="248" s="1"/>
  <c r="AY8" i="248" s="1"/>
  <c r="AY9" i="248" s="1"/>
  <c r="AY10" i="248" s="1"/>
  <c r="AY11" i="248" s="1"/>
  <c r="AY12" i="248" s="1"/>
  <c r="AY13" i="248" s="1"/>
  <c r="AY14" i="248" s="1"/>
  <c r="AY15" i="248" s="1"/>
  <c r="AY16" i="248" s="1"/>
  <c r="AY17" i="248" s="1"/>
  <c r="AY18" i="248" s="1"/>
  <c r="AY19" i="248" s="1"/>
  <c r="AY20" i="248" s="1"/>
  <c r="AY21" i="248" s="1"/>
  <c r="AY22" i="248" s="1"/>
  <c r="AY23" i="248" s="1"/>
  <c r="AY24" i="248" s="1"/>
  <c r="AY25" i="248" s="1"/>
  <c r="AY26" i="248" s="1"/>
  <c r="AY27" i="248" s="1"/>
  <c r="AY28" i="248" s="1"/>
  <c r="AY29" i="248" s="1"/>
  <c r="AY30" i="248" s="1"/>
  <c r="AY31" i="248" s="1"/>
  <c r="AY32" i="248" s="1"/>
  <c r="AY33" i="248" s="1"/>
  <c r="AY34" i="248" s="1"/>
  <c r="AY35" i="248" s="1"/>
  <c r="AY36" i="248" s="1"/>
  <c r="AR5" i="248"/>
  <c r="AV10" i="248"/>
  <c r="AR10" i="248"/>
  <c r="AT10" i="248"/>
  <c r="AS10" i="248"/>
  <c r="AW10" i="248"/>
  <c r="AX10" i="248" s="1"/>
  <c r="AU10" i="248"/>
  <c r="AQ10" i="248"/>
  <c r="AV26" i="248"/>
  <c r="AR26" i="248"/>
  <c r="AT26" i="248"/>
  <c r="AS26" i="248"/>
  <c r="AW26" i="248"/>
  <c r="AX26" i="248" s="1"/>
  <c r="AU26" i="248"/>
  <c r="AQ26" i="248"/>
  <c r="BI17" i="248"/>
  <c r="BE17" i="248"/>
  <c r="BG17" i="248"/>
  <c r="BF17" i="248"/>
  <c r="BJ17" i="248"/>
  <c r="BK17" i="248" s="1"/>
  <c r="BH17" i="248"/>
  <c r="BD17" i="248"/>
  <c r="BI33" i="248"/>
  <c r="BE33" i="248"/>
  <c r="BG33" i="248"/>
  <c r="BF33" i="248"/>
  <c r="BJ33" i="248"/>
  <c r="BK33" i="248" s="1"/>
  <c r="BH33" i="248"/>
  <c r="BD33" i="248"/>
  <c r="BR8" i="248"/>
  <c r="BQ8" i="248"/>
  <c r="BV24" i="248"/>
  <c r="BR24" i="248"/>
  <c r="BT24" i="248"/>
  <c r="BS24" i="248"/>
  <c r="BW24" i="248"/>
  <c r="BX24" i="248" s="1"/>
  <c r="BU24" i="248"/>
  <c r="BQ24" i="248"/>
  <c r="CI15" i="248"/>
  <c r="CE15" i="248"/>
  <c r="CG15" i="248"/>
  <c r="CF15" i="248"/>
  <c r="CJ15" i="248"/>
  <c r="CK15" i="248" s="1"/>
  <c r="CH15" i="248"/>
  <c r="CD15" i="248"/>
  <c r="CH30" i="248"/>
  <c r="CD30" i="248"/>
  <c r="CJ30" i="248"/>
  <c r="CK30" i="248" s="1"/>
  <c r="CE30" i="248"/>
  <c r="CI30" i="248"/>
  <c r="CG30" i="248"/>
  <c r="CF30" i="248"/>
  <c r="CJ33" i="248"/>
  <c r="CK33" i="248" s="1"/>
  <c r="CF33" i="248"/>
  <c r="CG33" i="248"/>
  <c r="CH33" i="248"/>
  <c r="CE33" i="248"/>
  <c r="CD33" i="248"/>
  <c r="CI33" i="248"/>
  <c r="CW30" i="248"/>
  <c r="CX30" i="248" s="1"/>
  <c r="CS30" i="248"/>
  <c r="CR30" i="248"/>
  <c r="CU30" i="248"/>
  <c r="CT30" i="248"/>
  <c r="CQ30" i="248"/>
  <c r="CV30" i="248"/>
  <c r="DJ27" i="248"/>
  <c r="DK27" i="248" s="1"/>
  <c r="DF27" i="248"/>
  <c r="DI27" i="248"/>
  <c r="DD27" i="248"/>
  <c r="DH27" i="248"/>
  <c r="DG27" i="248"/>
  <c r="DE27" i="248"/>
  <c r="DQ7" i="248"/>
  <c r="DR7" i="248"/>
  <c r="ED5" i="248"/>
  <c r="EL6" i="248"/>
  <c r="EL7" i="248" s="1"/>
  <c r="EL8" i="248" s="1"/>
  <c r="EL9" i="248" s="1"/>
  <c r="EL10" i="248" s="1"/>
  <c r="EL11" i="248" s="1"/>
  <c r="EL12" i="248" s="1"/>
  <c r="EL13" i="248" s="1"/>
  <c r="EL14" i="248" s="1"/>
  <c r="EL15" i="248" s="1"/>
  <c r="EL16" i="248" s="1"/>
  <c r="EL17" i="248" s="1"/>
  <c r="EL18" i="248" s="1"/>
  <c r="EL19" i="248" s="1"/>
  <c r="EL20" i="248" s="1"/>
  <c r="EL21" i="248" s="1"/>
  <c r="EL22" i="248" s="1"/>
  <c r="EL23" i="248" s="1"/>
  <c r="EL24" i="248" s="1"/>
  <c r="EL25" i="248" s="1"/>
  <c r="EL26" i="248" s="1"/>
  <c r="EL27" i="248" s="1"/>
  <c r="EL28" i="248" s="1"/>
  <c r="EL29" i="248" s="1"/>
  <c r="EL30" i="248" s="1"/>
  <c r="EL31" i="248" s="1"/>
  <c r="EL32" i="248" s="1"/>
  <c r="EL33" i="248" s="1"/>
  <c r="EL34" i="248" s="1"/>
  <c r="EL35" i="248" s="1"/>
  <c r="EL36" i="248" s="1"/>
  <c r="EE5" i="248"/>
  <c r="E7" i="248"/>
  <c r="D7" i="248"/>
  <c r="I11" i="248"/>
  <c r="E11" i="248"/>
  <c r="H11" i="248"/>
  <c r="D11" i="248"/>
  <c r="G11" i="248"/>
  <c r="F11" i="248"/>
  <c r="J11" i="248"/>
  <c r="K11" i="248" s="1"/>
  <c r="I15" i="248"/>
  <c r="E15" i="248"/>
  <c r="H15" i="248"/>
  <c r="D15" i="248"/>
  <c r="G15" i="248"/>
  <c r="F15" i="248"/>
  <c r="J15" i="248"/>
  <c r="K15" i="248" s="1"/>
  <c r="I19" i="248"/>
  <c r="E19" i="248"/>
  <c r="H19" i="248"/>
  <c r="D19" i="248"/>
  <c r="G19" i="248"/>
  <c r="F19" i="248"/>
  <c r="J19" i="248"/>
  <c r="K19" i="248" s="1"/>
  <c r="I23" i="248"/>
  <c r="E23" i="248"/>
  <c r="H23" i="248"/>
  <c r="D23" i="248"/>
  <c r="G23" i="248"/>
  <c r="F23" i="248"/>
  <c r="J23" i="248"/>
  <c r="K23" i="248" s="1"/>
  <c r="I27" i="248"/>
  <c r="E27" i="248"/>
  <c r="H27" i="248"/>
  <c r="D27" i="248"/>
  <c r="G27" i="248"/>
  <c r="F27" i="248"/>
  <c r="J27" i="248"/>
  <c r="K27" i="248" s="1"/>
  <c r="I31" i="248"/>
  <c r="E31" i="248"/>
  <c r="H31" i="248"/>
  <c r="D31" i="248"/>
  <c r="G31" i="248"/>
  <c r="F31" i="248"/>
  <c r="J31" i="248"/>
  <c r="K31" i="248" s="1"/>
  <c r="I35" i="248"/>
  <c r="E35" i="248"/>
  <c r="F35" i="248"/>
  <c r="J35" i="248"/>
  <c r="K35" i="248" s="1"/>
  <c r="D35" i="248"/>
  <c r="H35" i="248"/>
  <c r="G35" i="248"/>
  <c r="Q5" i="248"/>
  <c r="Y6" i="248"/>
  <c r="Y7" i="248" s="1"/>
  <c r="Y8" i="248" s="1"/>
  <c r="Y9" i="248" s="1"/>
  <c r="Y10" i="248" s="1"/>
  <c r="Y11" i="248" s="1"/>
  <c r="Y12" i="248" s="1"/>
  <c r="Y13" i="248" s="1"/>
  <c r="Y14" i="248" s="1"/>
  <c r="Y15" i="248" s="1"/>
  <c r="Y16" i="248" s="1"/>
  <c r="Y17" i="248" s="1"/>
  <c r="Y18" i="248" s="1"/>
  <c r="Y19" i="248" s="1"/>
  <c r="Y20" i="248" s="1"/>
  <c r="Y21" i="248" s="1"/>
  <c r="Y22" i="248" s="1"/>
  <c r="Y23" i="248" s="1"/>
  <c r="Y24" i="248" s="1"/>
  <c r="Y25" i="248" s="1"/>
  <c r="Y26" i="248" s="1"/>
  <c r="Y27" i="248" s="1"/>
  <c r="Y28" i="248" s="1"/>
  <c r="Y29" i="248" s="1"/>
  <c r="Y30" i="248" s="1"/>
  <c r="Y31" i="248" s="1"/>
  <c r="Y32" i="248" s="1"/>
  <c r="Y33" i="248" s="1"/>
  <c r="Y34" i="248" s="1"/>
  <c r="Y35" i="248" s="1"/>
  <c r="Y36" i="248" s="1"/>
  <c r="R5" i="248"/>
  <c r="V10" i="248"/>
  <c r="R10" i="248"/>
  <c r="S10" i="248"/>
  <c r="W10" i="248"/>
  <c r="X10" i="248" s="1"/>
  <c r="Q10" i="248"/>
  <c r="U10" i="248"/>
  <c r="T10" i="248"/>
  <c r="V26" i="248"/>
  <c r="R26" i="248"/>
  <c r="S26" i="248"/>
  <c r="W26" i="248"/>
  <c r="X26" i="248" s="1"/>
  <c r="Q26" i="248"/>
  <c r="U26" i="248"/>
  <c r="T26" i="248"/>
  <c r="AI17" i="248"/>
  <c r="AE17" i="248"/>
  <c r="AF17" i="248"/>
  <c r="AJ17" i="248"/>
  <c r="AK17" i="248" s="1"/>
  <c r="AD17" i="248"/>
  <c r="AH17" i="248"/>
  <c r="AG17" i="248"/>
  <c r="AI33" i="248"/>
  <c r="AE33" i="248"/>
  <c r="AF33" i="248"/>
  <c r="AJ33" i="248"/>
  <c r="AK33" i="248" s="1"/>
  <c r="AD33" i="248"/>
  <c r="AH33" i="248"/>
  <c r="AG33" i="248"/>
  <c r="AR8" i="248"/>
  <c r="AQ8" i="248"/>
  <c r="AV24" i="248"/>
  <c r="AR24" i="248"/>
  <c r="AS24" i="248"/>
  <c r="AW24" i="248"/>
  <c r="AX24" i="248" s="1"/>
  <c r="AQ24" i="248"/>
  <c r="AU24" i="248"/>
  <c r="AT24" i="248"/>
  <c r="BI15" i="248"/>
  <c r="BE15" i="248"/>
  <c r="BF15" i="248"/>
  <c r="BJ15" i="248"/>
  <c r="BK15" i="248" s="1"/>
  <c r="BD15" i="248"/>
  <c r="BH15" i="248"/>
  <c r="BG15" i="248"/>
  <c r="BI31" i="248"/>
  <c r="BE31" i="248"/>
  <c r="BF31" i="248"/>
  <c r="BJ31" i="248"/>
  <c r="BK31" i="248" s="1"/>
  <c r="BD31" i="248"/>
  <c r="BH31" i="248"/>
  <c r="BG31" i="248"/>
  <c r="BV6" i="248"/>
  <c r="BR6" i="248"/>
  <c r="BS6" i="248"/>
  <c r="BS7" i="248" s="1"/>
  <c r="BS8" i="248" s="1"/>
  <c r="BS9" i="248" s="1"/>
  <c r="BW6" i="248"/>
  <c r="BX6" i="248" s="1"/>
  <c r="BW7" i="248" s="1"/>
  <c r="BX7" i="248" s="1"/>
  <c r="BW8" i="248" s="1"/>
  <c r="BX8" i="248" s="1"/>
  <c r="BW9" i="248" s="1"/>
  <c r="BX9" i="248" s="1"/>
  <c r="BQ6" i="248"/>
  <c r="BU6" i="248"/>
  <c r="BU7" i="248" s="1"/>
  <c r="BU8" i="248" s="1"/>
  <c r="BU9" i="248" s="1"/>
  <c r="BT6" i="248"/>
  <c r="BT7" i="248" s="1"/>
  <c r="BT8" i="248" s="1"/>
  <c r="BT9" i="248" s="1"/>
  <c r="BV22" i="248"/>
  <c r="BR22" i="248"/>
  <c r="BS22" i="248"/>
  <c r="BW22" i="248"/>
  <c r="BX22" i="248" s="1"/>
  <c r="BQ22" i="248"/>
  <c r="BU22" i="248"/>
  <c r="BT22" i="248"/>
  <c r="CI13" i="248"/>
  <c r="CE13" i="248"/>
  <c r="CF13" i="248"/>
  <c r="CJ13" i="248"/>
  <c r="CK13" i="248" s="1"/>
  <c r="CD13" i="248"/>
  <c r="CH13" i="248"/>
  <c r="CG13" i="248"/>
  <c r="CJ29" i="248"/>
  <c r="CK29" i="248" s="1"/>
  <c r="CI29" i="248"/>
  <c r="CE29" i="248"/>
  <c r="CF29" i="248"/>
  <c r="CD29" i="248"/>
  <c r="CH29" i="248"/>
  <c r="CG29" i="248"/>
  <c r="CR8" i="248"/>
  <c r="CQ8" i="248"/>
  <c r="CU25" i="248"/>
  <c r="CQ25" i="248"/>
  <c r="CT25" i="248"/>
  <c r="CV25" i="248"/>
  <c r="CS25" i="248"/>
  <c r="CR25" i="248"/>
  <c r="CW25" i="248"/>
  <c r="CX25" i="248" s="1"/>
  <c r="DH22" i="248"/>
  <c r="DD22" i="248"/>
  <c r="DF22" i="248"/>
  <c r="DI22" i="248"/>
  <c r="DG22" i="248"/>
  <c r="DE22" i="248"/>
  <c r="DJ22" i="248"/>
  <c r="DK22" i="248" s="1"/>
  <c r="DV19" i="248"/>
  <c r="DR19" i="248"/>
  <c r="DW19" i="248"/>
  <c r="DX19" i="248" s="1"/>
  <c r="DQ19" i="248"/>
  <c r="DS19" i="248"/>
  <c r="DU19" i="248"/>
  <c r="DT19" i="248"/>
  <c r="DV23" i="248"/>
  <c r="DR23" i="248"/>
  <c r="DT23" i="248"/>
  <c r="DU23" i="248"/>
  <c r="DW23" i="248"/>
  <c r="DX23" i="248" s="1"/>
  <c r="DS23" i="248"/>
  <c r="DQ23" i="248"/>
  <c r="EI18" i="248"/>
  <c r="EE18" i="248"/>
  <c r="EJ18" i="248"/>
  <c r="EK18" i="248" s="1"/>
  <c r="ED18" i="248"/>
  <c r="EG18" i="248"/>
  <c r="EH18" i="248"/>
  <c r="EF18" i="248"/>
  <c r="E5" i="248"/>
  <c r="D5" i="248"/>
  <c r="L6" i="248"/>
  <c r="L7" i="248" s="1"/>
  <c r="L8" i="248" s="1"/>
  <c r="L9" i="248" s="1"/>
  <c r="L10" i="248" s="1"/>
  <c r="L11" i="248" s="1"/>
  <c r="L12" i="248" s="1"/>
  <c r="L13" i="248" s="1"/>
  <c r="L14" i="248" s="1"/>
  <c r="L15" i="248" s="1"/>
  <c r="L16" i="248" s="1"/>
  <c r="L17" i="248" s="1"/>
  <c r="L18" i="248" s="1"/>
  <c r="L19" i="248" s="1"/>
  <c r="L20" i="248" s="1"/>
  <c r="L21" i="248" s="1"/>
  <c r="L22" i="248" s="1"/>
  <c r="L23" i="248" s="1"/>
  <c r="L24" i="248" s="1"/>
  <c r="L25" i="248" s="1"/>
  <c r="L26" i="248" s="1"/>
  <c r="L27" i="248" s="1"/>
  <c r="L28" i="248" s="1"/>
  <c r="L29" i="248" s="1"/>
  <c r="L30" i="248" s="1"/>
  <c r="L31" i="248" s="1"/>
  <c r="L32" i="248" s="1"/>
  <c r="L33" i="248" s="1"/>
  <c r="L34" i="248" s="1"/>
  <c r="L35" i="248" s="1"/>
  <c r="L36" i="248" s="1"/>
  <c r="V20" i="248"/>
  <c r="R20" i="248"/>
  <c r="T20" i="248"/>
  <c r="S20" i="248"/>
  <c r="Q20" i="248"/>
  <c r="W20" i="248"/>
  <c r="X20" i="248" s="1"/>
  <c r="U20" i="248"/>
  <c r="V36" i="248"/>
  <c r="R36" i="248"/>
  <c r="T36" i="248"/>
  <c r="S36" i="248"/>
  <c r="Q36" i="248"/>
  <c r="W36" i="248"/>
  <c r="X36" i="248" s="1"/>
  <c r="U36" i="248"/>
  <c r="AE5" i="248"/>
  <c r="AL6" i="248"/>
  <c r="AL7" i="248" s="1"/>
  <c r="AL8" i="248" s="1"/>
  <c r="AL9" i="248" s="1"/>
  <c r="AL10" i="248" s="1"/>
  <c r="AL11" i="248" s="1"/>
  <c r="AL12" i="248" s="1"/>
  <c r="AL13" i="248" s="1"/>
  <c r="AL14" i="248" s="1"/>
  <c r="AL15" i="248" s="1"/>
  <c r="AL16" i="248" s="1"/>
  <c r="AL17" i="248" s="1"/>
  <c r="AL18" i="248" s="1"/>
  <c r="AL19" i="248" s="1"/>
  <c r="AL20" i="248" s="1"/>
  <c r="AL21" i="248" s="1"/>
  <c r="AL22" i="248" s="1"/>
  <c r="AL23" i="248" s="1"/>
  <c r="AL24" i="248" s="1"/>
  <c r="AL25" i="248" s="1"/>
  <c r="AL26" i="248" s="1"/>
  <c r="AL27" i="248" s="1"/>
  <c r="AL28" i="248" s="1"/>
  <c r="AL29" i="248" s="1"/>
  <c r="AL30" i="248" s="1"/>
  <c r="AL31" i="248" s="1"/>
  <c r="AL32" i="248" s="1"/>
  <c r="AL33" i="248" s="1"/>
  <c r="AL34" i="248" s="1"/>
  <c r="AL35" i="248" s="1"/>
  <c r="AL36" i="248" s="1"/>
  <c r="AD5" i="248"/>
  <c r="AI11" i="248"/>
  <c r="AE11" i="248"/>
  <c r="AG11" i="248"/>
  <c r="AF11" i="248"/>
  <c r="AD11" i="248"/>
  <c r="AJ11" i="248"/>
  <c r="AK11" i="248" s="1"/>
  <c r="AH11" i="248"/>
  <c r="AI27" i="248"/>
  <c r="AE27" i="248"/>
  <c r="AG27" i="248"/>
  <c r="AF27" i="248"/>
  <c r="AD27" i="248"/>
  <c r="AJ27" i="248"/>
  <c r="AK27" i="248" s="1"/>
  <c r="AH27" i="248"/>
  <c r="AV18" i="248"/>
  <c r="AR18" i="248"/>
  <c r="AT18" i="248"/>
  <c r="AS18" i="248"/>
  <c r="AQ18" i="248"/>
  <c r="AW18" i="248"/>
  <c r="AX18" i="248" s="1"/>
  <c r="AU18" i="248"/>
  <c r="AV34" i="248"/>
  <c r="AR34" i="248"/>
  <c r="AT34" i="248"/>
  <c r="AS34" i="248"/>
  <c r="AQ34" i="248"/>
  <c r="AW34" i="248"/>
  <c r="AX34" i="248" s="1"/>
  <c r="AU34" i="248"/>
  <c r="BI9" i="248"/>
  <c r="BE9" i="248"/>
  <c r="BG9" i="248"/>
  <c r="BF9" i="248"/>
  <c r="BD9" i="248"/>
  <c r="BJ9" i="248"/>
  <c r="BK9" i="248" s="1"/>
  <c r="BH9" i="248"/>
  <c r="BI25" i="248"/>
  <c r="BE25" i="248"/>
  <c r="BG25" i="248"/>
  <c r="BF25" i="248"/>
  <c r="BD25" i="248"/>
  <c r="BJ25" i="248"/>
  <c r="BK25" i="248" s="1"/>
  <c r="BH25" i="248"/>
  <c r="BV16" i="248"/>
  <c r="BR16" i="248"/>
  <c r="BT16" i="248"/>
  <c r="BS16" i="248"/>
  <c r="BQ16" i="248"/>
  <c r="BW16" i="248"/>
  <c r="BX16" i="248" s="1"/>
  <c r="BU16" i="248"/>
  <c r="BV32" i="248"/>
  <c r="BR32" i="248"/>
  <c r="BT32" i="248"/>
  <c r="BS32" i="248"/>
  <c r="BQ32" i="248"/>
  <c r="BW32" i="248"/>
  <c r="BX32" i="248" s="1"/>
  <c r="BU32" i="248"/>
  <c r="CE7" i="248"/>
  <c r="CD7" i="248"/>
  <c r="CI23" i="248"/>
  <c r="CE23" i="248"/>
  <c r="CG23" i="248"/>
  <c r="CF23" i="248"/>
  <c r="CD23" i="248"/>
  <c r="CJ23" i="248"/>
  <c r="CK23" i="248" s="1"/>
  <c r="CH23" i="248"/>
  <c r="CW20" i="248"/>
  <c r="CX20" i="248" s="1"/>
  <c r="CS20" i="248"/>
  <c r="CV20" i="248"/>
  <c r="CQ20" i="248"/>
  <c r="CU20" i="248"/>
  <c r="CT20" i="248"/>
  <c r="CR20" i="248"/>
  <c r="EW33" i="248"/>
  <c r="EX33" i="248" s="1"/>
  <c r="ES33" i="248"/>
  <c r="EV33" i="248"/>
  <c r="EQ33" i="248"/>
  <c r="ER33" i="248"/>
  <c r="EU33" i="248"/>
  <c r="ET33" i="248"/>
  <c r="I9" i="248"/>
  <c r="E9" i="248"/>
  <c r="H9" i="248"/>
  <c r="D9" i="248"/>
  <c r="J9" i="248"/>
  <c r="K9" i="248" s="1"/>
  <c r="G9" i="248"/>
  <c r="F9" i="248"/>
  <c r="I13" i="248"/>
  <c r="E13" i="248"/>
  <c r="H13" i="248"/>
  <c r="D13" i="248"/>
  <c r="J13" i="248"/>
  <c r="K13" i="248" s="1"/>
  <c r="G13" i="248"/>
  <c r="F13" i="248"/>
  <c r="I17" i="248"/>
  <c r="E17" i="248"/>
  <c r="H17" i="248"/>
  <c r="D17" i="248"/>
  <c r="J17" i="248"/>
  <c r="K17" i="248" s="1"/>
  <c r="G17" i="248"/>
  <c r="F17" i="248"/>
  <c r="I21" i="248"/>
  <c r="E21" i="248"/>
  <c r="H21" i="248"/>
  <c r="D21" i="248"/>
  <c r="J21" i="248"/>
  <c r="K21" i="248" s="1"/>
  <c r="G21" i="248"/>
  <c r="F21" i="248"/>
  <c r="I25" i="248"/>
  <c r="E25" i="248"/>
  <c r="H25" i="248"/>
  <c r="D25" i="248"/>
  <c r="J25" i="248"/>
  <c r="K25" i="248" s="1"/>
  <c r="G25" i="248"/>
  <c r="F25" i="248"/>
  <c r="I29" i="248"/>
  <c r="E29" i="248"/>
  <c r="H29" i="248"/>
  <c r="D29" i="248"/>
  <c r="J29" i="248"/>
  <c r="K29" i="248" s="1"/>
  <c r="G29" i="248"/>
  <c r="F29" i="248"/>
  <c r="V18" i="248"/>
  <c r="R18" i="248"/>
  <c r="S18" i="248"/>
  <c r="W18" i="248"/>
  <c r="X18" i="248" s="1"/>
  <c r="Q18" i="248"/>
  <c r="U18" i="248"/>
  <c r="T18" i="248"/>
  <c r="V34" i="248"/>
  <c r="R34" i="248"/>
  <c r="S34" i="248"/>
  <c r="W34" i="248"/>
  <c r="X34" i="248" s="1"/>
  <c r="Q34" i="248"/>
  <c r="U34" i="248"/>
  <c r="T34" i="248"/>
  <c r="AE9" i="248"/>
  <c r="AD9" i="248"/>
  <c r="AI25" i="248"/>
  <c r="AE25" i="248"/>
  <c r="AF25" i="248"/>
  <c r="AJ25" i="248"/>
  <c r="AK25" i="248" s="1"/>
  <c r="AD25" i="248"/>
  <c r="AH25" i="248"/>
  <c r="AG25" i="248"/>
  <c r="AV16" i="248"/>
  <c r="AR16" i="248"/>
  <c r="AS16" i="248"/>
  <c r="AW16" i="248"/>
  <c r="AX16" i="248" s="1"/>
  <c r="AQ16" i="248"/>
  <c r="AU16" i="248"/>
  <c r="AT16" i="248"/>
  <c r="AV32" i="248"/>
  <c r="AR32" i="248"/>
  <c r="AS32" i="248"/>
  <c r="AW32" i="248"/>
  <c r="AX32" i="248" s="1"/>
  <c r="AQ32" i="248"/>
  <c r="AU32" i="248"/>
  <c r="AT32" i="248"/>
  <c r="BE7" i="248"/>
  <c r="BD7" i="248"/>
  <c r="BI23" i="248"/>
  <c r="BE23" i="248"/>
  <c r="BF23" i="248"/>
  <c r="BJ23" i="248"/>
  <c r="BK23" i="248" s="1"/>
  <c r="BD23" i="248"/>
  <c r="BH23" i="248"/>
  <c r="BG23" i="248"/>
  <c r="BV14" i="248"/>
  <c r="BR14" i="248"/>
  <c r="BS14" i="248"/>
  <c r="BW14" i="248"/>
  <c r="BX14" i="248" s="1"/>
  <c r="BQ14" i="248"/>
  <c r="BU14" i="248"/>
  <c r="BT14" i="248"/>
  <c r="BV30" i="248"/>
  <c r="BR30" i="248"/>
  <c r="BS30" i="248"/>
  <c r="BW30" i="248"/>
  <c r="BX30" i="248" s="1"/>
  <c r="BQ30" i="248"/>
  <c r="BU30" i="248"/>
  <c r="BT30" i="248"/>
  <c r="CI21" i="248"/>
  <c r="CE21" i="248"/>
  <c r="CF21" i="248"/>
  <c r="CJ21" i="248"/>
  <c r="CK21" i="248" s="1"/>
  <c r="CD21" i="248"/>
  <c r="CH21" i="248"/>
  <c r="CG21" i="248"/>
  <c r="CJ31" i="248"/>
  <c r="CK31" i="248" s="1"/>
  <c r="CF31" i="248"/>
  <c r="CE31" i="248"/>
  <c r="CG31" i="248"/>
  <c r="CD31" i="248"/>
  <c r="CI31" i="248"/>
  <c r="CH31" i="248"/>
  <c r="CU15" i="248"/>
  <c r="CQ15" i="248"/>
  <c r="CS15" i="248"/>
  <c r="CV15" i="248"/>
  <c r="CT15" i="248"/>
  <c r="CR15" i="248"/>
  <c r="CW15" i="248"/>
  <c r="CX15" i="248" s="1"/>
  <c r="DH12" i="248"/>
  <c r="DD12" i="248"/>
  <c r="DJ12" i="248"/>
  <c r="DK12" i="248" s="1"/>
  <c r="DE12" i="248"/>
  <c r="DI12" i="248"/>
  <c r="DG12" i="248"/>
  <c r="DF12" i="248"/>
  <c r="DJ15" i="248"/>
  <c r="DK15" i="248" s="1"/>
  <c r="DF15" i="248"/>
  <c r="DG15" i="248"/>
  <c r="DH15" i="248"/>
  <c r="DE15" i="248"/>
  <c r="DD15" i="248"/>
  <c r="DI15" i="248"/>
  <c r="DH32" i="248"/>
  <c r="DD32" i="248"/>
  <c r="DG32" i="248"/>
  <c r="DI32" i="248"/>
  <c r="DF32" i="248"/>
  <c r="DE32" i="248"/>
  <c r="DJ32" i="248"/>
  <c r="DK32" i="248" s="1"/>
  <c r="DW12" i="248"/>
  <c r="DX12" i="248" s="1"/>
  <c r="DS12" i="248"/>
  <c r="DR12" i="248"/>
  <c r="DU12" i="248"/>
  <c r="DT12" i="248"/>
  <c r="DQ12" i="248"/>
  <c r="DV12" i="248"/>
  <c r="DV21" i="248"/>
  <c r="DR21" i="248"/>
  <c r="DS21" i="248"/>
  <c r="DT21" i="248"/>
  <c r="DW21" i="248"/>
  <c r="DX21" i="248" s="1"/>
  <c r="DU21" i="248"/>
  <c r="DQ21" i="248"/>
  <c r="EI20" i="248"/>
  <c r="EE20" i="248"/>
  <c r="EF20" i="248"/>
  <c r="EH20" i="248"/>
  <c r="EJ20" i="248"/>
  <c r="EK20" i="248" s="1"/>
  <c r="EG20" i="248"/>
  <c r="ED20" i="248"/>
  <c r="CW6" i="248"/>
  <c r="CX6" i="248" s="1"/>
  <c r="CW7" i="248" s="1"/>
  <c r="CX7" i="248" s="1"/>
  <c r="CW8" i="248" s="1"/>
  <c r="CX8" i="248" s="1"/>
  <c r="CW9" i="248" s="1"/>
  <c r="CX9" i="248" s="1"/>
  <c r="CS6" i="248"/>
  <c r="CS7" i="248" s="1"/>
  <c r="CS8" i="248" s="1"/>
  <c r="CS9" i="248" s="1"/>
  <c r="CR6" i="248"/>
  <c r="CT6" i="248"/>
  <c r="CT7" i="248" s="1"/>
  <c r="CT8" i="248" s="1"/>
  <c r="CT9" i="248" s="1"/>
  <c r="CQ6" i="248"/>
  <c r="CV6" i="248"/>
  <c r="CV7" i="248" s="1"/>
  <c r="CV8" i="248" s="1"/>
  <c r="CV9" i="248" s="1"/>
  <c r="CU6" i="248"/>
  <c r="CU7" i="248" s="1"/>
  <c r="CU8" i="248" s="1"/>
  <c r="CU9" i="248" s="1"/>
  <c r="CU13" i="248"/>
  <c r="CQ13" i="248"/>
  <c r="CW13" i="248"/>
  <c r="CX13" i="248" s="1"/>
  <c r="CR13" i="248"/>
  <c r="CT13" i="248"/>
  <c r="CS13" i="248"/>
  <c r="CV13" i="248"/>
  <c r="CW16" i="248"/>
  <c r="CX16" i="248" s="1"/>
  <c r="CS16" i="248"/>
  <c r="CT16" i="248"/>
  <c r="CR16" i="248"/>
  <c r="CQ16" i="248"/>
  <c r="CV16" i="248"/>
  <c r="CU16" i="248"/>
  <c r="CU23" i="248"/>
  <c r="CQ23" i="248"/>
  <c r="CS23" i="248"/>
  <c r="CT23" i="248"/>
  <c r="CR23" i="248"/>
  <c r="CW23" i="248"/>
  <c r="CX23" i="248" s="1"/>
  <c r="CV23" i="248"/>
  <c r="CW28" i="248"/>
  <c r="CX28" i="248" s="1"/>
  <c r="CS28" i="248"/>
  <c r="CV28" i="248"/>
  <c r="CQ28" i="248"/>
  <c r="CT28" i="248"/>
  <c r="CR28" i="248"/>
  <c r="CU28" i="248"/>
  <c r="CU33" i="248"/>
  <c r="CQ33" i="248"/>
  <c r="CT33" i="248"/>
  <c r="CS33" i="248"/>
  <c r="CR33" i="248"/>
  <c r="CW33" i="248"/>
  <c r="CX33" i="248" s="1"/>
  <c r="CV33" i="248"/>
  <c r="DD8" i="248"/>
  <c r="DE8" i="248"/>
  <c r="DJ13" i="248"/>
  <c r="DK13" i="248" s="1"/>
  <c r="DF13" i="248"/>
  <c r="DE13" i="248"/>
  <c r="DG13" i="248"/>
  <c r="DD13" i="248"/>
  <c r="DI13" i="248"/>
  <c r="DH13" i="248"/>
  <c r="DH20" i="248"/>
  <c r="DD20" i="248"/>
  <c r="DJ20" i="248"/>
  <c r="DK20" i="248" s="1"/>
  <c r="DE20" i="248"/>
  <c r="DG20" i="248"/>
  <c r="DF20" i="248"/>
  <c r="DI20" i="248"/>
  <c r="DJ23" i="248"/>
  <c r="DK23" i="248" s="1"/>
  <c r="DF23" i="248"/>
  <c r="DG23" i="248"/>
  <c r="DE23" i="248"/>
  <c r="DD23" i="248"/>
  <c r="DI23" i="248"/>
  <c r="DH23" i="248"/>
  <c r="DH30" i="248"/>
  <c r="DD30" i="248"/>
  <c r="DF30" i="248"/>
  <c r="DG30" i="248"/>
  <c r="DE30" i="248"/>
  <c r="DJ30" i="248"/>
  <c r="DK30" i="248" s="1"/>
  <c r="DI30" i="248"/>
  <c r="DJ35" i="248"/>
  <c r="DK35" i="248" s="1"/>
  <c r="DF35" i="248"/>
  <c r="DI35" i="248"/>
  <c r="DD35" i="248"/>
  <c r="DG35" i="248"/>
  <c r="DE35" i="248"/>
  <c r="DH35" i="248"/>
  <c r="DR5" i="248"/>
  <c r="DY6" i="248"/>
  <c r="DY7" i="248" s="1"/>
  <c r="DY8" i="248" s="1"/>
  <c r="DY9" i="248" s="1"/>
  <c r="DY10" i="248" s="1"/>
  <c r="DY11" i="248" s="1"/>
  <c r="DY12" i="248" s="1"/>
  <c r="DY13" i="248" s="1"/>
  <c r="DY14" i="248" s="1"/>
  <c r="DY15" i="248" s="1"/>
  <c r="DY16" i="248" s="1"/>
  <c r="DY17" i="248" s="1"/>
  <c r="DY18" i="248" s="1"/>
  <c r="DY19" i="248" s="1"/>
  <c r="DY20" i="248" s="1"/>
  <c r="DY21" i="248" s="1"/>
  <c r="DY22" i="248" s="1"/>
  <c r="DY23" i="248" s="1"/>
  <c r="DY24" i="248" s="1"/>
  <c r="DY25" i="248" s="1"/>
  <c r="DY26" i="248" s="1"/>
  <c r="DY27" i="248" s="1"/>
  <c r="DY28" i="248" s="1"/>
  <c r="DY29" i="248" s="1"/>
  <c r="DY30" i="248" s="1"/>
  <c r="DY31" i="248" s="1"/>
  <c r="DY32" i="248" s="1"/>
  <c r="DY33" i="248" s="1"/>
  <c r="DY34" i="248" s="1"/>
  <c r="DY35" i="248" s="1"/>
  <c r="DY36" i="248" s="1"/>
  <c r="DQ5" i="248"/>
  <c r="DQ10" i="248"/>
  <c r="DR10" i="248"/>
  <c r="DU15" i="248"/>
  <c r="DQ15" i="248"/>
  <c r="DT15" i="248"/>
  <c r="DS15" i="248"/>
  <c r="DR15" i="248"/>
  <c r="DW15" i="248"/>
  <c r="DX15" i="248" s="1"/>
  <c r="DV15" i="248"/>
  <c r="EI6" i="248"/>
  <c r="EE6" i="248"/>
  <c r="EG6" i="248"/>
  <c r="EF6" i="248"/>
  <c r="EH6" i="248"/>
  <c r="ED6" i="248"/>
  <c r="EJ6" i="248"/>
  <c r="EK6" i="248" s="1"/>
  <c r="EW17" i="248"/>
  <c r="EX17" i="248" s="1"/>
  <c r="ES17" i="248"/>
  <c r="EV17" i="248"/>
  <c r="EQ17" i="248"/>
  <c r="EU17" i="248"/>
  <c r="ET17" i="248"/>
  <c r="ER17" i="248"/>
  <c r="EU18" i="248"/>
  <c r="EQ18" i="248"/>
  <c r="EW18" i="248"/>
  <c r="EX18" i="248" s="1"/>
  <c r="ER18" i="248"/>
  <c r="ES18" i="248"/>
  <c r="EV18" i="248"/>
  <c r="ET18" i="248"/>
  <c r="EU22" i="248"/>
  <c r="EQ22" i="248"/>
  <c r="ET22" i="248"/>
  <c r="EV22" i="248"/>
  <c r="ES22" i="248"/>
  <c r="EW22" i="248"/>
  <c r="EX22" i="248" s="1"/>
  <c r="ER22" i="248"/>
  <c r="EW27" i="248"/>
  <c r="EX27" i="248" s="1"/>
  <c r="ES27" i="248"/>
  <c r="ER27" i="248"/>
  <c r="EU27" i="248"/>
  <c r="EQ27" i="248"/>
  <c r="EV27" i="248"/>
  <c r="ET27" i="248"/>
  <c r="I33" i="248"/>
  <c r="E33" i="248"/>
  <c r="J33" i="248"/>
  <c r="K33" i="248" s="1"/>
  <c r="D33" i="248"/>
  <c r="H33" i="248"/>
  <c r="G33" i="248"/>
  <c r="F33" i="248"/>
  <c r="R8" i="248"/>
  <c r="Q8" i="248"/>
  <c r="V16" i="248"/>
  <c r="R16" i="248"/>
  <c r="W16" i="248"/>
  <c r="X16" i="248" s="1"/>
  <c r="Q16" i="248"/>
  <c r="U16" i="248"/>
  <c r="T16" i="248"/>
  <c r="S16" i="248"/>
  <c r="V24" i="248"/>
  <c r="R24" i="248"/>
  <c r="W24" i="248"/>
  <c r="X24" i="248" s="1"/>
  <c r="Q24" i="248"/>
  <c r="U24" i="248"/>
  <c r="T24" i="248"/>
  <c r="S24" i="248"/>
  <c r="V32" i="248"/>
  <c r="R32" i="248"/>
  <c r="W32" i="248"/>
  <c r="X32" i="248" s="1"/>
  <c r="Q32" i="248"/>
  <c r="U32" i="248"/>
  <c r="T32" i="248"/>
  <c r="S32" i="248"/>
  <c r="AE7" i="248"/>
  <c r="AD7" i="248"/>
  <c r="AI15" i="248"/>
  <c r="AE15" i="248"/>
  <c r="AJ15" i="248"/>
  <c r="AK15" i="248" s="1"/>
  <c r="AD15" i="248"/>
  <c r="AH15" i="248"/>
  <c r="AG15" i="248"/>
  <c r="AF15" i="248"/>
  <c r="AI23" i="248"/>
  <c r="AE23" i="248"/>
  <c r="AJ23" i="248"/>
  <c r="AK23" i="248" s="1"/>
  <c r="AD23" i="248"/>
  <c r="AH23" i="248"/>
  <c r="AG23" i="248"/>
  <c r="AF23" i="248"/>
  <c r="AI31" i="248"/>
  <c r="AE31" i="248"/>
  <c r="AJ31" i="248"/>
  <c r="AK31" i="248" s="1"/>
  <c r="AD31" i="248"/>
  <c r="AH31" i="248"/>
  <c r="AG31" i="248"/>
  <c r="AF31" i="248"/>
  <c r="AV6" i="248"/>
  <c r="AV7" i="248" s="1"/>
  <c r="AV8" i="248" s="1"/>
  <c r="AV9" i="248" s="1"/>
  <c r="AR6" i="248"/>
  <c r="AW6" i="248"/>
  <c r="AX6" i="248" s="1"/>
  <c r="AW7" i="248" s="1"/>
  <c r="AX7" i="248" s="1"/>
  <c r="AW8" i="248" s="1"/>
  <c r="AX8" i="248" s="1"/>
  <c r="AW9" i="248" s="1"/>
  <c r="AX9" i="248" s="1"/>
  <c r="AQ6" i="248"/>
  <c r="AU6" i="248"/>
  <c r="AU7" i="248" s="1"/>
  <c r="AU8" i="248" s="1"/>
  <c r="AU9" i="248" s="1"/>
  <c r="AT6" i="248"/>
  <c r="AT7" i="248" s="1"/>
  <c r="AT8" i="248" s="1"/>
  <c r="AT9" i="248" s="1"/>
  <c r="AS6" i="248"/>
  <c r="AS7" i="248" s="1"/>
  <c r="AS8" i="248" s="1"/>
  <c r="AS9" i="248" s="1"/>
  <c r="AV14" i="248"/>
  <c r="AR14" i="248"/>
  <c r="AW14" i="248"/>
  <c r="AX14" i="248" s="1"/>
  <c r="AQ14" i="248"/>
  <c r="AU14" i="248"/>
  <c r="AT14" i="248"/>
  <c r="AS14" i="248"/>
  <c r="AV22" i="248"/>
  <c r="AR22" i="248"/>
  <c r="AW22" i="248"/>
  <c r="AX22" i="248" s="1"/>
  <c r="AQ22" i="248"/>
  <c r="AU22" i="248"/>
  <c r="AT22" i="248"/>
  <c r="AS22" i="248"/>
  <c r="AV30" i="248"/>
  <c r="AR30" i="248"/>
  <c r="AW30" i="248"/>
  <c r="AX30" i="248" s="1"/>
  <c r="AQ30" i="248"/>
  <c r="AU30" i="248"/>
  <c r="AT30" i="248"/>
  <c r="AS30" i="248"/>
  <c r="BI13" i="248"/>
  <c r="BE13" i="248"/>
  <c r="BJ13" i="248"/>
  <c r="BK13" i="248" s="1"/>
  <c r="BD13" i="248"/>
  <c r="BH13" i="248"/>
  <c r="BG13" i="248"/>
  <c r="BF13" i="248"/>
  <c r="BI21" i="248"/>
  <c r="BE21" i="248"/>
  <c r="BJ21" i="248"/>
  <c r="BK21" i="248" s="1"/>
  <c r="BD21" i="248"/>
  <c r="BH21" i="248"/>
  <c r="BG21" i="248"/>
  <c r="BF21" i="248"/>
  <c r="BI29" i="248"/>
  <c r="BE29" i="248"/>
  <c r="BJ29" i="248"/>
  <c r="BK29" i="248" s="1"/>
  <c r="BD29" i="248"/>
  <c r="BH29" i="248"/>
  <c r="BG29" i="248"/>
  <c r="BF29" i="248"/>
  <c r="BV12" i="248"/>
  <c r="BR12" i="248"/>
  <c r="BW12" i="248"/>
  <c r="BX12" i="248" s="1"/>
  <c r="BQ12" i="248"/>
  <c r="BU12" i="248"/>
  <c r="BT12" i="248"/>
  <c r="BS12" i="248"/>
  <c r="BV20" i="248"/>
  <c r="BR20" i="248"/>
  <c r="BW20" i="248"/>
  <c r="BX20" i="248" s="1"/>
  <c r="BQ20" i="248"/>
  <c r="BU20" i="248"/>
  <c r="BT20" i="248"/>
  <c r="BS20" i="248"/>
  <c r="BV28" i="248"/>
  <c r="BR28" i="248"/>
  <c r="BW28" i="248"/>
  <c r="BX28" i="248" s="1"/>
  <c r="BQ28" i="248"/>
  <c r="BU28" i="248"/>
  <c r="BT28" i="248"/>
  <c r="BS28" i="248"/>
  <c r="BV36" i="248"/>
  <c r="BR36" i="248"/>
  <c r="BW36" i="248"/>
  <c r="BX36" i="248" s="1"/>
  <c r="BQ36" i="248"/>
  <c r="BU36" i="248"/>
  <c r="BT36" i="248"/>
  <c r="BS36" i="248"/>
  <c r="CL6" i="248"/>
  <c r="CL7" i="248" s="1"/>
  <c r="CL8" i="248" s="1"/>
  <c r="CL9" i="248" s="1"/>
  <c r="CL10" i="248" s="1"/>
  <c r="CL11" i="248" s="1"/>
  <c r="CL12" i="248" s="1"/>
  <c r="CL13" i="248" s="1"/>
  <c r="CL14" i="248" s="1"/>
  <c r="CL15" i="248" s="1"/>
  <c r="CL16" i="248" s="1"/>
  <c r="CL17" i="248" s="1"/>
  <c r="CL18" i="248" s="1"/>
  <c r="CL19" i="248" s="1"/>
  <c r="CL20" i="248" s="1"/>
  <c r="CL21" i="248" s="1"/>
  <c r="CL22" i="248" s="1"/>
  <c r="CL23" i="248" s="1"/>
  <c r="CL24" i="248" s="1"/>
  <c r="CL25" i="248" s="1"/>
  <c r="CL26" i="248" s="1"/>
  <c r="CL27" i="248" s="1"/>
  <c r="CL28" i="248" s="1"/>
  <c r="CL29" i="248" s="1"/>
  <c r="CL30" i="248" s="1"/>
  <c r="CL31" i="248" s="1"/>
  <c r="CL32" i="248" s="1"/>
  <c r="CL33" i="248" s="1"/>
  <c r="CL34" i="248" s="1"/>
  <c r="CL35" i="248" s="1"/>
  <c r="CL36" i="248" s="1"/>
  <c r="CD5" i="248"/>
  <c r="CE5" i="248"/>
  <c r="CI11" i="248"/>
  <c r="CE11" i="248"/>
  <c r="CJ11" i="248"/>
  <c r="CK11" i="248" s="1"/>
  <c r="CD11" i="248"/>
  <c r="CH11" i="248"/>
  <c r="CG11" i="248"/>
  <c r="CF11" i="248"/>
  <c r="CI19" i="248"/>
  <c r="CE19" i="248"/>
  <c r="CJ19" i="248"/>
  <c r="CK19" i="248" s="1"/>
  <c r="CD19" i="248"/>
  <c r="CH19" i="248"/>
  <c r="CG19" i="248"/>
  <c r="CF19" i="248"/>
  <c r="CI27" i="248"/>
  <c r="CE27" i="248"/>
  <c r="CJ27" i="248"/>
  <c r="CK27" i="248" s="1"/>
  <c r="CD27" i="248"/>
  <c r="CH27" i="248"/>
  <c r="CG27" i="248"/>
  <c r="CF27" i="248"/>
  <c r="CH34" i="248"/>
  <c r="CD34" i="248"/>
  <c r="CG34" i="248"/>
  <c r="CE34" i="248"/>
  <c r="CJ34" i="248"/>
  <c r="CK34" i="248" s="1"/>
  <c r="CI34" i="248"/>
  <c r="CF34" i="248"/>
  <c r="CQ9" i="248"/>
  <c r="CR9" i="248"/>
  <c r="CW14" i="248"/>
  <c r="CX14" i="248" s="1"/>
  <c r="CS14" i="248"/>
  <c r="CR14" i="248"/>
  <c r="CQ14" i="248"/>
  <c r="CV14" i="248"/>
  <c r="CU14" i="248"/>
  <c r="CT14" i="248"/>
  <c r="CU21" i="248"/>
  <c r="CQ21" i="248"/>
  <c r="CW21" i="248"/>
  <c r="CX21" i="248" s="1"/>
  <c r="CR21" i="248"/>
  <c r="CS21" i="248"/>
  <c r="CV21" i="248"/>
  <c r="CT21" i="248"/>
  <c r="CW24" i="248"/>
  <c r="CX24" i="248" s="1"/>
  <c r="CS24" i="248"/>
  <c r="CT24" i="248"/>
  <c r="CQ24" i="248"/>
  <c r="CV24" i="248"/>
  <c r="CU24" i="248"/>
  <c r="CR24" i="248"/>
  <c r="CU31" i="248"/>
  <c r="CQ31" i="248"/>
  <c r="CS31" i="248"/>
  <c r="CR31" i="248"/>
  <c r="CW31" i="248"/>
  <c r="CX31" i="248" s="1"/>
  <c r="CV31" i="248"/>
  <c r="CT31" i="248"/>
  <c r="CW36" i="248"/>
  <c r="CX36" i="248" s="1"/>
  <c r="CS36" i="248"/>
  <c r="CV36" i="248"/>
  <c r="CQ36" i="248"/>
  <c r="CR36" i="248"/>
  <c r="CU36" i="248"/>
  <c r="CT36" i="248"/>
  <c r="DH6" i="248"/>
  <c r="DH7" i="248" s="1"/>
  <c r="DH8" i="248" s="1"/>
  <c r="DH9" i="248" s="1"/>
  <c r="DD6" i="248"/>
  <c r="DF6" i="248"/>
  <c r="DF7" i="248" s="1"/>
  <c r="DF8" i="248" s="1"/>
  <c r="DF9" i="248" s="1"/>
  <c r="DE6" i="248"/>
  <c r="DJ6" i="248"/>
  <c r="DK6" i="248" s="1"/>
  <c r="DJ7" i="248" s="1"/>
  <c r="DK7" i="248" s="1"/>
  <c r="DJ8" i="248" s="1"/>
  <c r="DK8" i="248" s="1"/>
  <c r="DJ9" i="248" s="1"/>
  <c r="DK9" i="248" s="1"/>
  <c r="DI6" i="248"/>
  <c r="DI7" i="248" s="1"/>
  <c r="DI8" i="248" s="1"/>
  <c r="DI9" i="248" s="1"/>
  <c r="DG6" i="248"/>
  <c r="DG7" i="248" s="1"/>
  <c r="DG8" i="248" s="1"/>
  <c r="DG9" i="248" s="1"/>
  <c r="DJ11" i="248"/>
  <c r="DK11" i="248" s="1"/>
  <c r="DF11" i="248"/>
  <c r="DI11" i="248"/>
  <c r="DD11" i="248"/>
  <c r="DE11" i="248"/>
  <c r="DH11" i="248"/>
  <c r="DG11" i="248"/>
  <c r="DH16" i="248"/>
  <c r="DD16" i="248"/>
  <c r="DG16" i="248"/>
  <c r="DE16" i="248"/>
  <c r="DJ16" i="248"/>
  <c r="DK16" i="248" s="1"/>
  <c r="DI16" i="248"/>
  <c r="DF16" i="248"/>
  <c r="DJ21" i="248"/>
  <c r="DK21" i="248" s="1"/>
  <c r="DF21" i="248"/>
  <c r="DE21" i="248"/>
  <c r="DD21" i="248"/>
  <c r="DI21" i="248"/>
  <c r="DH21" i="248"/>
  <c r="DG21" i="248"/>
  <c r="DH28" i="248"/>
  <c r="DD28" i="248"/>
  <c r="DJ28" i="248"/>
  <c r="DK28" i="248" s="1"/>
  <c r="DE28" i="248"/>
  <c r="DF28" i="248"/>
  <c r="DI28" i="248"/>
  <c r="DG28" i="248"/>
  <c r="DJ31" i="248"/>
  <c r="DK31" i="248" s="1"/>
  <c r="DF31" i="248"/>
  <c r="DG31" i="248"/>
  <c r="DD31" i="248"/>
  <c r="DI31" i="248"/>
  <c r="DH31" i="248"/>
  <c r="DE31" i="248"/>
  <c r="DW6" i="248"/>
  <c r="DX6" i="248" s="1"/>
  <c r="DW7" i="248" s="1"/>
  <c r="DX7" i="248" s="1"/>
  <c r="DW8" i="248" s="1"/>
  <c r="DX8" i="248" s="1"/>
  <c r="DW9" i="248" s="1"/>
  <c r="DX9" i="248" s="1"/>
  <c r="DW10" i="248" s="1"/>
  <c r="DX10" i="248" s="1"/>
  <c r="DS6" i="248"/>
  <c r="DS7" i="248" s="1"/>
  <c r="DS8" i="248" s="1"/>
  <c r="DS9" i="248" s="1"/>
  <c r="DS10" i="248" s="1"/>
  <c r="DT6" i="248"/>
  <c r="DT7" i="248" s="1"/>
  <c r="DT8" i="248" s="1"/>
  <c r="DT9" i="248" s="1"/>
  <c r="DT10" i="248" s="1"/>
  <c r="DQ6" i="248"/>
  <c r="DV6" i="248"/>
  <c r="DV7" i="248" s="1"/>
  <c r="DV8" i="248" s="1"/>
  <c r="DV9" i="248" s="1"/>
  <c r="DV10" i="248" s="1"/>
  <c r="DU6" i="248"/>
  <c r="DU7" i="248" s="1"/>
  <c r="DU8" i="248" s="1"/>
  <c r="DU9" i="248" s="1"/>
  <c r="DU10" i="248" s="1"/>
  <c r="DR6" i="248"/>
  <c r="DU13" i="248"/>
  <c r="DQ13" i="248"/>
  <c r="DS13" i="248"/>
  <c r="DR13" i="248"/>
  <c r="DW13" i="248"/>
  <c r="DX13" i="248" s="1"/>
  <c r="DV13" i="248"/>
  <c r="DT13" i="248"/>
  <c r="DW18" i="248"/>
  <c r="DX18" i="248" s="1"/>
  <c r="DS18" i="248"/>
  <c r="DV18" i="248"/>
  <c r="DQ18" i="248"/>
  <c r="DR18" i="248"/>
  <c r="DU18" i="248"/>
  <c r="DT18" i="248"/>
  <c r="DV29" i="248"/>
  <c r="DR29" i="248"/>
  <c r="DS29" i="248"/>
  <c r="DQ29" i="248"/>
  <c r="DT29" i="248"/>
  <c r="DW29" i="248"/>
  <c r="DX29" i="248" s="1"/>
  <c r="DU29" i="248"/>
  <c r="DV31" i="248"/>
  <c r="DR31" i="248"/>
  <c r="DT31" i="248"/>
  <c r="DS31" i="248"/>
  <c r="DQ31" i="248"/>
  <c r="DW31" i="248"/>
  <c r="DX31" i="248" s="1"/>
  <c r="DU31" i="248"/>
  <c r="EI10" i="248"/>
  <c r="EE10" i="248"/>
  <c r="EJ10" i="248"/>
  <c r="EK10" i="248" s="1"/>
  <c r="ED10" i="248"/>
  <c r="EH10" i="248"/>
  <c r="EF10" i="248"/>
  <c r="EG10" i="248"/>
  <c r="EI26" i="248"/>
  <c r="EE26" i="248"/>
  <c r="EJ26" i="248"/>
  <c r="EK26" i="248" s="1"/>
  <c r="ED26" i="248"/>
  <c r="EF26" i="248"/>
  <c r="EG26" i="248"/>
  <c r="EH26" i="248"/>
  <c r="EI28" i="248"/>
  <c r="EE28" i="248"/>
  <c r="EF28" i="248"/>
  <c r="EG28" i="248"/>
  <c r="ED28" i="248"/>
  <c r="EJ28" i="248"/>
  <c r="EK28" i="248" s="1"/>
  <c r="EH28" i="248"/>
  <c r="EI30" i="248"/>
  <c r="EE30" i="248"/>
  <c r="EG30" i="248"/>
  <c r="EH30" i="248"/>
  <c r="ED30" i="248"/>
  <c r="EJ30" i="248"/>
  <c r="EK30" i="248" s="1"/>
  <c r="EF30" i="248"/>
  <c r="EJ36" i="248"/>
  <c r="EK36" i="248" s="1"/>
  <c r="EF36" i="248"/>
  <c r="EE36" i="248"/>
  <c r="ED36" i="248"/>
  <c r="EI36" i="248"/>
  <c r="EG36" i="248"/>
  <c r="EH36" i="248"/>
  <c r="EW21" i="248"/>
  <c r="EX21" i="248" s="1"/>
  <c r="ES21" i="248"/>
  <c r="ET21" i="248"/>
  <c r="EQ21" i="248"/>
  <c r="EU21" i="248"/>
  <c r="ER21" i="248"/>
  <c r="EV21" i="248"/>
  <c r="EW35" i="248"/>
  <c r="EX35" i="248" s="1"/>
  <c r="ES35" i="248"/>
  <c r="ER35" i="248"/>
  <c r="ET35" i="248"/>
  <c r="EV35" i="248"/>
  <c r="EQ35" i="248"/>
  <c r="EU35" i="248"/>
  <c r="G6" i="248"/>
  <c r="G7" i="248" s="1"/>
  <c r="G8" i="248" s="1"/>
  <c r="J6" i="248"/>
  <c r="K6" i="248" s="1"/>
  <c r="J7" i="248" s="1"/>
  <c r="K7" i="248" s="1"/>
  <c r="J8" i="248" s="1"/>
  <c r="K8" i="248" s="1"/>
  <c r="F6" i="248"/>
  <c r="F7" i="248" s="1"/>
  <c r="F8" i="248" s="1"/>
  <c r="I6" i="248"/>
  <c r="I7" i="248" s="1"/>
  <c r="I8" i="248" s="1"/>
  <c r="H6" i="248"/>
  <c r="H7" i="248" s="1"/>
  <c r="H8" i="248" s="1"/>
  <c r="E6" i="248"/>
  <c r="D6" i="248"/>
  <c r="E8" i="248"/>
  <c r="D8" i="248"/>
  <c r="G10" i="248"/>
  <c r="J10" i="248"/>
  <c r="K10" i="248" s="1"/>
  <c r="F10" i="248"/>
  <c r="I10" i="248"/>
  <c r="H10" i="248"/>
  <c r="E10" i="248"/>
  <c r="D10" i="248"/>
  <c r="G12" i="248"/>
  <c r="J12" i="248"/>
  <c r="K12" i="248" s="1"/>
  <c r="F12" i="248"/>
  <c r="E12" i="248"/>
  <c r="D12" i="248"/>
  <c r="I12" i="248"/>
  <c r="H12" i="248"/>
  <c r="G14" i="248"/>
  <c r="J14" i="248"/>
  <c r="K14" i="248" s="1"/>
  <c r="F14" i="248"/>
  <c r="I14" i="248"/>
  <c r="H14" i="248"/>
  <c r="E14" i="248"/>
  <c r="D14" i="248"/>
  <c r="G16" i="248"/>
  <c r="J16" i="248"/>
  <c r="K16" i="248" s="1"/>
  <c r="F16" i="248"/>
  <c r="E16" i="248"/>
  <c r="D16" i="248"/>
  <c r="I16" i="248"/>
  <c r="H16" i="248"/>
  <c r="G18" i="248"/>
  <c r="J18" i="248"/>
  <c r="K18" i="248" s="1"/>
  <c r="F18" i="248"/>
  <c r="I18" i="248"/>
  <c r="H18" i="248"/>
  <c r="E18" i="248"/>
  <c r="D18" i="248"/>
  <c r="G20" i="248"/>
  <c r="J20" i="248"/>
  <c r="K20" i="248" s="1"/>
  <c r="F20" i="248"/>
  <c r="E20" i="248"/>
  <c r="D20" i="248"/>
  <c r="I20" i="248"/>
  <c r="H20" i="248"/>
  <c r="G22" i="248"/>
  <c r="J22" i="248"/>
  <c r="K22" i="248" s="1"/>
  <c r="F22" i="248"/>
  <c r="I22" i="248"/>
  <c r="H22" i="248"/>
  <c r="E22" i="248"/>
  <c r="D22" i="248"/>
  <c r="G24" i="248"/>
  <c r="J24" i="248"/>
  <c r="K24" i="248" s="1"/>
  <c r="F24" i="248"/>
  <c r="E24" i="248"/>
  <c r="D24" i="248"/>
  <c r="I24" i="248"/>
  <c r="H24" i="248"/>
  <c r="G26" i="248"/>
  <c r="J26" i="248"/>
  <c r="K26" i="248" s="1"/>
  <c r="F26" i="248"/>
  <c r="I26" i="248"/>
  <c r="H26" i="248"/>
  <c r="E26" i="248"/>
  <c r="D26" i="248"/>
  <c r="G28" i="248"/>
  <c r="J28" i="248"/>
  <c r="K28" i="248" s="1"/>
  <c r="F28" i="248"/>
  <c r="E28" i="248"/>
  <c r="D28" i="248"/>
  <c r="I28" i="248"/>
  <c r="H28" i="248"/>
  <c r="G30" i="248"/>
  <c r="J30" i="248"/>
  <c r="K30" i="248" s="1"/>
  <c r="F30" i="248"/>
  <c r="I30" i="248"/>
  <c r="H30" i="248"/>
  <c r="E30" i="248"/>
  <c r="D30" i="248"/>
  <c r="V6" i="248"/>
  <c r="V7" i="248" s="1"/>
  <c r="V8" i="248" s="1"/>
  <c r="V9" i="248" s="1"/>
  <c r="R6" i="248"/>
  <c r="U6" i="248"/>
  <c r="U7" i="248" s="1"/>
  <c r="U8" i="248" s="1"/>
  <c r="U9" i="248" s="1"/>
  <c r="T6" i="248"/>
  <c r="T7" i="248" s="1"/>
  <c r="T8" i="248" s="1"/>
  <c r="T9" i="248" s="1"/>
  <c r="S6" i="248"/>
  <c r="S7" i="248" s="1"/>
  <c r="S8" i="248" s="1"/>
  <c r="S9" i="248" s="1"/>
  <c r="Q6" i="248"/>
  <c r="W6" i="248"/>
  <c r="X6" i="248" s="1"/>
  <c r="W7" i="248" s="1"/>
  <c r="X7" i="248" s="1"/>
  <c r="W8" i="248" s="1"/>
  <c r="X8" i="248" s="1"/>
  <c r="W9" i="248" s="1"/>
  <c r="X9" i="248" s="1"/>
  <c r="V14" i="248"/>
  <c r="R14" i="248"/>
  <c r="U14" i="248"/>
  <c r="T14" i="248"/>
  <c r="W14" i="248"/>
  <c r="X14" i="248" s="1"/>
  <c r="S14" i="248"/>
  <c r="Q14" i="248"/>
  <c r="V22" i="248"/>
  <c r="R22" i="248"/>
  <c r="U22" i="248"/>
  <c r="T22" i="248"/>
  <c r="S22" i="248"/>
  <c r="Q22" i="248"/>
  <c r="W22" i="248"/>
  <c r="X22" i="248" s="1"/>
  <c r="V30" i="248"/>
  <c r="R30" i="248"/>
  <c r="U30" i="248"/>
  <c r="T30" i="248"/>
  <c r="W30" i="248"/>
  <c r="X30" i="248" s="1"/>
  <c r="S30" i="248"/>
  <c r="Q30" i="248"/>
  <c r="AI13" i="248"/>
  <c r="AE13" i="248"/>
  <c r="AH13" i="248"/>
  <c r="AG13" i="248"/>
  <c r="AF13" i="248"/>
  <c r="AD13" i="248"/>
  <c r="AJ13" i="248"/>
  <c r="AK13" i="248" s="1"/>
  <c r="AI21" i="248"/>
  <c r="AE21" i="248"/>
  <c r="AH21" i="248"/>
  <c r="AG21" i="248"/>
  <c r="AJ21" i="248"/>
  <c r="AK21" i="248" s="1"/>
  <c r="AF21" i="248"/>
  <c r="AD21" i="248"/>
  <c r="AI29" i="248"/>
  <c r="AE29" i="248"/>
  <c r="AH29" i="248"/>
  <c r="AG29" i="248"/>
  <c r="AF29" i="248"/>
  <c r="AD29" i="248"/>
  <c r="AJ29" i="248"/>
  <c r="AK29" i="248" s="1"/>
  <c r="AV12" i="248"/>
  <c r="AR12" i="248"/>
  <c r="AU12" i="248"/>
  <c r="AT12" i="248"/>
  <c r="AW12" i="248"/>
  <c r="AX12" i="248" s="1"/>
  <c r="AS12" i="248"/>
  <c r="AQ12" i="248"/>
  <c r="AV20" i="248"/>
  <c r="AR20" i="248"/>
  <c r="AU20" i="248"/>
  <c r="AT20" i="248"/>
  <c r="AS20" i="248"/>
  <c r="AQ20" i="248"/>
  <c r="AW20" i="248"/>
  <c r="AX20" i="248" s="1"/>
  <c r="AV28" i="248"/>
  <c r="AR28" i="248"/>
  <c r="AU28" i="248"/>
  <c r="AT28" i="248"/>
  <c r="AW28" i="248"/>
  <c r="AX28" i="248" s="1"/>
  <c r="AS28" i="248"/>
  <c r="AQ28" i="248"/>
  <c r="AV36" i="248"/>
  <c r="AR36" i="248"/>
  <c r="AU36" i="248"/>
  <c r="AT36" i="248"/>
  <c r="AS36" i="248"/>
  <c r="AQ36" i="248"/>
  <c r="AW36" i="248"/>
  <c r="AX36" i="248" s="1"/>
  <c r="BE5" i="248"/>
  <c r="BL6" i="248"/>
  <c r="BL7" i="248" s="1"/>
  <c r="BL8" i="248" s="1"/>
  <c r="BL9" i="248" s="1"/>
  <c r="BL10" i="248" s="1"/>
  <c r="BL11" i="248" s="1"/>
  <c r="BL12" i="248" s="1"/>
  <c r="BL13" i="248" s="1"/>
  <c r="BL14" i="248" s="1"/>
  <c r="BL15" i="248" s="1"/>
  <c r="BL16" i="248" s="1"/>
  <c r="BL17" i="248" s="1"/>
  <c r="BL18" i="248" s="1"/>
  <c r="BL19" i="248" s="1"/>
  <c r="BL20" i="248" s="1"/>
  <c r="BL21" i="248" s="1"/>
  <c r="BL22" i="248" s="1"/>
  <c r="BL23" i="248" s="1"/>
  <c r="BL24" i="248" s="1"/>
  <c r="BL25" i="248" s="1"/>
  <c r="BL26" i="248" s="1"/>
  <c r="BL27" i="248" s="1"/>
  <c r="BL28" i="248" s="1"/>
  <c r="BL29" i="248" s="1"/>
  <c r="BL30" i="248" s="1"/>
  <c r="BL31" i="248" s="1"/>
  <c r="BL32" i="248" s="1"/>
  <c r="BL33" i="248" s="1"/>
  <c r="BL34" i="248" s="1"/>
  <c r="BL35" i="248" s="1"/>
  <c r="BL36" i="248" s="1"/>
  <c r="BD5" i="248"/>
  <c r="BI11" i="248"/>
  <c r="BE11" i="248"/>
  <c r="BH11" i="248"/>
  <c r="BG11" i="248"/>
  <c r="BF11" i="248"/>
  <c r="BD11" i="248"/>
  <c r="BJ11" i="248"/>
  <c r="BK11" i="248" s="1"/>
  <c r="BI19" i="248"/>
  <c r="BE19" i="248"/>
  <c r="BH19" i="248"/>
  <c r="BG19" i="248"/>
  <c r="BJ19" i="248"/>
  <c r="BK19" i="248" s="1"/>
  <c r="BF19" i="248"/>
  <c r="BD19" i="248"/>
  <c r="BI27" i="248"/>
  <c r="BE27" i="248"/>
  <c r="BH27" i="248"/>
  <c r="BG27" i="248"/>
  <c r="BF27" i="248"/>
  <c r="BD27" i="248"/>
  <c r="BJ27" i="248"/>
  <c r="BK27" i="248" s="1"/>
  <c r="BI35" i="248"/>
  <c r="BE35" i="248"/>
  <c r="BH35" i="248"/>
  <c r="BG35" i="248"/>
  <c r="BJ35" i="248"/>
  <c r="BK35" i="248" s="1"/>
  <c r="BF35" i="248"/>
  <c r="BD35" i="248"/>
  <c r="BQ5" i="248"/>
  <c r="BY6" i="248"/>
  <c r="BY7" i="248" s="1"/>
  <c r="BY8" i="248" s="1"/>
  <c r="BY9" i="248" s="1"/>
  <c r="BY10" i="248" s="1"/>
  <c r="BY11" i="248" s="1"/>
  <c r="BY12" i="248" s="1"/>
  <c r="BY13" i="248" s="1"/>
  <c r="BY14" i="248" s="1"/>
  <c r="BY15" i="248" s="1"/>
  <c r="BY16" i="248" s="1"/>
  <c r="BY17" i="248" s="1"/>
  <c r="BY18" i="248" s="1"/>
  <c r="BY19" i="248" s="1"/>
  <c r="BY20" i="248" s="1"/>
  <c r="BY21" i="248" s="1"/>
  <c r="BY22" i="248" s="1"/>
  <c r="BY23" i="248" s="1"/>
  <c r="BY24" i="248" s="1"/>
  <c r="BY25" i="248" s="1"/>
  <c r="BY26" i="248" s="1"/>
  <c r="BY27" i="248" s="1"/>
  <c r="BY28" i="248" s="1"/>
  <c r="BY29" i="248" s="1"/>
  <c r="BY30" i="248" s="1"/>
  <c r="BY31" i="248" s="1"/>
  <c r="BY32" i="248" s="1"/>
  <c r="BY33" i="248" s="1"/>
  <c r="BY34" i="248" s="1"/>
  <c r="BY35" i="248" s="1"/>
  <c r="BY36" i="248" s="1"/>
  <c r="BR5" i="248"/>
  <c r="BV10" i="248"/>
  <c r="BR10" i="248"/>
  <c r="BU10" i="248"/>
  <c r="BT10" i="248"/>
  <c r="BW10" i="248"/>
  <c r="BX10" i="248" s="1"/>
  <c r="BS10" i="248"/>
  <c r="BQ10" i="248"/>
  <c r="BV18" i="248"/>
  <c r="BR18" i="248"/>
  <c r="BU18" i="248"/>
  <c r="BT18" i="248"/>
  <c r="BS18" i="248"/>
  <c r="BQ18" i="248"/>
  <c r="BW18" i="248"/>
  <c r="BX18" i="248" s="1"/>
  <c r="BV26" i="248"/>
  <c r="BR26" i="248"/>
  <c r="BU26" i="248"/>
  <c r="BT26" i="248"/>
  <c r="BW26" i="248"/>
  <c r="BX26" i="248" s="1"/>
  <c r="BS26" i="248"/>
  <c r="BQ26" i="248"/>
  <c r="BV34" i="248"/>
  <c r="BR34" i="248"/>
  <c r="BU34" i="248"/>
  <c r="BT34" i="248"/>
  <c r="BS34" i="248"/>
  <c r="BQ34" i="248"/>
  <c r="BW34" i="248"/>
  <c r="BX34" i="248" s="1"/>
  <c r="CE9" i="248"/>
  <c r="CD9" i="248"/>
  <c r="CI17" i="248"/>
  <c r="CE17" i="248"/>
  <c r="CH17" i="248"/>
  <c r="CG17" i="248"/>
  <c r="CJ17" i="248"/>
  <c r="CK17" i="248" s="1"/>
  <c r="CF17" i="248"/>
  <c r="CD17" i="248"/>
  <c r="CI25" i="248"/>
  <c r="CE25" i="248"/>
  <c r="CH25" i="248"/>
  <c r="CG25" i="248"/>
  <c r="CF25" i="248"/>
  <c r="CD25" i="248"/>
  <c r="CJ25" i="248"/>
  <c r="CK25" i="248" s="1"/>
  <c r="CH32" i="248"/>
  <c r="CD32" i="248"/>
  <c r="CF32" i="248"/>
  <c r="CJ32" i="248"/>
  <c r="CK32" i="248" s="1"/>
  <c r="CI32" i="248"/>
  <c r="CG32" i="248"/>
  <c r="CE32" i="248"/>
  <c r="CQ7" i="248"/>
  <c r="CR7" i="248"/>
  <c r="CW12" i="248"/>
  <c r="CX12" i="248" s="1"/>
  <c r="CS12" i="248"/>
  <c r="CV12" i="248"/>
  <c r="CQ12" i="248"/>
  <c r="CU12" i="248"/>
  <c r="CT12" i="248"/>
  <c r="CR12" i="248"/>
  <c r="CU17" i="248"/>
  <c r="CQ17" i="248"/>
  <c r="CT17" i="248"/>
  <c r="CW17" i="248"/>
  <c r="CX17" i="248" s="1"/>
  <c r="CV17" i="248"/>
  <c r="CS17" i="248"/>
  <c r="CR17" i="248"/>
  <c r="CW22" i="248"/>
  <c r="CX22" i="248" s="1"/>
  <c r="CS22" i="248"/>
  <c r="CR22" i="248"/>
  <c r="CV22" i="248"/>
  <c r="CU22" i="248"/>
  <c r="CT22" i="248"/>
  <c r="CQ22" i="248"/>
  <c r="CU29" i="248"/>
  <c r="CQ29" i="248"/>
  <c r="CW29" i="248"/>
  <c r="CX29" i="248" s="1"/>
  <c r="CR29" i="248"/>
  <c r="CV29" i="248"/>
  <c r="CT29" i="248"/>
  <c r="CS29" i="248"/>
  <c r="CW32" i="248"/>
  <c r="CX32" i="248" s="1"/>
  <c r="CS32" i="248"/>
  <c r="CT32" i="248"/>
  <c r="CV32" i="248"/>
  <c r="CU32" i="248"/>
  <c r="CR32" i="248"/>
  <c r="CQ32" i="248"/>
  <c r="DE7" i="248"/>
  <c r="DD7" i="248"/>
  <c r="DH14" i="248"/>
  <c r="DD14" i="248"/>
  <c r="DF14" i="248"/>
  <c r="DJ14" i="248"/>
  <c r="DK14" i="248" s="1"/>
  <c r="DI14" i="248"/>
  <c r="DG14" i="248"/>
  <c r="DE14" i="248"/>
  <c r="DJ19" i="248"/>
  <c r="DK19" i="248" s="1"/>
  <c r="DF19" i="248"/>
  <c r="DI19" i="248"/>
  <c r="DD19" i="248"/>
  <c r="DH19" i="248"/>
  <c r="DG19" i="248"/>
  <c r="DE19" i="248"/>
  <c r="DH24" i="248"/>
  <c r="DD24" i="248"/>
  <c r="DG24" i="248"/>
  <c r="DJ24" i="248"/>
  <c r="DK24" i="248" s="1"/>
  <c r="DI24" i="248"/>
  <c r="DF24" i="248"/>
  <c r="DE24" i="248"/>
  <c r="DJ29" i="248"/>
  <c r="DK29" i="248" s="1"/>
  <c r="DF29" i="248"/>
  <c r="DE29" i="248"/>
  <c r="DI29" i="248"/>
  <c r="DH29" i="248"/>
  <c r="DG29" i="248"/>
  <c r="DD29" i="248"/>
  <c r="DH36" i="248"/>
  <c r="DD36" i="248"/>
  <c r="DJ36" i="248"/>
  <c r="DK36" i="248" s="1"/>
  <c r="DE36" i="248"/>
  <c r="DI36" i="248"/>
  <c r="DG36" i="248"/>
  <c r="DF36" i="248"/>
  <c r="DU11" i="248"/>
  <c r="DQ11" i="248"/>
  <c r="DW11" i="248"/>
  <c r="DX11" i="248" s="1"/>
  <c r="DR11" i="248"/>
  <c r="DV11" i="248"/>
  <c r="DT11" i="248"/>
  <c r="DS11" i="248"/>
  <c r="DW14" i="248"/>
  <c r="DX14" i="248" s="1"/>
  <c r="DS14" i="248"/>
  <c r="DT14" i="248"/>
  <c r="DV14" i="248"/>
  <c r="DU14" i="248"/>
  <c r="DR14" i="248"/>
  <c r="DQ14" i="248"/>
  <c r="DV35" i="248"/>
  <c r="DR35" i="248"/>
  <c r="DW35" i="248"/>
  <c r="DX35" i="248" s="1"/>
  <c r="DQ35" i="248"/>
  <c r="DU35" i="248"/>
  <c r="DT35" i="248"/>
  <c r="DS35" i="248"/>
  <c r="EI14" i="248"/>
  <c r="EE14" i="248"/>
  <c r="EG14" i="248"/>
  <c r="ED14" i="248"/>
  <c r="EJ14" i="248"/>
  <c r="EK14" i="248" s="1"/>
  <c r="EH14" i="248"/>
  <c r="EF14" i="248"/>
  <c r="EH35" i="248"/>
  <c r="ED35" i="248"/>
  <c r="EJ35" i="248"/>
  <c r="EK35" i="248" s="1"/>
  <c r="EE35" i="248"/>
  <c r="EG35" i="248"/>
  <c r="EI35" i="248"/>
  <c r="EF35" i="248"/>
  <c r="EU6" i="248"/>
  <c r="EQ6" i="248"/>
  <c r="ET6" i="248"/>
  <c r="ER6" i="248"/>
  <c r="ES6" i="248"/>
  <c r="EW6" i="248"/>
  <c r="EX6" i="248" s="1"/>
  <c r="EV6" i="248"/>
  <c r="EU20" i="248"/>
  <c r="EQ20" i="248"/>
  <c r="ES20" i="248"/>
  <c r="ET20" i="248"/>
  <c r="EV20" i="248"/>
  <c r="EW20" i="248"/>
  <c r="EX20" i="248" s="1"/>
  <c r="ER20" i="248"/>
  <c r="EW25" i="248"/>
  <c r="EX25" i="248" s="1"/>
  <c r="ES25" i="248"/>
  <c r="EV25" i="248"/>
  <c r="EQ25" i="248"/>
  <c r="ET25" i="248"/>
  <c r="ER25" i="248"/>
  <c r="EU25" i="248"/>
  <c r="EU34" i="248"/>
  <c r="EQ34" i="248"/>
  <c r="EW34" i="248"/>
  <c r="EX34" i="248" s="1"/>
  <c r="ER34" i="248"/>
  <c r="EV34" i="248"/>
  <c r="ET34" i="248"/>
  <c r="ES34" i="248"/>
  <c r="G32" i="248"/>
  <c r="I32" i="248"/>
  <c r="D32" i="248"/>
  <c r="H32" i="248"/>
  <c r="F32" i="248"/>
  <c r="E32" i="248"/>
  <c r="J32" i="248"/>
  <c r="K32" i="248" s="1"/>
  <c r="G34" i="248"/>
  <c r="J34" i="248"/>
  <c r="K34" i="248" s="1"/>
  <c r="E34" i="248"/>
  <c r="I34" i="248"/>
  <c r="D34" i="248"/>
  <c r="H34" i="248"/>
  <c r="F34" i="248"/>
  <c r="G36" i="248"/>
  <c r="F36" i="248"/>
  <c r="J36" i="248"/>
  <c r="K36" i="248" s="1"/>
  <c r="E36" i="248"/>
  <c r="I36" i="248"/>
  <c r="H36" i="248"/>
  <c r="D36" i="248"/>
  <c r="Q7" i="248"/>
  <c r="R7" i="248"/>
  <c r="R9" i="248"/>
  <c r="Q9" i="248"/>
  <c r="T11" i="248"/>
  <c r="S11" i="248"/>
  <c r="W11" i="248"/>
  <c r="X11" i="248" s="1"/>
  <c r="R11" i="248"/>
  <c r="V11" i="248"/>
  <c r="U11" i="248"/>
  <c r="Q11" i="248"/>
  <c r="T13" i="248"/>
  <c r="U13" i="248"/>
  <c r="S13" i="248"/>
  <c r="W13" i="248"/>
  <c r="X13" i="248" s="1"/>
  <c r="V13" i="248"/>
  <c r="R13" i="248"/>
  <c r="Q13" i="248"/>
  <c r="T15" i="248"/>
  <c r="V15" i="248"/>
  <c r="Q15" i="248"/>
  <c r="U15" i="248"/>
  <c r="W15" i="248"/>
  <c r="X15" i="248" s="1"/>
  <c r="S15" i="248"/>
  <c r="R15" i="248"/>
  <c r="T17" i="248"/>
  <c r="W17" i="248"/>
  <c r="X17" i="248" s="1"/>
  <c r="R17" i="248"/>
  <c r="V17" i="248"/>
  <c r="Q17" i="248"/>
  <c r="U17" i="248"/>
  <c r="S17" i="248"/>
  <c r="T19" i="248"/>
  <c r="S19" i="248"/>
  <c r="W19" i="248"/>
  <c r="X19" i="248" s="1"/>
  <c r="R19" i="248"/>
  <c r="Q19" i="248"/>
  <c r="V19" i="248"/>
  <c r="U19" i="248"/>
  <c r="T21" i="248"/>
  <c r="U21" i="248"/>
  <c r="S21" i="248"/>
  <c r="R21" i="248"/>
  <c r="Q21" i="248"/>
  <c r="W21" i="248"/>
  <c r="X21" i="248" s="1"/>
  <c r="V21" i="248"/>
  <c r="T23" i="248"/>
  <c r="V23" i="248"/>
  <c r="Q23" i="248"/>
  <c r="U23" i="248"/>
  <c r="S23" i="248"/>
  <c r="R23" i="248"/>
  <c r="W23" i="248"/>
  <c r="X23" i="248" s="1"/>
  <c r="T25" i="248"/>
  <c r="W25" i="248"/>
  <c r="X25" i="248" s="1"/>
  <c r="R25" i="248"/>
  <c r="V25" i="248"/>
  <c r="Q25" i="248"/>
  <c r="U25" i="248"/>
  <c r="S25" i="248"/>
  <c r="T27" i="248"/>
  <c r="S27" i="248"/>
  <c r="W27" i="248"/>
  <c r="X27" i="248" s="1"/>
  <c r="R27" i="248"/>
  <c r="V27" i="248"/>
  <c r="U27" i="248"/>
  <c r="Q27" i="248"/>
  <c r="T29" i="248"/>
  <c r="U29" i="248"/>
  <c r="S29" i="248"/>
  <c r="W29" i="248"/>
  <c r="X29" i="248" s="1"/>
  <c r="V29" i="248"/>
  <c r="R29" i="248"/>
  <c r="Q29" i="248"/>
  <c r="T31" i="248"/>
  <c r="V31" i="248"/>
  <c r="Q31" i="248"/>
  <c r="U31" i="248"/>
  <c r="W31" i="248"/>
  <c r="X31" i="248" s="1"/>
  <c r="S31" i="248"/>
  <c r="R31" i="248"/>
  <c r="T33" i="248"/>
  <c r="W33" i="248"/>
  <c r="X33" i="248" s="1"/>
  <c r="R33" i="248"/>
  <c r="V33" i="248"/>
  <c r="Q33" i="248"/>
  <c r="U33" i="248"/>
  <c r="S33" i="248"/>
  <c r="T35" i="248"/>
  <c r="S35" i="248"/>
  <c r="W35" i="248"/>
  <c r="X35" i="248" s="1"/>
  <c r="R35" i="248"/>
  <c r="Q35" i="248"/>
  <c r="V35" i="248"/>
  <c r="U35" i="248"/>
  <c r="AG6" i="248"/>
  <c r="AG7" i="248" s="1"/>
  <c r="AG8" i="248" s="1"/>
  <c r="AG9" i="248" s="1"/>
  <c r="AI6" i="248"/>
  <c r="AI7" i="248" s="1"/>
  <c r="AI8" i="248" s="1"/>
  <c r="AI9" i="248" s="1"/>
  <c r="AD6" i="248"/>
  <c r="AH6" i="248"/>
  <c r="AH7" i="248" s="1"/>
  <c r="AH8" i="248" s="1"/>
  <c r="AH9" i="248" s="1"/>
  <c r="AJ6" i="248"/>
  <c r="AK6" i="248" s="1"/>
  <c r="AJ7" i="248" s="1"/>
  <c r="AK7" i="248" s="1"/>
  <c r="AJ8" i="248" s="1"/>
  <c r="AK8" i="248" s="1"/>
  <c r="AJ9" i="248" s="1"/>
  <c r="AK9" i="248" s="1"/>
  <c r="AF6" i="248"/>
  <c r="AF7" i="248" s="1"/>
  <c r="AF8" i="248" s="1"/>
  <c r="AF9" i="248" s="1"/>
  <c r="AE6" i="248"/>
  <c r="AE8" i="248"/>
  <c r="AD8" i="248"/>
  <c r="AG10" i="248"/>
  <c r="AF10" i="248"/>
  <c r="AJ10" i="248"/>
  <c r="AK10" i="248" s="1"/>
  <c r="AE10" i="248"/>
  <c r="AD10" i="248"/>
  <c r="AI10" i="248"/>
  <c r="AH10" i="248"/>
  <c r="AG12" i="248"/>
  <c r="AH12" i="248"/>
  <c r="AF12" i="248"/>
  <c r="AE12" i="248"/>
  <c r="AD12" i="248"/>
  <c r="AJ12" i="248"/>
  <c r="AK12" i="248" s="1"/>
  <c r="AI12" i="248"/>
  <c r="AG14" i="248"/>
  <c r="AI14" i="248"/>
  <c r="AD14" i="248"/>
  <c r="AH14" i="248"/>
  <c r="AF14" i="248"/>
  <c r="AE14" i="248"/>
  <c r="AJ14" i="248"/>
  <c r="AK14" i="248" s="1"/>
  <c r="AG16" i="248"/>
  <c r="AJ16" i="248"/>
  <c r="AK16" i="248" s="1"/>
  <c r="AE16" i="248"/>
  <c r="AI16" i="248"/>
  <c r="AD16" i="248"/>
  <c r="AH16" i="248"/>
  <c r="AF16" i="248"/>
  <c r="AG18" i="248"/>
  <c r="AF18" i="248"/>
  <c r="AJ18" i="248"/>
  <c r="AK18" i="248" s="1"/>
  <c r="AE18" i="248"/>
  <c r="AI18" i="248"/>
  <c r="AH18" i="248"/>
  <c r="AD18" i="248"/>
  <c r="AG20" i="248"/>
  <c r="AH20" i="248"/>
  <c r="AF20" i="248"/>
  <c r="AJ20" i="248"/>
  <c r="AK20" i="248" s="1"/>
  <c r="AI20" i="248"/>
  <c r="AE20" i="248"/>
  <c r="AD20" i="248"/>
  <c r="AG22" i="248"/>
  <c r="AI22" i="248"/>
  <c r="AD22" i="248"/>
  <c r="AH22" i="248"/>
  <c r="AJ22" i="248"/>
  <c r="AK22" i="248" s="1"/>
  <c r="AF22" i="248"/>
  <c r="AE22" i="248"/>
  <c r="AG24" i="248"/>
  <c r="AJ24" i="248"/>
  <c r="AK24" i="248" s="1"/>
  <c r="AE24" i="248"/>
  <c r="AI24" i="248"/>
  <c r="AD24" i="248"/>
  <c r="AH24" i="248"/>
  <c r="AF24" i="248"/>
  <c r="AG26" i="248"/>
  <c r="AF26" i="248"/>
  <c r="AJ26" i="248"/>
  <c r="AK26" i="248" s="1"/>
  <c r="AE26" i="248"/>
  <c r="AD26" i="248"/>
  <c r="AI26" i="248"/>
  <c r="AH26" i="248"/>
  <c r="AG28" i="248"/>
  <c r="AH28" i="248"/>
  <c r="AF28" i="248"/>
  <c r="AE28" i="248"/>
  <c r="AD28" i="248"/>
  <c r="AJ28" i="248"/>
  <c r="AK28" i="248" s="1"/>
  <c r="AI28" i="248"/>
  <c r="AG30" i="248"/>
  <c r="AI30" i="248"/>
  <c r="AD30" i="248"/>
  <c r="AH30" i="248"/>
  <c r="AF30" i="248"/>
  <c r="AE30" i="248"/>
  <c r="AJ30" i="248"/>
  <c r="AK30" i="248" s="1"/>
  <c r="AG32" i="248"/>
  <c r="AJ32" i="248"/>
  <c r="AK32" i="248" s="1"/>
  <c r="AE32" i="248"/>
  <c r="AI32" i="248"/>
  <c r="AD32" i="248"/>
  <c r="AH32" i="248"/>
  <c r="AF32" i="248"/>
  <c r="AG34" i="248"/>
  <c r="AF34" i="248"/>
  <c r="AJ34" i="248"/>
  <c r="AK34" i="248" s="1"/>
  <c r="AE34" i="248"/>
  <c r="AI34" i="248"/>
  <c r="AH34" i="248"/>
  <c r="AD34" i="248"/>
  <c r="AG36" i="248"/>
  <c r="AH36" i="248"/>
  <c r="AF36" i="248"/>
  <c r="AJ36" i="248"/>
  <c r="AK36" i="248" s="1"/>
  <c r="AI36" i="248"/>
  <c r="AE36" i="248"/>
  <c r="AD36" i="248"/>
  <c r="AR7" i="248"/>
  <c r="AQ7" i="248"/>
  <c r="AR9" i="248"/>
  <c r="AQ9" i="248"/>
  <c r="AT11" i="248"/>
  <c r="AU11" i="248"/>
  <c r="AS11" i="248"/>
  <c r="AW11" i="248"/>
  <c r="AX11" i="248" s="1"/>
  <c r="AV11" i="248"/>
  <c r="AR11" i="248"/>
  <c r="AQ11" i="248"/>
  <c r="AT13" i="248"/>
  <c r="AV13" i="248"/>
  <c r="AQ13" i="248"/>
  <c r="AU13" i="248"/>
  <c r="AW13" i="248"/>
  <c r="AX13" i="248" s="1"/>
  <c r="AS13" i="248"/>
  <c r="AR13" i="248"/>
  <c r="AT15" i="248"/>
  <c r="AW15" i="248"/>
  <c r="AX15" i="248" s="1"/>
  <c r="AR15" i="248"/>
  <c r="AV15" i="248"/>
  <c r="AQ15" i="248"/>
  <c r="AU15" i="248"/>
  <c r="AS15" i="248"/>
  <c r="AT17" i="248"/>
  <c r="AS17" i="248"/>
  <c r="AW17" i="248"/>
  <c r="AX17" i="248" s="1"/>
  <c r="AR17" i="248"/>
  <c r="AQ17" i="248"/>
  <c r="AV17" i="248"/>
  <c r="AU17" i="248"/>
  <c r="AT19" i="248"/>
  <c r="AU19" i="248"/>
  <c r="AS19" i="248"/>
  <c r="AR19" i="248"/>
  <c r="AQ19" i="248"/>
  <c r="AW19" i="248"/>
  <c r="AX19" i="248" s="1"/>
  <c r="AV19" i="248"/>
  <c r="AT21" i="248"/>
  <c r="AV21" i="248"/>
  <c r="AQ21" i="248"/>
  <c r="AU21" i="248"/>
  <c r="AS21" i="248"/>
  <c r="AR21" i="248"/>
  <c r="AW21" i="248"/>
  <c r="AX21" i="248" s="1"/>
  <c r="AT23" i="248"/>
  <c r="AW23" i="248"/>
  <c r="AX23" i="248" s="1"/>
  <c r="AR23" i="248"/>
  <c r="AV23" i="248"/>
  <c r="AQ23" i="248"/>
  <c r="AU23" i="248"/>
  <c r="AS23" i="248"/>
  <c r="AT25" i="248"/>
  <c r="AS25" i="248"/>
  <c r="AW25" i="248"/>
  <c r="AX25" i="248" s="1"/>
  <c r="AR25" i="248"/>
  <c r="AV25" i="248"/>
  <c r="AU25" i="248"/>
  <c r="AQ25" i="248"/>
  <c r="AT27" i="248"/>
  <c r="AU27" i="248"/>
  <c r="AS27" i="248"/>
  <c r="AW27" i="248"/>
  <c r="AX27" i="248" s="1"/>
  <c r="AV27" i="248"/>
  <c r="AR27" i="248"/>
  <c r="AQ27" i="248"/>
  <c r="AT29" i="248"/>
  <c r="AV29" i="248"/>
  <c r="AQ29" i="248"/>
  <c r="AU29" i="248"/>
  <c r="AW29" i="248"/>
  <c r="AX29" i="248" s="1"/>
  <c r="AS29" i="248"/>
  <c r="AR29" i="248"/>
  <c r="AT31" i="248"/>
  <c r="AW31" i="248"/>
  <c r="AX31" i="248" s="1"/>
  <c r="AR31" i="248"/>
  <c r="AV31" i="248"/>
  <c r="AQ31" i="248"/>
  <c r="AU31" i="248"/>
  <c r="AS31" i="248"/>
  <c r="AT33" i="248"/>
  <c r="AS33" i="248"/>
  <c r="AW33" i="248"/>
  <c r="AX33" i="248" s="1"/>
  <c r="AR33" i="248"/>
  <c r="AQ33" i="248"/>
  <c r="AV33" i="248"/>
  <c r="AU33" i="248"/>
  <c r="AT35" i="248"/>
  <c r="AU35" i="248"/>
  <c r="AS35" i="248"/>
  <c r="AR35" i="248"/>
  <c r="AQ35" i="248"/>
  <c r="AW35" i="248"/>
  <c r="AX35" i="248" s="1"/>
  <c r="AV35" i="248"/>
  <c r="BG6" i="248"/>
  <c r="BG7" i="248" s="1"/>
  <c r="BG8" i="248" s="1"/>
  <c r="BJ6" i="248"/>
  <c r="BK6" i="248" s="1"/>
  <c r="BJ7" i="248" s="1"/>
  <c r="BK7" i="248" s="1"/>
  <c r="BJ8" i="248" s="1"/>
  <c r="BK8" i="248" s="1"/>
  <c r="BE6" i="248"/>
  <c r="BI6" i="248"/>
  <c r="BI7" i="248" s="1"/>
  <c r="BI8" i="248" s="1"/>
  <c r="BD6" i="248"/>
  <c r="BH6" i="248"/>
  <c r="BH7" i="248" s="1"/>
  <c r="BH8" i="248" s="1"/>
  <c r="BF6" i="248"/>
  <c r="BF7" i="248" s="1"/>
  <c r="BF8" i="248" s="1"/>
  <c r="BE8" i="248"/>
  <c r="BD8" i="248"/>
  <c r="BG10" i="248"/>
  <c r="BH10" i="248"/>
  <c r="BF10" i="248"/>
  <c r="BE10" i="248"/>
  <c r="BD10" i="248"/>
  <c r="BJ10" i="248"/>
  <c r="BK10" i="248" s="1"/>
  <c r="BI10" i="248"/>
  <c r="BG12" i="248"/>
  <c r="BI12" i="248"/>
  <c r="BD12" i="248"/>
  <c r="BH12" i="248"/>
  <c r="BF12" i="248"/>
  <c r="BE12" i="248"/>
  <c r="BJ12" i="248"/>
  <c r="BK12" i="248" s="1"/>
  <c r="BG14" i="248"/>
  <c r="BJ14" i="248"/>
  <c r="BK14" i="248" s="1"/>
  <c r="BE14" i="248"/>
  <c r="BI14" i="248"/>
  <c r="BD14" i="248"/>
  <c r="BH14" i="248"/>
  <c r="BF14" i="248"/>
  <c r="BG16" i="248"/>
  <c r="BF16" i="248"/>
  <c r="BJ16" i="248"/>
  <c r="BK16" i="248" s="1"/>
  <c r="BE16" i="248"/>
  <c r="BI16" i="248"/>
  <c r="BH16" i="248"/>
  <c r="BD16" i="248"/>
  <c r="BG18" i="248"/>
  <c r="BH18" i="248"/>
  <c r="BF18" i="248"/>
  <c r="BJ18" i="248"/>
  <c r="BK18" i="248" s="1"/>
  <c r="BI18" i="248"/>
  <c r="BE18" i="248"/>
  <c r="BD18" i="248"/>
  <c r="BG20" i="248"/>
  <c r="BI20" i="248"/>
  <c r="BD20" i="248"/>
  <c r="BH20" i="248"/>
  <c r="BJ20" i="248"/>
  <c r="BK20" i="248" s="1"/>
  <c r="BF20" i="248"/>
  <c r="BE20" i="248"/>
  <c r="BG22" i="248"/>
  <c r="BJ22" i="248"/>
  <c r="BK22" i="248" s="1"/>
  <c r="BE22" i="248"/>
  <c r="BI22" i="248"/>
  <c r="BD22" i="248"/>
  <c r="BH22" i="248"/>
  <c r="BF22" i="248"/>
  <c r="BG24" i="248"/>
  <c r="BF24" i="248"/>
  <c r="BJ24" i="248"/>
  <c r="BK24" i="248" s="1"/>
  <c r="BE24" i="248"/>
  <c r="BD24" i="248"/>
  <c r="BI24" i="248"/>
  <c r="BH24" i="248"/>
  <c r="BG26" i="248"/>
  <c r="BH26" i="248"/>
  <c r="BF26" i="248"/>
  <c r="BE26" i="248"/>
  <c r="BD26" i="248"/>
  <c r="BJ26" i="248"/>
  <c r="BK26" i="248" s="1"/>
  <c r="BI26" i="248"/>
  <c r="BG28" i="248"/>
  <c r="BI28" i="248"/>
  <c r="BD28" i="248"/>
  <c r="BH28" i="248"/>
  <c r="BF28" i="248"/>
  <c r="BE28" i="248"/>
  <c r="BJ28" i="248"/>
  <c r="BK28" i="248" s="1"/>
  <c r="BG30" i="248"/>
  <c r="BJ30" i="248"/>
  <c r="BK30" i="248" s="1"/>
  <c r="BE30" i="248"/>
  <c r="BI30" i="248"/>
  <c r="BD30" i="248"/>
  <c r="BH30" i="248"/>
  <c r="BF30" i="248"/>
  <c r="BG32" i="248"/>
  <c r="BF32" i="248"/>
  <c r="BJ32" i="248"/>
  <c r="BK32" i="248" s="1"/>
  <c r="BE32" i="248"/>
  <c r="BI32" i="248"/>
  <c r="BH32" i="248"/>
  <c r="BD32" i="248"/>
  <c r="BG34" i="248"/>
  <c r="BH34" i="248"/>
  <c r="BF34" i="248"/>
  <c r="BJ34" i="248"/>
  <c r="BK34" i="248" s="1"/>
  <c r="BI34" i="248"/>
  <c r="BE34" i="248"/>
  <c r="BD34" i="248"/>
  <c r="BG36" i="248"/>
  <c r="BI36" i="248"/>
  <c r="BD36" i="248"/>
  <c r="BH36" i="248"/>
  <c r="BJ36" i="248"/>
  <c r="BK36" i="248" s="1"/>
  <c r="BF36" i="248"/>
  <c r="BE36" i="248"/>
  <c r="BR7" i="248"/>
  <c r="BV7" i="248"/>
  <c r="BV8" i="248" s="1"/>
  <c r="BV9" i="248" s="1"/>
  <c r="BQ7" i="248"/>
  <c r="BR9" i="248"/>
  <c r="BQ9" i="248"/>
  <c r="BT11" i="248"/>
  <c r="BV11" i="248"/>
  <c r="BQ11" i="248"/>
  <c r="BU11" i="248"/>
  <c r="BW11" i="248"/>
  <c r="BX11" i="248" s="1"/>
  <c r="BS11" i="248"/>
  <c r="BR11" i="248"/>
  <c r="BT13" i="248"/>
  <c r="BW13" i="248"/>
  <c r="BX13" i="248" s="1"/>
  <c r="BR13" i="248"/>
  <c r="BV13" i="248"/>
  <c r="BQ13" i="248"/>
  <c r="BU13" i="248"/>
  <c r="BS13" i="248"/>
  <c r="BT15" i="248"/>
  <c r="BS15" i="248"/>
  <c r="BW15" i="248"/>
  <c r="BX15" i="248" s="1"/>
  <c r="BR15" i="248"/>
  <c r="BQ15" i="248"/>
  <c r="BV15" i="248"/>
  <c r="BU15" i="248"/>
  <c r="BT17" i="248"/>
  <c r="BU17" i="248"/>
  <c r="BS17" i="248"/>
  <c r="BR17" i="248"/>
  <c r="BQ17" i="248"/>
  <c r="BW17" i="248"/>
  <c r="BX17" i="248" s="1"/>
  <c r="BV17" i="248"/>
  <c r="BT19" i="248"/>
  <c r="BV19" i="248"/>
  <c r="BQ19" i="248"/>
  <c r="BU19" i="248"/>
  <c r="BS19" i="248"/>
  <c r="BR19" i="248"/>
  <c r="BW19" i="248"/>
  <c r="BX19" i="248" s="1"/>
  <c r="BT21" i="248"/>
  <c r="BW21" i="248"/>
  <c r="BX21" i="248" s="1"/>
  <c r="BR21" i="248"/>
  <c r="BV21" i="248"/>
  <c r="BQ21" i="248"/>
  <c r="BU21" i="248"/>
  <c r="BS21" i="248"/>
  <c r="BT23" i="248"/>
  <c r="BS23" i="248"/>
  <c r="BW23" i="248"/>
  <c r="BX23" i="248" s="1"/>
  <c r="BR23" i="248"/>
  <c r="BV23" i="248"/>
  <c r="BU23" i="248"/>
  <c r="BQ23" i="248"/>
  <c r="BT25" i="248"/>
  <c r="BU25" i="248"/>
  <c r="BS25" i="248"/>
  <c r="BW25" i="248"/>
  <c r="BX25" i="248" s="1"/>
  <c r="BV25" i="248"/>
  <c r="BR25" i="248"/>
  <c r="BQ25" i="248"/>
  <c r="BT27" i="248"/>
  <c r="BV27" i="248"/>
  <c r="BQ27" i="248"/>
  <c r="BU27" i="248"/>
  <c r="BW27" i="248"/>
  <c r="BX27" i="248" s="1"/>
  <c r="BS27" i="248"/>
  <c r="BR27" i="248"/>
  <c r="BT29" i="248"/>
  <c r="BW29" i="248"/>
  <c r="BX29" i="248" s="1"/>
  <c r="BR29" i="248"/>
  <c r="BV29" i="248"/>
  <c r="BQ29" i="248"/>
  <c r="BU29" i="248"/>
  <c r="BS29" i="248"/>
  <c r="BT31" i="248"/>
  <c r="BS31" i="248"/>
  <c r="BW31" i="248"/>
  <c r="BX31" i="248" s="1"/>
  <c r="BR31" i="248"/>
  <c r="BQ31" i="248"/>
  <c r="BV31" i="248"/>
  <c r="BU31" i="248"/>
  <c r="BT33" i="248"/>
  <c r="BU33" i="248"/>
  <c r="BS33" i="248"/>
  <c r="BR33" i="248"/>
  <c r="BQ33" i="248"/>
  <c r="BW33" i="248"/>
  <c r="BX33" i="248" s="1"/>
  <c r="BV33" i="248"/>
  <c r="BT35" i="248"/>
  <c r="BV35" i="248"/>
  <c r="BQ35" i="248"/>
  <c r="BU35" i="248"/>
  <c r="BS35" i="248"/>
  <c r="BR35" i="248"/>
  <c r="BW35" i="248"/>
  <c r="BX35" i="248" s="1"/>
  <c r="CG6" i="248"/>
  <c r="CG7" i="248" s="1"/>
  <c r="CG8" i="248" s="1"/>
  <c r="CG9" i="248" s="1"/>
  <c r="CG10" i="248" s="1"/>
  <c r="CF6" i="248"/>
  <c r="CF7" i="248" s="1"/>
  <c r="CF8" i="248" s="1"/>
  <c r="CF9" i="248" s="1"/>
  <c r="CF10" i="248" s="1"/>
  <c r="CJ6" i="248"/>
  <c r="CK6" i="248" s="1"/>
  <c r="CJ7" i="248" s="1"/>
  <c r="CK7" i="248" s="1"/>
  <c r="CJ8" i="248" s="1"/>
  <c r="CK8" i="248" s="1"/>
  <c r="CJ9" i="248" s="1"/>
  <c r="CK9" i="248" s="1"/>
  <c r="CJ10" i="248" s="1"/>
  <c r="CK10" i="248" s="1"/>
  <c r="CE6" i="248"/>
  <c r="CD6" i="248"/>
  <c r="CI6" i="248"/>
  <c r="CI7" i="248" s="1"/>
  <c r="CI8" i="248" s="1"/>
  <c r="CI9" i="248" s="1"/>
  <c r="CI10" i="248" s="1"/>
  <c r="CH6" i="248"/>
  <c r="CH7" i="248" s="1"/>
  <c r="CH8" i="248" s="1"/>
  <c r="CH9" i="248" s="1"/>
  <c r="CH10" i="248" s="1"/>
  <c r="CE8" i="248"/>
  <c r="CD8" i="248"/>
  <c r="CD10" i="248"/>
  <c r="CE10" i="248"/>
  <c r="CG12" i="248"/>
  <c r="CJ12" i="248"/>
  <c r="CK12" i="248" s="1"/>
  <c r="CE12" i="248"/>
  <c r="CI12" i="248"/>
  <c r="CD12" i="248"/>
  <c r="CH12" i="248"/>
  <c r="CF12" i="248"/>
  <c r="CG14" i="248"/>
  <c r="CF14" i="248"/>
  <c r="CJ14" i="248"/>
  <c r="CK14" i="248" s="1"/>
  <c r="CE14" i="248"/>
  <c r="CI14" i="248"/>
  <c r="CH14" i="248"/>
  <c r="CD14" i="248"/>
  <c r="CG16" i="248"/>
  <c r="CH16" i="248"/>
  <c r="CF16" i="248"/>
  <c r="CJ16" i="248"/>
  <c r="CK16" i="248" s="1"/>
  <c r="CI16" i="248"/>
  <c r="CE16" i="248"/>
  <c r="CD16" i="248"/>
  <c r="CG18" i="248"/>
  <c r="CI18" i="248"/>
  <c r="CD18" i="248"/>
  <c r="CH18" i="248"/>
  <c r="CJ18" i="248"/>
  <c r="CK18" i="248" s="1"/>
  <c r="CF18" i="248"/>
  <c r="CE18" i="248"/>
  <c r="CG20" i="248"/>
  <c r="CJ20" i="248"/>
  <c r="CK20" i="248" s="1"/>
  <c r="CE20" i="248"/>
  <c r="CI20" i="248"/>
  <c r="CD20" i="248"/>
  <c r="CH20" i="248"/>
  <c r="CF20" i="248"/>
  <c r="CG22" i="248"/>
  <c r="CF22" i="248"/>
  <c r="CJ22" i="248"/>
  <c r="CK22" i="248" s="1"/>
  <c r="CE22" i="248"/>
  <c r="CD22" i="248"/>
  <c r="CI22" i="248"/>
  <c r="CH22" i="248"/>
  <c r="CG24" i="248"/>
  <c r="CH24" i="248"/>
  <c r="CF24" i="248"/>
  <c r="CE24" i="248"/>
  <c r="CD24" i="248"/>
  <c r="CJ24" i="248"/>
  <c r="CK24" i="248" s="1"/>
  <c r="CI24" i="248"/>
  <c r="CG26" i="248"/>
  <c r="CI26" i="248"/>
  <c r="CD26" i="248"/>
  <c r="CH26" i="248"/>
  <c r="CF26" i="248"/>
  <c r="CE26" i="248"/>
  <c r="CJ26" i="248"/>
  <c r="CK26" i="248" s="1"/>
  <c r="CG28" i="248"/>
  <c r="CJ28" i="248"/>
  <c r="CK28" i="248" s="1"/>
  <c r="CE28" i="248"/>
  <c r="CI28" i="248"/>
  <c r="CD28" i="248"/>
  <c r="CH28" i="248"/>
  <c r="CF28" i="248"/>
  <c r="CJ35" i="248"/>
  <c r="CK35" i="248" s="1"/>
  <c r="CF35" i="248"/>
  <c r="CH35" i="248"/>
  <c r="CI35" i="248"/>
  <c r="CG35" i="248"/>
  <c r="CE35" i="248"/>
  <c r="CD35" i="248"/>
  <c r="CH36" i="248"/>
  <c r="CD36" i="248"/>
  <c r="CI36" i="248"/>
  <c r="CF36" i="248"/>
  <c r="CE36" i="248"/>
  <c r="CJ36" i="248"/>
  <c r="CK36" i="248" s="1"/>
  <c r="CG36" i="248"/>
  <c r="CR5" i="248"/>
  <c r="CY6" i="248"/>
  <c r="CY7" i="248" s="1"/>
  <c r="CY8" i="248" s="1"/>
  <c r="CY9" i="248" s="1"/>
  <c r="CY10" i="248" s="1"/>
  <c r="CY11" i="248" s="1"/>
  <c r="CY12" i="248" s="1"/>
  <c r="CY13" i="248" s="1"/>
  <c r="CY14" i="248" s="1"/>
  <c r="CY15" i="248" s="1"/>
  <c r="CY16" i="248" s="1"/>
  <c r="CY17" i="248" s="1"/>
  <c r="CY18" i="248" s="1"/>
  <c r="CY19" i="248" s="1"/>
  <c r="CY20" i="248" s="1"/>
  <c r="CY21" i="248" s="1"/>
  <c r="CY22" i="248" s="1"/>
  <c r="CY23" i="248" s="1"/>
  <c r="CY24" i="248" s="1"/>
  <c r="CY25" i="248" s="1"/>
  <c r="CY26" i="248" s="1"/>
  <c r="CY27" i="248" s="1"/>
  <c r="CY28" i="248" s="1"/>
  <c r="CY29" i="248" s="1"/>
  <c r="CY30" i="248" s="1"/>
  <c r="CY31" i="248" s="1"/>
  <c r="CY32" i="248" s="1"/>
  <c r="CY33" i="248" s="1"/>
  <c r="CY34" i="248" s="1"/>
  <c r="CY35" i="248" s="1"/>
  <c r="CY36" i="248" s="1"/>
  <c r="CQ5" i="248"/>
  <c r="CW10" i="248"/>
  <c r="CX10" i="248" s="1"/>
  <c r="CS10" i="248"/>
  <c r="CU10" i="248"/>
  <c r="CV10" i="248"/>
  <c r="CT10" i="248"/>
  <c r="CR10" i="248"/>
  <c r="CQ10" i="248"/>
  <c r="CU11" i="248"/>
  <c r="CQ11" i="248"/>
  <c r="CV11" i="248"/>
  <c r="CS11" i="248"/>
  <c r="CR11" i="248"/>
  <c r="CW11" i="248"/>
  <c r="CX11" i="248" s="1"/>
  <c r="CT11" i="248"/>
  <c r="CW18" i="248"/>
  <c r="CX18" i="248" s="1"/>
  <c r="CS18" i="248"/>
  <c r="CU18" i="248"/>
  <c r="CT18" i="248"/>
  <c r="CR18" i="248"/>
  <c r="CQ18" i="248"/>
  <c r="CV18" i="248"/>
  <c r="CU19" i="248"/>
  <c r="CQ19" i="248"/>
  <c r="CV19" i="248"/>
  <c r="CR19" i="248"/>
  <c r="CW19" i="248"/>
  <c r="CX19" i="248" s="1"/>
  <c r="CT19" i="248"/>
  <c r="CS19" i="248"/>
  <c r="CW26" i="248"/>
  <c r="CX26" i="248" s="1"/>
  <c r="CS26" i="248"/>
  <c r="CU26" i="248"/>
  <c r="CR26" i="248"/>
  <c r="CQ26" i="248"/>
  <c r="CV26" i="248"/>
  <c r="CT26" i="248"/>
  <c r="CU27" i="248"/>
  <c r="CQ27" i="248"/>
  <c r="CV27" i="248"/>
  <c r="CW27" i="248"/>
  <c r="CX27" i="248" s="1"/>
  <c r="CT27" i="248"/>
  <c r="CS27" i="248"/>
  <c r="CR27" i="248"/>
  <c r="CW34" i="248"/>
  <c r="CX34" i="248" s="1"/>
  <c r="CS34" i="248"/>
  <c r="CU34" i="248"/>
  <c r="CQ34" i="248"/>
  <c r="CV34" i="248"/>
  <c r="CT34" i="248"/>
  <c r="CR34" i="248"/>
  <c r="CU35" i="248"/>
  <c r="CQ35" i="248"/>
  <c r="CV35" i="248"/>
  <c r="CT35" i="248"/>
  <c r="CS35" i="248"/>
  <c r="CR35" i="248"/>
  <c r="CW35" i="248"/>
  <c r="CX35" i="248" s="1"/>
  <c r="DD9" i="248"/>
  <c r="DE9" i="248"/>
  <c r="DH10" i="248"/>
  <c r="DD10" i="248"/>
  <c r="DI10" i="248"/>
  <c r="DG10" i="248"/>
  <c r="DF10" i="248"/>
  <c r="DE10" i="248"/>
  <c r="DJ10" i="248"/>
  <c r="DK10" i="248" s="1"/>
  <c r="DJ17" i="248"/>
  <c r="DK17" i="248" s="1"/>
  <c r="DF17" i="248"/>
  <c r="DH17" i="248"/>
  <c r="DI17" i="248"/>
  <c r="DG17" i="248"/>
  <c r="DE17" i="248"/>
  <c r="DD17" i="248"/>
  <c r="DH18" i="248"/>
  <c r="DD18" i="248"/>
  <c r="DI18" i="248"/>
  <c r="DF18" i="248"/>
  <c r="DE18" i="248"/>
  <c r="DJ18" i="248"/>
  <c r="DK18" i="248" s="1"/>
  <c r="DG18" i="248"/>
  <c r="DJ25" i="248"/>
  <c r="DK25" i="248" s="1"/>
  <c r="DF25" i="248"/>
  <c r="DH25" i="248"/>
  <c r="DG25" i="248"/>
  <c r="DE25" i="248"/>
  <c r="DD25" i="248"/>
  <c r="DI25" i="248"/>
  <c r="DH26" i="248"/>
  <c r="DD26" i="248"/>
  <c r="DI26" i="248"/>
  <c r="DE26" i="248"/>
  <c r="DJ26" i="248"/>
  <c r="DK26" i="248" s="1"/>
  <c r="DG26" i="248"/>
  <c r="DF26" i="248"/>
  <c r="DJ33" i="248"/>
  <c r="DK33" i="248" s="1"/>
  <c r="DF33" i="248"/>
  <c r="DH33" i="248"/>
  <c r="DE33" i="248"/>
  <c r="DD33" i="248"/>
  <c r="DI33" i="248"/>
  <c r="DG33" i="248"/>
  <c r="DH34" i="248"/>
  <c r="DD34" i="248"/>
  <c r="DI34" i="248"/>
  <c r="DJ34" i="248"/>
  <c r="DK34" i="248" s="1"/>
  <c r="DG34" i="248"/>
  <c r="DF34" i="248"/>
  <c r="DE34" i="248"/>
  <c r="DR8" i="248"/>
  <c r="DQ8" i="248"/>
  <c r="DQ9" i="248"/>
  <c r="DR9" i="248"/>
  <c r="DW16" i="248"/>
  <c r="DX16" i="248" s="1"/>
  <c r="DS16" i="248"/>
  <c r="DU16" i="248"/>
  <c r="DQ16" i="248"/>
  <c r="DV16" i="248"/>
  <c r="DT16" i="248"/>
  <c r="DR16" i="248"/>
  <c r="DU17" i="248"/>
  <c r="DQ17" i="248"/>
  <c r="DV17" i="248"/>
  <c r="DT17" i="248"/>
  <c r="DS17" i="248"/>
  <c r="DR17" i="248"/>
  <c r="DW17" i="248"/>
  <c r="DX17" i="248" s="1"/>
  <c r="DV27" i="248"/>
  <c r="DR27" i="248"/>
  <c r="DW27" i="248"/>
  <c r="DX27" i="248" s="1"/>
  <c r="DQ27" i="248"/>
  <c r="DT27" i="248"/>
  <c r="DS27" i="248"/>
  <c r="DU27" i="248"/>
  <c r="EI12" i="248"/>
  <c r="EE12" i="248"/>
  <c r="EF12" i="248"/>
  <c r="EJ12" i="248"/>
  <c r="EK12" i="248" s="1"/>
  <c r="ED12" i="248"/>
  <c r="EH12" i="248"/>
  <c r="EG12" i="248"/>
  <c r="EI22" i="248"/>
  <c r="EE22" i="248"/>
  <c r="EG22" i="248"/>
  <c r="EJ22" i="248"/>
  <c r="EK22" i="248" s="1"/>
  <c r="EH22" i="248"/>
  <c r="EF22" i="248"/>
  <c r="ED22" i="248"/>
  <c r="EJ34" i="248"/>
  <c r="EK34" i="248" s="1"/>
  <c r="EI34" i="248"/>
  <c r="EE34" i="248"/>
  <c r="ED34" i="248"/>
  <c r="EH34" i="248"/>
  <c r="EG34" i="248"/>
  <c r="EF34" i="248"/>
  <c r="EU10" i="248"/>
  <c r="EQ10" i="248"/>
  <c r="EW10" i="248"/>
  <c r="EX10" i="248" s="1"/>
  <c r="ER10" i="248"/>
  <c r="ET10" i="248"/>
  <c r="EV10" i="248"/>
  <c r="ES10" i="248"/>
  <c r="EW11" i="248"/>
  <c r="EX11" i="248" s="1"/>
  <c r="ES11" i="248"/>
  <c r="ER11" i="248"/>
  <c r="EQ11" i="248"/>
  <c r="ET11" i="248"/>
  <c r="EV11" i="248"/>
  <c r="EU11" i="248"/>
  <c r="EU12" i="248"/>
  <c r="EQ12" i="248"/>
  <c r="ES12" i="248"/>
  <c r="EV12" i="248"/>
  <c r="ET12" i="248"/>
  <c r="ER12" i="248"/>
  <c r="EW12" i="248"/>
  <c r="EX12" i="248" s="1"/>
  <c r="EW13" i="248"/>
  <c r="EX13" i="248" s="1"/>
  <c r="ES13" i="248"/>
  <c r="ET13" i="248"/>
  <c r="ER13" i="248"/>
  <c r="EV13" i="248"/>
  <c r="EU13" i="248"/>
  <c r="EQ13" i="248"/>
  <c r="EU28" i="248"/>
  <c r="EQ28" i="248"/>
  <c r="ES28" i="248"/>
  <c r="ER28" i="248"/>
  <c r="EW28" i="248"/>
  <c r="EX28" i="248" s="1"/>
  <c r="EV28" i="248"/>
  <c r="ET28" i="248"/>
  <c r="EU30" i="248"/>
  <c r="EQ30" i="248"/>
  <c r="ET30" i="248"/>
  <c r="ES30" i="248"/>
  <c r="ER30" i="248"/>
  <c r="EW30" i="248"/>
  <c r="EX30" i="248" s="1"/>
  <c r="EV30" i="248"/>
  <c r="DL6" i="248"/>
  <c r="DL7" i="248" s="1"/>
  <c r="DL8" i="248" s="1"/>
  <c r="DL9" i="248" s="1"/>
  <c r="DL10" i="248" s="1"/>
  <c r="DL11" i="248" s="1"/>
  <c r="DL12" i="248" s="1"/>
  <c r="DL13" i="248" s="1"/>
  <c r="DL14" i="248" s="1"/>
  <c r="DL15" i="248" s="1"/>
  <c r="DL16" i="248" s="1"/>
  <c r="DL17" i="248" s="1"/>
  <c r="DL18" i="248" s="1"/>
  <c r="DL19" i="248" s="1"/>
  <c r="DL20" i="248" s="1"/>
  <c r="DL21" i="248" s="1"/>
  <c r="DL22" i="248" s="1"/>
  <c r="DL23" i="248" s="1"/>
  <c r="DL24" i="248" s="1"/>
  <c r="DL25" i="248" s="1"/>
  <c r="DL26" i="248" s="1"/>
  <c r="DL27" i="248" s="1"/>
  <c r="DL28" i="248" s="1"/>
  <c r="DL29" i="248" s="1"/>
  <c r="DL30" i="248" s="1"/>
  <c r="DL31" i="248" s="1"/>
  <c r="DL32" i="248" s="1"/>
  <c r="DL33" i="248" s="1"/>
  <c r="DL34" i="248" s="1"/>
  <c r="DL35" i="248" s="1"/>
  <c r="DL36" i="248" s="1"/>
  <c r="DD5" i="248"/>
  <c r="DE5" i="248"/>
  <c r="DV25" i="248"/>
  <c r="DR25" i="248"/>
  <c r="DU25" i="248"/>
  <c r="DW25" i="248"/>
  <c r="DX25" i="248" s="1"/>
  <c r="DT25" i="248"/>
  <c r="DS25" i="248"/>
  <c r="DQ25" i="248"/>
  <c r="DV33" i="248"/>
  <c r="DR33" i="248"/>
  <c r="DU33" i="248"/>
  <c r="DT33" i="248"/>
  <c r="DQ33" i="248"/>
  <c r="DW33" i="248"/>
  <c r="DX33" i="248" s="1"/>
  <c r="DS33" i="248"/>
  <c r="EI8" i="248"/>
  <c r="EE8" i="248"/>
  <c r="EH8" i="248"/>
  <c r="EG8" i="248"/>
  <c r="EF8" i="248"/>
  <c r="ED8" i="248"/>
  <c r="EJ8" i="248"/>
  <c r="EK8" i="248" s="1"/>
  <c r="EI16" i="248"/>
  <c r="EE16" i="248"/>
  <c r="EH16" i="248"/>
  <c r="EF16" i="248"/>
  <c r="EJ16" i="248"/>
  <c r="EK16" i="248" s="1"/>
  <c r="EG16" i="248"/>
  <c r="ED16" i="248"/>
  <c r="EI24" i="248"/>
  <c r="EE24" i="248"/>
  <c r="EH24" i="248"/>
  <c r="ED24" i="248"/>
  <c r="EG24" i="248"/>
  <c r="EF24" i="248"/>
  <c r="EJ24" i="248"/>
  <c r="EK24" i="248" s="1"/>
  <c r="EI32" i="248"/>
  <c r="EE32" i="248"/>
  <c r="EH32" i="248"/>
  <c r="EJ32" i="248"/>
  <c r="EK32" i="248" s="1"/>
  <c r="ED32" i="248"/>
  <c r="EG32" i="248"/>
  <c r="EF32" i="248"/>
  <c r="EW9" i="248"/>
  <c r="EX9" i="248" s="1"/>
  <c r="ES9" i="248"/>
  <c r="EV9" i="248"/>
  <c r="EQ9" i="248"/>
  <c r="ER9" i="248"/>
  <c r="EU9" i="248"/>
  <c r="ET9" i="248"/>
  <c r="EU14" i="248"/>
  <c r="EQ14" i="248"/>
  <c r="ET14" i="248"/>
  <c r="EW14" i="248"/>
  <c r="EX14" i="248" s="1"/>
  <c r="EV14" i="248"/>
  <c r="ES14" i="248"/>
  <c r="ER14" i="248"/>
  <c r="EW19" i="248"/>
  <c r="EX19" i="248" s="1"/>
  <c r="ES19" i="248"/>
  <c r="ER19" i="248"/>
  <c r="EV19" i="248"/>
  <c r="EU19" i="248"/>
  <c r="ET19" i="248"/>
  <c r="EQ19" i="248"/>
  <c r="EU26" i="248"/>
  <c r="EQ26" i="248"/>
  <c r="EW26" i="248"/>
  <c r="EX26" i="248" s="1"/>
  <c r="ER26" i="248"/>
  <c r="ES26" i="248"/>
  <c r="ET26" i="248"/>
  <c r="EV26" i="248"/>
  <c r="EW29" i="248"/>
  <c r="EX29" i="248" s="1"/>
  <c r="ES29" i="248"/>
  <c r="ET29" i="248"/>
  <c r="EV29" i="248"/>
  <c r="EQ29" i="248"/>
  <c r="EU29" i="248"/>
  <c r="ER29" i="248"/>
  <c r="EU36" i="248"/>
  <c r="EQ36" i="248"/>
  <c r="ES36" i="248"/>
  <c r="EW36" i="248"/>
  <c r="EX36" i="248" s="1"/>
  <c r="EV36" i="248"/>
  <c r="ET36" i="248"/>
  <c r="ER36" i="248"/>
  <c r="DT20" i="248"/>
  <c r="DW20" i="248"/>
  <c r="DX20" i="248" s="1"/>
  <c r="DR20" i="248"/>
  <c r="DV20" i="248"/>
  <c r="DU20" i="248"/>
  <c r="DS20" i="248"/>
  <c r="DQ20" i="248"/>
  <c r="DT22" i="248"/>
  <c r="DS22" i="248"/>
  <c r="DW22" i="248"/>
  <c r="DX22" i="248" s="1"/>
  <c r="DQ22" i="248"/>
  <c r="DV22" i="248"/>
  <c r="DU22" i="248"/>
  <c r="DR22" i="248"/>
  <c r="DT24" i="248"/>
  <c r="DU24" i="248"/>
  <c r="DR24" i="248"/>
  <c r="DV24" i="248"/>
  <c r="DS24" i="248"/>
  <c r="DQ24" i="248"/>
  <c r="DW24" i="248"/>
  <c r="DX24" i="248" s="1"/>
  <c r="DT26" i="248"/>
  <c r="DV26" i="248"/>
  <c r="DQ26" i="248"/>
  <c r="DS26" i="248"/>
  <c r="DU26" i="248"/>
  <c r="DR26" i="248"/>
  <c r="DW26" i="248"/>
  <c r="DX26" i="248" s="1"/>
  <c r="DT28" i="248"/>
  <c r="DW28" i="248"/>
  <c r="DX28" i="248" s="1"/>
  <c r="DR28" i="248"/>
  <c r="DU28" i="248"/>
  <c r="DS28" i="248"/>
  <c r="DQ28" i="248"/>
  <c r="DV28" i="248"/>
  <c r="DT30" i="248"/>
  <c r="DS30" i="248"/>
  <c r="DV30" i="248"/>
  <c r="DR30" i="248"/>
  <c r="DQ30" i="248"/>
  <c r="DW30" i="248"/>
  <c r="DX30" i="248" s="1"/>
  <c r="DU30" i="248"/>
  <c r="DT32" i="248"/>
  <c r="DU32" i="248"/>
  <c r="DW32" i="248"/>
  <c r="DX32" i="248" s="1"/>
  <c r="DQ32" i="248"/>
  <c r="DR32" i="248"/>
  <c r="DV32" i="248"/>
  <c r="DS32" i="248"/>
  <c r="DT34" i="248"/>
  <c r="DV34" i="248"/>
  <c r="DQ34" i="248"/>
  <c r="DR34" i="248"/>
  <c r="DW34" i="248"/>
  <c r="DX34" i="248" s="1"/>
  <c r="DU34" i="248"/>
  <c r="DS34" i="248"/>
  <c r="DT36" i="248"/>
  <c r="DW36" i="248"/>
  <c r="DX36" i="248" s="1"/>
  <c r="DR36" i="248"/>
  <c r="DS36" i="248"/>
  <c r="DV36" i="248"/>
  <c r="DU36" i="248"/>
  <c r="DQ36" i="248"/>
  <c r="EG7" i="248"/>
  <c r="EH7" i="248"/>
  <c r="EJ7" i="248"/>
  <c r="EK7" i="248" s="1"/>
  <c r="ED7" i="248"/>
  <c r="EF7" i="248"/>
  <c r="EE7" i="248"/>
  <c r="EI7" i="248"/>
  <c r="EG9" i="248"/>
  <c r="EI9" i="248"/>
  <c r="ED9" i="248"/>
  <c r="EE9" i="248"/>
  <c r="EF9" i="248"/>
  <c r="EJ9" i="248"/>
  <c r="EK9" i="248" s="1"/>
  <c r="EH9" i="248"/>
  <c r="EG11" i="248"/>
  <c r="EJ11" i="248"/>
  <c r="EK11" i="248" s="1"/>
  <c r="EE11" i="248"/>
  <c r="EF11" i="248"/>
  <c r="ED11" i="248"/>
  <c r="EI11" i="248"/>
  <c r="EH11" i="248"/>
  <c r="EG13" i="248"/>
  <c r="EF13" i="248"/>
  <c r="EH13" i="248"/>
  <c r="ED13" i="248"/>
  <c r="EJ13" i="248"/>
  <c r="EK13" i="248" s="1"/>
  <c r="EI13" i="248"/>
  <c r="EE13" i="248"/>
  <c r="EG15" i="248"/>
  <c r="EH15" i="248"/>
  <c r="EI15" i="248"/>
  <c r="ED15" i="248"/>
  <c r="EJ15" i="248"/>
  <c r="EK15" i="248" s="1"/>
  <c r="EF15" i="248"/>
  <c r="EE15" i="248"/>
  <c r="EG17" i="248"/>
  <c r="EI17" i="248"/>
  <c r="ED17" i="248"/>
  <c r="EJ17" i="248"/>
  <c r="EK17" i="248" s="1"/>
  <c r="EH17" i="248"/>
  <c r="EF17" i="248"/>
  <c r="EE17" i="248"/>
  <c r="EG19" i="248"/>
  <c r="EJ19" i="248"/>
  <c r="EK19" i="248" s="1"/>
  <c r="EE19" i="248"/>
  <c r="ED19" i="248"/>
  <c r="EI19" i="248"/>
  <c r="EH19" i="248"/>
  <c r="EF19" i="248"/>
  <c r="EG21" i="248"/>
  <c r="EF21" i="248"/>
  <c r="EE21" i="248"/>
  <c r="EI21" i="248"/>
  <c r="EH21" i="248"/>
  <c r="ED21" i="248"/>
  <c r="EJ21" i="248"/>
  <c r="EK21" i="248" s="1"/>
  <c r="EG23" i="248"/>
  <c r="EH23" i="248"/>
  <c r="EF23" i="248"/>
  <c r="EI23" i="248"/>
  <c r="EE23" i="248"/>
  <c r="ED23" i="248"/>
  <c r="EJ23" i="248"/>
  <c r="EK23" i="248" s="1"/>
  <c r="EG25" i="248"/>
  <c r="EI25" i="248"/>
  <c r="ED25" i="248"/>
  <c r="EH25" i="248"/>
  <c r="EF25" i="248"/>
  <c r="EE25" i="248"/>
  <c r="EJ25" i="248"/>
  <c r="EK25" i="248" s="1"/>
  <c r="EG27" i="248"/>
  <c r="EJ27" i="248"/>
  <c r="EK27" i="248" s="1"/>
  <c r="EE27" i="248"/>
  <c r="EI27" i="248"/>
  <c r="EF27" i="248"/>
  <c r="ED27" i="248"/>
  <c r="EH27" i="248"/>
  <c r="EG29" i="248"/>
  <c r="EF29" i="248"/>
  <c r="EJ29" i="248"/>
  <c r="EK29" i="248" s="1"/>
  <c r="ED29" i="248"/>
  <c r="EE29" i="248"/>
  <c r="EI29" i="248"/>
  <c r="EH29" i="248"/>
  <c r="EG31" i="248"/>
  <c r="EH31" i="248"/>
  <c r="EE31" i="248"/>
  <c r="ED31" i="248"/>
  <c r="EJ31" i="248"/>
  <c r="EK31" i="248" s="1"/>
  <c r="EI31" i="248"/>
  <c r="EF31" i="248"/>
  <c r="EG33" i="248"/>
  <c r="EI33" i="248"/>
  <c r="ED33" i="248"/>
  <c r="EF33" i="248"/>
  <c r="EJ33" i="248"/>
  <c r="EK33" i="248" s="1"/>
  <c r="EH33" i="248"/>
  <c r="EE33" i="248"/>
  <c r="EW7" i="248"/>
  <c r="EX7" i="248" s="1"/>
  <c r="ES7" i="248"/>
  <c r="EU7" i="248"/>
  <c r="EV7" i="248"/>
  <c r="ER7" i="248"/>
  <c r="ET7" i="248"/>
  <c r="EQ7" i="248"/>
  <c r="EU8" i="248"/>
  <c r="EQ8" i="248"/>
  <c r="EV8" i="248"/>
  <c r="ES8" i="248"/>
  <c r="ER8" i="248"/>
  <c r="EW8" i="248"/>
  <c r="EX8" i="248" s="1"/>
  <c r="ET8" i="248"/>
  <c r="EW15" i="248"/>
  <c r="EX15" i="248" s="1"/>
  <c r="ES15" i="248"/>
  <c r="EU15" i="248"/>
  <c r="ET15" i="248"/>
  <c r="EQ15" i="248"/>
  <c r="EV15" i="248"/>
  <c r="ER15" i="248"/>
  <c r="EU16" i="248"/>
  <c r="EQ16" i="248"/>
  <c r="EV16" i="248"/>
  <c r="ER16" i="248"/>
  <c r="EW16" i="248"/>
  <c r="EX16" i="248" s="1"/>
  <c r="ES16" i="248"/>
  <c r="ET16" i="248"/>
  <c r="EW23" i="248"/>
  <c r="EX23" i="248" s="1"/>
  <c r="ES23" i="248"/>
  <c r="EU23" i="248"/>
  <c r="ER23" i="248"/>
  <c r="ET23" i="248"/>
  <c r="EV23" i="248"/>
  <c r="EQ23" i="248"/>
  <c r="EU24" i="248"/>
  <c r="EQ24" i="248"/>
  <c r="EV24" i="248"/>
  <c r="EW24" i="248"/>
  <c r="EX24" i="248" s="1"/>
  <c r="ES24" i="248"/>
  <c r="ET24" i="248"/>
  <c r="ER24" i="248"/>
  <c r="EW31" i="248"/>
  <c r="EX31" i="248" s="1"/>
  <c r="ES31" i="248"/>
  <c r="EU31" i="248"/>
  <c r="EQ31" i="248"/>
  <c r="ET31" i="248"/>
  <c r="ER31" i="248"/>
  <c r="EV31" i="248"/>
  <c r="EU32" i="248"/>
  <c r="EQ32" i="248"/>
  <c r="EV32" i="248"/>
  <c r="ET32" i="248"/>
  <c r="EW32" i="248"/>
  <c r="EX32" i="248" s="1"/>
  <c r="ES32" i="248"/>
  <c r="ER32" i="248"/>
  <c r="EY6" i="248"/>
  <c r="EY7" i="248" s="1"/>
  <c r="EY8" i="248" s="1"/>
  <c r="EY9" i="248" s="1"/>
  <c r="EY10" i="248" s="1"/>
  <c r="EY11" i="248" s="1"/>
  <c r="EY12" i="248" s="1"/>
  <c r="EY13" i="248" s="1"/>
  <c r="EY14" i="248" s="1"/>
  <c r="EY15" i="248" s="1"/>
  <c r="EY16" i="248" s="1"/>
  <c r="EY17" i="248" s="1"/>
  <c r="EY18" i="248" s="1"/>
  <c r="EY19" i="248" s="1"/>
  <c r="EY20" i="248" s="1"/>
  <c r="EY21" i="248" s="1"/>
  <c r="EY22" i="248" s="1"/>
  <c r="EY23" i="248" s="1"/>
  <c r="EY24" i="248" s="1"/>
  <c r="EY25" i="248" s="1"/>
  <c r="EY26" i="248" s="1"/>
  <c r="EY27" i="248" s="1"/>
  <c r="EY28" i="248" s="1"/>
  <c r="EY29" i="248" s="1"/>
  <c r="EY30" i="248" s="1"/>
  <c r="EY31" i="248" s="1"/>
  <c r="EY32" i="248" s="1"/>
  <c r="EY33" i="248" s="1"/>
  <c r="EY34" i="248" s="1"/>
  <c r="EY35" i="248" s="1"/>
  <c r="EY36" i="248" s="1"/>
  <c r="ER5" i="248"/>
  <c r="EQ5" i="248"/>
  <c r="D25" i="231"/>
  <c r="W3" i="248"/>
  <c r="DW3" i="248"/>
  <c r="AW3" i="248"/>
  <c r="J3" i="248"/>
  <c r="CW3" i="248"/>
  <c r="BJ3" i="248"/>
  <c r="CJ3" i="248"/>
  <c r="DJ3" i="248"/>
  <c r="BW3" i="248"/>
  <c r="AJ3" i="248"/>
  <c r="B1" i="248" l="1"/>
</calcChain>
</file>

<file path=xl/sharedStrings.xml><?xml version="1.0" encoding="utf-8"?>
<sst xmlns="http://schemas.openxmlformats.org/spreadsheetml/2006/main" count="2298" uniqueCount="133">
  <si>
    <t>Sequence</t>
  </si>
  <si>
    <t>Parameter</t>
  </si>
  <si>
    <t>Value</t>
  </si>
  <si>
    <t>Remarks</t>
  </si>
  <si>
    <t>0.Optional - GIS License</t>
  </si>
  <si>
    <t>Bing Maps Key</t>
  </si>
  <si>
    <t>You can get a free key at https://www.bingmapsportal.com/</t>
  </si>
  <si>
    <t>1.Locations</t>
  </si>
  <si>
    <t>Number of customers</t>
  </si>
  <si>
    <t>[10,200]</t>
  </si>
  <si>
    <t>Pickup / Delivery?</t>
  </si>
  <si>
    <t>2.Distances</t>
  </si>
  <si>
    <t>Distance / duration computation</t>
  </si>
  <si>
    <t>Bing Maps</t>
  </si>
  <si>
    <t>The distance unit is km for 'Geodesic Approximation' and 'Bing Maps'</t>
  </si>
  <si>
    <t>Bing Maps route type</t>
  </si>
  <si>
    <t>Fastest</t>
  </si>
  <si>
    <t>Recommendation: use Fastest</t>
  </si>
  <si>
    <t>Average vehicle speed</t>
  </si>
  <si>
    <t>Not used for the 'Bing Maps' option</t>
  </si>
  <si>
    <t>3.Vehicles</t>
  </si>
  <si>
    <t>Number of vehicle types</t>
  </si>
  <si>
    <t>Heterogeneous VRP if greater than 1</t>
  </si>
  <si>
    <t>4.Solution</t>
  </si>
  <si>
    <t>All vehicles must be used?</t>
  </si>
  <si>
    <t>No</t>
  </si>
  <si>
    <t>Flexible fleet / fleet mix if 'No'</t>
  </si>
  <si>
    <t>Vehicles must return to the depot?</t>
  </si>
  <si>
    <t>Yes</t>
  </si>
  <si>
    <t>Open VRP if no return</t>
  </si>
  <si>
    <t>Time window type</t>
  </si>
  <si>
    <t>Hard</t>
  </si>
  <si>
    <t>Work start time</t>
  </si>
  <si>
    <t>[00:00,23:59]</t>
  </si>
  <si>
    <t>Driving time limit</t>
  </si>
  <si>
    <t>Working time limit</t>
  </si>
  <si>
    <t>Distance limit</t>
  </si>
  <si>
    <t>Positive</t>
  </si>
  <si>
    <t>5.Optional - Visualization</t>
  </si>
  <si>
    <t>Visualization background</t>
  </si>
  <si>
    <t>Location labels</t>
  </si>
  <si>
    <t>6.Solver</t>
  </si>
  <si>
    <t>Warm start?</t>
  </si>
  <si>
    <t>CPU time limit (seconds)</t>
  </si>
  <si>
    <t>LNS minimum removal rate</t>
  </si>
  <si>
    <t>[5%, 50%]</t>
  </si>
  <si>
    <t>LNS maximum removal rate</t>
  </si>
  <si>
    <t>LNS candidate list size</t>
  </si>
  <si>
    <t>[1, 5]</t>
  </si>
  <si>
    <t>Random number seed</t>
  </si>
  <si>
    <t>[1,2147483647]</t>
  </si>
  <si>
    <t>Location IDs</t>
  </si>
  <si>
    <t>Delivery</t>
  </si>
  <si>
    <t>Location ID</t>
  </si>
  <si>
    <t>Name</t>
  </si>
  <si>
    <t>Address</t>
  </si>
  <si>
    <t>Latitude (y)</t>
  </si>
  <si>
    <t>Longitude (x)</t>
  </si>
  <si>
    <t>Time window start</t>
  </si>
  <si>
    <t>Time window end</t>
  </si>
  <si>
    <t>Must be visited?</t>
  </si>
  <si>
    <t>Service time</t>
  </si>
  <si>
    <t>Demand</t>
  </si>
  <si>
    <t>Profit</t>
  </si>
  <si>
    <t>Starting location</t>
  </si>
  <si>
    <t>Must be visited</t>
  </si>
  <si>
    <t>Depot</t>
  </si>
  <si>
    <t>วัดสวัสดิ์วารีสีมาราม(วัดแคสามเสน)</t>
  </si>
  <si>
    <t>วัดอัมพวัน-ดุสิต</t>
  </si>
  <si>
    <t>วัดน้อยนพคุณ</t>
  </si>
  <si>
    <t>วัดใหม่ทองเสน</t>
  </si>
  <si>
    <t>วัดจอมสุดาราม(วัดไพรงาม)</t>
  </si>
  <si>
    <t>วัดประชาระบือธรรม</t>
  </si>
  <si>
    <t>วัดเลียบราษฎร์บำรุง</t>
  </si>
  <si>
    <t>วัดเวตวันธรรมาวาส</t>
  </si>
  <si>
    <t>วัดแก้วฟ้าจุฬามณี</t>
  </si>
  <si>
    <t>วัดบางโพโอมาวาส</t>
  </si>
  <si>
    <t>วัดประดู่ธรรมาธิปัตย์</t>
  </si>
  <si>
    <t>วัดทองสุทธาราม</t>
  </si>
  <si>
    <t>วัดประชาศรัทธาธรรม(วัดเสาหิน)</t>
  </si>
  <si>
    <t>วัดบางบัว</t>
  </si>
  <si>
    <t>วัดไตรรัตนาราม</t>
  </si>
  <si>
    <t>วัดศิริพงษ์ธรรมนิมิต</t>
  </si>
  <si>
    <t>วัดอมราวราราม</t>
  </si>
  <si>
    <t>วัดโคกจ้าหล่า</t>
  </si>
  <si>
    <t>วัดหนองใหญ่</t>
  </si>
  <si>
    <t>วัดอยู่ดีบำรุงธรรม(วัดออเงิน)</t>
  </si>
  <si>
    <t>วัดพรพระร่วงประสิทธิ</t>
  </si>
  <si>
    <t>วัดเจริญธรรมาราม(วัดศูนย์)</t>
  </si>
  <si>
    <t>วัดราษฎร์นิยมธรรม(วัดหนองผักชี)</t>
  </si>
  <si>
    <t>วัดเทวสุนทร(วัดสุนทริการาม)</t>
  </si>
  <si>
    <t>วัดเสมียนนารี</t>
  </si>
  <si>
    <t>วัดดอนเมือง</t>
  </si>
  <si>
    <t>วัดคลองบ้านใหม่(วัดสันติบุญมาราม)</t>
  </si>
  <si>
    <t>วัดสีกัน(วัดพุทธสยาม)</t>
  </si>
  <si>
    <t>วัดหัวกระบือ</t>
  </si>
  <si>
    <t>วัดเกตุวดี</t>
  </si>
  <si>
    <t>From</t>
  </si>
  <si>
    <t>To</t>
  </si>
  <si>
    <t>Distance</t>
  </si>
  <si>
    <t>Duration</t>
  </si>
  <si>
    <t>Method:</t>
  </si>
  <si>
    <t>Vehicle type ID</t>
  </si>
  <si>
    <t>Type name</t>
  </si>
  <si>
    <t>Capacity</t>
  </si>
  <si>
    <t>Fixed cost per trip</t>
  </si>
  <si>
    <t>Cost per unit distance</t>
  </si>
  <si>
    <t>Number available</t>
  </si>
  <si>
    <t>A</t>
  </si>
  <si>
    <t>Total net profit:</t>
  </si>
  <si>
    <t>Stop count</t>
  </si>
  <si>
    <t>Location name</t>
  </si>
  <si>
    <t>Delivered</t>
  </si>
  <si>
    <t>Driving time</t>
  </si>
  <si>
    <t>Arrival</t>
  </si>
  <si>
    <t>Departure</t>
  </si>
  <si>
    <t>Working time</t>
  </si>
  <si>
    <t>Vehicle:</t>
  </si>
  <si>
    <t>A 1</t>
  </si>
  <si>
    <t>Stops:</t>
  </si>
  <si>
    <t>Net profit:</t>
  </si>
  <si>
    <t>A 2</t>
  </si>
  <si>
    <t>A 3</t>
  </si>
  <si>
    <t>A 4</t>
  </si>
  <si>
    <t>A 5</t>
  </si>
  <si>
    <t>A 6</t>
  </si>
  <si>
    <t>A 7</t>
  </si>
  <si>
    <t>A 8</t>
  </si>
  <si>
    <t>A 9</t>
  </si>
  <si>
    <t>A 10</t>
  </si>
  <si>
    <t>A 11</t>
  </si>
  <si>
    <t>A 12</t>
  </si>
  <si>
    <t>List of detected infeasibilities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</si>
</sst>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87" formatCode="[h]:mm"/>
    <numFmt numFmtId="188" formatCode="0.0000000"/>
    <numFmt numFmtId="189" formatCode="hh:mm"/>
  </numFmts>
  <fonts count="27" x14ac:knownFonts="1">
    <font>
      <sz val="11"/>
      <color theme="1"/>
      <name val="Tahoma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sz val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8"/>
      <color theme="3"/>
      <name val="Tahoma"/>
      <family val="2"/>
      <scheme val="maj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theme="1"/>
      <name val="Tahoma"/>
      <family val="2"/>
      <scheme val="minor"/>
    </font>
    <font>
      <sz val="11"/>
      <color indexed="9"/>
      <name val="Tahoma"/>
      <family val="2"/>
      <scheme val="minor"/>
    </font>
    <font>
      <sz val="11"/>
      <color indexed="8"/>
      <name val="Tahoma"/>
      <family val="2"/>
      <scheme val="minor"/>
    </font>
    <font>
      <b/>
      <sz val="11"/>
      <color indexed="8"/>
      <name val="Tahoma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23"/>
      </top>
      <bottom/>
      <diagonal/>
    </border>
  </borders>
  <cellStyleXfs count="43">
    <xf numFmtId="0" fontId="0" fillId="0" borderId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8" fillId="28" borderId="0" applyNumberFormat="0" applyBorder="0" applyAlignment="0" applyProtection="0"/>
    <xf numFmtId="0" fontId="9" fillId="29" borderId="3" applyNumberFormat="0" applyAlignment="0" applyProtection="0"/>
    <xf numFmtId="0" fontId="10" fillId="30" borderId="4" applyNumberFormat="0" applyAlignment="0" applyProtection="0"/>
    <xf numFmtId="0" fontId="11" fillId="0" borderId="0" applyNumberFormat="0" applyFill="0" applyBorder="0" applyAlignment="0" applyProtection="0"/>
    <xf numFmtId="0" fontId="12" fillId="31" borderId="0" applyNumberFormat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5" fillId="0" borderId="0" applyNumberFormat="0" applyFill="0" applyBorder="0" applyAlignment="0" applyProtection="0"/>
    <xf numFmtId="0" fontId="16" fillId="32" borderId="3" applyNumberFormat="0" applyAlignment="0" applyProtection="0"/>
    <xf numFmtId="0" fontId="17" fillId="0" borderId="8" applyNumberFormat="0" applyFill="0" applyAlignment="0" applyProtection="0"/>
    <xf numFmtId="0" fontId="18" fillId="33" borderId="0" applyNumberFormat="0" applyBorder="0" applyAlignment="0" applyProtection="0"/>
    <xf numFmtId="0" fontId="6" fillId="0" borderId="0"/>
    <xf numFmtId="0" fontId="1" fillId="34" borderId="9" applyNumberFormat="0" applyFont="0" applyAlignment="0" applyProtection="0"/>
    <xf numFmtId="0" fontId="19" fillId="29" borderId="10" applyNumberFormat="0" applyAlignment="0" applyProtection="0"/>
    <xf numFmtId="0" fontId="20" fillId="0" borderId="0" applyNumberFormat="0" applyFill="0" applyBorder="0" applyAlignment="0" applyProtection="0"/>
    <xf numFmtId="0" fontId="21" fillId="0" borderId="11" applyNumberFormat="0" applyFill="0" applyAlignment="0" applyProtection="0"/>
    <xf numFmtId="0" fontId="22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3" fillId="2" borderId="0" xfId="0" applyFont="1" applyFill="1" applyBorder="1"/>
    <xf numFmtId="0" fontId="2" fillId="0" borderId="1" xfId="0" applyFont="1" applyBorder="1"/>
    <xf numFmtId="0" fontId="0" fillId="0" borderId="1" xfId="0" applyBorder="1"/>
    <xf numFmtId="0" fontId="4" fillId="3" borderId="1" xfId="0" applyFont="1" applyFill="1" applyBorder="1"/>
    <xf numFmtId="0" fontId="2" fillId="0" borderId="2" xfId="0" applyFont="1" applyBorder="1"/>
    <xf numFmtId="0" fontId="0" fillId="0" borderId="2" xfId="0" applyBorder="1"/>
    <xf numFmtId="0" fontId="4" fillId="3" borderId="2" xfId="0" applyFont="1" applyFill="1" applyBorder="1"/>
    <xf numFmtId="187" fontId="4" fillId="3" borderId="1" xfId="0" applyNumberFormat="1" applyFont="1" applyFill="1" applyBorder="1"/>
    <xf numFmtId="9" fontId="4" fillId="3" borderId="1" xfId="0" applyNumberFormat="1" applyFont="1" applyFill="1" applyBorder="1"/>
    <xf numFmtId="20" fontId="4" fillId="3" borderId="1" xfId="0" applyNumberFormat="1" applyFont="1" applyFill="1" applyBorder="1"/>
    <xf numFmtId="0" fontId="23" fillId="0" borderId="0" xfId="0" applyFont="1"/>
    <xf numFmtId="0" fontId="24" fillId="2" borderId="0" xfId="0" applyFont="1" applyFill="1" applyBorder="1"/>
    <xf numFmtId="0" fontId="24" fillId="3" borderId="0" xfId="0" applyFont="1" applyFill="1" applyBorder="1"/>
    <xf numFmtId="188" fontId="24" fillId="3" borderId="0" xfId="0" applyNumberFormat="1" applyFont="1" applyFill="1" applyBorder="1"/>
    <xf numFmtId="0" fontId="24" fillId="3" borderId="1" xfId="0" applyFont="1" applyFill="1" applyBorder="1"/>
    <xf numFmtId="0" fontId="24" fillId="2" borderId="1" xfId="0" applyFont="1" applyFill="1" applyBorder="1"/>
    <xf numFmtId="188" fontId="24" fillId="3" borderId="1" xfId="0" applyNumberFormat="1" applyFont="1" applyFill="1" applyBorder="1"/>
    <xf numFmtId="0" fontId="24" fillId="2" borderId="12" xfId="0" applyFont="1" applyFill="1" applyBorder="1"/>
    <xf numFmtId="0" fontId="24" fillId="3" borderId="12" xfId="0" applyFont="1" applyFill="1" applyBorder="1"/>
    <xf numFmtId="188" fontId="24" fillId="3" borderId="12" xfId="0" applyNumberFormat="1" applyFont="1" applyFill="1" applyBorder="1"/>
    <xf numFmtId="187" fontId="24" fillId="3" borderId="12" xfId="0" applyNumberFormat="1" applyFont="1" applyFill="1" applyBorder="1"/>
    <xf numFmtId="187" fontId="24" fillId="2" borderId="0" xfId="0" applyNumberFormat="1" applyFont="1" applyFill="1" applyBorder="1"/>
    <xf numFmtId="0" fontId="0" fillId="35" borderId="0" xfId="0" applyFill="1"/>
    <xf numFmtId="0" fontId="23" fillId="0" borderId="0" xfId="0" applyFont="1" applyAlignment="1">
      <alignment horizontal="center" vertical="center"/>
    </xf>
    <xf numFmtId="189" fontId="24" fillId="3" borderId="0" xfId="0" applyNumberFormat="1" applyFont="1" applyFill="1" applyBorder="1" applyAlignment="1">
      <alignment horizontal="center" vertical="center"/>
    </xf>
    <xf numFmtId="189" fontId="24" fillId="3" borderId="1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4" fillId="3" borderId="0" xfId="0" applyNumberFormat="1" applyFont="1" applyFill="1" applyBorder="1"/>
    <xf numFmtId="187" fontId="24" fillId="3" borderId="0" xfId="0" applyNumberFormat="1" applyFont="1" applyFill="1" applyBorder="1"/>
    <xf numFmtId="2" fontId="24" fillId="3" borderId="1" xfId="0" applyNumberFormat="1" applyFont="1" applyFill="1" applyBorder="1"/>
    <xf numFmtId="187" fontId="24" fillId="3" borderId="1" xfId="0" applyNumberFormat="1" applyFont="1" applyFill="1" applyBorder="1"/>
    <xf numFmtId="2" fontId="24" fillId="3" borderId="12" xfId="0" applyNumberFormat="1" applyFont="1" applyFill="1" applyBorder="1"/>
    <xf numFmtId="0" fontId="24" fillId="2" borderId="2" xfId="0" applyFont="1" applyFill="1" applyBorder="1" applyAlignment="1">
      <alignment horizontal="center" vertical="center"/>
    </xf>
    <xf numFmtId="0" fontId="24" fillId="3" borderId="2" xfId="0" applyFont="1" applyFill="1" applyBorder="1" applyAlignment="1">
      <alignment horizontal="center" vertical="center"/>
    </xf>
    <xf numFmtId="0" fontId="25" fillId="36" borderId="0" xfId="0" applyFont="1" applyFill="1" applyBorder="1"/>
    <xf numFmtId="2" fontId="25" fillId="36" borderId="0" xfId="0" applyNumberFormat="1" applyFont="1" applyFill="1" applyBorder="1"/>
    <xf numFmtId="187" fontId="25" fillId="36" borderId="0" xfId="0" applyNumberFormat="1" applyFont="1" applyFill="1" applyBorder="1"/>
    <xf numFmtId="189" fontId="25" fillId="36" borderId="0" xfId="0" applyNumberFormat="1" applyFont="1" applyFill="1" applyBorder="1"/>
    <xf numFmtId="0" fontId="25" fillId="36" borderId="1" xfId="0" applyFont="1" applyFill="1" applyBorder="1"/>
    <xf numFmtId="2" fontId="25" fillId="36" borderId="1" xfId="0" applyNumberFormat="1" applyFont="1" applyFill="1" applyBorder="1"/>
    <xf numFmtId="187" fontId="25" fillId="36" borderId="1" xfId="0" applyNumberFormat="1" applyFont="1" applyFill="1" applyBorder="1"/>
    <xf numFmtId="189" fontId="25" fillId="36" borderId="1" xfId="0" applyNumberFormat="1" applyFont="1" applyFill="1" applyBorder="1"/>
    <xf numFmtId="0" fontId="25" fillId="36" borderId="12" xfId="0" applyFont="1" applyFill="1" applyBorder="1"/>
    <xf numFmtId="2" fontId="25" fillId="36" borderId="12" xfId="0" applyNumberFormat="1" applyFont="1" applyFill="1" applyBorder="1"/>
    <xf numFmtId="187" fontId="25" fillId="36" borderId="12" xfId="0" applyNumberFormat="1" applyFont="1" applyFill="1" applyBorder="1"/>
    <xf numFmtId="189" fontId="25" fillId="36" borderId="12" xfId="0" applyNumberFormat="1" applyFont="1" applyFill="1" applyBorder="1"/>
    <xf numFmtId="2" fontId="26" fillId="36" borderId="0" xfId="0" applyNumberFormat="1" applyFont="1" applyFill="1"/>
    <xf numFmtId="0" fontId="23" fillId="36" borderId="0" xfId="0" applyFont="1" applyFill="1"/>
    <xf numFmtId="2" fontId="23" fillId="36" borderId="0" xfId="0" applyNumberFormat="1" applyFont="1" applyFill="1"/>
    <xf numFmtId="0" fontId="23" fillId="0" borderId="0" xfId="0" applyFont="1" applyFill="1"/>
  </cellXfs>
  <cellStyles count="43">
    <cellStyle name="20% - Accent1 2" xfId="1" xr:uid="{00000000-0005-0000-0000-000000000000}"/>
    <cellStyle name="20% - Accent2 2" xfId="2" xr:uid="{00000000-0005-0000-0000-000001000000}"/>
    <cellStyle name="20% - Accent3 2" xfId="3" xr:uid="{00000000-0005-0000-0000-000002000000}"/>
    <cellStyle name="20% - Accent4 2" xfId="4" xr:uid="{00000000-0005-0000-0000-000003000000}"/>
    <cellStyle name="20% - Accent5 2" xfId="5" xr:uid="{00000000-0005-0000-0000-000004000000}"/>
    <cellStyle name="20% - Accent6 2" xfId="6" xr:uid="{00000000-0005-0000-0000-000005000000}"/>
    <cellStyle name="40% - Accent1 2" xfId="7" xr:uid="{00000000-0005-0000-0000-000006000000}"/>
    <cellStyle name="40% - Accent2 2" xfId="8" xr:uid="{00000000-0005-0000-0000-000007000000}"/>
    <cellStyle name="40% - Accent3 2" xfId="9" xr:uid="{00000000-0005-0000-0000-000008000000}"/>
    <cellStyle name="40% - Accent4 2" xfId="10" xr:uid="{00000000-0005-0000-0000-000009000000}"/>
    <cellStyle name="40% - Accent5 2" xfId="11" xr:uid="{00000000-0005-0000-0000-00000A000000}"/>
    <cellStyle name="40% - Accent6 2" xfId="12" xr:uid="{00000000-0005-0000-0000-00000B000000}"/>
    <cellStyle name="60% - Accent1 2" xfId="13" xr:uid="{00000000-0005-0000-0000-00000C000000}"/>
    <cellStyle name="60% - Accent2 2" xfId="14" xr:uid="{00000000-0005-0000-0000-00000D000000}"/>
    <cellStyle name="60% - Accent3 2" xfId="15" xr:uid="{00000000-0005-0000-0000-00000E000000}"/>
    <cellStyle name="60% - Accent4 2" xfId="16" xr:uid="{00000000-0005-0000-0000-00000F000000}"/>
    <cellStyle name="60% - Accent5 2" xfId="17" xr:uid="{00000000-0005-0000-0000-000010000000}"/>
    <cellStyle name="60% - Accent6 2" xfId="18" xr:uid="{00000000-0005-0000-0000-000011000000}"/>
    <cellStyle name="Accent1 2" xfId="19" xr:uid="{00000000-0005-0000-0000-000012000000}"/>
    <cellStyle name="Accent2 2" xfId="20" xr:uid="{00000000-0005-0000-0000-000013000000}"/>
    <cellStyle name="Accent3 2" xfId="21" xr:uid="{00000000-0005-0000-0000-000014000000}"/>
    <cellStyle name="Accent4 2" xfId="22" xr:uid="{00000000-0005-0000-0000-000015000000}"/>
    <cellStyle name="Accent5 2" xfId="23" xr:uid="{00000000-0005-0000-0000-000016000000}"/>
    <cellStyle name="Accent6 2" xfId="24" xr:uid="{00000000-0005-0000-0000-000017000000}"/>
    <cellStyle name="Bad 2" xfId="25" xr:uid="{00000000-0005-0000-0000-000018000000}"/>
    <cellStyle name="Calculation 2" xfId="26" xr:uid="{00000000-0005-0000-0000-000019000000}"/>
    <cellStyle name="Check Cell 2" xfId="27" xr:uid="{00000000-0005-0000-0000-00001A000000}"/>
    <cellStyle name="Explanatory Text 2" xfId="28" xr:uid="{00000000-0005-0000-0000-00001B000000}"/>
    <cellStyle name="Good 2" xfId="29" xr:uid="{00000000-0005-0000-0000-00001C000000}"/>
    <cellStyle name="Heading 1 2" xfId="30" xr:uid="{00000000-0005-0000-0000-00001D000000}"/>
    <cellStyle name="Heading 2 2" xfId="31" xr:uid="{00000000-0005-0000-0000-00001E000000}"/>
    <cellStyle name="Heading 3 2" xfId="32" xr:uid="{00000000-0005-0000-0000-00001F000000}"/>
    <cellStyle name="Heading 4 2" xfId="33" xr:uid="{00000000-0005-0000-0000-000020000000}"/>
    <cellStyle name="Input 2" xfId="34" xr:uid="{00000000-0005-0000-0000-000021000000}"/>
    <cellStyle name="Linked Cell 2" xfId="35" xr:uid="{00000000-0005-0000-0000-000022000000}"/>
    <cellStyle name="Neutral 2" xfId="36" xr:uid="{00000000-0005-0000-0000-000023000000}"/>
    <cellStyle name="Normal" xfId="0" builtinId="0"/>
    <cellStyle name="Normal 2" xfId="37" xr:uid="{00000000-0005-0000-0000-000025000000}"/>
    <cellStyle name="Note 2" xfId="38" xr:uid="{00000000-0005-0000-0000-000026000000}"/>
    <cellStyle name="Output 2" xfId="39" xr:uid="{00000000-0005-0000-0000-000027000000}"/>
    <cellStyle name="Title" xfId="40" builtinId="15" customBuiltin="1"/>
    <cellStyle name="Total 2" xfId="41" xr:uid="{00000000-0005-0000-0000-000029000000}"/>
    <cellStyle name="Warning Text 2" xfId="42" xr:uid="{00000000-0005-0000-0000-00002A000000}"/>
  </cellStyles>
  <dxfs count="1033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search/local/ws/rest/v1'">
  <Schema ID="Schema1" Namespace="http://schemas.microsoft.com/search/local/ws/rest/v1">
    <xsd:schema xmlns:xsd="http://www.w3.org/2001/XMLSchema" xmlns:ns0="http://schemas.microsoft.com/search/local/ws/rest/v1" xmlns="" targetNamespace="http://schemas.microsoft.com/search/local/ws/rest/v1">
      <xsd:element nillable="true" name="Response">
        <xsd:complexType>
          <xsd:sequence minOccurs="0">
            <xsd:element minOccurs="0" nillable="true" type="xsd:string" name="Copyright" form="qualified"/>
            <xsd:element minOccurs="0" nillable="true" type="xsd:anyURI" name="BrandLogoUri" form="qualified"/>
            <xsd:element minOccurs="0" nillable="true" type="xsd:integer" name="StatusCode" form="qualified"/>
            <xsd:element minOccurs="0" nillable="true" type="xsd:string" name="StatusDescription" form="qualified"/>
            <xsd:element minOccurs="0" nillable="true" type="xsd:string" name="AuthenticationResultCode" form="qualified"/>
            <xsd:element minOccurs="0" nillable="true" type="xsd:string" name="TraceId" form="qualified"/>
            <xsd:element minOccurs="0" nillable="true" name="ResourceSets" form="qualified">
              <xsd:complexType>
                <xsd:sequence minOccurs="0">
                  <xsd:element minOccurs="0" nillable="true" name="ResourceSet" form="qualified">
                    <xsd:complexType>
                      <xsd:sequence minOccurs="0">
                        <xsd:element minOccurs="0" nillable="true" type="xsd:integer" name="EstimatedTotal" form="qualified"/>
                        <xsd:element minOccurs="0" nillable="true" name="Resources" form="qualified">
                          <xsd:complexType>
                            <xsd:sequence minOccurs="0">
                              <xsd:element minOccurs="0" nillable="true" name="Route" form="qualified">
                                <xsd:complexType>
                                  <xsd:sequence minOccurs="0">
                                    <xsd:element minOccurs="0" nillable="true" type="xsd:string" name="Id" form="qualified"/>
                                    <xsd:element minOccurs="0" nillable="true" name="BoundingBox" form="qualified">
                                      <xsd:complexType>
                                        <xsd:sequence minOccurs="0">
                                          <xsd:element minOccurs="0" nillable="true" type="xsd:double" name="SouthLatitude" form="qualified"/>
                                          <xsd:element minOccurs="0" nillable="true" type="xsd:double" name="WestLongitude" form="qualified"/>
                                          <xsd:element minOccurs="0" nillable="true" type="xsd:double" name="NorthLatitude" form="qualified"/>
                                          <xsd:element minOccurs="0" nillable="true" type="xsd:double" name="EastLongitude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DistanceUnit" form="qualified"/>
                                    <xsd:element minOccurs="0" nillable="true" type="xsd:string" name="DurationUnit" form="qualified"/>
                                    <xsd:element minOccurs="0" nillable="true" type="xsd:double" name="TravelDistance" form="qualified"/>
                                    <xsd:element minOccurs="0" nillable="true" type="xsd:integer" name="TravelDuration" form="qualified"/>
                                    <xsd:element minOccurs="0" nillable="true" type="xsd:integer" name="TravelDurationTraffic" form="qualified"/>
                                    <xsd:element minOccurs="0" nillable="true" name="RouteLeg" form="qualified">
                                      <xsd:complexType>
                                        <xsd:sequence minOccurs="0">
                                          <xsd:element minOccurs="0" nillable="true" type="xsd:double" name="TravelDistance" form="qualified"/>
                                          <xsd:element minOccurs="0" nillable="true" type="xsd:integer" name="TravelDuration" form="qualified"/>
                                          <xsd:element minOccurs="0" nillable="true" type="xsd:integer" name="Cost" form="qualified"/>
                                          <xsd:element minOccurs="0" nillable="true" name="ActualStart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ctualEnd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ItineraryItem" form="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TravelMode" form="qualified"/>
                                                <xsd:element minOccurs="0" nillable="true" type="xsd:double" name="TravelDistance" form="qualified"/>
                                                <xsd:element minOccurs="0" nillable="true" type="xsd:integer" name="TravelDuration" form="qualified"/>
                                                <xsd:element minOccurs="0" nillable="true" name="ManeuverPoint" form="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Latitude" form="qualified"/>
                                                      <xsd:element minOccurs="0" nillable="true" type="xsd:double" name="Longitu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struction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maneuverType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string" name="CompassDirection" form="qualified"/>
                                                <xsd:element minOccurs="0" nillable="true" name="Warning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warningType" form="unqualified" type="xsd:string"/>
                                                        <xsd:attribute name="severity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maxOccurs="unbounded" nillable="true" name="Detail" form="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type="xsd:string" name="ManeuverType" form="qualified"/>
                                                      <xsd:element minOccurs="0" nillable="true" type="xsd:integer" name="StartPathIndex" form="qualified"/>
                                                      <xsd:element minOccurs="0" nillable="true" type="xsd:integer" name="EndPathIndex" form="qualified"/>
                                                      <xsd:element minOccurs="0" nillable="true" type="xsd:string" name="Name" form="qualified"/>
                                                      <xsd:element minOccurs="0" nillable="true" type="xsd:integer" name="CompassDegrees" form="qualified"/>
                                                      <xsd:element minOccurs="0" nillable="true" type="xsd:string" name="Mode" form="qualified"/>
                                                      <xsd:element minOccurs="0" nillable="true" type="xsd:integer" name="PreviousEntityId" form="qualified"/>
                                                      <xsd:element minOccurs="0" nillable="true" type="xsd:integer" name="NextEntityId" form="qualified"/>
                                                      <xsd:element minOccurs="0" nillable="true" type="xsd:string" name="RoadType" form="qualified"/>
                                                      <xsd:element minOccurs="0" nillable="true" name="RoadShieldRequestParameters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Bucket" form="qualified"/>
                                                            <xsd:element minOccurs="0" nillable="true" name="Shield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RoadShieldType" form="qualified"/>
                                                                  <xsd:element minOccurs="0" nillable="true" type="xsd:string" name="Label" form="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type="xsd:string" name="LocationCo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xit" form="qualified"/>
                                                <xsd:element minOccurs="0" nillable="true" type="xsd:string" name="TollZone" form="qualified"/>
                                                <xsd:element minOccurs="0" nillable="true" type="xsd:string" name="TransitTerminus" form="qualified"/>
                                                <xsd:element minOccurs="0" nillable="true" type="xsd:integer" name="TripId" form="qualified"/>
                                                <xsd:element minOccurs="0" nillable="true" type="xsd:string" name="IconType" form="qualified"/>
                                                <xsd:element minOccurs="0" nillable="true" type="xsd:dateTime" name="Time" form="qualified"/>
                                                <xsd:element minOccurs="0" nillable="true" type="xsd:integer" name="TransitStopId" form="qualified"/>
                                                <xsd:element minOccurs="0" nillable="true" type="xsd:string" name="TowardsRoadName" form="qualified"/>
                                                <xsd:element minOccurs="0" nillable="true" type="xsd:string" name="SideOfStreet" form="qualified"/>
                                                <xsd:element minOccurs="0" maxOccurs="unbounded" nillable="true" type="xsd:string" name="Sign" form="qualified"/>
                                                <xsd:element minOccurs="0" maxOccurs="unbounded" nillable="true" type="xsd:string" name="Hin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ateTime" name="StartTime" form="qualified"/>
                                          <xsd:element minOccurs="0" nillable="true" type="xsd:dateTime" name="EndTime" form="qualified"/>
                                          <xsd:element minOccurs="0" nillable="true" type="xsd:string" name="Description" form="qualified"/>
                                          <xsd:element minOccurs="0" nillable="true" type="xsd:string" name="RouteRegion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ponse_Map" RootElement="Respons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8.4210526315789472E-3"/>
          <c:y val="1.020408163265306E-2"/>
          <c:w val="0.81263157894736837"/>
          <c:h val="0.9846938775510204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</c:marker>
          <c:dPt>
            <c:idx val="0"/>
            <c:marker>
              <c:symbol val="square"/>
              <c:size val="10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91F-4278-898F-3E2F02FC4632}"/>
              </c:ext>
            </c:extLst>
          </c:dPt>
          <c:dPt>
            <c:idx val="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91F-4278-898F-3E2F02FC4632}"/>
              </c:ext>
            </c:extLst>
          </c:dPt>
          <c:dPt>
            <c:idx val="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91F-4278-898F-3E2F02FC4632}"/>
              </c:ext>
            </c:extLst>
          </c:dPt>
          <c:dPt>
            <c:idx val="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91F-4278-898F-3E2F02FC4632}"/>
              </c:ext>
            </c:extLst>
          </c:dPt>
          <c:dPt>
            <c:idx val="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91F-4278-898F-3E2F02FC4632}"/>
              </c:ext>
            </c:extLst>
          </c:dPt>
          <c:dPt>
            <c:idx val="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91F-4278-898F-3E2F02FC4632}"/>
              </c:ext>
            </c:extLst>
          </c:dPt>
          <c:dPt>
            <c:idx val="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91F-4278-898F-3E2F02FC4632}"/>
              </c:ext>
            </c:extLst>
          </c:dPt>
          <c:dPt>
            <c:idx val="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91F-4278-898F-3E2F02FC4632}"/>
              </c:ext>
            </c:extLst>
          </c:dPt>
          <c:dPt>
            <c:idx val="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91F-4278-898F-3E2F02FC4632}"/>
              </c:ext>
            </c:extLst>
          </c:dPt>
          <c:dPt>
            <c:idx val="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91F-4278-898F-3E2F02FC4632}"/>
              </c:ext>
            </c:extLst>
          </c:dPt>
          <c:dPt>
            <c:idx val="1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91F-4278-898F-3E2F02FC4632}"/>
              </c:ext>
            </c:extLst>
          </c:dPt>
          <c:dPt>
            <c:idx val="1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91F-4278-898F-3E2F02FC4632}"/>
              </c:ext>
            </c:extLst>
          </c:dPt>
          <c:dPt>
            <c:idx val="1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91F-4278-898F-3E2F02FC4632}"/>
              </c:ext>
            </c:extLst>
          </c:dPt>
          <c:dPt>
            <c:idx val="1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91F-4278-898F-3E2F02FC4632}"/>
              </c:ext>
            </c:extLst>
          </c:dPt>
          <c:dPt>
            <c:idx val="1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91F-4278-898F-3E2F02FC4632}"/>
              </c:ext>
            </c:extLst>
          </c:dPt>
          <c:dPt>
            <c:idx val="1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391F-4278-898F-3E2F02FC4632}"/>
              </c:ext>
            </c:extLst>
          </c:dPt>
          <c:dPt>
            <c:idx val="1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391F-4278-898F-3E2F02FC4632}"/>
              </c:ext>
            </c:extLst>
          </c:dPt>
          <c:dPt>
            <c:idx val="1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391F-4278-898F-3E2F02FC4632}"/>
              </c:ext>
            </c:extLst>
          </c:dPt>
          <c:dPt>
            <c:idx val="1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391F-4278-898F-3E2F02FC4632}"/>
              </c:ext>
            </c:extLst>
          </c:dPt>
          <c:dPt>
            <c:idx val="1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391F-4278-898F-3E2F02FC4632}"/>
              </c:ext>
            </c:extLst>
          </c:dPt>
          <c:dPt>
            <c:idx val="2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391F-4278-898F-3E2F02FC4632}"/>
              </c:ext>
            </c:extLst>
          </c:dPt>
          <c:dPt>
            <c:idx val="21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391F-4278-898F-3E2F02FC4632}"/>
              </c:ext>
            </c:extLst>
          </c:dPt>
          <c:dPt>
            <c:idx val="22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391F-4278-898F-3E2F02FC4632}"/>
              </c:ext>
            </c:extLst>
          </c:dPt>
          <c:dPt>
            <c:idx val="23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391F-4278-898F-3E2F02FC4632}"/>
              </c:ext>
            </c:extLst>
          </c:dPt>
          <c:dPt>
            <c:idx val="24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91F-4278-898F-3E2F02FC4632}"/>
              </c:ext>
            </c:extLst>
          </c:dPt>
          <c:dPt>
            <c:idx val="25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391F-4278-898F-3E2F02FC4632}"/>
              </c:ext>
            </c:extLst>
          </c:dPt>
          <c:dPt>
            <c:idx val="26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391F-4278-898F-3E2F02FC4632}"/>
              </c:ext>
            </c:extLst>
          </c:dPt>
          <c:dPt>
            <c:idx val="27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391F-4278-898F-3E2F02FC4632}"/>
              </c:ext>
            </c:extLst>
          </c:dPt>
          <c:dPt>
            <c:idx val="28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391F-4278-898F-3E2F02FC4632}"/>
              </c:ext>
            </c:extLst>
          </c:dPt>
          <c:dPt>
            <c:idx val="29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391F-4278-898F-3E2F02FC4632}"/>
              </c:ext>
            </c:extLst>
          </c:dPt>
          <c:dPt>
            <c:idx val="30"/>
            <c:marker>
              <c:spPr>
                <a:solidFill>
                  <a:srgbClr val="008000"/>
                </a:solidFill>
                <a:ln>
                  <a:solidFill>
                    <a:srgbClr val="008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391F-4278-898F-3E2F02FC463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91F-4278-898F-3E2F02FC46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91F-4278-898F-3E2F02FC46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1F-4278-898F-3E2F02FC46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1F-4278-898F-3E2F02FC463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1F-4278-898F-3E2F02FC463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1F-4278-898F-3E2F02FC463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1F-4278-898F-3E2F02FC463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1F-4278-898F-3E2F02FC463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1F-4278-898F-3E2F02FC463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91F-4278-898F-3E2F02FC463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1F-4278-898F-3E2F02FC463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91F-4278-898F-3E2F02FC463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1F-4278-898F-3E2F02FC463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91F-4278-898F-3E2F02FC463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91F-4278-898F-3E2F02FC463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91F-4278-898F-3E2F02FC463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91F-4278-898F-3E2F02FC463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91F-4278-898F-3E2F02FC463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91F-4278-898F-3E2F02FC463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91F-4278-898F-3E2F02FC463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91F-4278-898F-3E2F02FC463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91F-4278-898F-3E2F02FC463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91F-4278-898F-3E2F02FC463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91F-4278-898F-3E2F02FC463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91F-4278-898F-3E2F02FC463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91F-4278-898F-3E2F02FC463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91F-4278-898F-3E2F02FC463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91F-4278-898F-3E2F02FC463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91F-4278-898F-3E2F02FC463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91F-4278-898F-3E2F02FC463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91F-4278-898F-3E2F02FC4632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'1.Locations'!$E$2:$E$32</c:f>
              <c:numCache>
                <c:formatCode>0.0000000</c:formatCode>
                <c:ptCount val="31"/>
                <c:pt idx="0">
                  <c:v>100.416859</c:v>
                </c:pt>
                <c:pt idx="1">
                  <c:v>100.5185609</c:v>
                </c:pt>
                <c:pt idx="2">
                  <c:v>100.51548769999999</c:v>
                </c:pt>
                <c:pt idx="3">
                  <c:v>100.520204499999</c:v>
                </c:pt>
                <c:pt idx="4">
                  <c:v>100.52074500000001</c:v>
                </c:pt>
                <c:pt idx="5">
                  <c:v>100.5217181</c:v>
                </c:pt>
                <c:pt idx="6">
                  <c:v>100.5272976</c:v>
                </c:pt>
                <c:pt idx="7">
                  <c:v>100.449296</c:v>
                </c:pt>
                <c:pt idx="8">
                  <c:v>100.523811499999</c:v>
                </c:pt>
                <c:pt idx="9">
                  <c:v>100.521715299999</c:v>
                </c:pt>
                <c:pt idx="10">
                  <c:v>100.52995209999899</c:v>
                </c:pt>
                <c:pt idx="11">
                  <c:v>100.15096800000001</c:v>
                </c:pt>
                <c:pt idx="12">
                  <c:v>100.519665</c:v>
                </c:pt>
                <c:pt idx="13">
                  <c:v>100.523582</c:v>
                </c:pt>
                <c:pt idx="14">
                  <c:v>100.52975079999899</c:v>
                </c:pt>
                <c:pt idx="15">
                  <c:v>100.51931500000001</c:v>
                </c:pt>
                <c:pt idx="16">
                  <c:v>100.58801080000001</c:v>
                </c:pt>
                <c:pt idx="17">
                  <c:v>100.621873199999</c:v>
                </c:pt>
                <c:pt idx="18">
                  <c:v>100.645380199999</c:v>
                </c:pt>
                <c:pt idx="19">
                  <c:v>100.62130089999999</c:v>
                </c:pt>
                <c:pt idx="20">
                  <c:v>100.6823091</c:v>
                </c:pt>
                <c:pt idx="21">
                  <c:v>100.68647989999999</c:v>
                </c:pt>
                <c:pt idx="22">
                  <c:v>100.66510700000001</c:v>
                </c:pt>
                <c:pt idx="23">
                  <c:v>100.65940689999999</c:v>
                </c:pt>
                <c:pt idx="24">
                  <c:v>100.63790299999999</c:v>
                </c:pt>
                <c:pt idx="25">
                  <c:v>100.6251494</c:v>
                </c:pt>
                <c:pt idx="26">
                  <c:v>100.50288399999999</c:v>
                </c:pt>
                <c:pt idx="27">
                  <c:v>100.555982999999</c:v>
                </c:pt>
                <c:pt idx="28">
                  <c:v>100.60126700000001</c:v>
                </c:pt>
                <c:pt idx="29">
                  <c:v>100.5730034</c:v>
                </c:pt>
                <c:pt idx="30">
                  <c:v>100.567295</c:v>
                </c:pt>
              </c:numCache>
            </c:numRef>
          </c:xVal>
          <c:yVal>
            <c:numRef>
              <c:f>'1.Locations'!$D$2:$D$32</c:f>
              <c:numCache>
                <c:formatCode>0.0000000</c:formatCode>
                <c:ptCount val="31"/>
                <c:pt idx="0">
                  <c:v>13.626301</c:v>
                </c:pt>
                <c:pt idx="1">
                  <c:v>13.7994261</c:v>
                </c:pt>
                <c:pt idx="2">
                  <c:v>13.7811652</c:v>
                </c:pt>
                <c:pt idx="3">
                  <c:v>13.779468</c:v>
                </c:pt>
                <c:pt idx="4">
                  <c:v>13.784387000000001</c:v>
                </c:pt>
                <c:pt idx="5">
                  <c:v>13.7941681</c:v>
                </c:pt>
                <c:pt idx="6">
                  <c:v>13.775555199999999</c:v>
                </c:pt>
                <c:pt idx="7">
                  <c:v>13.619595</c:v>
                </c:pt>
                <c:pt idx="8">
                  <c:v>13.7897821</c:v>
                </c:pt>
                <c:pt idx="9">
                  <c:v>13.829655199999999</c:v>
                </c:pt>
                <c:pt idx="10">
                  <c:v>13.8162495</c:v>
                </c:pt>
                <c:pt idx="11">
                  <c:v>13.512544</c:v>
                </c:pt>
                <c:pt idx="12">
                  <c:v>13.809201</c:v>
                </c:pt>
                <c:pt idx="13">
                  <c:v>13.801686500000001</c:v>
                </c:pt>
                <c:pt idx="14">
                  <c:v>13.8338299</c:v>
                </c:pt>
                <c:pt idx="15">
                  <c:v>13.818503</c:v>
                </c:pt>
                <c:pt idx="16">
                  <c:v>13.8543667</c:v>
                </c:pt>
                <c:pt idx="17">
                  <c:v>13.8529418</c:v>
                </c:pt>
                <c:pt idx="18">
                  <c:v>13.860783700000001</c:v>
                </c:pt>
                <c:pt idx="19">
                  <c:v>13.8931919</c:v>
                </c:pt>
                <c:pt idx="20">
                  <c:v>13.892532900000001</c:v>
                </c:pt>
                <c:pt idx="21">
                  <c:v>13.919617199999999</c:v>
                </c:pt>
                <c:pt idx="22">
                  <c:v>13.905555</c:v>
                </c:pt>
                <c:pt idx="23">
                  <c:v>13.8845206</c:v>
                </c:pt>
                <c:pt idx="24">
                  <c:v>13.926033</c:v>
                </c:pt>
                <c:pt idx="25">
                  <c:v>13.8839574</c:v>
                </c:pt>
                <c:pt idx="26">
                  <c:v>13.769646</c:v>
                </c:pt>
                <c:pt idx="27">
                  <c:v>13.839822399999999</c:v>
                </c:pt>
                <c:pt idx="28">
                  <c:v>13.9225738</c:v>
                </c:pt>
                <c:pt idx="29">
                  <c:v>13.9479513</c:v>
                </c:pt>
                <c:pt idx="30">
                  <c:v>13.932459700000001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91F-4278-898F-3E2F02FC4632}"/>
            </c:ext>
          </c:extLst>
        </c:ser>
        <c:ser>
          <c:idx val="1"/>
          <c:order val="1"/>
          <c:tx>
            <c:strRef>
              <c:f>'4.Solution'!$B$3</c:f>
              <c:strCache>
                <c:ptCount val="1"/>
                <c:pt idx="0">
                  <c:v>A 1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'4.Solution'!$E$5:$E$36</c:f>
              <c:numCache>
                <c:formatCode>General</c:formatCode>
                <c:ptCount val="32"/>
                <c:pt idx="0">
                  <c:v>100.416859</c:v>
                </c:pt>
                <c:pt idx="1">
                  <c:v>100.52074500000001</c:v>
                </c:pt>
                <c:pt idx="2">
                  <c:v>100.50288399999999</c:v>
                </c:pt>
                <c:pt idx="3">
                  <c:v>100.416859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'4.Solution'!$D$5:$D$36</c:f>
              <c:numCache>
                <c:formatCode>General</c:formatCode>
                <c:ptCount val="32"/>
                <c:pt idx="0">
                  <c:v>13.626301</c:v>
                </c:pt>
                <c:pt idx="1">
                  <c:v>13.784387000000001</c:v>
                </c:pt>
                <c:pt idx="2">
                  <c:v>13.769646</c:v>
                </c:pt>
                <c:pt idx="3">
                  <c:v>13.626301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91F-4278-898F-3E2F02FC4632}"/>
            </c:ext>
          </c:extLst>
        </c:ser>
        <c:ser>
          <c:idx val="2"/>
          <c:order val="2"/>
          <c:tx>
            <c:strRef>
              <c:f>'4.Solution'!$O$3</c:f>
              <c:strCache>
                <c:ptCount val="1"/>
                <c:pt idx="0">
                  <c:v>A 2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'4.Solution'!$R$5:$R$36</c:f>
              <c:numCache>
                <c:formatCode>General</c:formatCode>
                <c:ptCount val="32"/>
                <c:pt idx="0">
                  <c:v>100.416859</c:v>
                </c:pt>
                <c:pt idx="1">
                  <c:v>100.52995209999899</c:v>
                </c:pt>
                <c:pt idx="2">
                  <c:v>100.555982999999</c:v>
                </c:pt>
                <c:pt idx="3">
                  <c:v>100.521715299999</c:v>
                </c:pt>
                <c:pt idx="4">
                  <c:v>100.416859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'4.Solution'!$Q$5:$Q$36</c:f>
              <c:numCache>
                <c:formatCode>General</c:formatCode>
                <c:ptCount val="32"/>
                <c:pt idx="0">
                  <c:v>13.626301</c:v>
                </c:pt>
                <c:pt idx="1">
                  <c:v>13.8162495</c:v>
                </c:pt>
                <c:pt idx="2">
                  <c:v>13.839822399999999</c:v>
                </c:pt>
                <c:pt idx="3">
                  <c:v>13.829655199999999</c:v>
                </c:pt>
                <c:pt idx="4">
                  <c:v>13.626301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91F-4278-898F-3E2F02FC4632}"/>
            </c:ext>
          </c:extLst>
        </c:ser>
        <c:ser>
          <c:idx val="3"/>
          <c:order val="3"/>
          <c:tx>
            <c:strRef>
              <c:f>'4.Solution'!$AB$3</c:f>
              <c:strCache>
                <c:ptCount val="1"/>
                <c:pt idx="0">
                  <c:v>A 3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'4.Solution'!$AE$5:$AE$36</c:f>
              <c:numCache>
                <c:formatCode>General</c:formatCode>
                <c:ptCount val="32"/>
                <c:pt idx="0">
                  <c:v>100.416859</c:v>
                </c:pt>
                <c:pt idx="1">
                  <c:v>100.60126700000001</c:v>
                </c:pt>
                <c:pt idx="2">
                  <c:v>100.567295</c:v>
                </c:pt>
                <c:pt idx="3">
                  <c:v>100.5730034</c:v>
                </c:pt>
                <c:pt idx="4">
                  <c:v>100.416859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'4.Solution'!$AD$5:$AD$36</c:f>
              <c:numCache>
                <c:formatCode>General</c:formatCode>
                <c:ptCount val="32"/>
                <c:pt idx="0">
                  <c:v>13.626301</c:v>
                </c:pt>
                <c:pt idx="1">
                  <c:v>13.9225738</c:v>
                </c:pt>
                <c:pt idx="2">
                  <c:v>13.932459700000001</c:v>
                </c:pt>
                <c:pt idx="3">
                  <c:v>13.9479513</c:v>
                </c:pt>
                <c:pt idx="4">
                  <c:v>13.626301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91F-4278-898F-3E2F02FC4632}"/>
            </c:ext>
          </c:extLst>
        </c:ser>
        <c:ser>
          <c:idx val="4"/>
          <c:order val="4"/>
          <c:tx>
            <c:strRef>
              <c:f>'4.Solution'!$AO$3</c:f>
              <c:strCache>
                <c:ptCount val="1"/>
                <c:pt idx="0">
                  <c:v>A 4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'4.Solution'!$AR$5:$AR$36</c:f>
              <c:numCache>
                <c:formatCode>General</c:formatCode>
                <c:ptCount val="32"/>
                <c:pt idx="0">
                  <c:v>100.416859</c:v>
                </c:pt>
                <c:pt idx="1">
                  <c:v>100.66510700000001</c:v>
                </c:pt>
                <c:pt idx="2">
                  <c:v>100.68647989999999</c:v>
                </c:pt>
                <c:pt idx="3">
                  <c:v>100.63790299999999</c:v>
                </c:pt>
                <c:pt idx="4">
                  <c:v>100.416859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'4.Solution'!$AQ$5:$AQ$36</c:f>
              <c:numCache>
                <c:formatCode>General</c:formatCode>
                <c:ptCount val="32"/>
                <c:pt idx="0">
                  <c:v>13.626301</c:v>
                </c:pt>
                <c:pt idx="1">
                  <c:v>13.905555</c:v>
                </c:pt>
                <c:pt idx="2">
                  <c:v>13.919617199999999</c:v>
                </c:pt>
                <c:pt idx="3">
                  <c:v>13.926033</c:v>
                </c:pt>
                <c:pt idx="4">
                  <c:v>13.626301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91F-4278-898F-3E2F02FC4632}"/>
            </c:ext>
          </c:extLst>
        </c:ser>
        <c:ser>
          <c:idx val="5"/>
          <c:order val="5"/>
          <c:tx>
            <c:strRef>
              <c:f>'4.Solution'!$BB$3</c:f>
              <c:strCache>
                <c:ptCount val="1"/>
                <c:pt idx="0">
                  <c:v>A 5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'4.Solution'!$BE$5:$BE$36</c:f>
              <c:numCache>
                <c:formatCode>General</c:formatCode>
                <c:ptCount val="32"/>
                <c:pt idx="0">
                  <c:v>100.416859</c:v>
                </c:pt>
                <c:pt idx="1">
                  <c:v>100.52975079999899</c:v>
                </c:pt>
                <c:pt idx="2">
                  <c:v>100.51931500000001</c:v>
                </c:pt>
                <c:pt idx="3">
                  <c:v>100.416859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'4.Solution'!$BD$5:$BD$36</c:f>
              <c:numCache>
                <c:formatCode>General</c:formatCode>
                <c:ptCount val="32"/>
                <c:pt idx="0">
                  <c:v>13.626301</c:v>
                </c:pt>
                <c:pt idx="1">
                  <c:v>13.8338299</c:v>
                </c:pt>
                <c:pt idx="2">
                  <c:v>13.818503</c:v>
                </c:pt>
                <c:pt idx="3">
                  <c:v>13.626301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91F-4278-898F-3E2F02FC4632}"/>
            </c:ext>
          </c:extLst>
        </c:ser>
        <c:ser>
          <c:idx val="6"/>
          <c:order val="6"/>
          <c:tx>
            <c:strRef>
              <c:f>'4.Solution'!$BO$3</c:f>
              <c:strCache>
                <c:ptCount val="1"/>
                <c:pt idx="0">
                  <c:v>A 6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'4.Solution'!$BR$5:$BR$36</c:f>
              <c:numCache>
                <c:formatCode>General</c:formatCode>
                <c:ptCount val="32"/>
                <c:pt idx="0">
                  <c:v>100.416859</c:v>
                </c:pt>
                <c:pt idx="1">
                  <c:v>100.449296</c:v>
                </c:pt>
                <c:pt idx="2">
                  <c:v>100.523811499999</c:v>
                </c:pt>
                <c:pt idx="3">
                  <c:v>100.5217181</c:v>
                </c:pt>
                <c:pt idx="4">
                  <c:v>100.416859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'4.Solution'!$BQ$5:$BQ$36</c:f>
              <c:numCache>
                <c:formatCode>General</c:formatCode>
                <c:ptCount val="32"/>
                <c:pt idx="0">
                  <c:v>13.626301</c:v>
                </c:pt>
                <c:pt idx="1">
                  <c:v>13.619595</c:v>
                </c:pt>
                <c:pt idx="2">
                  <c:v>13.7897821</c:v>
                </c:pt>
                <c:pt idx="3">
                  <c:v>13.7941681</c:v>
                </c:pt>
                <c:pt idx="4">
                  <c:v>13.626301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91F-4278-898F-3E2F02FC4632}"/>
            </c:ext>
          </c:extLst>
        </c:ser>
        <c:ser>
          <c:idx val="7"/>
          <c:order val="7"/>
          <c:tx>
            <c:strRef>
              <c:f>'4.Solution'!$CB$3</c:f>
              <c:strCache>
                <c:ptCount val="1"/>
                <c:pt idx="0">
                  <c:v>A 7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'4.Solution'!$CE$5:$CE$36</c:f>
              <c:numCache>
                <c:formatCode>General</c:formatCode>
                <c:ptCount val="32"/>
                <c:pt idx="0">
                  <c:v>100.416859</c:v>
                </c:pt>
                <c:pt idx="1">
                  <c:v>100.621873199999</c:v>
                </c:pt>
                <c:pt idx="2">
                  <c:v>100.6251494</c:v>
                </c:pt>
                <c:pt idx="3">
                  <c:v>100.62130089999999</c:v>
                </c:pt>
                <c:pt idx="4">
                  <c:v>100.58801080000001</c:v>
                </c:pt>
                <c:pt idx="5">
                  <c:v>100.416859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'4.Solution'!$CD$5:$CD$36</c:f>
              <c:numCache>
                <c:formatCode>General</c:formatCode>
                <c:ptCount val="32"/>
                <c:pt idx="0">
                  <c:v>13.626301</c:v>
                </c:pt>
                <c:pt idx="1">
                  <c:v>13.8529418</c:v>
                </c:pt>
                <c:pt idx="2">
                  <c:v>13.8839574</c:v>
                </c:pt>
                <c:pt idx="3">
                  <c:v>13.8931919</c:v>
                </c:pt>
                <c:pt idx="4">
                  <c:v>13.8543667</c:v>
                </c:pt>
                <c:pt idx="5">
                  <c:v>13.626301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91F-4278-898F-3E2F02FC4632}"/>
            </c:ext>
          </c:extLst>
        </c:ser>
        <c:ser>
          <c:idx val="8"/>
          <c:order val="8"/>
          <c:tx>
            <c:strRef>
              <c:f>'4.Solution'!$CO$3</c:f>
              <c:strCache>
                <c:ptCount val="1"/>
                <c:pt idx="0">
                  <c:v>A 8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'4.Solution'!$CR$5:$CR$36</c:f>
              <c:numCache>
                <c:formatCode>General</c:formatCode>
                <c:ptCount val="32"/>
                <c:pt idx="0">
                  <c:v>100.416859</c:v>
                </c:pt>
                <c:pt idx="1">
                  <c:v>100.519665</c:v>
                </c:pt>
                <c:pt idx="2">
                  <c:v>100.523582</c:v>
                </c:pt>
                <c:pt idx="3">
                  <c:v>100.5185609</c:v>
                </c:pt>
                <c:pt idx="4">
                  <c:v>100.416859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'4.Solution'!$CQ$5:$CQ$36</c:f>
              <c:numCache>
                <c:formatCode>General</c:formatCode>
                <c:ptCount val="32"/>
                <c:pt idx="0">
                  <c:v>13.626301</c:v>
                </c:pt>
                <c:pt idx="1">
                  <c:v>13.809201</c:v>
                </c:pt>
                <c:pt idx="2">
                  <c:v>13.801686500000001</c:v>
                </c:pt>
                <c:pt idx="3">
                  <c:v>13.7994261</c:v>
                </c:pt>
                <c:pt idx="4">
                  <c:v>13.626301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91F-4278-898F-3E2F02FC4632}"/>
            </c:ext>
          </c:extLst>
        </c:ser>
        <c:ser>
          <c:idx val="9"/>
          <c:order val="9"/>
          <c:tx>
            <c:strRef>
              <c:f>'4.Solution'!$DB$3</c:f>
              <c:strCache>
                <c:ptCount val="1"/>
                <c:pt idx="0">
                  <c:v>A 9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'4.Solution'!$DE$5:$DE$36</c:f>
              <c:numCache>
                <c:formatCode>General</c:formatCode>
                <c:ptCount val="32"/>
                <c:pt idx="0">
                  <c:v>100.416859</c:v>
                </c:pt>
                <c:pt idx="1">
                  <c:v>100.6823091</c:v>
                </c:pt>
                <c:pt idx="2">
                  <c:v>100.65940689999999</c:v>
                </c:pt>
                <c:pt idx="3">
                  <c:v>100.645380199999</c:v>
                </c:pt>
                <c:pt idx="4">
                  <c:v>100.416859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'4.Solution'!$DD$5:$DD$36</c:f>
              <c:numCache>
                <c:formatCode>General</c:formatCode>
                <c:ptCount val="32"/>
                <c:pt idx="0">
                  <c:v>13.626301</c:v>
                </c:pt>
                <c:pt idx="1">
                  <c:v>13.892532900000001</c:v>
                </c:pt>
                <c:pt idx="2">
                  <c:v>13.8845206</c:v>
                </c:pt>
                <c:pt idx="3">
                  <c:v>13.860783700000001</c:v>
                </c:pt>
                <c:pt idx="4">
                  <c:v>13.626301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91F-4278-898F-3E2F02FC4632}"/>
            </c:ext>
          </c:extLst>
        </c:ser>
        <c:ser>
          <c:idx val="10"/>
          <c:order val="10"/>
          <c:tx>
            <c:strRef>
              <c:f>'4.Solution'!$DO$3</c:f>
              <c:strCache>
                <c:ptCount val="1"/>
                <c:pt idx="0">
                  <c:v>A 10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'4.Solution'!$DR$5:$DR$36</c:f>
              <c:numCache>
                <c:formatCode>General</c:formatCode>
                <c:ptCount val="32"/>
                <c:pt idx="0">
                  <c:v>100.416859</c:v>
                </c:pt>
                <c:pt idx="1">
                  <c:v>100.15096800000001</c:v>
                </c:pt>
                <c:pt idx="2">
                  <c:v>100.5272976</c:v>
                </c:pt>
                <c:pt idx="3">
                  <c:v>100.520204499999</c:v>
                </c:pt>
                <c:pt idx="4">
                  <c:v>100.51548769999999</c:v>
                </c:pt>
                <c:pt idx="5">
                  <c:v>100.416859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'4.Solution'!$DQ$5:$DQ$36</c:f>
              <c:numCache>
                <c:formatCode>General</c:formatCode>
                <c:ptCount val="32"/>
                <c:pt idx="0">
                  <c:v>13.626301</c:v>
                </c:pt>
                <c:pt idx="1">
                  <c:v>13.512544</c:v>
                </c:pt>
                <c:pt idx="2">
                  <c:v>13.775555199999999</c:v>
                </c:pt>
                <c:pt idx="3">
                  <c:v>13.779468</c:v>
                </c:pt>
                <c:pt idx="4">
                  <c:v>13.7811652</c:v>
                </c:pt>
                <c:pt idx="5">
                  <c:v>13.626301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91F-4278-898F-3E2F02FC4632}"/>
            </c:ext>
          </c:extLst>
        </c:ser>
        <c:ser>
          <c:idx val="11"/>
          <c:order val="11"/>
          <c:tx>
            <c:strRef>
              <c:f>'4.Solution'!$EB$3</c:f>
              <c:strCache>
                <c:ptCount val="1"/>
                <c:pt idx="0">
                  <c:v>A 11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'4.Solution'!$EE$5:$EE$36</c:f>
              <c:numCache>
                <c:formatCode>General</c:formatCode>
                <c:ptCount val="32"/>
                <c:pt idx="0">
                  <c:v>100.416859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'4.Solution'!$ED$5:$ED$36</c:f>
              <c:numCache>
                <c:formatCode>General</c:formatCode>
                <c:ptCount val="32"/>
                <c:pt idx="0">
                  <c:v>13.626301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91F-4278-898F-3E2F02FC4632}"/>
            </c:ext>
          </c:extLst>
        </c:ser>
        <c:ser>
          <c:idx val="12"/>
          <c:order val="12"/>
          <c:tx>
            <c:strRef>
              <c:f>'4.Solution'!$EO$3</c:f>
              <c:strCache>
                <c:ptCount val="1"/>
                <c:pt idx="0">
                  <c:v>A 12</c:v>
                </c:pt>
              </c:strCache>
            </c:strRef>
          </c:tx>
          <c:spPr>
            <a:ln>
              <a:tailEnd type="triangle" w="med" len="lg"/>
            </a:ln>
          </c:spPr>
          <c:marker>
            <c:symbol val="none"/>
          </c:marker>
          <c:xVal>
            <c:numRef>
              <c:f>'4.Solution'!$ER$5:$ER$36</c:f>
              <c:numCache>
                <c:formatCode>General</c:formatCode>
                <c:ptCount val="32"/>
                <c:pt idx="0">
                  <c:v>100.416859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xVal>
          <c:yVal>
            <c:numRef>
              <c:f>'4.Solution'!$EQ$5:$EQ$36</c:f>
              <c:numCache>
                <c:formatCode>General</c:formatCode>
                <c:ptCount val="32"/>
                <c:pt idx="0">
                  <c:v>13.626301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91F-4278-898F-3E2F02FC4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729264"/>
        <c:axId val="450730048"/>
      </c:scatterChart>
      <c:valAx>
        <c:axId val="450729264"/>
        <c:scaling>
          <c:orientation val="minMax"/>
          <c:max val="100.99044799804688"/>
          <c:min val="100.11154174804688"/>
        </c:scaling>
        <c:delete val="1"/>
        <c:axPos val="b"/>
        <c:numFmt formatCode="0.0000000" sourceLinked="1"/>
        <c:majorTickMark val="out"/>
        <c:minorTickMark val="none"/>
        <c:tickLblPos val="nextTo"/>
        <c:crossAx val="450730048"/>
        <c:crosses val="autoZero"/>
        <c:crossBetween val="midCat"/>
      </c:valAx>
      <c:valAx>
        <c:axId val="450730048"/>
        <c:scaling>
          <c:orientation val="minMax"/>
          <c:max val="14.247080058023837"/>
          <c:min val="13.393627444410113"/>
        </c:scaling>
        <c:delete val="1"/>
        <c:axPos val="l"/>
        <c:numFmt formatCode="0.0000000" sourceLinked="1"/>
        <c:majorTickMark val="out"/>
        <c:minorTickMark val="none"/>
        <c:tickLblPos val="nextTo"/>
        <c:crossAx val="450729264"/>
        <c:crosses val="autoZero"/>
        <c:crossBetween val="midCat"/>
      </c:valAx>
      <c:spPr>
        <a:blipFill dpi="0" rotWithShape="1">
          <a:blip xmlns:r="http://schemas.openxmlformats.org/officeDocument/2006/relationships" r:embed="rId1">
            <a:alphaModFix amt="50000"/>
          </a:blip>
          <a:srcRect/>
          <a:stretch>
            <a:fillRect/>
          </a:stretch>
        </a:blipFill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8592623290509742"/>
          <c:y val="1.020408163265306E-2"/>
          <c:w val="0.1014421881475342"/>
          <c:h val="0.98469387755102045"/>
        </c:manualLayout>
      </c:layout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581025</xdr:colOff>
      <xdr:row>1</xdr:row>
      <xdr:rowOff>19050</xdr:rowOff>
    </xdr:from>
    <xdr:ext cx="5161156" cy="82343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010025" y="200025"/>
          <a:ext cx="5161156" cy="823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>
              <a:latin typeface="Aparajita" panose="020B0604020202020204" pitchFamily="34" charset="0"/>
              <a:cs typeface="Aparajita" panose="020B0604020202020204" pitchFamily="34" charset="0"/>
            </a:rPr>
            <a:t>Vehicle</a:t>
          </a:r>
          <a:r>
            <a:rPr lang="en-US" sz="4000" baseline="0">
              <a:latin typeface="Aparajita" panose="020B0604020202020204" pitchFamily="34" charset="0"/>
              <a:cs typeface="Aparajita" panose="020B0604020202020204" pitchFamily="34" charset="0"/>
            </a:rPr>
            <a:t> Routing Management</a:t>
          </a:r>
          <a:endParaRPr lang="th-TH" sz="4000">
            <a:latin typeface="Aparajita" panose="020B0604020202020204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6</xdr:row>
      <xdr:rowOff>76200</xdr:rowOff>
    </xdr:from>
    <xdr:to>
      <xdr:col>12</xdr:col>
      <xdr:colOff>243840</xdr:colOff>
      <xdr:row>19</xdr:row>
      <xdr:rowOff>635</xdr:rowOff>
    </xdr:to>
    <xdr:pic>
      <xdr:nvPicPr>
        <xdr:cNvPr id="3" name="Picture 2" descr="à¸à¸¥à¸à¸²à¸£à¸à¹à¸à¸«à¸²à¸£à¸¹à¸à¸ à¸²à¸à¸ªà¸³à¸«à¸£à¸±à¸ truck carto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93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1162050"/>
          <a:ext cx="3891915" cy="227711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546100</xdr:colOff>
      <xdr:row>27</xdr:row>
      <xdr:rowOff>92075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>
      <selection activeCell="J23" sqref="J23"/>
    </sheetView>
  </sheetViews>
  <sheetFormatPr defaultRowHeight="14.25" x14ac:dyDescent="0.2"/>
  <cols>
    <col min="1" max="16384" width="9" style="24"/>
  </cols>
  <sheetData/>
  <sheetProtection algorithmName="SHA-512" hashValue="MBkXjHUh77ZRSFTi+z/6ZVFrW2x1m4qTgA1N9LfV8dv0XGwqffHHWsmF414Oy20mRXTdXsU0cPDRhOeZvLxCJA==" saltValue="OG9/Qjib1wbZe3etXr6L7g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29"/>
  <sheetViews>
    <sheetView tabSelected="1" workbookViewId="0">
      <selection activeCell="C2" sqref="C2"/>
    </sheetView>
  </sheetViews>
  <sheetFormatPr defaultRowHeight="14.25" x14ac:dyDescent="0.2"/>
  <cols>
    <col min="1" max="1" width="22.25" bestFit="1" customWidth="1"/>
    <col min="2" max="2" width="29.5" bestFit="1" customWidth="1"/>
    <col min="3" max="3" width="23.75" customWidth="1"/>
    <col min="4" max="4" width="57.75" bestFit="1" customWidth="1"/>
  </cols>
  <sheetData>
    <row r="1" spans="1:4" s="1" customFormat="1" ht="15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ht="15" x14ac:dyDescent="0.25">
      <c r="A2" s="3" t="s">
        <v>4</v>
      </c>
      <c r="B2" s="4" t="s">
        <v>5</v>
      </c>
      <c r="C2" s="5"/>
      <c r="D2" s="4" t="s">
        <v>6</v>
      </c>
    </row>
    <row r="4" spans="1:4" ht="15" x14ac:dyDescent="0.25">
      <c r="A4" s="6" t="s">
        <v>7</v>
      </c>
      <c r="B4" s="7" t="s">
        <v>8</v>
      </c>
      <c r="C4" s="8">
        <v>30</v>
      </c>
      <c r="D4" s="7" t="s">
        <v>9</v>
      </c>
    </row>
    <row r="5" spans="1:4" ht="15" x14ac:dyDescent="0.25">
      <c r="A5" s="4"/>
      <c r="B5" s="4" t="s">
        <v>10</v>
      </c>
      <c r="C5" s="5" t="s">
        <v>52</v>
      </c>
      <c r="D5" s="4"/>
    </row>
    <row r="7" spans="1:4" ht="15" x14ac:dyDescent="0.25">
      <c r="A7" s="6" t="s">
        <v>11</v>
      </c>
      <c r="B7" s="7" t="s">
        <v>12</v>
      </c>
      <c r="C7" s="8" t="s">
        <v>13</v>
      </c>
      <c r="D7" s="7" t="s">
        <v>14</v>
      </c>
    </row>
    <row r="8" spans="1:4" ht="15" x14ac:dyDescent="0.25">
      <c r="A8" s="4"/>
      <c r="B8" s="4" t="s">
        <v>15</v>
      </c>
      <c r="C8" s="5" t="s">
        <v>16</v>
      </c>
      <c r="D8" s="4" t="s">
        <v>17</v>
      </c>
    </row>
    <row r="9" spans="1:4" ht="15" x14ac:dyDescent="0.25">
      <c r="A9" s="4"/>
      <c r="B9" s="4" t="s">
        <v>18</v>
      </c>
      <c r="C9" s="5">
        <v>50</v>
      </c>
      <c r="D9" s="4" t="s">
        <v>19</v>
      </c>
    </row>
    <row r="11" spans="1:4" ht="15" x14ac:dyDescent="0.25">
      <c r="A11" s="6" t="s">
        <v>20</v>
      </c>
      <c r="B11" s="7" t="s">
        <v>21</v>
      </c>
      <c r="C11" s="8">
        <v>1</v>
      </c>
      <c r="D11" s="7" t="s">
        <v>22</v>
      </c>
    </row>
    <row r="13" spans="1:4" ht="15" x14ac:dyDescent="0.25">
      <c r="A13" s="6" t="s">
        <v>23</v>
      </c>
      <c r="B13" s="7" t="s">
        <v>24</v>
      </c>
      <c r="C13" s="8" t="s">
        <v>25</v>
      </c>
      <c r="D13" s="7" t="s">
        <v>26</v>
      </c>
    </row>
    <row r="14" spans="1:4" ht="15" x14ac:dyDescent="0.25">
      <c r="A14" s="4"/>
      <c r="B14" s="4" t="s">
        <v>27</v>
      </c>
      <c r="C14" s="5" t="s">
        <v>28</v>
      </c>
      <c r="D14" s="4" t="s">
        <v>29</v>
      </c>
    </row>
    <row r="15" spans="1:4" ht="15" x14ac:dyDescent="0.25">
      <c r="A15" s="4"/>
      <c r="B15" s="4" t="s">
        <v>30</v>
      </c>
      <c r="C15" s="5" t="s">
        <v>31</v>
      </c>
      <c r="D15" s="4"/>
    </row>
    <row r="16" spans="1:4" ht="15" x14ac:dyDescent="0.25">
      <c r="A16" s="4"/>
      <c r="B16" s="4" t="s">
        <v>32</v>
      </c>
      <c r="C16" s="11">
        <v>0.54166666666666663</v>
      </c>
      <c r="D16" s="4" t="s">
        <v>33</v>
      </c>
    </row>
    <row r="17" spans="1:4" ht="15" x14ac:dyDescent="0.25">
      <c r="A17" s="4"/>
      <c r="B17" s="4" t="s">
        <v>34</v>
      </c>
      <c r="C17" s="9">
        <v>0.33333333333333331</v>
      </c>
      <c r="D17" s="4"/>
    </row>
    <row r="18" spans="1:4" ht="15" x14ac:dyDescent="0.25">
      <c r="A18" s="4"/>
      <c r="B18" s="4" t="s">
        <v>35</v>
      </c>
      <c r="C18" s="9">
        <v>0.41666666666666669</v>
      </c>
      <c r="D18" s="4"/>
    </row>
    <row r="19" spans="1:4" ht="15" x14ac:dyDescent="0.25">
      <c r="A19" s="4"/>
      <c r="B19" s="4" t="s">
        <v>36</v>
      </c>
      <c r="C19" s="5">
        <v>560</v>
      </c>
      <c r="D19" s="4" t="s">
        <v>37</v>
      </c>
    </row>
    <row r="21" spans="1:4" ht="15" x14ac:dyDescent="0.25">
      <c r="A21" s="6" t="s">
        <v>38</v>
      </c>
      <c r="B21" s="7" t="s">
        <v>39</v>
      </c>
      <c r="C21" s="8" t="s">
        <v>13</v>
      </c>
      <c r="D21" s="7"/>
    </row>
    <row r="22" spans="1:4" ht="15" x14ac:dyDescent="0.25">
      <c r="A22" s="4"/>
      <c r="B22" s="4" t="s">
        <v>40</v>
      </c>
      <c r="C22" s="5" t="s">
        <v>51</v>
      </c>
      <c r="D22" s="4"/>
    </row>
    <row r="24" spans="1:4" ht="15" x14ac:dyDescent="0.25">
      <c r="A24" s="6" t="s">
        <v>41</v>
      </c>
      <c r="B24" s="7" t="s">
        <v>42</v>
      </c>
      <c r="C24" s="8" t="s">
        <v>28</v>
      </c>
      <c r="D24" s="7"/>
    </row>
    <row r="25" spans="1:4" ht="15" x14ac:dyDescent="0.25">
      <c r="A25" s="4"/>
      <c r="B25" s="4" t="s">
        <v>43</v>
      </c>
      <c r="C25" s="5">
        <v>60</v>
      </c>
      <c r="D25" s="4" t="str">
        <f>CONCATENATE("Recommendation: At least ", 60 * CEILING(C4 * C4 * C4 / 100000, 1)," seconds.")</f>
        <v>Recommendation: At least 60 seconds.</v>
      </c>
    </row>
    <row r="26" spans="1:4" ht="15" x14ac:dyDescent="0.25">
      <c r="A26" s="4"/>
      <c r="B26" s="4" t="s">
        <v>44</v>
      </c>
      <c r="C26" s="10">
        <v>0.1</v>
      </c>
      <c r="D26" s="4" t="s">
        <v>45</v>
      </c>
    </row>
    <row r="27" spans="1:4" ht="15" x14ac:dyDescent="0.25">
      <c r="A27" s="4"/>
      <c r="B27" s="4" t="s">
        <v>46</v>
      </c>
      <c r="C27" s="10">
        <v>0.4</v>
      </c>
      <c r="D27" s="4" t="s">
        <v>45</v>
      </c>
    </row>
    <row r="28" spans="1:4" ht="15" x14ac:dyDescent="0.25">
      <c r="A28" s="4"/>
      <c r="B28" s="4" t="s">
        <v>47</v>
      </c>
      <c r="C28" s="5">
        <v>2</v>
      </c>
      <c r="D28" s="4" t="s">
        <v>48</v>
      </c>
    </row>
    <row r="29" spans="1:4" ht="15" x14ac:dyDescent="0.25">
      <c r="A29" s="4"/>
      <c r="B29" s="4" t="s">
        <v>49</v>
      </c>
      <c r="C29" s="5">
        <v>123456789</v>
      </c>
      <c r="D29" s="4" t="s">
        <v>50</v>
      </c>
    </row>
  </sheetData>
  <phoneticPr fontId="5" type="noConversion"/>
  <dataValidations count="14">
    <dataValidation type="list" allowBlank="1" showInputMessage="1" showErrorMessage="1" sqref="C5" xr:uid="{00000000-0002-0000-0100-000000000000}">
      <formula1>"Pickup, Delivery"</formula1>
    </dataValidation>
    <dataValidation type="list" allowBlank="1" showInputMessage="1" showErrorMessage="1" sqref="C8" xr:uid="{00000000-0002-0000-0100-000001000000}">
      <formula1>"Shortest, Fastest, Fastest - Real Time Traffic"</formula1>
    </dataValidation>
    <dataValidation type="list" allowBlank="1" showInputMessage="1" showErrorMessage="1" sqref="C13 C14 C24" xr:uid="{00000000-0002-0000-0100-000002000000}">
      <formula1>"Yes, No"</formula1>
    </dataValidation>
    <dataValidation type="list" allowBlank="1" showInputMessage="1" showErrorMessage="1" sqref="C15" xr:uid="{00000000-0002-0000-0100-000003000000}">
      <formula1>"Hard, Soft"</formula1>
    </dataValidation>
    <dataValidation type="list" allowBlank="1" showInputMessage="1" showErrorMessage="1" sqref="C21" xr:uid="{00000000-0002-0000-0100-000004000000}">
      <formula1>"Blank, Bing Maps"</formula1>
    </dataValidation>
    <dataValidation type="list" allowBlank="1" showInputMessage="1" showErrorMessage="1" sqref="C22" xr:uid="{00000000-0002-0000-0100-000005000000}">
      <formula1>"Blank, Location IDs, Location names"</formula1>
    </dataValidation>
    <dataValidation type="list" allowBlank="1" showInputMessage="1" showErrorMessage="1" sqref="C7" xr:uid="{00000000-0002-0000-0100-000006000000}">
      <formula1>"Manual entry, Euclidian distances, Rounded Euclidian distances, Geodesic approximation, Rectilinear (Manhattan) distances, Bing Maps"</formula1>
    </dataValidation>
    <dataValidation type="whole" allowBlank="1" showInputMessage="1" showErrorMessage="1" error="Please enter an integer from 10 to 200" sqref="C4" xr:uid="{00000000-0002-0000-0100-000007000000}">
      <formula1>10</formula1>
      <formula2>500</formula2>
    </dataValidation>
    <dataValidation type="whole" allowBlank="1" showInputMessage="1" showErrorMessage="1" error="Please enter an integer from 1 to 50" sqref="C11" xr:uid="{00000000-0002-0000-0100-000008000000}">
      <formula1>1</formula1>
      <formula2>50</formula2>
    </dataValidation>
    <dataValidation type="decimal" operator="greaterThan" allowBlank="1" showInputMessage="1" showErrorMessage="1" error="Please enter a positive value" sqref="C19" xr:uid="{00000000-0002-0000-0100-000009000000}">
      <formula1>0</formula1>
    </dataValidation>
    <dataValidation type="decimal" operator="greaterThanOrEqual" allowBlank="1" showInputMessage="1" showErrorMessage="1" error="Please enter a value greater than or equal to 10 seconds." sqref="C25" xr:uid="{00000000-0002-0000-0100-00000A000000}">
      <formula1>10</formula1>
    </dataValidation>
    <dataValidation type="decimal" allowBlank="1" showInputMessage="1" showErrorMessage="1" error="Please enter a value between 5% and 50%" sqref="C26:C27" xr:uid="{00000000-0002-0000-0100-00000B000000}">
      <formula1>0.05</formula1>
      <formula2>0.5</formula2>
    </dataValidation>
    <dataValidation type="whole" allowBlank="1" showInputMessage="1" showErrorMessage="1" error="Please enter an integer from 1 to 5" sqref="C28" xr:uid="{00000000-0002-0000-0100-00000D000000}">
      <formula1>1</formula1>
      <formula2>5</formula2>
    </dataValidation>
    <dataValidation type="whole" allowBlank="1" showInputMessage="1" showErrorMessage="1" error="Please enter an integer between 1 and 2147483647" sqref="C29" xr:uid="{00000000-0002-0000-0100-00000E000000}">
      <formula1>1</formula1>
      <formula2>2147483647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32"/>
  <sheetViews>
    <sheetView topLeftCell="A13" workbookViewId="0">
      <selection activeCell="J2" sqref="J2:J32"/>
    </sheetView>
  </sheetViews>
  <sheetFormatPr defaultRowHeight="14.25" x14ac:dyDescent="0.2"/>
  <cols>
    <col min="1" max="1" width="11.875" bestFit="1" customWidth="1"/>
    <col min="2" max="2" width="38.75" customWidth="1"/>
    <col min="3" max="3" width="8.625" hidden="1" customWidth="1"/>
    <col min="4" max="4" width="16" customWidth="1"/>
    <col min="5" max="5" width="15.875" customWidth="1"/>
    <col min="6" max="6" width="18.625" style="28" bestFit="1" customWidth="1"/>
    <col min="7" max="7" width="17.5" style="28" bestFit="1" customWidth="1"/>
    <col min="8" max="8" width="16.5" bestFit="1" customWidth="1"/>
    <col min="9" max="9" width="12.875" bestFit="1" customWidth="1"/>
    <col min="10" max="10" width="8.625" bestFit="1" customWidth="1"/>
    <col min="11" max="11" width="6.5" bestFit="1" customWidth="1"/>
  </cols>
  <sheetData>
    <row r="1" spans="1:11" s="12" customFormat="1" x14ac:dyDescent="0.2">
      <c r="A1" s="12" t="s">
        <v>53</v>
      </c>
      <c r="B1" s="12" t="s">
        <v>54</v>
      </c>
      <c r="C1" s="12" t="s">
        <v>55</v>
      </c>
      <c r="D1" s="12" t="s">
        <v>56</v>
      </c>
      <c r="E1" s="12" t="s">
        <v>57</v>
      </c>
      <c r="F1" s="25" t="s">
        <v>58</v>
      </c>
      <c r="G1" s="25" t="s">
        <v>59</v>
      </c>
      <c r="H1" s="12" t="s">
        <v>60</v>
      </c>
      <c r="I1" s="12" t="s">
        <v>61</v>
      </c>
      <c r="J1" s="12" t="s">
        <v>62</v>
      </c>
      <c r="K1" s="12" t="s">
        <v>63</v>
      </c>
    </row>
    <row r="2" spans="1:11" x14ac:dyDescent="0.2">
      <c r="A2" s="13">
        <v>0</v>
      </c>
      <c r="B2" s="14" t="s">
        <v>66</v>
      </c>
      <c r="C2" s="14"/>
      <c r="D2" s="15">
        <v>13.626301</v>
      </c>
      <c r="E2" s="15">
        <v>100.416859</v>
      </c>
      <c r="F2" s="26">
        <v>0.54166666666666663</v>
      </c>
      <c r="G2" s="26">
        <v>0.99930555555555556</v>
      </c>
      <c r="H2" s="13" t="s">
        <v>64</v>
      </c>
      <c r="I2" s="23">
        <v>0</v>
      </c>
      <c r="J2" s="13">
        <v>0</v>
      </c>
      <c r="K2" s="13">
        <v>0</v>
      </c>
    </row>
    <row r="3" spans="1:11" x14ac:dyDescent="0.2">
      <c r="A3" s="19">
        <v>1</v>
      </c>
      <c r="B3" s="20" t="s">
        <v>75</v>
      </c>
      <c r="C3" s="20"/>
      <c r="D3" s="15">
        <v>13.7994261</v>
      </c>
      <c r="E3" s="15">
        <v>100.5185609</v>
      </c>
      <c r="F3" s="27">
        <v>0.58333333333333337</v>
      </c>
      <c r="G3" s="27">
        <v>0.79166666666666663</v>
      </c>
      <c r="H3" s="20" t="s">
        <v>65</v>
      </c>
      <c r="I3" s="22">
        <v>1.0416666666666666E-2</v>
      </c>
      <c r="J3" s="20">
        <v>1</v>
      </c>
      <c r="K3" s="20">
        <v>0</v>
      </c>
    </row>
    <row r="4" spans="1:11" x14ac:dyDescent="0.2">
      <c r="A4" s="19">
        <v>2</v>
      </c>
      <c r="B4" s="20" t="s">
        <v>67</v>
      </c>
      <c r="C4" s="20"/>
      <c r="D4" s="21">
        <v>13.7811652</v>
      </c>
      <c r="E4" s="21">
        <v>100.51548769999999</v>
      </c>
      <c r="F4" s="27">
        <v>0.58333333333333337</v>
      </c>
      <c r="G4" s="27">
        <v>0.79166666666666663</v>
      </c>
      <c r="H4" s="20" t="s">
        <v>65</v>
      </c>
      <c r="I4" s="22">
        <v>1.0416666666666666E-2</v>
      </c>
      <c r="J4" s="20">
        <v>1</v>
      </c>
      <c r="K4" s="20">
        <v>0</v>
      </c>
    </row>
    <row r="5" spans="1:11" x14ac:dyDescent="0.2">
      <c r="A5" s="19">
        <v>3</v>
      </c>
      <c r="B5" s="20" t="s">
        <v>68</v>
      </c>
      <c r="C5" s="20"/>
      <c r="D5" s="21">
        <v>13.779468</v>
      </c>
      <c r="E5" s="21">
        <v>100.520204499999</v>
      </c>
      <c r="F5" s="27">
        <v>0.58333333333333337</v>
      </c>
      <c r="G5" s="27">
        <v>0.79166666666666663</v>
      </c>
      <c r="H5" s="20" t="s">
        <v>65</v>
      </c>
      <c r="I5" s="22">
        <v>1.0416666666666666E-2</v>
      </c>
      <c r="J5" s="20">
        <v>1</v>
      </c>
      <c r="K5" s="20">
        <v>0</v>
      </c>
    </row>
    <row r="6" spans="1:11" x14ac:dyDescent="0.2">
      <c r="A6" s="19">
        <v>4</v>
      </c>
      <c r="B6" s="20" t="s">
        <v>69</v>
      </c>
      <c r="C6" s="20"/>
      <c r="D6" s="21">
        <v>13.784387000000001</v>
      </c>
      <c r="E6" s="21">
        <v>100.52074500000001</v>
      </c>
      <c r="F6" s="27">
        <v>0.58333333333333337</v>
      </c>
      <c r="G6" s="27">
        <v>0.79166666666666663</v>
      </c>
      <c r="H6" s="20" t="s">
        <v>65</v>
      </c>
      <c r="I6" s="22">
        <v>1.0416666666666666E-2</v>
      </c>
      <c r="J6" s="20">
        <v>2</v>
      </c>
      <c r="K6" s="20">
        <v>0</v>
      </c>
    </row>
    <row r="7" spans="1:11" x14ac:dyDescent="0.2">
      <c r="A7" s="19">
        <v>5</v>
      </c>
      <c r="B7" s="20" t="s">
        <v>70</v>
      </c>
      <c r="C7" s="20"/>
      <c r="D7" s="21">
        <v>13.7941681</v>
      </c>
      <c r="E7" s="21">
        <v>100.5217181</v>
      </c>
      <c r="F7" s="27">
        <v>0.58333333333333337</v>
      </c>
      <c r="G7" s="27">
        <v>0.79166666666666663</v>
      </c>
      <c r="H7" s="20" t="s">
        <v>65</v>
      </c>
      <c r="I7" s="22">
        <v>1.0416666666666666E-2</v>
      </c>
      <c r="J7" s="20">
        <v>1</v>
      </c>
      <c r="K7" s="20">
        <v>0</v>
      </c>
    </row>
    <row r="8" spans="1:11" x14ac:dyDescent="0.2">
      <c r="A8" s="19">
        <v>6</v>
      </c>
      <c r="B8" s="20" t="s">
        <v>71</v>
      </c>
      <c r="C8" s="20"/>
      <c r="D8" s="21">
        <v>13.775555199999999</v>
      </c>
      <c r="E8" s="21">
        <v>100.5272976</v>
      </c>
      <c r="F8" s="27">
        <v>0.58333333333333337</v>
      </c>
      <c r="G8" s="27">
        <v>0.79166666666666663</v>
      </c>
      <c r="H8" s="20" t="s">
        <v>65</v>
      </c>
      <c r="I8" s="22">
        <v>1.0416666666666666E-2</v>
      </c>
      <c r="J8" s="20">
        <v>1</v>
      </c>
      <c r="K8" s="20">
        <v>0</v>
      </c>
    </row>
    <row r="9" spans="1:11" x14ac:dyDescent="0.2">
      <c r="A9" s="19">
        <v>7</v>
      </c>
      <c r="B9" s="20" t="s">
        <v>95</v>
      </c>
      <c r="C9" s="20"/>
      <c r="D9" s="21">
        <v>13.619595</v>
      </c>
      <c r="E9" s="21">
        <v>100.449296</v>
      </c>
      <c r="F9" s="27">
        <v>0.58333333333333337</v>
      </c>
      <c r="G9" s="27">
        <v>0.79166666666666663</v>
      </c>
      <c r="H9" s="20" t="s">
        <v>65</v>
      </c>
      <c r="I9" s="22">
        <v>1.0416666666666666E-2</v>
      </c>
      <c r="J9" s="20">
        <v>1</v>
      </c>
      <c r="K9" s="20">
        <v>0</v>
      </c>
    </row>
    <row r="10" spans="1:11" x14ac:dyDescent="0.2">
      <c r="A10" s="19">
        <v>8</v>
      </c>
      <c r="B10" s="20" t="s">
        <v>72</v>
      </c>
      <c r="C10" s="20"/>
      <c r="D10" s="21">
        <v>13.7897821</v>
      </c>
      <c r="E10" s="21">
        <v>100.523811499999</v>
      </c>
      <c r="F10" s="27">
        <v>0.58333333333333337</v>
      </c>
      <c r="G10" s="27">
        <v>0.79166666666666663</v>
      </c>
      <c r="H10" s="20" t="s">
        <v>65</v>
      </c>
      <c r="I10" s="22">
        <v>1.0416666666666666E-2</v>
      </c>
      <c r="J10" s="20">
        <v>2</v>
      </c>
      <c r="K10" s="20">
        <v>0</v>
      </c>
    </row>
    <row r="11" spans="1:11" x14ac:dyDescent="0.2">
      <c r="A11" s="19">
        <v>9</v>
      </c>
      <c r="B11" s="20" t="s">
        <v>73</v>
      </c>
      <c r="C11" s="20"/>
      <c r="D11" s="21">
        <v>13.829655199999999</v>
      </c>
      <c r="E11" s="21">
        <v>100.521715299999</v>
      </c>
      <c r="F11" s="27">
        <v>0.58333333333333337</v>
      </c>
      <c r="G11" s="27">
        <v>0.79166666666666663</v>
      </c>
      <c r="H11" s="20" t="s">
        <v>65</v>
      </c>
      <c r="I11" s="22">
        <v>1.0416666666666666E-2</v>
      </c>
      <c r="J11" s="20">
        <v>1</v>
      </c>
      <c r="K11" s="20">
        <v>0</v>
      </c>
    </row>
    <row r="12" spans="1:11" x14ac:dyDescent="0.2">
      <c r="A12" s="19">
        <v>10</v>
      </c>
      <c r="B12" s="20" t="s">
        <v>74</v>
      </c>
      <c r="C12" s="20"/>
      <c r="D12" s="21">
        <v>13.8162495</v>
      </c>
      <c r="E12" s="21">
        <v>100.52995209999899</v>
      </c>
      <c r="F12" s="27">
        <v>0.58333333333333337</v>
      </c>
      <c r="G12" s="27">
        <v>0.79166666666666663</v>
      </c>
      <c r="H12" s="20" t="s">
        <v>65</v>
      </c>
      <c r="I12" s="22">
        <v>1.0416666666666666E-2</v>
      </c>
      <c r="J12" s="20">
        <v>1</v>
      </c>
      <c r="K12" s="20">
        <v>0</v>
      </c>
    </row>
    <row r="13" spans="1:11" x14ac:dyDescent="0.2">
      <c r="A13" s="19">
        <v>11</v>
      </c>
      <c r="B13" s="20" t="s">
        <v>96</v>
      </c>
      <c r="C13" s="20"/>
      <c r="D13" s="21">
        <v>13.512544</v>
      </c>
      <c r="E13" s="21">
        <v>100.15096800000001</v>
      </c>
      <c r="F13" s="27">
        <v>0.58333333333333337</v>
      </c>
      <c r="G13" s="27">
        <v>0.79166666666666663</v>
      </c>
      <c r="H13" s="20" t="s">
        <v>65</v>
      </c>
      <c r="I13" s="22">
        <v>1.0416666666666666E-2</v>
      </c>
      <c r="J13" s="20">
        <v>1</v>
      </c>
      <c r="K13" s="20">
        <v>0</v>
      </c>
    </row>
    <row r="14" spans="1:11" x14ac:dyDescent="0.2">
      <c r="A14" s="19">
        <v>12</v>
      </c>
      <c r="B14" s="20" t="s">
        <v>76</v>
      </c>
      <c r="C14" s="20"/>
      <c r="D14" s="21">
        <v>13.809201</v>
      </c>
      <c r="E14" s="21">
        <v>100.519665</v>
      </c>
      <c r="F14" s="27">
        <v>0.58333333333333337</v>
      </c>
      <c r="G14" s="27">
        <v>0.79166666666666663</v>
      </c>
      <c r="H14" s="20" t="s">
        <v>65</v>
      </c>
      <c r="I14" s="22">
        <v>1.0416666666666666E-2</v>
      </c>
      <c r="J14" s="20">
        <v>1</v>
      </c>
      <c r="K14" s="20">
        <v>0</v>
      </c>
    </row>
    <row r="15" spans="1:11" x14ac:dyDescent="0.2">
      <c r="A15" s="19">
        <v>13</v>
      </c>
      <c r="B15" s="20" t="s">
        <v>77</v>
      </c>
      <c r="C15" s="20"/>
      <c r="D15" s="21">
        <v>13.801686500000001</v>
      </c>
      <c r="E15" s="21">
        <v>100.523582</v>
      </c>
      <c r="F15" s="27">
        <v>0.58333333333333337</v>
      </c>
      <c r="G15" s="27">
        <v>0.79166666666666663</v>
      </c>
      <c r="H15" s="20" t="s">
        <v>65</v>
      </c>
      <c r="I15" s="22">
        <v>1.0416666666666666E-2</v>
      </c>
      <c r="J15" s="20">
        <v>2</v>
      </c>
      <c r="K15" s="20">
        <v>0</v>
      </c>
    </row>
    <row r="16" spans="1:11" x14ac:dyDescent="0.2">
      <c r="A16" s="19">
        <v>14</v>
      </c>
      <c r="B16" s="20" t="s">
        <v>78</v>
      </c>
      <c r="C16" s="20"/>
      <c r="D16" s="21">
        <v>13.8338299</v>
      </c>
      <c r="E16" s="21">
        <v>100.52975079999899</v>
      </c>
      <c r="F16" s="27">
        <v>0.58333333333333337</v>
      </c>
      <c r="G16" s="27">
        <v>0.79166666666666663</v>
      </c>
      <c r="H16" s="20" t="s">
        <v>65</v>
      </c>
      <c r="I16" s="22">
        <v>1.0416666666666666E-2</v>
      </c>
      <c r="J16" s="20">
        <v>2</v>
      </c>
      <c r="K16" s="20">
        <v>0</v>
      </c>
    </row>
    <row r="17" spans="1:11" x14ac:dyDescent="0.2">
      <c r="A17" s="19">
        <v>15</v>
      </c>
      <c r="B17" s="20" t="s">
        <v>79</v>
      </c>
      <c r="C17" s="20"/>
      <c r="D17" s="21">
        <v>13.818503</v>
      </c>
      <c r="E17" s="21">
        <v>100.51931500000001</v>
      </c>
      <c r="F17" s="27">
        <v>0.58333333333333337</v>
      </c>
      <c r="G17" s="27">
        <v>0.79166666666666663</v>
      </c>
      <c r="H17" s="20" t="s">
        <v>65</v>
      </c>
      <c r="I17" s="22">
        <v>1.0416666666666666E-2</v>
      </c>
      <c r="J17" s="20">
        <v>2</v>
      </c>
      <c r="K17" s="20">
        <v>0</v>
      </c>
    </row>
    <row r="18" spans="1:11" x14ac:dyDescent="0.2">
      <c r="A18" s="19">
        <v>16</v>
      </c>
      <c r="B18" s="20" t="s">
        <v>80</v>
      </c>
      <c r="C18" s="20"/>
      <c r="D18" s="21">
        <v>13.8543667</v>
      </c>
      <c r="E18" s="21">
        <v>100.58801080000001</v>
      </c>
      <c r="F18" s="27">
        <v>0.58333333333333337</v>
      </c>
      <c r="G18" s="27">
        <v>0.79166666666666663</v>
      </c>
      <c r="H18" s="20" t="s">
        <v>65</v>
      </c>
      <c r="I18" s="22">
        <v>1.0416666666666666E-2</v>
      </c>
      <c r="J18" s="20">
        <v>1</v>
      </c>
      <c r="K18" s="20">
        <v>0</v>
      </c>
    </row>
    <row r="19" spans="1:11" x14ac:dyDescent="0.2">
      <c r="A19" s="19">
        <v>17</v>
      </c>
      <c r="B19" s="20" t="s">
        <v>81</v>
      </c>
      <c r="C19" s="20"/>
      <c r="D19" s="21">
        <v>13.8529418</v>
      </c>
      <c r="E19" s="21">
        <v>100.621873199999</v>
      </c>
      <c r="F19" s="27">
        <v>0.58333333333333337</v>
      </c>
      <c r="G19" s="27">
        <v>0.79166666666666663</v>
      </c>
      <c r="H19" s="20" t="s">
        <v>65</v>
      </c>
      <c r="I19" s="22">
        <v>1.0416666666666666E-2</v>
      </c>
      <c r="J19" s="20">
        <v>1</v>
      </c>
      <c r="K19" s="20">
        <v>0</v>
      </c>
    </row>
    <row r="20" spans="1:11" x14ac:dyDescent="0.2">
      <c r="A20" s="19">
        <v>18</v>
      </c>
      <c r="B20" s="20" t="s">
        <v>82</v>
      </c>
      <c r="C20" s="20"/>
      <c r="D20" s="21">
        <v>13.860783700000001</v>
      </c>
      <c r="E20" s="21">
        <v>100.645380199999</v>
      </c>
      <c r="F20" s="27">
        <v>0.58333333333333337</v>
      </c>
      <c r="G20" s="27">
        <v>0.79166666666666663</v>
      </c>
      <c r="H20" s="20" t="s">
        <v>65</v>
      </c>
      <c r="I20" s="22">
        <v>1.0416666666666666E-2</v>
      </c>
      <c r="J20" s="20">
        <v>1</v>
      </c>
      <c r="K20" s="20">
        <v>0</v>
      </c>
    </row>
    <row r="21" spans="1:11" x14ac:dyDescent="0.2">
      <c r="A21" s="19">
        <v>19</v>
      </c>
      <c r="B21" s="20" t="s">
        <v>83</v>
      </c>
      <c r="C21" s="20"/>
      <c r="D21" s="21">
        <v>13.8931919</v>
      </c>
      <c r="E21" s="21">
        <v>100.62130089999999</v>
      </c>
      <c r="F21" s="27">
        <v>0.58333333333333337</v>
      </c>
      <c r="G21" s="27">
        <v>0.79166666666666663</v>
      </c>
      <c r="H21" s="20" t="s">
        <v>65</v>
      </c>
      <c r="I21" s="22">
        <v>1.0416666666666666E-2</v>
      </c>
      <c r="J21" s="20">
        <v>1</v>
      </c>
      <c r="K21" s="20">
        <v>0</v>
      </c>
    </row>
    <row r="22" spans="1:11" x14ac:dyDescent="0.2">
      <c r="A22" s="19">
        <v>20</v>
      </c>
      <c r="B22" s="20" t="s">
        <v>84</v>
      </c>
      <c r="C22" s="20"/>
      <c r="D22" s="21">
        <v>13.892532900000001</v>
      </c>
      <c r="E22" s="21">
        <v>100.6823091</v>
      </c>
      <c r="F22" s="27">
        <v>0.58333333333333337</v>
      </c>
      <c r="G22" s="27">
        <v>0.79166666666666663</v>
      </c>
      <c r="H22" s="20" t="s">
        <v>65</v>
      </c>
      <c r="I22" s="22">
        <v>1.0416666666666666E-2</v>
      </c>
      <c r="J22" s="20">
        <v>1</v>
      </c>
      <c r="K22" s="20">
        <v>0</v>
      </c>
    </row>
    <row r="23" spans="1:11" x14ac:dyDescent="0.2">
      <c r="A23" s="19">
        <v>21</v>
      </c>
      <c r="B23" s="20" t="s">
        <v>85</v>
      </c>
      <c r="C23" s="20"/>
      <c r="D23" s="21">
        <v>13.919617199999999</v>
      </c>
      <c r="E23" s="21">
        <v>100.68647989999999</v>
      </c>
      <c r="F23" s="27">
        <v>0.58333333333333337</v>
      </c>
      <c r="G23" s="27">
        <v>0.79166666666666663</v>
      </c>
      <c r="H23" s="20" t="s">
        <v>65</v>
      </c>
      <c r="I23" s="22">
        <v>1.0416666666666666E-2</v>
      </c>
      <c r="J23" s="20">
        <v>2</v>
      </c>
      <c r="K23" s="20">
        <v>0</v>
      </c>
    </row>
    <row r="24" spans="1:11" x14ac:dyDescent="0.2">
      <c r="A24" s="19">
        <v>22</v>
      </c>
      <c r="B24" s="20" t="s">
        <v>86</v>
      </c>
      <c r="C24" s="20"/>
      <c r="D24" s="21">
        <v>13.905555</v>
      </c>
      <c r="E24" s="21">
        <v>100.66510700000001</v>
      </c>
      <c r="F24" s="27">
        <v>0.58333333333333337</v>
      </c>
      <c r="G24" s="27">
        <v>0.79166666666666663</v>
      </c>
      <c r="H24" s="20" t="s">
        <v>65</v>
      </c>
      <c r="I24" s="22">
        <v>1.0416666666666666E-2</v>
      </c>
      <c r="J24" s="20">
        <v>1</v>
      </c>
      <c r="K24" s="20">
        <v>0</v>
      </c>
    </row>
    <row r="25" spans="1:11" x14ac:dyDescent="0.2">
      <c r="A25" s="19">
        <v>23</v>
      </c>
      <c r="B25" s="20" t="s">
        <v>87</v>
      </c>
      <c r="C25" s="20"/>
      <c r="D25" s="21">
        <v>13.8845206</v>
      </c>
      <c r="E25" s="21">
        <v>100.65940689999999</v>
      </c>
      <c r="F25" s="27">
        <v>0.58333333333333337</v>
      </c>
      <c r="G25" s="27">
        <v>0.79166666666666663</v>
      </c>
      <c r="H25" s="20" t="s">
        <v>65</v>
      </c>
      <c r="I25" s="22">
        <v>1.0416666666666666E-2</v>
      </c>
      <c r="J25" s="20">
        <v>2</v>
      </c>
      <c r="K25" s="20">
        <v>0</v>
      </c>
    </row>
    <row r="26" spans="1:11" x14ac:dyDescent="0.2">
      <c r="A26" s="19">
        <v>24</v>
      </c>
      <c r="B26" s="20" t="s">
        <v>88</v>
      </c>
      <c r="C26" s="20"/>
      <c r="D26" s="21">
        <v>13.926033</v>
      </c>
      <c r="E26" s="21">
        <v>100.63790299999999</v>
      </c>
      <c r="F26" s="27">
        <v>0.58333333333333337</v>
      </c>
      <c r="G26" s="27">
        <v>0.79166666666666663</v>
      </c>
      <c r="H26" s="20" t="s">
        <v>65</v>
      </c>
      <c r="I26" s="22">
        <v>1.0416666666666666E-2</v>
      </c>
      <c r="J26" s="20">
        <v>1</v>
      </c>
      <c r="K26" s="20">
        <v>0</v>
      </c>
    </row>
    <row r="27" spans="1:11" x14ac:dyDescent="0.2">
      <c r="A27" s="19">
        <v>25</v>
      </c>
      <c r="B27" s="20" t="s">
        <v>89</v>
      </c>
      <c r="C27" s="20"/>
      <c r="D27" s="21">
        <v>13.8839574</v>
      </c>
      <c r="E27" s="21">
        <v>100.6251494</v>
      </c>
      <c r="F27" s="27">
        <v>0.58333333333333337</v>
      </c>
      <c r="G27" s="27">
        <v>0.79166666666666663</v>
      </c>
      <c r="H27" s="20" t="s">
        <v>65</v>
      </c>
      <c r="I27" s="22">
        <v>1.0416666666666666E-2</v>
      </c>
      <c r="J27" s="20">
        <v>1</v>
      </c>
      <c r="K27" s="20">
        <v>0</v>
      </c>
    </row>
    <row r="28" spans="1:11" x14ac:dyDescent="0.2">
      <c r="A28" s="19">
        <v>26</v>
      </c>
      <c r="B28" s="20" t="s">
        <v>90</v>
      </c>
      <c r="C28" s="20"/>
      <c r="D28" s="21">
        <v>13.769646</v>
      </c>
      <c r="E28" s="21">
        <v>100.50288399999999</v>
      </c>
      <c r="F28" s="27">
        <v>0.58333333333333337</v>
      </c>
      <c r="G28" s="27">
        <v>0.79166666666666663</v>
      </c>
      <c r="H28" s="20" t="s">
        <v>65</v>
      </c>
      <c r="I28" s="22">
        <v>1.0416666666666666E-2</v>
      </c>
      <c r="J28" s="20">
        <v>2</v>
      </c>
      <c r="K28" s="20">
        <v>0</v>
      </c>
    </row>
    <row r="29" spans="1:11" x14ac:dyDescent="0.2">
      <c r="A29" s="19">
        <v>27</v>
      </c>
      <c r="B29" s="20" t="s">
        <v>91</v>
      </c>
      <c r="C29" s="20"/>
      <c r="D29" s="21">
        <v>13.839822399999999</v>
      </c>
      <c r="E29" s="21">
        <v>100.555982999999</v>
      </c>
      <c r="F29" s="27">
        <v>0.58333333333333337</v>
      </c>
      <c r="G29" s="27">
        <v>0.79166666666666663</v>
      </c>
      <c r="H29" s="20" t="s">
        <v>65</v>
      </c>
      <c r="I29" s="22">
        <v>1.0416666666666666E-2</v>
      </c>
      <c r="J29" s="20">
        <v>2</v>
      </c>
      <c r="K29" s="20">
        <v>0</v>
      </c>
    </row>
    <row r="30" spans="1:11" x14ac:dyDescent="0.2">
      <c r="A30" s="19">
        <v>28</v>
      </c>
      <c r="B30" s="20" t="s">
        <v>92</v>
      </c>
      <c r="C30" s="20"/>
      <c r="D30" s="21">
        <v>13.9225738</v>
      </c>
      <c r="E30" s="21">
        <v>100.60126700000001</v>
      </c>
      <c r="F30" s="27">
        <v>0.58333333333333337</v>
      </c>
      <c r="G30" s="27">
        <v>0.79166666666666663</v>
      </c>
      <c r="H30" s="20" t="s">
        <v>65</v>
      </c>
      <c r="I30" s="22">
        <v>1.0416666666666666E-2</v>
      </c>
      <c r="J30" s="20">
        <v>2</v>
      </c>
      <c r="K30" s="20">
        <v>0</v>
      </c>
    </row>
    <row r="31" spans="1:11" x14ac:dyDescent="0.2">
      <c r="A31" s="19">
        <v>29</v>
      </c>
      <c r="B31" s="20" t="s">
        <v>93</v>
      </c>
      <c r="C31" s="20"/>
      <c r="D31" s="21">
        <v>13.9479513</v>
      </c>
      <c r="E31" s="21">
        <v>100.5730034</v>
      </c>
      <c r="F31" s="27">
        <v>0.58333333333333337</v>
      </c>
      <c r="G31" s="27">
        <v>0.79166666666666663</v>
      </c>
      <c r="H31" s="20" t="s">
        <v>65</v>
      </c>
      <c r="I31" s="22">
        <v>1.0416666666666666E-2</v>
      </c>
      <c r="J31" s="20">
        <v>1</v>
      </c>
      <c r="K31" s="20">
        <v>0</v>
      </c>
    </row>
    <row r="32" spans="1:11" x14ac:dyDescent="0.2">
      <c r="A32" s="17">
        <v>30</v>
      </c>
      <c r="B32" s="16" t="s">
        <v>94</v>
      </c>
      <c r="C32" s="16"/>
      <c r="D32" s="18">
        <v>13.932459700000001</v>
      </c>
      <c r="E32" s="18">
        <v>100.567295</v>
      </c>
      <c r="F32" s="27">
        <v>0.58333333333333337</v>
      </c>
      <c r="G32" s="27">
        <v>0.79166666666666663</v>
      </c>
      <c r="H32" s="16" t="s">
        <v>65</v>
      </c>
      <c r="I32" s="22">
        <v>1.0416666666666666E-2</v>
      </c>
      <c r="J32" s="16">
        <v>1</v>
      </c>
      <c r="K32" s="16">
        <v>0</v>
      </c>
    </row>
  </sheetData>
  <conditionalFormatting sqref="A2">
    <cfRule type="expression" dxfId="1032" priority="4" stopIfTrue="1">
      <formula>ISBLANK($A$2)</formula>
    </cfRule>
  </conditionalFormatting>
  <conditionalFormatting sqref="B2">
    <cfRule type="expression" dxfId="1031" priority="5" stopIfTrue="1">
      <formula>ISBLANK($B$2)</formula>
    </cfRule>
  </conditionalFormatting>
  <conditionalFormatting sqref="F2">
    <cfRule type="cellIs" dxfId="1030" priority="6" stopIfTrue="1" operator="greaterThan">
      <formula>$G$2-$I$2</formula>
    </cfRule>
  </conditionalFormatting>
  <conditionalFormatting sqref="G2">
    <cfRule type="cellIs" dxfId="1029" priority="7" stopIfTrue="1" operator="lessThan">
      <formula>$F$2+$I$2</formula>
    </cfRule>
  </conditionalFormatting>
  <conditionalFormatting sqref="I2">
    <cfRule type="cellIs" dxfId="1028" priority="8" stopIfTrue="1" operator="greaterThan">
      <formula>$G$2-$F$2 + 0.0001</formula>
    </cfRule>
  </conditionalFormatting>
  <conditionalFormatting sqref="A3">
    <cfRule type="expression" dxfId="1027" priority="9" stopIfTrue="1">
      <formula>ISBLANK($A$3)</formula>
    </cfRule>
  </conditionalFormatting>
  <conditionalFormatting sqref="B3">
    <cfRule type="expression" dxfId="1026" priority="10" stopIfTrue="1">
      <formula>ISBLANK($B$3)</formula>
    </cfRule>
  </conditionalFormatting>
  <conditionalFormatting sqref="F3">
    <cfRule type="cellIs" dxfId="1025" priority="11" stopIfTrue="1" operator="greaterThan">
      <formula>$G$3-$I$3</formula>
    </cfRule>
  </conditionalFormatting>
  <conditionalFormatting sqref="G3">
    <cfRule type="cellIs" dxfId="1024" priority="12" stopIfTrue="1" operator="lessThan">
      <formula>$F$3+$I$3</formula>
    </cfRule>
  </conditionalFormatting>
  <conditionalFormatting sqref="H3">
    <cfRule type="cellIs" dxfId="1023" priority="13" stopIfTrue="1" operator="equal">
      <formula>"May be visited"</formula>
    </cfRule>
    <cfRule type="cellIs" dxfId="1022" priority="14" stopIfTrue="1" operator="equal">
      <formula>"Don't visit"</formula>
    </cfRule>
  </conditionalFormatting>
  <conditionalFormatting sqref="I3">
    <cfRule type="cellIs" dxfId="1021" priority="15" stopIfTrue="1" operator="greaterThan">
      <formula>$G$3-$F$3 + 0.0001</formula>
    </cfRule>
  </conditionalFormatting>
  <conditionalFormatting sqref="A4">
    <cfRule type="expression" dxfId="1020" priority="16" stopIfTrue="1">
      <formula>ISBLANK($A$4)</formula>
    </cfRule>
  </conditionalFormatting>
  <conditionalFormatting sqref="B4">
    <cfRule type="expression" dxfId="1019" priority="17" stopIfTrue="1">
      <formula>ISBLANK($B$4)</formula>
    </cfRule>
  </conditionalFormatting>
  <conditionalFormatting sqref="H4">
    <cfRule type="cellIs" dxfId="1018" priority="20" stopIfTrue="1" operator="equal">
      <formula>"May be visited"</formula>
    </cfRule>
    <cfRule type="cellIs" dxfId="1017" priority="21" stopIfTrue="1" operator="equal">
      <formula>"Don't visit"</formula>
    </cfRule>
  </conditionalFormatting>
  <conditionalFormatting sqref="A5">
    <cfRule type="expression" dxfId="1016" priority="23" stopIfTrue="1">
      <formula>ISBLANK($A$5)</formula>
    </cfRule>
  </conditionalFormatting>
  <conditionalFormatting sqref="B5">
    <cfRule type="expression" dxfId="1015" priority="24" stopIfTrue="1">
      <formula>ISBLANK($B$5)</formula>
    </cfRule>
  </conditionalFormatting>
  <conditionalFormatting sqref="H5">
    <cfRule type="cellIs" dxfId="1014" priority="27" stopIfTrue="1" operator="equal">
      <formula>"May be visited"</formula>
    </cfRule>
  </conditionalFormatting>
  <conditionalFormatting sqref="H5">
    <cfRule type="cellIs" dxfId="1013" priority="28" stopIfTrue="1" operator="equal">
      <formula>"Don't visit"</formula>
    </cfRule>
  </conditionalFormatting>
  <conditionalFormatting sqref="A6">
    <cfRule type="expression" dxfId="1012" priority="30" stopIfTrue="1">
      <formula>ISBLANK($A$6)</formula>
    </cfRule>
  </conditionalFormatting>
  <conditionalFormatting sqref="B6">
    <cfRule type="expression" dxfId="1011" priority="31" stopIfTrue="1">
      <formula>ISBLANK($B$6)</formula>
    </cfRule>
  </conditionalFormatting>
  <conditionalFormatting sqref="H6">
    <cfRule type="cellIs" dxfId="1010" priority="34" stopIfTrue="1" operator="equal">
      <formula>"May be visited"</formula>
    </cfRule>
  </conditionalFormatting>
  <conditionalFormatting sqref="H6">
    <cfRule type="cellIs" dxfId="1009" priority="35" stopIfTrue="1" operator="equal">
      <formula>"Don't visit"</formula>
    </cfRule>
  </conditionalFormatting>
  <conditionalFormatting sqref="A7">
    <cfRule type="expression" dxfId="1008" priority="37" stopIfTrue="1">
      <formula>ISBLANK($A$7)</formula>
    </cfRule>
  </conditionalFormatting>
  <conditionalFormatting sqref="B7">
    <cfRule type="expression" dxfId="1007" priority="38" stopIfTrue="1">
      <formula>ISBLANK($B$7)</formula>
    </cfRule>
  </conditionalFormatting>
  <conditionalFormatting sqref="H7">
    <cfRule type="cellIs" dxfId="1006" priority="41" stopIfTrue="1" operator="equal">
      <formula>"May be visited"</formula>
    </cfRule>
  </conditionalFormatting>
  <conditionalFormatting sqref="H7">
    <cfRule type="cellIs" dxfId="1005" priority="42" stopIfTrue="1" operator="equal">
      <formula>"Don't visit"</formula>
    </cfRule>
  </conditionalFormatting>
  <conditionalFormatting sqref="A8">
    <cfRule type="expression" dxfId="1004" priority="44" stopIfTrue="1">
      <formula>ISBLANK($A$8)</formula>
    </cfRule>
  </conditionalFormatting>
  <conditionalFormatting sqref="B8">
    <cfRule type="expression" dxfId="1003" priority="45" stopIfTrue="1">
      <formula>ISBLANK($B$8)</formula>
    </cfRule>
  </conditionalFormatting>
  <conditionalFormatting sqref="H8">
    <cfRule type="cellIs" dxfId="1002" priority="48" stopIfTrue="1" operator="equal">
      <formula>"May be visited"</formula>
    </cfRule>
  </conditionalFormatting>
  <conditionalFormatting sqref="H8">
    <cfRule type="cellIs" dxfId="1001" priority="49" stopIfTrue="1" operator="equal">
      <formula>"Don't visit"</formula>
    </cfRule>
  </conditionalFormatting>
  <conditionalFormatting sqref="A9">
    <cfRule type="expression" dxfId="1000" priority="51" stopIfTrue="1">
      <formula>ISBLANK($A$9)</formula>
    </cfRule>
  </conditionalFormatting>
  <conditionalFormatting sqref="B9">
    <cfRule type="expression" dxfId="999" priority="52" stopIfTrue="1">
      <formula>ISBLANK($B$9)</formula>
    </cfRule>
  </conditionalFormatting>
  <conditionalFormatting sqref="H9">
    <cfRule type="cellIs" dxfId="998" priority="55" stopIfTrue="1" operator="equal">
      <formula>"May be visited"</formula>
    </cfRule>
  </conditionalFormatting>
  <conditionalFormatting sqref="H9">
    <cfRule type="cellIs" dxfId="997" priority="56" stopIfTrue="1" operator="equal">
      <formula>"Don't visit"</formula>
    </cfRule>
  </conditionalFormatting>
  <conditionalFormatting sqref="A10">
    <cfRule type="expression" dxfId="996" priority="58" stopIfTrue="1">
      <formula>ISBLANK($A$10)</formula>
    </cfRule>
  </conditionalFormatting>
  <conditionalFormatting sqref="B10">
    <cfRule type="expression" dxfId="995" priority="59" stopIfTrue="1">
      <formula>ISBLANK($B$10)</formula>
    </cfRule>
  </conditionalFormatting>
  <conditionalFormatting sqref="H10">
    <cfRule type="cellIs" dxfId="994" priority="62" stopIfTrue="1" operator="equal">
      <formula>"May be visited"</formula>
    </cfRule>
  </conditionalFormatting>
  <conditionalFormatting sqref="H10">
    <cfRule type="cellIs" dxfId="993" priority="63" stopIfTrue="1" operator="equal">
      <formula>"Don't visit"</formula>
    </cfRule>
  </conditionalFormatting>
  <conditionalFormatting sqref="A11">
    <cfRule type="expression" dxfId="992" priority="65" stopIfTrue="1">
      <formula>ISBLANK($A$11)</formula>
    </cfRule>
  </conditionalFormatting>
  <conditionalFormatting sqref="B11">
    <cfRule type="expression" dxfId="991" priority="66" stopIfTrue="1">
      <formula>ISBLANK($B$11)</formula>
    </cfRule>
  </conditionalFormatting>
  <conditionalFormatting sqref="H11">
    <cfRule type="cellIs" dxfId="990" priority="69" stopIfTrue="1" operator="equal">
      <formula>"May be visited"</formula>
    </cfRule>
  </conditionalFormatting>
  <conditionalFormatting sqref="H11">
    <cfRule type="cellIs" dxfId="989" priority="70" stopIfTrue="1" operator="equal">
      <formula>"Don't visit"</formula>
    </cfRule>
  </conditionalFormatting>
  <conditionalFormatting sqref="A12">
    <cfRule type="expression" dxfId="988" priority="72" stopIfTrue="1">
      <formula>ISBLANK($A$12)</formula>
    </cfRule>
  </conditionalFormatting>
  <conditionalFormatting sqref="B12">
    <cfRule type="expression" dxfId="987" priority="73" stopIfTrue="1">
      <formula>ISBLANK($B$12)</formula>
    </cfRule>
  </conditionalFormatting>
  <conditionalFormatting sqref="H12">
    <cfRule type="cellIs" dxfId="986" priority="76" stopIfTrue="1" operator="equal">
      <formula>"May be visited"</formula>
    </cfRule>
  </conditionalFormatting>
  <conditionalFormatting sqref="H12">
    <cfRule type="cellIs" dxfId="985" priority="77" stopIfTrue="1" operator="equal">
      <formula>"Don't visit"</formula>
    </cfRule>
  </conditionalFormatting>
  <conditionalFormatting sqref="A13">
    <cfRule type="expression" dxfId="984" priority="79" stopIfTrue="1">
      <formula>ISBLANK($A$13)</formula>
    </cfRule>
  </conditionalFormatting>
  <conditionalFormatting sqref="B13">
    <cfRule type="expression" dxfId="983" priority="80" stopIfTrue="1">
      <formula>ISBLANK($B$13)</formula>
    </cfRule>
  </conditionalFormatting>
  <conditionalFormatting sqref="H13">
    <cfRule type="cellIs" dxfId="982" priority="83" stopIfTrue="1" operator="equal">
      <formula>"May be visited"</formula>
    </cfRule>
  </conditionalFormatting>
  <conditionalFormatting sqref="H13">
    <cfRule type="cellIs" dxfId="981" priority="84" stopIfTrue="1" operator="equal">
      <formula>"Don't visit"</formula>
    </cfRule>
  </conditionalFormatting>
  <conditionalFormatting sqref="A14">
    <cfRule type="expression" dxfId="980" priority="86" stopIfTrue="1">
      <formula>ISBLANK($A$14)</formula>
    </cfRule>
  </conditionalFormatting>
  <conditionalFormatting sqref="B14">
    <cfRule type="expression" dxfId="979" priority="87" stopIfTrue="1">
      <formula>ISBLANK($B$14)</formula>
    </cfRule>
  </conditionalFormatting>
  <conditionalFormatting sqref="H14">
    <cfRule type="cellIs" dxfId="978" priority="90" stopIfTrue="1" operator="equal">
      <formula>"May be visited"</formula>
    </cfRule>
  </conditionalFormatting>
  <conditionalFormatting sqref="H14">
    <cfRule type="cellIs" dxfId="977" priority="91" stopIfTrue="1" operator="equal">
      <formula>"Don't visit"</formula>
    </cfRule>
  </conditionalFormatting>
  <conditionalFormatting sqref="A15">
    <cfRule type="expression" dxfId="976" priority="93" stopIfTrue="1">
      <formula>ISBLANK($A$15)</formula>
    </cfRule>
  </conditionalFormatting>
  <conditionalFormatting sqref="B15">
    <cfRule type="expression" dxfId="975" priority="94" stopIfTrue="1">
      <formula>ISBLANK($B$15)</formula>
    </cfRule>
  </conditionalFormatting>
  <conditionalFormatting sqref="H15">
    <cfRule type="cellIs" dxfId="974" priority="97" stopIfTrue="1" operator="equal">
      <formula>"May be visited"</formula>
    </cfRule>
  </conditionalFormatting>
  <conditionalFormatting sqref="H15">
    <cfRule type="cellIs" dxfId="973" priority="98" stopIfTrue="1" operator="equal">
      <formula>"Don't visit"</formula>
    </cfRule>
  </conditionalFormatting>
  <conditionalFormatting sqref="A16">
    <cfRule type="expression" dxfId="972" priority="100" stopIfTrue="1">
      <formula>ISBLANK($A$16)</formula>
    </cfRule>
  </conditionalFormatting>
  <conditionalFormatting sqref="B16">
    <cfRule type="expression" dxfId="971" priority="101" stopIfTrue="1">
      <formula>ISBLANK($B$16)</formula>
    </cfRule>
  </conditionalFormatting>
  <conditionalFormatting sqref="H16">
    <cfRule type="cellIs" dxfId="970" priority="104" stopIfTrue="1" operator="equal">
      <formula>"May be visited"</formula>
    </cfRule>
  </conditionalFormatting>
  <conditionalFormatting sqref="H16">
    <cfRule type="cellIs" dxfId="969" priority="105" stopIfTrue="1" operator="equal">
      <formula>"Don't visit"</formula>
    </cfRule>
  </conditionalFormatting>
  <conditionalFormatting sqref="A17">
    <cfRule type="expression" dxfId="968" priority="107" stopIfTrue="1">
      <formula>ISBLANK($A$17)</formula>
    </cfRule>
  </conditionalFormatting>
  <conditionalFormatting sqref="B17">
    <cfRule type="expression" dxfId="967" priority="108" stopIfTrue="1">
      <formula>ISBLANK($B$17)</formula>
    </cfRule>
  </conditionalFormatting>
  <conditionalFormatting sqref="H17">
    <cfRule type="cellIs" dxfId="966" priority="111" stopIfTrue="1" operator="equal">
      <formula>"May be visited"</formula>
    </cfRule>
  </conditionalFormatting>
  <conditionalFormatting sqref="H17">
    <cfRule type="cellIs" dxfId="965" priority="112" stopIfTrue="1" operator="equal">
      <formula>"Don't visit"</formula>
    </cfRule>
  </conditionalFormatting>
  <conditionalFormatting sqref="A18">
    <cfRule type="expression" dxfId="964" priority="114" stopIfTrue="1">
      <formula>ISBLANK($A$18)</formula>
    </cfRule>
  </conditionalFormatting>
  <conditionalFormatting sqref="B18">
    <cfRule type="expression" dxfId="963" priority="115" stopIfTrue="1">
      <formula>ISBLANK($B$18)</formula>
    </cfRule>
  </conditionalFormatting>
  <conditionalFormatting sqref="H18">
    <cfRule type="cellIs" dxfId="962" priority="118" stopIfTrue="1" operator="equal">
      <formula>"May be visited"</formula>
    </cfRule>
  </conditionalFormatting>
  <conditionalFormatting sqref="H18">
    <cfRule type="cellIs" dxfId="961" priority="119" stopIfTrue="1" operator="equal">
      <formula>"Don't visit"</formula>
    </cfRule>
  </conditionalFormatting>
  <conditionalFormatting sqref="A19">
    <cfRule type="expression" dxfId="960" priority="121" stopIfTrue="1">
      <formula>ISBLANK($A$19)</formula>
    </cfRule>
  </conditionalFormatting>
  <conditionalFormatting sqref="B19">
    <cfRule type="expression" dxfId="959" priority="122" stopIfTrue="1">
      <formula>ISBLANK($B$19)</formula>
    </cfRule>
  </conditionalFormatting>
  <conditionalFormatting sqref="H19">
    <cfRule type="cellIs" dxfId="958" priority="125" stopIfTrue="1" operator="equal">
      <formula>"May be visited"</formula>
    </cfRule>
  </conditionalFormatting>
  <conditionalFormatting sqref="H19">
    <cfRule type="cellIs" dxfId="957" priority="126" stopIfTrue="1" operator="equal">
      <formula>"Don't visit"</formula>
    </cfRule>
  </conditionalFormatting>
  <conditionalFormatting sqref="A20">
    <cfRule type="expression" dxfId="956" priority="128" stopIfTrue="1">
      <formula>ISBLANK($A$20)</formula>
    </cfRule>
  </conditionalFormatting>
  <conditionalFormatting sqref="B20">
    <cfRule type="expression" dxfId="955" priority="129" stopIfTrue="1">
      <formula>ISBLANK($B$20)</formula>
    </cfRule>
  </conditionalFormatting>
  <conditionalFormatting sqref="H20">
    <cfRule type="cellIs" dxfId="954" priority="132" stopIfTrue="1" operator="equal">
      <formula>"May be visited"</formula>
    </cfRule>
  </conditionalFormatting>
  <conditionalFormatting sqref="H20">
    <cfRule type="cellIs" dxfId="953" priority="133" stopIfTrue="1" operator="equal">
      <formula>"Don't visit"</formula>
    </cfRule>
  </conditionalFormatting>
  <conditionalFormatting sqref="A21">
    <cfRule type="expression" dxfId="952" priority="135" stopIfTrue="1">
      <formula>ISBLANK($A$21)</formula>
    </cfRule>
  </conditionalFormatting>
  <conditionalFormatting sqref="B21">
    <cfRule type="expression" dxfId="951" priority="136" stopIfTrue="1">
      <formula>ISBLANK($B$21)</formula>
    </cfRule>
  </conditionalFormatting>
  <conditionalFormatting sqref="H21">
    <cfRule type="cellIs" dxfId="950" priority="139" stopIfTrue="1" operator="equal">
      <formula>"May be visited"</formula>
    </cfRule>
  </conditionalFormatting>
  <conditionalFormatting sqref="H21">
    <cfRule type="cellIs" dxfId="949" priority="140" stopIfTrue="1" operator="equal">
      <formula>"Don't visit"</formula>
    </cfRule>
  </conditionalFormatting>
  <conditionalFormatting sqref="A22">
    <cfRule type="expression" dxfId="948" priority="142" stopIfTrue="1">
      <formula>ISBLANK($A$22)</formula>
    </cfRule>
  </conditionalFormatting>
  <conditionalFormatting sqref="B22">
    <cfRule type="expression" dxfId="947" priority="143" stopIfTrue="1">
      <formula>ISBLANK($B$22)</formula>
    </cfRule>
  </conditionalFormatting>
  <conditionalFormatting sqref="H22">
    <cfRule type="cellIs" dxfId="946" priority="146" stopIfTrue="1" operator="equal">
      <formula>"May be visited"</formula>
    </cfRule>
  </conditionalFormatting>
  <conditionalFormatting sqref="H22">
    <cfRule type="cellIs" dxfId="945" priority="147" stopIfTrue="1" operator="equal">
      <formula>"Don't visit"</formula>
    </cfRule>
  </conditionalFormatting>
  <conditionalFormatting sqref="A23">
    <cfRule type="expression" dxfId="944" priority="149" stopIfTrue="1">
      <formula>ISBLANK($A$23)</formula>
    </cfRule>
  </conditionalFormatting>
  <conditionalFormatting sqref="B23">
    <cfRule type="expression" dxfId="943" priority="150" stopIfTrue="1">
      <formula>ISBLANK($B$23)</formula>
    </cfRule>
  </conditionalFormatting>
  <conditionalFormatting sqref="H23">
    <cfRule type="cellIs" dxfId="942" priority="153" stopIfTrue="1" operator="equal">
      <formula>"May be visited"</formula>
    </cfRule>
  </conditionalFormatting>
  <conditionalFormatting sqref="H23">
    <cfRule type="cellIs" dxfId="941" priority="154" stopIfTrue="1" operator="equal">
      <formula>"Don't visit"</formula>
    </cfRule>
  </conditionalFormatting>
  <conditionalFormatting sqref="A24">
    <cfRule type="expression" dxfId="940" priority="156" stopIfTrue="1">
      <formula>ISBLANK($A$24)</formula>
    </cfRule>
  </conditionalFormatting>
  <conditionalFormatting sqref="B24">
    <cfRule type="expression" dxfId="939" priority="157" stopIfTrue="1">
      <formula>ISBLANK($B$24)</formula>
    </cfRule>
  </conditionalFormatting>
  <conditionalFormatting sqref="H24">
    <cfRule type="cellIs" dxfId="938" priority="160" stopIfTrue="1" operator="equal">
      <formula>"May be visited"</formula>
    </cfRule>
  </conditionalFormatting>
  <conditionalFormatting sqref="H24">
    <cfRule type="cellIs" dxfId="937" priority="161" stopIfTrue="1" operator="equal">
      <formula>"Don't visit"</formula>
    </cfRule>
  </conditionalFormatting>
  <conditionalFormatting sqref="A25">
    <cfRule type="expression" dxfId="936" priority="163" stopIfTrue="1">
      <formula>ISBLANK($A$25)</formula>
    </cfRule>
  </conditionalFormatting>
  <conditionalFormatting sqref="B25">
    <cfRule type="expression" dxfId="935" priority="164" stopIfTrue="1">
      <formula>ISBLANK($B$25)</formula>
    </cfRule>
  </conditionalFormatting>
  <conditionalFormatting sqref="H25">
    <cfRule type="cellIs" dxfId="934" priority="167" stopIfTrue="1" operator="equal">
      <formula>"May be visited"</formula>
    </cfRule>
  </conditionalFormatting>
  <conditionalFormatting sqref="H25">
    <cfRule type="cellIs" dxfId="933" priority="168" stopIfTrue="1" operator="equal">
      <formula>"Don't visit"</formula>
    </cfRule>
  </conditionalFormatting>
  <conditionalFormatting sqref="A26">
    <cfRule type="expression" dxfId="932" priority="170" stopIfTrue="1">
      <formula>ISBLANK($A$26)</formula>
    </cfRule>
  </conditionalFormatting>
  <conditionalFormatting sqref="B26">
    <cfRule type="expression" dxfId="931" priority="171" stopIfTrue="1">
      <formula>ISBLANK($B$26)</formula>
    </cfRule>
  </conditionalFormatting>
  <conditionalFormatting sqref="H26">
    <cfRule type="cellIs" dxfId="930" priority="174" stopIfTrue="1" operator="equal">
      <formula>"May be visited"</formula>
    </cfRule>
  </conditionalFormatting>
  <conditionalFormatting sqref="H26">
    <cfRule type="cellIs" dxfId="929" priority="175" stopIfTrue="1" operator="equal">
      <formula>"Don't visit"</formula>
    </cfRule>
  </conditionalFormatting>
  <conditionalFormatting sqref="A27">
    <cfRule type="expression" dxfId="928" priority="177" stopIfTrue="1">
      <formula>ISBLANK($A$27)</formula>
    </cfRule>
  </conditionalFormatting>
  <conditionalFormatting sqref="B27">
    <cfRule type="expression" dxfId="927" priority="178" stopIfTrue="1">
      <formula>ISBLANK($B$27)</formula>
    </cfRule>
  </conditionalFormatting>
  <conditionalFormatting sqref="H27">
    <cfRule type="cellIs" dxfId="926" priority="181" stopIfTrue="1" operator="equal">
      <formula>"May be visited"</formula>
    </cfRule>
  </conditionalFormatting>
  <conditionalFormatting sqref="H27">
    <cfRule type="cellIs" dxfId="925" priority="182" stopIfTrue="1" operator="equal">
      <formula>"Don't visit"</formula>
    </cfRule>
  </conditionalFormatting>
  <conditionalFormatting sqref="A28">
    <cfRule type="expression" dxfId="924" priority="184" stopIfTrue="1">
      <formula>ISBLANK($A$28)</formula>
    </cfRule>
  </conditionalFormatting>
  <conditionalFormatting sqref="B28">
    <cfRule type="expression" dxfId="923" priority="185" stopIfTrue="1">
      <formula>ISBLANK($B$28)</formula>
    </cfRule>
  </conditionalFormatting>
  <conditionalFormatting sqref="H28">
    <cfRule type="cellIs" dxfId="922" priority="188" stopIfTrue="1" operator="equal">
      <formula>"May be visited"</formula>
    </cfRule>
  </conditionalFormatting>
  <conditionalFormatting sqref="H28">
    <cfRule type="cellIs" dxfId="921" priority="189" stopIfTrue="1" operator="equal">
      <formula>"Don't visit"</formula>
    </cfRule>
  </conditionalFormatting>
  <conditionalFormatting sqref="A29">
    <cfRule type="expression" dxfId="920" priority="191" stopIfTrue="1">
      <formula>ISBLANK($A$29)</formula>
    </cfRule>
  </conditionalFormatting>
  <conditionalFormatting sqref="B29">
    <cfRule type="expression" dxfId="919" priority="192" stopIfTrue="1">
      <formula>ISBLANK($B$29)</formula>
    </cfRule>
  </conditionalFormatting>
  <conditionalFormatting sqref="H29">
    <cfRule type="cellIs" dxfId="918" priority="195" stopIfTrue="1" operator="equal">
      <formula>"May be visited"</formula>
    </cfRule>
  </conditionalFormatting>
  <conditionalFormatting sqref="H29">
    <cfRule type="cellIs" dxfId="917" priority="196" stopIfTrue="1" operator="equal">
      <formula>"Don't visit"</formula>
    </cfRule>
  </conditionalFormatting>
  <conditionalFormatting sqref="A30">
    <cfRule type="expression" dxfId="916" priority="198" stopIfTrue="1">
      <formula>ISBLANK($A$30)</formula>
    </cfRule>
  </conditionalFormatting>
  <conditionalFormatting sqref="B30">
    <cfRule type="expression" dxfId="915" priority="199" stopIfTrue="1">
      <formula>ISBLANK($B$30)</formula>
    </cfRule>
  </conditionalFormatting>
  <conditionalFormatting sqref="H30">
    <cfRule type="cellIs" dxfId="914" priority="202" stopIfTrue="1" operator="equal">
      <formula>"May be visited"</formula>
    </cfRule>
  </conditionalFormatting>
  <conditionalFormatting sqref="H30">
    <cfRule type="cellIs" dxfId="913" priority="203" stopIfTrue="1" operator="equal">
      <formula>"Don't visit"</formula>
    </cfRule>
  </conditionalFormatting>
  <conditionalFormatting sqref="A31">
    <cfRule type="expression" dxfId="912" priority="205" stopIfTrue="1">
      <formula>ISBLANK($A$31)</formula>
    </cfRule>
  </conditionalFormatting>
  <conditionalFormatting sqref="B31">
    <cfRule type="expression" dxfId="911" priority="206" stopIfTrue="1">
      <formula>ISBLANK($B$31)</formula>
    </cfRule>
  </conditionalFormatting>
  <conditionalFormatting sqref="H31">
    <cfRule type="cellIs" dxfId="910" priority="209" stopIfTrue="1" operator="equal">
      <formula>"May be visited"</formula>
    </cfRule>
  </conditionalFormatting>
  <conditionalFormatting sqref="H31">
    <cfRule type="cellIs" dxfId="909" priority="210" stopIfTrue="1" operator="equal">
      <formula>"Don't visit"</formula>
    </cfRule>
  </conditionalFormatting>
  <conditionalFormatting sqref="A32">
    <cfRule type="expression" dxfId="908" priority="212" stopIfTrue="1">
      <formula>ISBLANK($A$32)</formula>
    </cfRule>
  </conditionalFormatting>
  <conditionalFormatting sqref="B32">
    <cfRule type="expression" dxfId="907" priority="213" stopIfTrue="1">
      <formula>ISBLANK($B$32)</formula>
    </cfRule>
  </conditionalFormatting>
  <conditionalFormatting sqref="H32">
    <cfRule type="cellIs" dxfId="906" priority="216" stopIfTrue="1" operator="equal">
      <formula>"May be visited"</formula>
    </cfRule>
  </conditionalFormatting>
  <conditionalFormatting sqref="H32">
    <cfRule type="cellIs" dxfId="905" priority="217" stopIfTrue="1" operator="equal">
      <formula>"Don't visit"</formula>
    </cfRule>
  </conditionalFormatting>
  <conditionalFormatting sqref="B2:B32">
    <cfRule type="duplicateValues" dxfId="904" priority="219"/>
  </conditionalFormatting>
  <conditionalFormatting sqref="F4:F32">
    <cfRule type="cellIs" dxfId="903" priority="3" stopIfTrue="1" operator="greaterThan">
      <formula>$G$3-$I$3</formula>
    </cfRule>
  </conditionalFormatting>
  <conditionalFormatting sqref="G4:G32">
    <cfRule type="cellIs" dxfId="902" priority="2" stopIfTrue="1" operator="lessThan">
      <formula>$F$3+$I$3</formula>
    </cfRule>
  </conditionalFormatting>
  <conditionalFormatting sqref="I4:I32">
    <cfRule type="cellIs" dxfId="901" priority="1" stopIfTrue="1" operator="greaterThan">
      <formula>$G$3-$F$3 + 0.0001</formula>
    </cfRule>
  </conditionalFormatting>
  <dataValidations count="2">
    <dataValidation type="decimal" operator="greaterThan" allowBlank="1" showInputMessage="1" showErrorMessage="1" error="Please enter a nonnegative value" sqref="J2:J32" xr:uid="{00000000-0002-0000-0200-000000000000}">
      <formula1>-0.0001</formula1>
    </dataValidation>
    <dataValidation type="list" allowBlank="1" showInputMessage="1" showErrorMessage="1" sqref="H3:H32" xr:uid="{00000000-0002-0000-0200-000001000000}">
      <formula1>"Must be visited, May be visited, Don't visit"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962"/>
  <sheetViews>
    <sheetView topLeftCell="A942" workbookViewId="0"/>
  </sheetViews>
  <sheetFormatPr defaultRowHeight="14.25" x14ac:dyDescent="0.2"/>
  <cols>
    <col min="1" max="2" width="28.25" bestFit="1" customWidth="1"/>
    <col min="3" max="4" width="9.25" bestFit="1" customWidth="1"/>
    <col min="6" max="6" width="23.625" customWidth="1"/>
  </cols>
  <sheetData>
    <row r="1" spans="1:8" s="12" customFormat="1" x14ac:dyDescent="0.2">
      <c r="A1" s="12" t="s">
        <v>97</v>
      </c>
      <c r="B1" s="12" t="s">
        <v>98</v>
      </c>
      <c r="C1" s="12" t="s">
        <v>99</v>
      </c>
      <c r="D1" s="12" t="s">
        <v>100</v>
      </c>
      <c r="E1" s="12" t="s">
        <v>101</v>
      </c>
      <c r="F1" s="12" t="s">
        <v>13</v>
      </c>
      <c r="G1"/>
      <c r="H1"/>
    </row>
    <row r="2" spans="1:8" x14ac:dyDescent="0.2">
      <c r="A2" s="13" t="s">
        <v>66</v>
      </c>
      <c r="B2" s="13" t="s">
        <v>66</v>
      </c>
      <c r="C2" s="29">
        <v>0</v>
      </c>
      <c r="D2" s="30">
        <v>0</v>
      </c>
    </row>
    <row r="3" spans="1:8" x14ac:dyDescent="0.2">
      <c r="A3" s="19" t="s">
        <v>66</v>
      </c>
      <c r="B3" s="19" t="s">
        <v>75</v>
      </c>
      <c r="C3" s="33">
        <v>33.6</v>
      </c>
      <c r="D3" s="22">
        <v>2.2916666666666669E-2</v>
      </c>
    </row>
    <row r="4" spans="1:8" x14ac:dyDescent="0.2">
      <c r="A4" s="19" t="s">
        <v>66</v>
      </c>
      <c r="B4" s="19" t="s">
        <v>67</v>
      </c>
      <c r="C4" s="33">
        <v>31.684000000000001</v>
      </c>
      <c r="D4" s="22">
        <v>2.0833333333333332E-2</v>
      </c>
    </row>
    <row r="5" spans="1:8" x14ac:dyDescent="0.2">
      <c r="A5" s="19" t="s">
        <v>66</v>
      </c>
      <c r="B5" s="19" t="s">
        <v>68</v>
      </c>
      <c r="C5" s="33">
        <v>32.591000000000001</v>
      </c>
      <c r="D5" s="22">
        <v>2.1527777777777781E-2</v>
      </c>
    </row>
    <row r="6" spans="1:8" x14ac:dyDescent="0.2">
      <c r="A6" s="19" t="s">
        <v>66</v>
      </c>
      <c r="B6" s="19" t="s">
        <v>69</v>
      </c>
      <c r="C6" s="33">
        <v>32.576000000000001</v>
      </c>
      <c r="D6" s="22">
        <v>2.1527777777777781E-2</v>
      </c>
    </row>
    <row r="7" spans="1:8" x14ac:dyDescent="0.2">
      <c r="A7" s="19" t="s">
        <v>66</v>
      </c>
      <c r="B7" s="19" t="s">
        <v>70</v>
      </c>
      <c r="C7" s="33">
        <v>33.386000000000003</v>
      </c>
      <c r="D7" s="22">
        <v>2.361111111111111E-2</v>
      </c>
    </row>
    <row r="8" spans="1:8" x14ac:dyDescent="0.2">
      <c r="A8" s="19" t="s">
        <v>66</v>
      </c>
      <c r="B8" s="19" t="s">
        <v>71</v>
      </c>
      <c r="C8" s="33">
        <v>33.078000000000003</v>
      </c>
      <c r="D8" s="22">
        <v>2.1527777777777781E-2</v>
      </c>
    </row>
    <row r="9" spans="1:8" x14ac:dyDescent="0.2">
      <c r="A9" s="19" t="s">
        <v>66</v>
      </c>
      <c r="B9" s="19" t="s">
        <v>95</v>
      </c>
      <c r="C9" s="33">
        <v>6.8940000000000001</v>
      </c>
      <c r="D9" s="22">
        <v>9.0277777777777787E-3</v>
      </c>
    </row>
    <row r="10" spans="1:8" x14ac:dyDescent="0.2">
      <c r="A10" s="19" t="s">
        <v>66</v>
      </c>
      <c r="B10" s="19" t="s">
        <v>72</v>
      </c>
      <c r="C10" s="33">
        <v>33.155999999999999</v>
      </c>
      <c r="D10" s="22">
        <v>2.2916666666666669E-2</v>
      </c>
    </row>
    <row r="11" spans="1:8" x14ac:dyDescent="0.2">
      <c r="A11" s="19" t="s">
        <v>66</v>
      </c>
      <c r="B11" s="19" t="s">
        <v>73</v>
      </c>
      <c r="C11" s="33">
        <v>37.694000000000003</v>
      </c>
      <c r="D11" s="22">
        <v>2.4305555555555556E-2</v>
      </c>
    </row>
    <row r="12" spans="1:8" x14ac:dyDescent="0.2">
      <c r="A12" s="19" t="s">
        <v>66</v>
      </c>
      <c r="B12" s="19" t="s">
        <v>74</v>
      </c>
      <c r="C12" s="33">
        <v>36.341000000000001</v>
      </c>
      <c r="D12" s="22">
        <v>2.6388888888888889E-2</v>
      </c>
    </row>
    <row r="13" spans="1:8" x14ac:dyDescent="0.2">
      <c r="A13" s="19" t="s">
        <v>66</v>
      </c>
      <c r="B13" s="19" t="s">
        <v>96</v>
      </c>
      <c r="C13" s="33">
        <v>34.533999999999999</v>
      </c>
      <c r="D13" s="22">
        <v>2.1527777777777781E-2</v>
      </c>
    </row>
    <row r="14" spans="1:8" x14ac:dyDescent="0.2">
      <c r="A14" s="19" t="s">
        <v>66</v>
      </c>
      <c r="B14" s="19" t="s">
        <v>76</v>
      </c>
      <c r="C14" s="33">
        <v>34.548000000000002</v>
      </c>
      <c r="D14" s="22">
        <v>2.361111111111111E-2</v>
      </c>
    </row>
    <row r="15" spans="1:8" x14ac:dyDescent="0.2">
      <c r="A15" s="19" t="s">
        <v>66</v>
      </c>
      <c r="B15" s="19" t="s">
        <v>77</v>
      </c>
      <c r="C15" s="33">
        <v>33.668999999999997</v>
      </c>
      <c r="D15" s="22">
        <v>2.2916666666666669E-2</v>
      </c>
    </row>
    <row r="16" spans="1:8" x14ac:dyDescent="0.2">
      <c r="A16" s="19" t="s">
        <v>66</v>
      </c>
      <c r="B16" s="19" t="s">
        <v>78</v>
      </c>
      <c r="C16" s="33">
        <v>37.988</v>
      </c>
      <c r="D16" s="22">
        <v>2.4999999999999998E-2</v>
      </c>
    </row>
    <row r="17" spans="1:4" x14ac:dyDescent="0.2">
      <c r="A17" s="19" t="s">
        <v>66</v>
      </c>
      <c r="B17" s="19" t="s">
        <v>79</v>
      </c>
      <c r="C17" s="33">
        <v>39.479999999999997</v>
      </c>
      <c r="D17" s="22">
        <v>2.5694444444444447E-2</v>
      </c>
    </row>
    <row r="18" spans="1:4" x14ac:dyDescent="0.2">
      <c r="A18" s="19" t="s">
        <v>66</v>
      </c>
      <c r="B18" s="19" t="s">
        <v>80</v>
      </c>
      <c r="C18" s="33">
        <v>46.235999999999997</v>
      </c>
      <c r="D18" s="22">
        <v>2.9861111111111113E-2</v>
      </c>
    </row>
    <row r="19" spans="1:4" x14ac:dyDescent="0.2">
      <c r="A19" s="19" t="s">
        <v>66</v>
      </c>
      <c r="B19" s="19" t="s">
        <v>81</v>
      </c>
      <c r="C19" s="33">
        <v>50.197000000000003</v>
      </c>
      <c r="D19" s="22">
        <v>3.3333333333333333E-2</v>
      </c>
    </row>
    <row r="20" spans="1:4" x14ac:dyDescent="0.2">
      <c r="A20" s="19" t="s">
        <v>66</v>
      </c>
      <c r="B20" s="19" t="s">
        <v>82</v>
      </c>
      <c r="C20" s="33">
        <v>55.378999999999998</v>
      </c>
      <c r="D20" s="22">
        <v>3.6111111111111115E-2</v>
      </c>
    </row>
    <row r="21" spans="1:4" x14ac:dyDescent="0.2">
      <c r="A21" s="19" t="s">
        <v>66</v>
      </c>
      <c r="B21" s="19" t="s">
        <v>83</v>
      </c>
      <c r="C21" s="33">
        <v>52.475000000000001</v>
      </c>
      <c r="D21" s="22">
        <v>3.5416666666666666E-2</v>
      </c>
    </row>
    <row r="22" spans="1:4" x14ac:dyDescent="0.2">
      <c r="A22" s="19" t="s">
        <v>66</v>
      </c>
      <c r="B22" s="19" t="s">
        <v>84</v>
      </c>
      <c r="C22" s="33">
        <v>62.673999999999999</v>
      </c>
      <c r="D22" s="22">
        <v>4.2361111111111106E-2</v>
      </c>
    </row>
    <row r="23" spans="1:4" x14ac:dyDescent="0.2">
      <c r="A23" s="19" t="s">
        <v>66</v>
      </c>
      <c r="B23" s="19" t="s">
        <v>85</v>
      </c>
      <c r="C23" s="33">
        <v>61.720999999999997</v>
      </c>
      <c r="D23" s="22">
        <v>4.1666666666666664E-2</v>
      </c>
    </row>
    <row r="24" spans="1:4" x14ac:dyDescent="0.2">
      <c r="A24" s="19" t="s">
        <v>66</v>
      </c>
      <c r="B24" s="19" t="s">
        <v>86</v>
      </c>
      <c r="C24" s="33">
        <v>59.073</v>
      </c>
      <c r="D24" s="22">
        <v>3.888888888888889E-2</v>
      </c>
    </row>
    <row r="25" spans="1:4" x14ac:dyDescent="0.2">
      <c r="A25" s="19" t="s">
        <v>66</v>
      </c>
      <c r="B25" s="19" t="s">
        <v>87</v>
      </c>
      <c r="C25" s="33">
        <v>57.75</v>
      </c>
      <c r="D25" s="22">
        <v>3.7499999999999999E-2</v>
      </c>
    </row>
    <row r="26" spans="1:4" x14ac:dyDescent="0.2">
      <c r="A26" s="19" t="s">
        <v>66</v>
      </c>
      <c r="B26" s="19" t="s">
        <v>88</v>
      </c>
      <c r="C26" s="33">
        <v>56.076000000000001</v>
      </c>
      <c r="D26" s="22">
        <v>3.6805555555555557E-2</v>
      </c>
    </row>
    <row r="27" spans="1:4" x14ac:dyDescent="0.2">
      <c r="A27" s="19" t="s">
        <v>66</v>
      </c>
      <c r="B27" s="19" t="s">
        <v>89</v>
      </c>
      <c r="C27" s="33">
        <v>53.017000000000003</v>
      </c>
      <c r="D27" s="22">
        <v>3.4722222222222224E-2</v>
      </c>
    </row>
    <row r="28" spans="1:4" x14ac:dyDescent="0.2">
      <c r="A28" s="19" t="s">
        <v>66</v>
      </c>
      <c r="B28" s="19" t="s">
        <v>90</v>
      </c>
      <c r="C28" s="33">
        <v>32.36</v>
      </c>
      <c r="D28" s="22">
        <v>2.013888888888889E-2</v>
      </c>
    </row>
    <row r="29" spans="1:4" x14ac:dyDescent="0.2">
      <c r="A29" s="19" t="s">
        <v>66</v>
      </c>
      <c r="B29" s="19" t="s">
        <v>91</v>
      </c>
      <c r="C29" s="33">
        <v>42.996000000000002</v>
      </c>
      <c r="D29" s="22">
        <v>2.6388888888888889E-2</v>
      </c>
    </row>
    <row r="30" spans="1:4" x14ac:dyDescent="0.2">
      <c r="A30" s="19" t="s">
        <v>66</v>
      </c>
      <c r="B30" s="19" t="s">
        <v>92</v>
      </c>
      <c r="C30" s="33">
        <v>51.533999999999999</v>
      </c>
      <c r="D30" s="22">
        <v>3.1944444444444449E-2</v>
      </c>
    </row>
    <row r="31" spans="1:4" x14ac:dyDescent="0.2">
      <c r="A31" s="19" t="s">
        <v>66</v>
      </c>
      <c r="B31" s="19" t="s">
        <v>93</v>
      </c>
      <c r="C31" s="33">
        <v>57.039000000000001</v>
      </c>
      <c r="D31" s="22">
        <v>3.4722222222222224E-2</v>
      </c>
    </row>
    <row r="32" spans="1:4" x14ac:dyDescent="0.2">
      <c r="A32" s="19" t="s">
        <v>66</v>
      </c>
      <c r="B32" s="19" t="s">
        <v>94</v>
      </c>
      <c r="C32" s="33">
        <v>56.323999999999998</v>
      </c>
      <c r="D32" s="22">
        <v>3.4722222222222224E-2</v>
      </c>
    </row>
    <row r="33" spans="1:4" x14ac:dyDescent="0.2">
      <c r="A33" s="19" t="s">
        <v>75</v>
      </c>
      <c r="B33" s="19" t="s">
        <v>66</v>
      </c>
      <c r="C33" s="33">
        <v>32.042999999999999</v>
      </c>
      <c r="D33" s="22">
        <v>2.2222222222222223E-2</v>
      </c>
    </row>
    <row r="34" spans="1:4" x14ac:dyDescent="0.2">
      <c r="A34" s="19" t="s">
        <v>75</v>
      </c>
      <c r="B34" s="19" t="s">
        <v>75</v>
      </c>
      <c r="C34" s="33">
        <v>0</v>
      </c>
      <c r="D34" s="22">
        <v>0</v>
      </c>
    </row>
    <row r="35" spans="1:4" x14ac:dyDescent="0.2">
      <c r="A35" s="19" t="s">
        <v>75</v>
      </c>
      <c r="B35" s="19" t="s">
        <v>67</v>
      </c>
      <c r="C35" s="33">
        <v>3.004</v>
      </c>
      <c r="D35" s="22">
        <v>4.1666666666666666E-3</v>
      </c>
    </row>
    <row r="36" spans="1:4" x14ac:dyDescent="0.2">
      <c r="A36" s="19" t="s">
        <v>75</v>
      </c>
      <c r="B36" s="19" t="s">
        <v>68</v>
      </c>
      <c r="C36" s="33">
        <v>3.52</v>
      </c>
      <c r="D36" s="22">
        <v>4.8611111111111112E-3</v>
      </c>
    </row>
    <row r="37" spans="1:4" x14ac:dyDescent="0.2">
      <c r="A37" s="19" t="s">
        <v>75</v>
      </c>
      <c r="B37" s="19" t="s">
        <v>69</v>
      </c>
      <c r="C37" s="33">
        <v>2.6960000000000002</v>
      </c>
      <c r="D37" s="22">
        <v>3.472222222222222E-3</v>
      </c>
    </row>
    <row r="38" spans="1:4" x14ac:dyDescent="0.2">
      <c r="A38" s="19" t="s">
        <v>75</v>
      </c>
      <c r="B38" s="19" t="s">
        <v>70</v>
      </c>
      <c r="C38" s="33">
        <v>0.99</v>
      </c>
      <c r="D38" s="22">
        <v>2.7777777777777779E-3</v>
      </c>
    </row>
    <row r="39" spans="1:4" x14ac:dyDescent="0.2">
      <c r="A39" s="19" t="s">
        <v>75</v>
      </c>
      <c r="B39" s="19" t="s">
        <v>71</v>
      </c>
      <c r="C39" s="33">
        <v>4.8250000000000002</v>
      </c>
      <c r="D39" s="22">
        <v>5.5555555555555558E-3</v>
      </c>
    </row>
    <row r="40" spans="1:4" x14ac:dyDescent="0.2">
      <c r="A40" s="19" t="s">
        <v>75</v>
      </c>
      <c r="B40" s="19" t="s">
        <v>95</v>
      </c>
      <c r="C40" s="33">
        <v>28.73</v>
      </c>
      <c r="D40" s="22">
        <v>2.6388888888888889E-2</v>
      </c>
    </row>
    <row r="41" spans="1:4" x14ac:dyDescent="0.2">
      <c r="A41" s="19" t="s">
        <v>75</v>
      </c>
      <c r="B41" s="19" t="s">
        <v>72</v>
      </c>
      <c r="C41" s="33">
        <v>2.6190000000000002</v>
      </c>
      <c r="D41" s="22">
        <v>4.1666666666666666E-3</v>
      </c>
    </row>
    <row r="42" spans="1:4" x14ac:dyDescent="0.2">
      <c r="A42" s="19" t="s">
        <v>75</v>
      </c>
      <c r="B42" s="19" t="s">
        <v>73</v>
      </c>
      <c r="C42" s="33">
        <v>6.7080000000000002</v>
      </c>
      <c r="D42" s="22">
        <v>8.3333333333333332E-3</v>
      </c>
    </row>
    <row r="43" spans="1:4" x14ac:dyDescent="0.2">
      <c r="A43" s="19" t="s">
        <v>75</v>
      </c>
      <c r="B43" s="19" t="s">
        <v>74</v>
      </c>
      <c r="C43" s="33">
        <v>3.9449999999999998</v>
      </c>
      <c r="D43" s="22">
        <v>5.5555555555555558E-3</v>
      </c>
    </row>
    <row r="44" spans="1:4" x14ac:dyDescent="0.2">
      <c r="A44" s="19" t="s">
        <v>75</v>
      </c>
      <c r="B44" s="19" t="s">
        <v>96</v>
      </c>
      <c r="C44" s="33">
        <v>63.313000000000002</v>
      </c>
      <c r="D44" s="22">
        <v>3.7499999999999999E-2</v>
      </c>
    </row>
    <row r="45" spans="1:4" x14ac:dyDescent="0.2">
      <c r="A45" s="19" t="s">
        <v>75</v>
      </c>
      <c r="B45" s="19" t="s">
        <v>76</v>
      </c>
      <c r="C45" s="33">
        <v>2.1520000000000001</v>
      </c>
      <c r="D45" s="22">
        <v>3.472222222222222E-3</v>
      </c>
    </row>
    <row r="46" spans="1:4" x14ac:dyDescent="0.2">
      <c r="A46" s="19" t="s">
        <v>75</v>
      </c>
      <c r="B46" s="19" t="s">
        <v>77</v>
      </c>
      <c r="C46" s="33">
        <v>1.2729999999999999</v>
      </c>
      <c r="D46" s="22">
        <v>2.0833333333333333E-3</v>
      </c>
    </row>
    <row r="47" spans="1:4" x14ac:dyDescent="0.2">
      <c r="A47" s="19" t="s">
        <v>75</v>
      </c>
      <c r="B47" s="19" t="s">
        <v>78</v>
      </c>
      <c r="C47" s="33">
        <v>7.4279999999999999</v>
      </c>
      <c r="D47" s="22">
        <v>9.0277777777777787E-3</v>
      </c>
    </row>
    <row r="48" spans="1:4" x14ac:dyDescent="0.2">
      <c r="A48" s="19" t="s">
        <v>75</v>
      </c>
      <c r="B48" s="19" t="s">
        <v>79</v>
      </c>
      <c r="C48" s="33">
        <v>6.843</v>
      </c>
      <c r="D48" s="22">
        <v>8.3333333333333332E-3</v>
      </c>
    </row>
    <row r="49" spans="1:4" x14ac:dyDescent="0.2">
      <c r="A49" s="19" t="s">
        <v>75</v>
      </c>
      <c r="B49" s="19" t="s">
        <v>80</v>
      </c>
      <c r="C49" s="33">
        <v>16.358000000000001</v>
      </c>
      <c r="D49" s="22">
        <v>1.3888888888888888E-2</v>
      </c>
    </row>
    <row r="50" spans="1:4" x14ac:dyDescent="0.2">
      <c r="A50" s="19" t="s">
        <v>75</v>
      </c>
      <c r="B50" s="19" t="s">
        <v>81</v>
      </c>
      <c r="C50" s="33">
        <v>22.893999999999998</v>
      </c>
      <c r="D50" s="22">
        <v>1.8055555555555557E-2</v>
      </c>
    </row>
    <row r="51" spans="1:4" x14ac:dyDescent="0.2">
      <c r="A51" s="19" t="s">
        <v>75</v>
      </c>
      <c r="B51" s="19" t="s">
        <v>82</v>
      </c>
      <c r="C51" s="33">
        <v>23.907</v>
      </c>
      <c r="D51" s="22">
        <v>1.9444444444444445E-2</v>
      </c>
    </row>
    <row r="52" spans="1:4" x14ac:dyDescent="0.2">
      <c r="A52" s="19" t="s">
        <v>75</v>
      </c>
      <c r="B52" s="19" t="s">
        <v>83</v>
      </c>
      <c r="C52" s="33">
        <v>21.003</v>
      </c>
      <c r="D52" s="22">
        <v>1.8749999999999999E-2</v>
      </c>
    </row>
    <row r="53" spans="1:4" x14ac:dyDescent="0.2">
      <c r="A53" s="19" t="s">
        <v>75</v>
      </c>
      <c r="B53" s="19" t="s">
        <v>84</v>
      </c>
      <c r="C53" s="33">
        <v>31.202000000000002</v>
      </c>
      <c r="D53" s="22">
        <v>2.6388888888888889E-2</v>
      </c>
    </row>
    <row r="54" spans="1:4" x14ac:dyDescent="0.2">
      <c r="A54" s="19" t="s">
        <v>75</v>
      </c>
      <c r="B54" s="19" t="s">
        <v>85</v>
      </c>
      <c r="C54" s="33">
        <v>30.248999999999999</v>
      </c>
      <c r="D54" s="22">
        <v>2.4999999999999998E-2</v>
      </c>
    </row>
    <row r="55" spans="1:4" x14ac:dyDescent="0.2">
      <c r="A55" s="19" t="s">
        <v>75</v>
      </c>
      <c r="B55" s="19" t="s">
        <v>86</v>
      </c>
      <c r="C55" s="33">
        <v>27.600999999999999</v>
      </c>
      <c r="D55" s="22">
        <v>2.2916666666666669E-2</v>
      </c>
    </row>
    <row r="56" spans="1:4" x14ac:dyDescent="0.2">
      <c r="A56" s="19" t="s">
        <v>75</v>
      </c>
      <c r="B56" s="19" t="s">
        <v>87</v>
      </c>
      <c r="C56" s="33">
        <v>26.277999999999999</v>
      </c>
      <c r="D56" s="22">
        <v>2.1527777777777781E-2</v>
      </c>
    </row>
    <row r="57" spans="1:4" x14ac:dyDescent="0.2">
      <c r="A57" s="19" t="s">
        <v>75</v>
      </c>
      <c r="B57" s="19" t="s">
        <v>88</v>
      </c>
      <c r="C57" s="33">
        <v>24.603999999999999</v>
      </c>
      <c r="D57" s="22">
        <v>2.013888888888889E-2</v>
      </c>
    </row>
    <row r="58" spans="1:4" x14ac:dyDescent="0.2">
      <c r="A58" s="19" t="s">
        <v>75</v>
      </c>
      <c r="B58" s="19" t="s">
        <v>89</v>
      </c>
      <c r="C58" s="33">
        <v>21.545000000000002</v>
      </c>
      <c r="D58" s="22">
        <v>1.8749999999999999E-2</v>
      </c>
    </row>
    <row r="59" spans="1:4" x14ac:dyDescent="0.2">
      <c r="A59" s="19" t="s">
        <v>75</v>
      </c>
      <c r="B59" s="19" t="s">
        <v>90</v>
      </c>
      <c r="C59" s="33">
        <v>4.4109999999999996</v>
      </c>
      <c r="D59" s="22">
        <v>5.5555555555555558E-3</v>
      </c>
    </row>
    <row r="60" spans="1:4" x14ac:dyDescent="0.2">
      <c r="A60" s="19" t="s">
        <v>75</v>
      </c>
      <c r="B60" s="19" t="s">
        <v>91</v>
      </c>
      <c r="C60" s="33">
        <v>9.0660000000000007</v>
      </c>
      <c r="D60" s="22">
        <v>8.3333333333333332E-3</v>
      </c>
    </row>
    <row r="61" spans="1:4" x14ac:dyDescent="0.2">
      <c r="A61" s="19" t="s">
        <v>75</v>
      </c>
      <c r="B61" s="19" t="s">
        <v>92</v>
      </c>
      <c r="C61" s="33">
        <v>19.736999999999998</v>
      </c>
      <c r="D61" s="22">
        <v>1.4583333333333332E-2</v>
      </c>
    </row>
    <row r="62" spans="1:4" x14ac:dyDescent="0.2">
      <c r="A62" s="19" t="s">
        <v>75</v>
      </c>
      <c r="B62" s="19" t="s">
        <v>93</v>
      </c>
      <c r="C62" s="33">
        <v>25.79</v>
      </c>
      <c r="D62" s="22">
        <v>2.0833333333333332E-2</v>
      </c>
    </row>
    <row r="63" spans="1:4" x14ac:dyDescent="0.2">
      <c r="A63" s="19" t="s">
        <v>75</v>
      </c>
      <c r="B63" s="19" t="s">
        <v>94</v>
      </c>
      <c r="C63" s="33">
        <v>23.663</v>
      </c>
      <c r="D63" s="22">
        <v>1.8749999999999999E-2</v>
      </c>
    </row>
    <row r="64" spans="1:4" x14ac:dyDescent="0.2">
      <c r="A64" s="19" t="s">
        <v>67</v>
      </c>
      <c r="B64" s="19" t="s">
        <v>66</v>
      </c>
      <c r="C64" s="33">
        <v>30.126999999999999</v>
      </c>
      <c r="D64" s="22">
        <v>2.013888888888889E-2</v>
      </c>
    </row>
    <row r="65" spans="1:4" x14ac:dyDescent="0.2">
      <c r="A65" s="19" t="s">
        <v>67</v>
      </c>
      <c r="B65" s="19" t="s">
        <v>75</v>
      </c>
      <c r="C65" s="33">
        <v>3.004</v>
      </c>
      <c r="D65" s="22">
        <v>4.1666666666666666E-3</v>
      </c>
    </row>
    <row r="66" spans="1:4" x14ac:dyDescent="0.2">
      <c r="A66" s="19" t="s">
        <v>67</v>
      </c>
      <c r="B66" s="19" t="s">
        <v>67</v>
      </c>
      <c r="C66" s="33">
        <v>0</v>
      </c>
      <c r="D66" s="22">
        <v>0</v>
      </c>
    </row>
    <row r="67" spans="1:4" x14ac:dyDescent="0.2">
      <c r="A67" s="19" t="s">
        <v>67</v>
      </c>
      <c r="B67" s="19" t="s">
        <v>68</v>
      </c>
      <c r="C67" s="33">
        <v>1.0129999999999999</v>
      </c>
      <c r="D67" s="22">
        <v>2.0833333333333333E-3</v>
      </c>
    </row>
    <row r="68" spans="1:4" x14ac:dyDescent="0.2">
      <c r="A68" s="19" t="s">
        <v>67</v>
      </c>
      <c r="B68" s="19" t="s">
        <v>69</v>
      </c>
      <c r="C68" s="33">
        <v>1.0409999999999999</v>
      </c>
      <c r="D68" s="22">
        <v>2.0833333333333333E-3</v>
      </c>
    </row>
    <row r="69" spans="1:4" x14ac:dyDescent="0.2">
      <c r="A69" s="19" t="s">
        <v>67</v>
      </c>
      <c r="B69" s="19" t="s">
        <v>70</v>
      </c>
      <c r="C69" s="33">
        <v>4.0659999999999998</v>
      </c>
      <c r="D69" s="22">
        <v>4.1666666666666666E-3</v>
      </c>
    </row>
    <row r="70" spans="1:4" x14ac:dyDescent="0.2">
      <c r="A70" s="19" t="s">
        <v>67</v>
      </c>
      <c r="B70" s="19" t="s">
        <v>71</v>
      </c>
      <c r="C70" s="33">
        <v>2.3439999999999999</v>
      </c>
      <c r="D70" s="22">
        <v>2.7777777777777779E-3</v>
      </c>
    </row>
    <row r="71" spans="1:4" x14ac:dyDescent="0.2">
      <c r="A71" s="19" t="s">
        <v>67</v>
      </c>
      <c r="B71" s="19" t="s">
        <v>95</v>
      </c>
      <c r="C71" s="33">
        <v>26.814</v>
      </c>
      <c r="D71" s="22">
        <v>2.361111111111111E-2</v>
      </c>
    </row>
    <row r="72" spans="1:4" x14ac:dyDescent="0.2">
      <c r="A72" s="19" t="s">
        <v>67</v>
      </c>
      <c r="B72" s="19" t="s">
        <v>72</v>
      </c>
      <c r="C72" s="33">
        <v>2.7370000000000001</v>
      </c>
      <c r="D72" s="22">
        <v>3.472222222222222E-3</v>
      </c>
    </row>
    <row r="73" spans="1:4" x14ac:dyDescent="0.2">
      <c r="A73" s="19" t="s">
        <v>67</v>
      </c>
      <c r="B73" s="19" t="s">
        <v>73</v>
      </c>
      <c r="C73" s="33">
        <v>8.5079999999999991</v>
      </c>
      <c r="D73" s="22">
        <v>1.1111111111111112E-2</v>
      </c>
    </row>
    <row r="74" spans="1:4" x14ac:dyDescent="0.2">
      <c r="A74" s="19" t="s">
        <v>67</v>
      </c>
      <c r="B74" s="19" t="s">
        <v>74</v>
      </c>
      <c r="C74" s="33">
        <v>5.7450000000000001</v>
      </c>
      <c r="D74" s="22">
        <v>7.6388888888888886E-3</v>
      </c>
    </row>
    <row r="75" spans="1:4" x14ac:dyDescent="0.2">
      <c r="A75" s="19" t="s">
        <v>67</v>
      </c>
      <c r="B75" s="19" t="s">
        <v>96</v>
      </c>
      <c r="C75" s="33">
        <v>61.396999999999998</v>
      </c>
      <c r="D75" s="22">
        <v>3.4722222222222224E-2</v>
      </c>
    </row>
    <row r="76" spans="1:4" x14ac:dyDescent="0.2">
      <c r="A76" s="19" t="s">
        <v>67</v>
      </c>
      <c r="B76" s="19" t="s">
        <v>76</v>
      </c>
      <c r="C76" s="33">
        <v>3.952</v>
      </c>
      <c r="D76" s="22">
        <v>5.5555555555555558E-3</v>
      </c>
    </row>
    <row r="77" spans="1:4" x14ac:dyDescent="0.2">
      <c r="A77" s="19" t="s">
        <v>67</v>
      </c>
      <c r="B77" s="19" t="s">
        <v>77</v>
      </c>
      <c r="C77" s="33">
        <v>3.073</v>
      </c>
      <c r="D77" s="22">
        <v>4.1666666666666666E-3</v>
      </c>
    </row>
    <row r="78" spans="1:4" x14ac:dyDescent="0.2">
      <c r="A78" s="19" t="s">
        <v>67</v>
      </c>
      <c r="B78" s="19" t="s">
        <v>78</v>
      </c>
      <c r="C78" s="33">
        <v>9.2279999999999998</v>
      </c>
      <c r="D78" s="22">
        <v>1.1111111111111112E-2</v>
      </c>
    </row>
    <row r="79" spans="1:4" x14ac:dyDescent="0.2">
      <c r="A79" s="19" t="s">
        <v>67</v>
      </c>
      <c r="B79" s="19" t="s">
        <v>79</v>
      </c>
      <c r="C79" s="33">
        <v>8.6430000000000007</v>
      </c>
      <c r="D79" s="22">
        <v>1.0416666666666666E-2</v>
      </c>
    </row>
    <row r="80" spans="1:4" x14ac:dyDescent="0.2">
      <c r="A80" s="19" t="s">
        <v>67</v>
      </c>
      <c r="B80" s="19" t="s">
        <v>80</v>
      </c>
      <c r="C80" s="33">
        <v>17.619</v>
      </c>
      <c r="D80" s="22">
        <v>1.5277777777777777E-2</v>
      </c>
    </row>
    <row r="81" spans="1:4" x14ac:dyDescent="0.2">
      <c r="A81" s="19" t="s">
        <v>67</v>
      </c>
      <c r="B81" s="19" t="s">
        <v>81</v>
      </c>
      <c r="C81" s="33">
        <v>24.155000000000001</v>
      </c>
      <c r="D81" s="22">
        <v>1.9444444444444445E-2</v>
      </c>
    </row>
    <row r="82" spans="1:4" x14ac:dyDescent="0.2">
      <c r="A82" s="19" t="s">
        <v>67</v>
      </c>
      <c r="B82" s="19" t="s">
        <v>82</v>
      </c>
      <c r="C82" s="33">
        <v>25.167999999999999</v>
      </c>
      <c r="D82" s="22">
        <v>2.0833333333333332E-2</v>
      </c>
    </row>
    <row r="83" spans="1:4" x14ac:dyDescent="0.2">
      <c r="A83" s="19" t="s">
        <v>67</v>
      </c>
      <c r="B83" s="19" t="s">
        <v>83</v>
      </c>
      <c r="C83" s="33">
        <v>22.263999999999999</v>
      </c>
      <c r="D83" s="22">
        <v>2.013888888888889E-2</v>
      </c>
    </row>
    <row r="84" spans="1:4" x14ac:dyDescent="0.2">
      <c r="A84" s="19" t="s">
        <v>67</v>
      </c>
      <c r="B84" s="19" t="s">
        <v>84</v>
      </c>
      <c r="C84" s="33">
        <v>31.358000000000001</v>
      </c>
      <c r="D84" s="22">
        <v>2.7777777777777776E-2</v>
      </c>
    </row>
    <row r="85" spans="1:4" x14ac:dyDescent="0.2">
      <c r="A85" s="19" t="s">
        <v>67</v>
      </c>
      <c r="B85" s="19" t="s">
        <v>85</v>
      </c>
      <c r="C85" s="33">
        <v>30.405000000000001</v>
      </c>
      <c r="D85" s="22">
        <v>2.7083333333333334E-2</v>
      </c>
    </row>
    <row r="86" spans="1:4" x14ac:dyDescent="0.2">
      <c r="A86" s="19" t="s">
        <v>67</v>
      </c>
      <c r="B86" s="19" t="s">
        <v>86</v>
      </c>
      <c r="C86" s="33">
        <v>27.757000000000001</v>
      </c>
      <c r="D86" s="22">
        <v>2.4305555555555556E-2</v>
      </c>
    </row>
    <row r="87" spans="1:4" x14ac:dyDescent="0.2">
      <c r="A87" s="19" t="s">
        <v>67</v>
      </c>
      <c r="B87" s="19" t="s">
        <v>87</v>
      </c>
      <c r="C87" s="33">
        <v>27.539000000000001</v>
      </c>
      <c r="D87" s="22">
        <v>2.2222222222222223E-2</v>
      </c>
    </row>
    <row r="88" spans="1:4" x14ac:dyDescent="0.2">
      <c r="A88" s="19" t="s">
        <v>67</v>
      </c>
      <c r="B88" s="19" t="s">
        <v>88</v>
      </c>
      <c r="C88" s="33">
        <v>25.864999999999998</v>
      </c>
      <c r="D88" s="22">
        <v>2.1527777777777781E-2</v>
      </c>
    </row>
    <row r="89" spans="1:4" x14ac:dyDescent="0.2">
      <c r="A89" s="19" t="s">
        <v>67</v>
      </c>
      <c r="B89" s="19" t="s">
        <v>89</v>
      </c>
      <c r="C89" s="33">
        <v>22.806000000000001</v>
      </c>
      <c r="D89" s="22">
        <v>1.9444444444444445E-2</v>
      </c>
    </row>
    <row r="90" spans="1:4" x14ac:dyDescent="0.2">
      <c r="A90" s="19" t="s">
        <v>67</v>
      </c>
      <c r="B90" s="19" t="s">
        <v>90</v>
      </c>
      <c r="C90" s="33">
        <v>2.4950000000000001</v>
      </c>
      <c r="D90" s="22">
        <v>3.472222222222222E-3</v>
      </c>
    </row>
    <row r="91" spans="1:4" x14ac:dyDescent="0.2">
      <c r="A91" s="19" t="s">
        <v>67</v>
      </c>
      <c r="B91" s="19" t="s">
        <v>91</v>
      </c>
      <c r="C91" s="33">
        <v>10.327</v>
      </c>
      <c r="D91" s="22">
        <v>9.7222222222222224E-3</v>
      </c>
    </row>
    <row r="92" spans="1:4" x14ac:dyDescent="0.2">
      <c r="A92" s="19" t="s">
        <v>67</v>
      </c>
      <c r="B92" s="19" t="s">
        <v>92</v>
      </c>
      <c r="C92" s="33">
        <v>20.998000000000001</v>
      </c>
      <c r="D92" s="22">
        <v>1.5277777777777777E-2</v>
      </c>
    </row>
    <row r="93" spans="1:4" x14ac:dyDescent="0.2">
      <c r="A93" s="19" t="s">
        <v>67</v>
      </c>
      <c r="B93" s="19" t="s">
        <v>93</v>
      </c>
      <c r="C93" s="33">
        <v>27.050999999999998</v>
      </c>
      <c r="D93" s="22">
        <v>2.1527777777777781E-2</v>
      </c>
    </row>
    <row r="94" spans="1:4" x14ac:dyDescent="0.2">
      <c r="A94" s="19" t="s">
        <v>67</v>
      </c>
      <c r="B94" s="19" t="s">
        <v>94</v>
      </c>
      <c r="C94" s="33">
        <v>24.923999999999999</v>
      </c>
      <c r="D94" s="22">
        <v>1.9444444444444445E-2</v>
      </c>
    </row>
    <row r="95" spans="1:4" x14ac:dyDescent="0.2">
      <c r="A95" s="19" t="s">
        <v>68</v>
      </c>
      <c r="B95" s="19" t="s">
        <v>66</v>
      </c>
      <c r="C95" s="33">
        <v>30.991</v>
      </c>
      <c r="D95" s="22">
        <v>2.0833333333333332E-2</v>
      </c>
    </row>
    <row r="96" spans="1:4" x14ac:dyDescent="0.2">
      <c r="A96" s="19" t="s">
        <v>68</v>
      </c>
      <c r="B96" s="19" t="s">
        <v>75</v>
      </c>
      <c r="C96" s="33">
        <v>3.52</v>
      </c>
      <c r="D96" s="22">
        <v>4.8611111111111112E-3</v>
      </c>
    </row>
    <row r="97" spans="1:4" x14ac:dyDescent="0.2">
      <c r="A97" s="19" t="s">
        <v>68</v>
      </c>
      <c r="B97" s="19" t="s">
        <v>67</v>
      </c>
      <c r="C97" s="33">
        <v>1.0129999999999999</v>
      </c>
      <c r="D97" s="22">
        <v>1.3888888888888889E-3</v>
      </c>
    </row>
    <row r="98" spans="1:4" x14ac:dyDescent="0.2">
      <c r="A98" s="19" t="s">
        <v>68</v>
      </c>
      <c r="B98" s="19" t="s">
        <v>68</v>
      </c>
      <c r="C98" s="33">
        <v>0</v>
      </c>
      <c r="D98" s="22">
        <v>0</v>
      </c>
    </row>
    <row r="99" spans="1:4" x14ac:dyDescent="0.2">
      <c r="A99" s="19" t="s">
        <v>68</v>
      </c>
      <c r="B99" s="19" t="s">
        <v>69</v>
      </c>
      <c r="C99" s="33">
        <v>1.046</v>
      </c>
      <c r="D99" s="22">
        <v>1.3888888888888889E-3</v>
      </c>
    </row>
    <row r="100" spans="1:4" x14ac:dyDescent="0.2">
      <c r="A100" s="19" t="s">
        <v>68</v>
      </c>
      <c r="B100" s="19" t="s">
        <v>70</v>
      </c>
      <c r="C100" s="33">
        <v>3.3149999999999999</v>
      </c>
      <c r="D100" s="22">
        <v>3.472222222222222E-3</v>
      </c>
    </row>
    <row r="101" spans="1:4" x14ac:dyDescent="0.2">
      <c r="A101" s="19" t="s">
        <v>68</v>
      </c>
      <c r="B101" s="19" t="s">
        <v>71</v>
      </c>
      <c r="C101" s="33">
        <v>1.4590000000000001</v>
      </c>
      <c r="D101" s="22">
        <v>1.3888888888888889E-3</v>
      </c>
    </row>
    <row r="102" spans="1:4" x14ac:dyDescent="0.2">
      <c r="A102" s="19" t="s">
        <v>68</v>
      </c>
      <c r="B102" s="19" t="s">
        <v>95</v>
      </c>
      <c r="C102" s="33">
        <v>26.581</v>
      </c>
      <c r="D102" s="22">
        <v>2.361111111111111E-2</v>
      </c>
    </row>
    <row r="103" spans="1:4" x14ac:dyDescent="0.2">
      <c r="A103" s="19" t="s">
        <v>68</v>
      </c>
      <c r="B103" s="19" t="s">
        <v>72</v>
      </c>
      <c r="C103" s="33">
        <v>1.986</v>
      </c>
      <c r="D103" s="22">
        <v>2.0833333333333333E-3</v>
      </c>
    </row>
    <row r="104" spans="1:4" x14ac:dyDescent="0.2">
      <c r="A104" s="19" t="s">
        <v>68</v>
      </c>
      <c r="B104" s="19" t="s">
        <v>73</v>
      </c>
      <c r="C104" s="33">
        <v>7.77</v>
      </c>
      <c r="D104" s="22">
        <v>1.1111111111111112E-2</v>
      </c>
    </row>
    <row r="105" spans="1:4" x14ac:dyDescent="0.2">
      <c r="A105" s="19" t="s">
        <v>68</v>
      </c>
      <c r="B105" s="19" t="s">
        <v>74</v>
      </c>
      <c r="C105" s="33">
        <v>5.3739999999999997</v>
      </c>
      <c r="D105" s="22">
        <v>7.6388888888888886E-3</v>
      </c>
    </row>
    <row r="106" spans="1:4" x14ac:dyDescent="0.2">
      <c r="A106" s="19" t="s">
        <v>68</v>
      </c>
      <c r="B106" s="19" t="s">
        <v>96</v>
      </c>
      <c r="C106" s="33">
        <v>62.261000000000003</v>
      </c>
      <c r="D106" s="22">
        <v>3.5416666666666666E-2</v>
      </c>
    </row>
    <row r="107" spans="1:4" x14ac:dyDescent="0.2">
      <c r="A107" s="19" t="s">
        <v>68</v>
      </c>
      <c r="B107" s="19" t="s">
        <v>76</v>
      </c>
      <c r="C107" s="33">
        <v>4.468</v>
      </c>
      <c r="D107" s="22">
        <v>5.5555555555555558E-3</v>
      </c>
    </row>
    <row r="108" spans="1:4" x14ac:dyDescent="0.2">
      <c r="A108" s="19" t="s">
        <v>68</v>
      </c>
      <c r="B108" s="19" t="s">
        <v>77</v>
      </c>
      <c r="C108" s="33">
        <v>3.589</v>
      </c>
      <c r="D108" s="22">
        <v>4.8611111111111112E-3</v>
      </c>
    </row>
    <row r="109" spans="1:4" x14ac:dyDescent="0.2">
      <c r="A109" s="19" t="s">
        <v>68</v>
      </c>
      <c r="B109" s="19" t="s">
        <v>78</v>
      </c>
      <c r="C109" s="33">
        <v>8.4920000000000009</v>
      </c>
      <c r="D109" s="22">
        <v>1.1111111111111112E-2</v>
      </c>
    </row>
    <row r="110" spans="1:4" x14ac:dyDescent="0.2">
      <c r="A110" s="19" t="s">
        <v>68</v>
      </c>
      <c r="B110" s="19" t="s">
        <v>79</v>
      </c>
      <c r="C110" s="33">
        <v>8.2720000000000002</v>
      </c>
      <c r="D110" s="22">
        <v>9.7222222222222224E-3</v>
      </c>
    </row>
    <row r="111" spans="1:4" x14ac:dyDescent="0.2">
      <c r="A111" s="19" t="s">
        <v>68</v>
      </c>
      <c r="B111" s="19" t="s">
        <v>80</v>
      </c>
      <c r="C111" s="33">
        <v>16.867999999999999</v>
      </c>
      <c r="D111" s="22">
        <v>1.3888888888888888E-2</v>
      </c>
    </row>
    <row r="112" spans="1:4" x14ac:dyDescent="0.2">
      <c r="A112" s="19" t="s">
        <v>68</v>
      </c>
      <c r="B112" s="19" t="s">
        <v>81</v>
      </c>
      <c r="C112" s="33">
        <v>23.404</v>
      </c>
      <c r="D112" s="22">
        <v>1.8055555555555557E-2</v>
      </c>
    </row>
    <row r="113" spans="1:4" x14ac:dyDescent="0.2">
      <c r="A113" s="19" t="s">
        <v>68</v>
      </c>
      <c r="B113" s="19" t="s">
        <v>82</v>
      </c>
      <c r="C113" s="33">
        <v>24.417000000000002</v>
      </c>
      <c r="D113" s="22">
        <v>1.9444444444444445E-2</v>
      </c>
    </row>
    <row r="114" spans="1:4" x14ac:dyDescent="0.2">
      <c r="A114" s="19" t="s">
        <v>68</v>
      </c>
      <c r="B114" s="19" t="s">
        <v>83</v>
      </c>
      <c r="C114" s="33">
        <v>21.513000000000002</v>
      </c>
      <c r="D114" s="22">
        <v>1.8749999999999999E-2</v>
      </c>
    </row>
    <row r="115" spans="1:4" x14ac:dyDescent="0.2">
      <c r="A115" s="19" t="s">
        <v>68</v>
      </c>
      <c r="B115" s="19" t="s">
        <v>84</v>
      </c>
      <c r="C115" s="33">
        <v>30.606999999999999</v>
      </c>
      <c r="D115" s="22">
        <v>2.7083333333333334E-2</v>
      </c>
    </row>
    <row r="116" spans="1:4" x14ac:dyDescent="0.2">
      <c r="A116" s="19" t="s">
        <v>68</v>
      </c>
      <c r="B116" s="19" t="s">
        <v>85</v>
      </c>
      <c r="C116" s="33">
        <v>29.654</v>
      </c>
      <c r="D116" s="22">
        <v>2.5694444444444447E-2</v>
      </c>
    </row>
    <row r="117" spans="1:4" x14ac:dyDescent="0.2">
      <c r="A117" s="19" t="s">
        <v>68</v>
      </c>
      <c r="B117" s="19" t="s">
        <v>86</v>
      </c>
      <c r="C117" s="33">
        <v>27.006</v>
      </c>
      <c r="D117" s="22">
        <v>2.361111111111111E-2</v>
      </c>
    </row>
    <row r="118" spans="1:4" x14ac:dyDescent="0.2">
      <c r="A118" s="19" t="s">
        <v>68</v>
      </c>
      <c r="B118" s="19" t="s">
        <v>87</v>
      </c>
      <c r="C118" s="33">
        <v>26.788</v>
      </c>
      <c r="D118" s="22">
        <v>2.1527777777777781E-2</v>
      </c>
    </row>
    <row r="119" spans="1:4" x14ac:dyDescent="0.2">
      <c r="A119" s="19" t="s">
        <v>68</v>
      </c>
      <c r="B119" s="19" t="s">
        <v>88</v>
      </c>
      <c r="C119" s="33">
        <v>25.195</v>
      </c>
      <c r="D119" s="22">
        <v>2.0833333333333332E-2</v>
      </c>
    </row>
    <row r="120" spans="1:4" x14ac:dyDescent="0.2">
      <c r="A120" s="19" t="s">
        <v>68</v>
      </c>
      <c r="B120" s="19" t="s">
        <v>89</v>
      </c>
      <c r="C120" s="33">
        <v>22.055</v>
      </c>
      <c r="D120" s="22">
        <v>1.8749999999999999E-2</v>
      </c>
    </row>
    <row r="121" spans="1:4" x14ac:dyDescent="0.2">
      <c r="A121" s="19" t="s">
        <v>68</v>
      </c>
      <c r="B121" s="19" t="s">
        <v>90</v>
      </c>
      <c r="C121" s="33">
        <v>3.359</v>
      </c>
      <c r="D121" s="22">
        <v>4.1666666666666666E-3</v>
      </c>
    </row>
    <row r="122" spans="1:4" x14ac:dyDescent="0.2">
      <c r="A122" s="19" t="s">
        <v>68</v>
      </c>
      <c r="B122" s="19" t="s">
        <v>91</v>
      </c>
      <c r="C122" s="33">
        <v>9.5760000000000005</v>
      </c>
      <c r="D122" s="22">
        <v>8.3333333333333332E-3</v>
      </c>
    </row>
    <row r="123" spans="1:4" x14ac:dyDescent="0.2">
      <c r="A123" s="19" t="s">
        <v>68</v>
      </c>
      <c r="B123" s="19" t="s">
        <v>92</v>
      </c>
      <c r="C123" s="33">
        <v>20.247</v>
      </c>
      <c r="D123" s="22">
        <v>1.4583333333333332E-2</v>
      </c>
    </row>
    <row r="124" spans="1:4" x14ac:dyDescent="0.2">
      <c r="A124" s="19" t="s">
        <v>68</v>
      </c>
      <c r="B124" s="19" t="s">
        <v>93</v>
      </c>
      <c r="C124" s="33">
        <v>26.3</v>
      </c>
      <c r="D124" s="22">
        <v>2.013888888888889E-2</v>
      </c>
    </row>
    <row r="125" spans="1:4" x14ac:dyDescent="0.2">
      <c r="A125" s="19" t="s">
        <v>68</v>
      </c>
      <c r="B125" s="19" t="s">
        <v>94</v>
      </c>
      <c r="C125" s="33">
        <v>24.172999999999998</v>
      </c>
      <c r="D125" s="22">
        <v>1.8055555555555557E-2</v>
      </c>
    </row>
    <row r="126" spans="1:4" x14ac:dyDescent="0.2">
      <c r="A126" s="19" t="s">
        <v>69</v>
      </c>
      <c r="B126" s="19" t="s">
        <v>66</v>
      </c>
      <c r="C126" s="33">
        <v>31.018999999999998</v>
      </c>
      <c r="D126" s="22">
        <v>2.0833333333333332E-2</v>
      </c>
    </row>
    <row r="127" spans="1:4" x14ac:dyDescent="0.2">
      <c r="A127" s="19" t="s">
        <v>69</v>
      </c>
      <c r="B127" s="19" t="s">
        <v>75</v>
      </c>
      <c r="C127" s="33">
        <v>2.6960000000000002</v>
      </c>
      <c r="D127" s="22">
        <v>4.1666666666666666E-3</v>
      </c>
    </row>
    <row r="128" spans="1:4" x14ac:dyDescent="0.2">
      <c r="A128" s="19" t="s">
        <v>69</v>
      </c>
      <c r="B128" s="19" t="s">
        <v>67</v>
      </c>
      <c r="C128" s="33">
        <v>1.0409999999999999</v>
      </c>
      <c r="D128" s="22">
        <v>2.0833333333333333E-3</v>
      </c>
    </row>
    <row r="129" spans="1:4" x14ac:dyDescent="0.2">
      <c r="A129" s="19" t="s">
        <v>69</v>
      </c>
      <c r="B129" s="19" t="s">
        <v>68</v>
      </c>
      <c r="C129" s="33">
        <v>1.046</v>
      </c>
      <c r="D129" s="22">
        <v>1.3888888888888889E-3</v>
      </c>
    </row>
    <row r="130" spans="1:4" x14ac:dyDescent="0.2">
      <c r="A130" s="19" t="s">
        <v>69</v>
      </c>
      <c r="B130" s="19" t="s">
        <v>69</v>
      </c>
      <c r="C130" s="33">
        <v>0</v>
      </c>
      <c r="D130" s="22">
        <v>0</v>
      </c>
    </row>
    <row r="131" spans="1:4" x14ac:dyDescent="0.2">
      <c r="A131" s="19" t="s">
        <v>69</v>
      </c>
      <c r="B131" s="19" t="s">
        <v>70</v>
      </c>
      <c r="C131" s="33">
        <v>3.14</v>
      </c>
      <c r="D131" s="22">
        <v>3.472222222222222E-3</v>
      </c>
    </row>
    <row r="132" spans="1:4" x14ac:dyDescent="0.2">
      <c r="A132" s="19" t="s">
        <v>69</v>
      </c>
      <c r="B132" s="19" t="s">
        <v>71</v>
      </c>
      <c r="C132" s="33">
        <v>2.423</v>
      </c>
      <c r="D132" s="22">
        <v>2.7777777777777779E-3</v>
      </c>
    </row>
    <row r="133" spans="1:4" x14ac:dyDescent="0.2">
      <c r="A133" s="19" t="s">
        <v>69</v>
      </c>
      <c r="B133" s="19" t="s">
        <v>95</v>
      </c>
      <c r="C133" s="33">
        <v>26.265000000000001</v>
      </c>
      <c r="D133" s="22">
        <v>2.4305555555555556E-2</v>
      </c>
    </row>
    <row r="134" spans="1:4" x14ac:dyDescent="0.2">
      <c r="A134" s="19" t="s">
        <v>69</v>
      </c>
      <c r="B134" s="19" t="s">
        <v>72</v>
      </c>
      <c r="C134" s="33">
        <v>1.8109999999999999</v>
      </c>
      <c r="D134" s="22">
        <v>2.7777777777777779E-3</v>
      </c>
    </row>
    <row r="135" spans="1:4" x14ac:dyDescent="0.2">
      <c r="A135" s="19" t="s">
        <v>69</v>
      </c>
      <c r="B135" s="19" t="s">
        <v>73</v>
      </c>
      <c r="C135" s="33">
        <v>8.1999999999999993</v>
      </c>
      <c r="D135" s="22">
        <v>1.0416666666666666E-2</v>
      </c>
    </row>
    <row r="136" spans="1:4" x14ac:dyDescent="0.2">
      <c r="A136" s="19" t="s">
        <v>69</v>
      </c>
      <c r="B136" s="19" t="s">
        <v>74</v>
      </c>
      <c r="C136" s="33">
        <v>5.4370000000000003</v>
      </c>
      <c r="D136" s="22">
        <v>6.9444444444444441E-3</v>
      </c>
    </row>
    <row r="137" spans="1:4" x14ac:dyDescent="0.2">
      <c r="A137" s="19" t="s">
        <v>69</v>
      </c>
      <c r="B137" s="19" t="s">
        <v>96</v>
      </c>
      <c r="C137" s="33">
        <v>62.289000000000001</v>
      </c>
      <c r="D137" s="22">
        <v>3.6111111111111115E-2</v>
      </c>
    </row>
    <row r="138" spans="1:4" x14ac:dyDescent="0.2">
      <c r="A138" s="19" t="s">
        <v>69</v>
      </c>
      <c r="B138" s="19" t="s">
        <v>76</v>
      </c>
      <c r="C138" s="33">
        <v>3.6440000000000001</v>
      </c>
      <c r="D138" s="22">
        <v>4.8611111111111112E-3</v>
      </c>
    </row>
    <row r="139" spans="1:4" x14ac:dyDescent="0.2">
      <c r="A139" s="19" t="s">
        <v>69</v>
      </c>
      <c r="B139" s="19" t="s">
        <v>77</v>
      </c>
      <c r="C139" s="33">
        <v>2.7650000000000001</v>
      </c>
      <c r="D139" s="22">
        <v>4.1666666666666666E-3</v>
      </c>
    </row>
    <row r="140" spans="1:4" x14ac:dyDescent="0.2">
      <c r="A140" s="19" t="s">
        <v>69</v>
      </c>
      <c r="B140" s="19" t="s">
        <v>78</v>
      </c>
      <c r="C140" s="33">
        <v>8.92</v>
      </c>
      <c r="D140" s="22">
        <v>1.0416666666666666E-2</v>
      </c>
    </row>
    <row r="141" spans="1:4" x14ac:dyDescent="0.2">
      <c r="A141" s="19" t="s">
        <v>69</v>
      </c>
      <c r="B141" s="19" t="s">
        <v>79</v>
      </c>
      <c r="C141" s="33">
        <v>8.3350000000000009</v>
      </c>
      <c r="D141" s="22">
        <v>9.7222222222222224E-3</v>
      </c>
    </row>
    <row r="142" spans="1:4" x14ac:dyDescent="0.2">
      <c r="A142" s="19" t="s">
        <v>69</v>
      </c>
      <c r="B142" s="19" t="s">
        <v>80</v>
      </c>
      <c r="C142" s="33">
        <v>16.693000000000001</v>
      </c>
      <c r="D142" s="22">
        <v>1.3888888888888888E-2</v>
      </c>
    </row>
    <row r="143" spans="1:4" x14ac:dyDescent="0.2">
      <c r="A143" s="19" t="s">
        <v>69</v>
      </c>
      <c r="B143" s="19" t="s">
        <v>81</v>
      </c>
      <c r="C143" s="33">
        <v>21.908000000000001</v>
      </c>
      <c r="D143" s="22">
        <v>1.8749999999999999E-2</v>
      </c>
    </row>
    <row r="144" spans="1:4" x14ac:dyDescent="0.2">
      <c r="A144" s="19" t="s">
        <v>69</v>
      </c>
      <c r="B144" s="19" t="s">
        <v>82</v>
      </c>
      <c r="C144" s="33">
        <v>24.242000000000001</v>
      </c>
      <c r="D144" s="22">
        <v>1.9444444444444445E-2</v>
      </c>
    </row>
    <row r="145" spans="1:4" x14ac:dyDescent="0.2">
      <c r="A145" s="19" t="s">
        <v>69</v>
      </c>
      <c r="B145" s="19" t="s">
        <v>83</v>
      </c>
      <c r="C145" s="33">
        <v>21.338000000000001</v>
      </c>
      <c r="D145" s="22">
        <v>1.8749999999999999E-2</v>
      </c>
    </row>
    <row r="146" spans="1:4" x14ac:dyDescent="0.2">
      <c r="A146" s="19" t="s">
        <v>69</v>
      </c>
      <c r="B146" s="19" t="s">
        <v>84</v>
      </c>
      <c r="C146" s="33">
        <v>30.431999999999999</v>
      </c>
      <c r="D146" s="22">
        <v>2.7083333333333334E-2</v>
      </c>
    </row>
    <row r="147" spans="1:4" x14ac:dyDescent="0.2">
      <c r="A147" s="19" t="s">
        <v>69</v>
      </c>
      <c r="B147" s="19" t="s">
        <v>85</v>
      </c>
      <c r="C147" s="33">
        <v>30.584</v>
      </c>
      <c r="D147" s="22">
        <v>2.4999999999999998E-2</v>
      </c>
    </row>
    <row r="148" spans="1:4" x14ac:dyDescent="0.2">
      <c r="A148" s="19" t="s">
        <v>69</v>
      </c>
      <c r="B148" s="19" t="s">
        <v>86</v>
      </c>
      <c r="C148" s="33">
        <v>27.936</v>
      </c>
      <c r="D148" s="22">
        <v>2.2222222222222223E-2</v>
      </c>
    </row>
    <row r="149" spans="1:4" x14ac:dyDescent="0.2">
      <c r="A149" s="19" t="s">
        <v>69</v>
      </c>
      <c r="B149" s="19" t="s">
        <v>87</v>
      </c>
      <c r="C149" s="33">
        <v>26.613</v>
      </c>
      <c r="D149" s="22">
        <v>2.1527777777777781E-2</v>
      </c>
    </row>
    <row r="150" spans="1:4" x14ac:dyDescent="0.2">
      <c r="A150" s="19" t="s">
        <v>69</v>
      </c>
      <c r="B150" s="19" t="s">
        <v>88</v>
      </c>
      <c r="C150" s="33">
        <v>25.02</v>
      </c>
      <c r="D150" s="22">
        <v>2.0833333333333332E-2</v>
      </c>
    </row>
    <row r="151" spans="1:4" x14ac:dyDescent="0.2">
      <c r="A151" s="19" t="s">
        <v>69</v>
      </c>
      <c r="B151" s="19" t="s">
        <v>89</v>
      </c>
      <c r="C151" s="33">
        <v>21.88</v>
      </c>
      <c r="D151" s="22">
        <v>1.8749999999999999E-2</v>
      </c>
    </row>
    <row r="152" spans="1:4" x14ac:dyDescent="0.2">
      <c r="A152" s="19" t="s">
        <v>69</v>
      </c>
      <c r="B152" s="19" t="s">
        <v>90</v>
      </c>
      <c r="C152" s="33">
        <v>3.3679999999999999</v>
      </c>
      <c r="D152" s="22">
        <v>4.1666666666666666E-3</v>
      </c>
    </row>
    <row r="153" spans="1:4" x14ac:dyDescent="0.2">
      <c r="A153" s="19" t="s">
        <v>69</v>
      </c>
      <c r="B153" s="19" t="s">
        <v>91</v>
      </c>
      <c r="C153" s="33">
        <v>9.4009999999999998</v>
      </c>
      <c r="D153" s="22">
        <v>8.3333333333333332E-3</v>
      </c>
    </row>
    <row r="154" spans="1:4" x14ac:dyDescent="0.2">
      <c r="A154" s="19" t="s">
        <v>69</v>
      </c>
      <c r="B154" s="19" t="s">
        <v>92</v>
      </c>
      <c r="C154" s="33">
        <v>20.071999999999999</v>
      </c>
      <c r="D154" s="22">
        <v>1.4583333333333332E-2</v>
      </c>
    </row>
    <row r="155" spans="1:4" x14ac:dyDescent="0.2">
      <c r="A155" s="19" t="s">
        <v>69</v>
      </c>
      <c r="B155" s="19" t="s">
        <v>93</v>
      </c>
      <c r="C155" s="33">
        <v>26.125</v>
      </c>
      <c r="D155" s="22">
        <v>2.013888888888889E-2</v>
      </c>
    </row>
    <row r="156" spans="1:4" x14ac:dyDescent="0.2">
      <c r="A156" s="19" t="s">
        <v>69</v>
      </c>
      <c r="B156" s="19" t="s">
        <v>94</v>
      </c>
      <c r="C156" s="33">
        <v>23.998000000000001</v>
      </c>
      <c r="D156" s="22">
        <v>1.8749999999999999E-2</v>
      </c>
    </row>
    <row r="157" spans="1:4" x14ac:dyDescent="0.2">
      <c r="A157" s="19" t="s">
        <v>70</v>
      </c>
      <c r="B157" s="19" t="s">
        <v>66</v>
      </c>
      <c r="C157" s="33">
        <v>31.815000000000001</v>
      </c>
      <c r="D157" s="22">
        <v>2.1527777777777781E-2</v>
      </c>
    </row>
    <row r="158" spans="1:4" x14ac:dyDescent="0.2">
      <c r="A158" s="19" t="s">
        <v>70</v>
      </c>
      <c r="B158" s="19" t="s">
        <v>75</v>
      </c>
      <c r="C158" s="33">
        <v>0.99</v>
      </c>
      <c r="D158" s="22">
        <v>2.7777777777777779E-3</v>
      </c>
    </row>
    <row r="159" spans="1:4" x14ac:dyDescent="0.2">
      <c r="A159" s="19" t="s">
        <v>70</v>
      </c>
      <c r="B159" s="19" t="s">
        <v>67</v>
      </c>
      <c r="C159" s="33">
        <v>2.7759999999999998</v>
      </c>
      <c r="D159" s="22">
        <v>3.472222222222222E-3</v>
      </c>
    </row>
    <row r="160" spans="1:4" x14ac:dyDescent="0.2">
      <c r="A160" s="19" t="s">
        <v>70</v>
      </c>
      <c r="B160" s="19" t="s">
        <v>68</v>
      </c>
      <c r="C160" s="33">
        <v>3.2919999999999998</v>
      </c>
      <c r="D160" s="22">
        <v>4.1666666666666666E-3</v>
      </c>
    </row>
    <row r="161" spans="1:4" x14ac:dyDescent="0.2">
      <c r="A161" s="19" t="s">
        <v>70</v>
      </c>
      <c r="B161" s="19" t="s">
        <v>69</v>
      </c>
      <c r="C161" s="33">
        <v>2.468</v>
      </c>
      <c r="D161" s="22">
        <v>3.472222222222222E-3</v>
      </c>
    </row>
    <row r="162" spans="1:4" x14ac:dyDescent="0.2">
      <c r="A162" s="19" t="s">
        <v>70</v>
      </c>
      <c r="B162" s="19" t="s">
        <v>70</v>
      </c>
      <c r="C162" s="33">
        <v>0</v>
      </c>
      <c r="D162" s="22">
        <v>0</v>
      </c>
    </row>
    <row r="163" spans="1:4" x14ac:dyDescent="0.2">
      <c r="A163" s="19" t="s">
        <v>70</v>
      </c>
      <c r="B163" s="19" t="s">
        <v>71</v>
      </c>
      <c r="C163" s="33">
        <v>4.3739999999999997</v>
      </c>
      <c r="D163" s="22">
        <v>4.8611111111111112E-3</v>
      </c>
    </row>
    <row r="164" spans="1:4" x14ac:dyDescent="0.2">
      <c r="A164" s="19" t="s">
        <v>70</v>
      </c>
      <c r="B164" s="19" t="s">
        <v>95</v>
      </c>
      <c r="C164" s="33">
        <v>28.501999999999999</v>
      </c>
      <c r="D164" s="22">
        <v>2.5694444444444447E-2</v>
      </c>
    </row>
    <row r="165" spans="1:4" x14ac:dyDescent="0.2">
      <c r="A165" s="19" t="s">
        <v>70</v>
      </c>
      <c r="B165" s="19" t="s">
        <v>72</v>
      </c>
      <c r="C165" s="33">
        <v>2.2669999999999999</v>
      </c>
      <c r="D165" s="22">
        <v>3.472222222222222E-3</v>
      </c>
    </row>
    <row r="166" spans="1:4" x14ac:dyDescent="0.2">
      <c r="A166" s="19" t="s">
        <v>70</v>
      </c>
      <c r="B166" s="19" t="s">
        <v>73</v>
      </c>
      <c r="C166" s="33">
        <v>6.4939999999999998</v>
      </c>
      <c r="D166" s="22">
        <v>9.0277777777777787E-3</v>
      </c>
    </row>
    <row r="167" spans="1:4" x14ac:dyDescent="0.2">
      <c r="A167" s="19" t="s">
        <v>70</v>
      </c>
      <c r="B167" s="19" t="s">
        <v>74</v>
      </c>
      <c r="C167" s="33">
        <v>3.7309999999999999</v>
      </c>
      <c r="D167" s="22">
        <v>5.5555555555555558E-3</v>
      </c>
    </row>
    <row r="168" spans="1:4" x14ac:dyDescent="0.2">
      <c r="A168" s="19" t="s">
        <v>70</v>
      </c>
      <c r="B168" s="19" t="s">
        <v>96</v>
      </c>
      <c r="C168" s="33">
        <v>63.085000000000001</v>
      </c>
      <c r="D168" s="22">
        <v>3.6805555555555557E-2</v>
      </c>
    </row>
    <row r="169" spans="1:4" x14ac:dyDescent="0.2">
      <c r="A169" s="19" t="s">
        <v>70</v>
      </c>
      <c r="B169" s="19" t="s">
        <v>76</v>
      </c>
      <c r="C169" s="33">
        <v>1.9379999999999999</v>
      </c>
      <c r="D169" s="22">
        <v>3.472222222222222E-3</v>
      </c>
    </row>
    <row r="170" spans="1:4" x14ac:dyDescent="0.2">
      <c r="A170" s="19" t="s">
        <v>70</v>
      </c>
      <c r="B170" s="19" t="s">
        <v>77</v>
      </c>
      <c r="C170" s="33">
        <v>1.0589999999999999</v>
      </c>
      <c r="D170" s="22">
        <v>2.7777777777777779E-3</v>
      </c>
    </row>
    <row r="171" spans="1:4" x14ac:dyDescent="0.2">
      <c r="A171" s="19" t="s">
        <v>70</v>
      </c>
      <c r="B171" s="19" t="s">
        <v>78</v>
      </c>
      <c r="C171" s="33">
        <v>7.2140000000000004</v>
      </c>
      <c r="D171" s="22">
        <v>9.0277777777777787E-3</v>
      </c>
    </row>
    <row r="172" spans="1:4" x14ac:dyDescent="0.2">
      <c r="A172" s="19" t="s">
        <v>70</v>
      </c>
      <c r="B172" s="19" t="s">
        <v>79</v>
      </c>
      <c r="C172" s="33">
        <v>6.6289999999999996</v>
      </c>
      <c r="D172" s="22">
        <v>8.3333333333333332E-3</v>
      </c>
    </row>
    <row r="173" spans="1:4" x14ac:dyDescent="0.2">
      <c r="A173" s="19" t="s">
        <v>70</v>
      </c>
      <c r="B173" s="19" t="s">
        <v>80</v>
      </c>
      <c r="C173" s="33">
        <v>16.006</v>
      </c>
      <c r="D173" s="22">
        <v>1.3194444444444444E-2</v>
      </c>
    </row>
    <row r="174" spans="1:4" x14ac:dyDescent="0.2">
      <c r="A174" s="19" t="s">
        <v>70</v>
      </c>
      <c r="B174" s="19" t="s">
        <v>81</v>
      </c>
      <c r="C174" s="33">
        <v>22.542000000000002</v>
      </c>
      <c r="D174" s="22">
        <v>1.7361111111111112E-2</v>
      </c>
    </row>
    <row r="175" spans="1:4" x14ac:dyDescent="0.2">
      <c r="A175" s="19" t="s">
        <v>70</v>
      </c>
      <c r="B175" s="19" t="s">
        <v>82</v>
      </c>
      <c r="C175" s="33">
        <v>23.555</v>
      </c>
      <c r="D175" s="22">
        <v>1.8749999999999999E-2</v>
      </c>
    </row>
    <row r="176" spans="1:4" x14ac:dyDescent="0.2">
      <c r="A176" s="19" t="s">
        <v>70</v>
      </c>
      <c r="B176" s="19" t="s">
        <v>83</v>
      </c>
      <c r="C176" s="33">
        <v>20.651</v>
      </c>
      <c r="D176" s="22">
        <v>1.8055555555555557E-2</v>
      </c>
    </row>
    <row r="177" spans="1:4" x14ac:dyDescent="0.2">
      <c r="A177" s="19" t="s">
        <v>70</v>
      </c>
      <c r="B177" s="19" t="s">
        <v>84</v>
      </c>
      <c r="C177" s="33">
        <v>30.85</v>
      </c>
      <c r="D177" s="22">
        <v>2.4999999999999998E-2</v>
      </c>
    </row>
    <row r="178" spans="1:4" x14ac:dyDescent="0.2">
      <c r="A178" s="19" t="s">
        <v>70</v>
      </c>
      <c r="B178" s="19" t="s">
        <v>85</v>
      </c>
      <c r="C178" s="33">
        <v>29.896999999999998</v>
      </c>
      <c r="D178" s="22">
        <v>2.4305555555555556E-2</v>
      </c>
    </row>
    <row r="179" spans="1:4" x14ac:dyDescent="0.2">
      <c r="A179" s="19" t="s">
        <v>70</v>
      </c>
      <c r="B179" s="19" t="s">
        <v>86</v>
      </c>
      <c r="C179" s="33">
        <v>27.248999999999999</v>
      </c>
      <c r="D179" s="22">
        <v>2.1527777777777781E-2</v>
      </c>
    </row>
    <row r="180" spans="1:4" x14ac:dyDescent="0.2">
      <c r="A180" s="19" t="s">
        <v>70</v>
      </c>
      <c r="B180" s="19" t="s">
        <v>87</v>
      </c>
      <c r="C180" s="33">
        <v>25.925999999999998</v>
      </c>
      <c r="D180" s="22">
        <v>2.0833333333333332E-2</v>
      </c>
    </row>
    <row r="181" spans="1:4" x14ac:dyDescent="0.2">
      <c r="A181" s="19" t="s">
        <v>70</v>
      </c>
      <c r="B181" s="19" t="s">
        <v>88</v>
      </c>
      <c r="C181" s="33">
        <v>24.251999999999999</v>
      </c>
      <c r="D181" s="22">
        <v>1.9444444444444445E-2</v>
      </c>
    </row>
    <row r="182" spans="1:4" x14ac:dyDescent="0.2">
      <c r="A182" s="19" t="s">
        <v>70</v>
      </c>
      <c r="B182" s="19" t="s">
        <v>89</v>
      </c>
      <c r="C182" s="33">
        <v>21.193000000000001</v>
      </c>
      <c r="D182" s="22">
        <v>1.8055555555555557E-2</v>
      </c>
    </row>
    <row r="183" spans="1:4" x14ac:dyDescent="0.2">
      <c r="A183" s="19" t="s">
        <v>70</v>
      </c>
      <c r="B183" s="19" t="s">
        <v>90</v>
      </c>
      <c r="C183" s="33">
        <v>4.1829999999999998</v>
      </c>
      <c r="D183" s="22">
        <v>5.5555555555555558E-3</v>
      </c>
    </row>
    <row r="184" spans="1:4" x14ac:dyDescent="0.2">
      <c r="A184" s="19" t="s">
        <v>70</v>
      </c>
      <c r="B184" s="19" t="s">
        <v>91</v>
      </c>
      <c r="C184" s="33">
        <v>8.7140000000000004</v>
      </c>
      <c r="D184" s="22">
        <v>7.6388888888888886E-3</v>
      </c>
    </row>
    <row r="185" spans="1:4" x14ac:dyDescent="0.2">
      <c r="A185" s="19" t="s">
        <v>70</v>
      </c>
      <c r="B185" s="19" t="s">
        <v>92</v>
      </c>
      <c r="C185" s="33">
        <v>19.385000000000002</v>
      </c>
      <c r="D185" s="22">
        <v>1.3888888888888888E-2</v>
      </c>
    </row>
    <row r="186" spans="1:4" x14ac:dyDescent="0.2">
      <c r="A186" s="19" t="s">
        <v>70</v>
      </c>
      <c r="B186" s="19" t="s">
        <v>93</v>
      </c>
      <c r="C186" s="33">
        <v>25.437999999999999</v>
      </c>
      <c r="D186" s="22">
        <v>1.9444444444444445E-2</v>
      </c>
    </row>
    <row r="187" spans="1:4" x14ac:dyDescent="0.2">
      <c r="A187" s="19" t="s">
        <v>70</v>
      </c>
      <c r="B187" s="19" t="s">
        <v>94</v>
      </c>
      <c r="C187" s="33">
        <v>23.311</v>
      </c>
      <c r="D187" s="22">
        <v>1.8055555555555557E-2</v>
      </c>
    </row>
    <row r="188" spans="1:4" x14ac:dyDescent="0.2">
      <c r="A188" s="19" t="s">
        <v>71</v>
      </c>
      <c r="B188" s="19" t="s">
        <v>66</v>
      </c>
      <c r="C188" s="33">
        <v>31.856999999999999</v>
      </c>
      <c r="D188" s="22">
        <v>2.1527777777777781E-2</v>
      </c>
    </row>
    <row r="189" spans="1:4" x14ac:dyDescent="0.2">
      <c r="A189" s="19" t="s">
        <v>71</v>
      </c>
      <c r="B189" s="19" t="s">
        <v>75</v>
      </c>
      <c r="C189" s="33">
        <v>4.21</v>
      </c>
      <c r="D189" s="22">
        <v>4.8611111111111112E-3</v>
      </c>
    </row>
    <row r="190" spans="1:4" x14ac:dyDescent="0.2">
      <c r="A190" s="19" t="s">
        <v>71</v>
      </c>
      <c r="B190" s="19" t="s">
        <v>67</v>
      </c>
      <c r="C190" s="33">
        <v>1.879</v>
      </c>
      <c r="D190" s="22">
        <v>2.0833333333333333E-3</v>
      </c>
    </row>
    <row r="191" spans="1:4" x14ac:dyDescent="0.2">
      <c r="A191" s="19" t="s">
        <v>71</v>
      </c>
      <c r="B191" s="19" t="s">
        <v>68</v>
      </c>
      <c r="C191" s="33">
        <v>1.1279999999999999</v>
      </c>
      <c r="D191" s="22">
        <v>1.3888888888888889E-3</v>
      </c>
    </row>
    <row r="192" spans="1:4" x14ac:dyDescent="0.2">
      <c r="A192" s="19" t="s">
        <v>71</v>
      </c>
      <c r="B192" s="19" t="s">
        <v>69</v>
      </c>
      <c r="C192" s="33">
        <v>1.9119999999999999</v>
      </c>
      <c r="D192" s="22">
        <v>2.0833333333333333E-3</v>
      </c>
    </row>
    <row r="193" spans="1:4" x14ac:dyDescent="0.2">
      <c r="A193" s="19" t="s">
        <v>71</v>
      </c>
      <c r="B193" s="19" t="s">
        <v>70</v>
      </c>
      <c r="C193" s="33">
        <v>3.8580000000000001</v>
      </c>
      <c r="D193" s="22">
        <v>3.472222222222222E-3</v>
      </c>
    </row>
    <row r="194" spans="1:4" x14ac:dyDescent="0.2">
      <c r="A194" s="19" t="s">
        <v>71</v>
      </c>
      <c r="B194" s="19" t="s">
        <v>71</v>
      </c>
      <c r="C194" s="33">
        <v>0</v>
      </c>
      <c r="D194" s="22">
        <v>0</v>
      </c>
    </row>
    <row r="195" spans="1:4" x14ac:dyDescent="0.2">
      <c r="A195" s="19" t="s">
        <v>71</v>
      </c>
      <c r="B195" s="19" t="s">
        <v>95</v>
      </c>
      <c r="C195" s="33">
        <v>26.702000000000002</v>
      </c>
      <c r="D195" s="22">
        <v>2.361111111111111E-2</v>
      </c>
    </row>
    <row r="196" spans="1:4" x14ac:dyDescent="0.2">
      <c r="A196" s="19" t="s">
        <v>71</v>
      </c>
      <c r="B196" s="19" t="s">
        <v>72</v>
      </c>
      <c r="C196" s="33">
        <v>2.5339999999999998</v>
      </c>
      <c r="D196" s="22">
        <v>2.7777777777777779E-3</v>
      </c>
    </row>
    <row r="197" spans="1:4" x14ac:dyDescent="0.2">
      <c r="A197" s="19" t="s">
        <v>71</v>
      </c>
      <c r="B197" s="19" t="s">
        <v>73</v>
      </c>
      <c r="C197" s="33">
        <v>8.1319999999999997</v>
      </c>
      <c r="D197" s="22">
        <v>1.1111111111111112E-2</v>
      </c>
    </row>
    <row r="198" spans="1:4" x14ac:dyDescent="0.2">
      <c r="A198" s="19" t="s">
        <v>71</v>
      </c>
      <c r="B198" s="19" t="s">
        <v>74</v>
      </c>
      <c r="C198" s="33">
        <v>5.7359999999999998</v>
      </c>
      <c r="D198" s="22">
        <v>7.6388888888888886E-3</v>
      </c>
    </row>
    <row r="199" spans="1:4" x14ac:dyDescent="0.2">
      <c r="A199" s="19" t="s">
        <v>71</v>
      </c>
      <c r="B199" s="19" t="s">
        <v>96</v>
      </c>
      <c r="C199" s="33">
        <v>63.127000000000002</v>
      </c>
      <c r="D199" s="22">
        <v>3.6111111111111115E-2</v>
      </c>
    </row>
    <row r="200" spans="1:4" x14ac:dyDescent="0.2">
      <c r="A200" s="19" t="s">
        <v>71</v>
      </c>
      <c r="B200" s="19" t="s">
        <v>76</v>
      </c>
      <c r="C200" s="33">
        <v>5.1580000000000004</v>
      </c>
      <c r="D200" s="22">
        <v>6.2499999999999995E-3</v>
      </c>
    </row>
    <row r="201" spans="1:4" x14ac:dyDescent="0.2">
      <c r="A201" s="19" t="s">
        <v>71</v>
      </c>
      <c r="B201" s="19" t="s">
        <v>77</v>
      </c>
      <c r="C201" s="33">
        <v>4.2789999999999999</v>
      </c>
      <c r="D201" s="22">
        <v>4.8611111111111112E-3</v>
      </c>
    </row>
    <row r="202" spans="1:4" x14ac:dyDescent="0.2">
      <c r="A202" s="19" t="s">
        <v>71</v>
      </c>
      <c r="B202" s="19" t="s">
        <v>78</v>
      </c>
      <c r="C202" s="33">
        <v>10.433999999999999</v>
      </c>
      <c r="D202" s="22">
        <v>1.1805555555555555E-2</v>
      </c>
    </row>
    <row r="203" spans="1:4" x14ac:dyDescent="0.2">
      <c r="A203" s="19" t="s">
        <v>71</v>
      </c>
      <c r="B203" s="19" t="s">
        <v>79</v>
      </c>
      <c r="C203" s="33">
        <v>8.6340000000000003</v>
      </c>
      <c r="D203" s="22">
        <v>1.0416666666666666E-2</v>
      </c>
    </row>
    <row r="204" spans="1:4" x14ac:dyDescent="0.2">
      <c r="A204" s="19" t="s">
        <v>71</v>
      </c>
      <c r="B204" s="19" t="s">
        <v>80</v>
      </c>
      <c r="C204" s="33">
        <v>16.239000000000001</v>
      </c>
      <c r="D204" s="22">
        <v>1.3194444444444444E-2</v>
      </c>
    </row>
    <row r="205" spans="1:4" x14ac:dyDescent="0.2">
      <c r="A205" s="19" t="s">
        <v>71</v>
      </c>
      <c r="B205" s="19" t="s">
        <v>81</v>
      </c>
      <c r="C205" s="33">
        <v>21.454000000000001</v>
      </c>
      <c r="D205" s="22">
        <v>1.8055555555555557E-2</v>
      </c>
    </row>
    <row r="206" spans="1:4" x14ac:dyDescent="0.2">
      <c r="A206" s="19" t="s">
        <v>71</v>
      </c>
      <c r="B206" s="19" t="s">
        <v>82</v>
      </c>
      <c r="C206" s="33">
        <v>26.446999999999999</v>
      </c>
      <c r="D206" s="22">
        <v>1.9444444444444445E-2</v>
      </c>
    </row>
    <row r="207" spans="1:4" x14ac:dyDescent="0.2">
      <c r="A207" s="19" t="s">
        <v>71</v>
      </c>
      <c r="B207" s="19" t="s">
        <v>83</v>
      </c>
      <c r="C207" s="33">
        <v>20.884</v>
      </c>
      <c r="D207" s="22">
        <v>1.8055555555555557E-2</v>
      </c>
    </row>
    <row r="208" spans="1:4" x14ac:dyDescent="0.2">
      <c r="A208" s="19" t="s">
        <v>71</v>
      </c>
      <c r="B208" s="19" t="s">
        <v>84</v>
      </c>
      <c r="C208" s="33">
        <v>29.978000000000002</v>
      </c>
      <c r="D208" s="22">
        <v>2.6388888888888889E-2</v>
      </c>
    </row>
    <row r="209" spans="1:4" x14ac:dyDescent="0.2">
      <c r="A209" s="19" t="s">
        <v>71</v>
      </c>
      <c r="B209" s="19" t="s">
        <v>85</v>
      </c>
      <c r="C209" s="33">
        <v>29.024999999999999</v>
      </c>
      <c r="D209" s="22">
        <v>2.4999999999999998E-2</v>
      </c>
    </row>
    <row r="210" spans="1:4" x14ac:dyDescent="0.2">
      <c r="A210" s="19" t="s">
        <v>71</v>
      </c>
      <c r="B210" s="19" t="s">
        <v>86</v>
      </c>
      <c r="C210" s="33">
        <v>27.481999999999999</v>
      </c>
      <c r="D210" s="22">
        <v>2.1527777777777781E-2</v>
      </c>
    </row>
    <row r="211" spans="1:4" x14ac:dyDescent="0.2">
      <c r="A211" s="19" t="s">
        <v>71</v>
      </c>
      <c r="B211" s="19" t="s">
        <v>87</v>
      </c>
      <c r="C211" s="33">
        <v>26.158999999999999</v>
      </c>
      <c r="D211" s="22">
        <v>2.0833333333333332E-2</v>
      </c>
    </row>
    <row r="212" spans="1:4" x14ac:dyDescent="0.2">
      <c r="A212" s="19" t="s">
        <v>71</v>
      </c>
      <c r="B212" s="19" t="s">
        <v>88</v>
      </c>
      <c r="C212" s="33">
        <v>24.588999999999999</v>
      </c>
      <c r="D212" s="22">
        <v>1.9444444444444445E-2</v>
      </c>
    </row>
    <row r="213" spans="1:4" x14ac:dyDescent="0.2">
      <c r="A213" s="19" t="s">
        <v>71</v>
      </c>
      <c r="B213" s="19" t="s">
        <v>89</v>
      </c>
      <c r="C213" s="33">
        <v>21.425999999999998</v>
      </c>
      <c r="D213" s="22">
        <v>1.8055555555555557E-2</v>
      </c>
    </row>
    <row r="214" spans="1:4" x14ac:dyDescent="0.2">
      <c r="A214" s="19" t="s">
        <v>71</v>
      </c>
      <c r="B214" s="19" t="s">
        <v>90</v>
      </c>
      <c r="C214" s="33">
        <v>4.1210000000000004</v>
      </c>
      <c r="D214" s="22">
        <v>4.8611111111111112E-3</v>
      </c>
    </row>
    <row r="215" spans="1:4" x14ac:dyDescent="0.2">
      <c r="A215" s="19" t="s">
        <v>71</v>
      </c>
      <c r="B215" s="19" t="s">
        <v>91</v>
      </c>
      <c r="C215" s="33">
        <v>8.9469999999999992</v>
      </c>
      <c r="D215" s="22">
        <v>7.6388888888888886E-3</v>
      </c>
    </row>
    <row r="216" spans="1:4" x14ac:dyDescent="0.2">
      <c r="A216" s="19" t="s">
        <v>71</v>
      </c>
      <c r="B216" s="19" t="s">
        <v>92</v>
      </c>
      <c r="C216" s="33">
        <v>19.617999999999999</v>
      </c>
      <c r="D216" s="22">
        <v>1.3888888888888888E-2</v>
      </c>
    </row>
    <row r="217" spans="1:4" x14ac:dyDescent="0.2">
      <c r="A217" s="19" t="s">
        <v>71</v>
      </c>
      <c r="B217" s="19" t="s">
        <v>93</v>
      </c>
      <c r="C217" s="33">
        <v>25.670999999999999</v>
      </c>
      <c r="D217" s="22">
        <v>1.9444444444444445E-2</v>
      </c>
    </row>
    <row r="218" spans="1:4" x14ac:dyDescent="0.2">
      <c r="A218" s="19" t="s">
        <v>71</v>
      </c>
      <c r="B218" s="19" t="s">
        <v>94</v>
      </c>
      <c r="C218" s="33">
        <v>23.544</v>
      </c>
      <c r="D218" s="22">
        <v>1.7361111111111112E-2</v>
      </c>
    </row>
    <row r="219" spans="1:4" x14ac:dyDescent="0.2">
      <c r="A219" s="19" t="s">
        <v>95</v>
      </c>
      <c r="B219" s="19" t="s">
        <v>66</v>
      </c>
      <c r="C219" s="33">
        <v>7.157</v>
      </c>
      <c r="D219" s="22">
        <v>7.6388888888888886E-3</v>
      </c>
    </row>
    <row r="220" spans="1:4" x14ac:dyDescent="0.2">
      <c r="A220" s="19" t="s">
        <v>95</v>
      </c>
      <c r="B220" s="19" t="s">
        <v>75</v>
      </c>
      <c r="C220" s="33">
        <v>28.93</v>
      </c>
      <c r="D220" s="22">
        <v>2.8472222222222222E-2</v>
      </c>
    </row>
    <row r="221" spans="1:4" x14ac:dyDescent="0.2">
      <c r="A221" s="19" t="s">
        <v>95</v>
      </c>
      <c r="B221" s="19" t="s">
        <v>67</v>
      </c>
      <c r="C221" s="33">
        <v>26.137</v>
      </c>
      <c r="D221" s="22">
        <v>2.4999999999999998E-2</v>
      </c>
    </row>
    <row r="222" spans="1:4" x14ac:dyDescent="0.2">
      <c r="A222" s="19" t="s">
        <v>95</v>
      </c>
      <c r="B222" s="19" t="s">
        <v>68</v>
      </c>
      <c r="C222" s="33">
        <v>25.206</v>
      </c>
      <c r="D222" s="22">
        <v>2.4305555555555556E-2</v>
      </c>
    </row>
    <row r="223" spans="1:4" x14ac:dyDescent="0.2">
      <c r="A223" s="19" t="s">
        <v>95</v>
      </c>
      <c r="B223" s="19" t="s">
        <v>69</v>
      </c>
      <c r="C223" s="33">
        <v>26.358000000000001</v>
      </c>
      <c r="D223" s="22">
        <v>2.5694444444444447E-2</v>
      </c>
    </row>
    <row r="224" spans="1:4" x14ac:dyDescent="0.2">
      <c r="A224" s="19" t="s">
        <v>95</v>
      </c>
      <c r="B224" s="19" t="s">
        <v>70</v>
      </c>
      <c r="C224" s="33">
        <v>28.120999999999999</v>
      </c>
      <c r="D224" s="22">
        <v>2.7083333333333334E-2</v>
      </c>
    </row>
    <row r="225" spans="1:4" x14ac:dyDescent="0.2">
      <c r="A225" s="19" t="s">
        <v>95</v>
      </c>
      <c r="B225" s="19" t="s">
        <v>71</v>
      </c>
      <c r="C225" s="33">
        <v>26.295000000000002</v>
      </c>
      <c r="D225" s="22">
        <v>2.4305555555555556E-2</v>
      </c>
    </row>
    <row r="226" spans="1:4" x14ac:dyDescent="0.2">
      <c r="A226" s="19" t="s">
        <v>95</v>
      </c>
      <c r="B226" s="19" t="s">
        <v>95</v>
      </c>
      <c r="C226" s="33">
        <v>0</v>
      </c>
      <c r="D226" s="22">
        <v>0</v>
      </c>
    </row>
    <row r="227" spans="1:4" x14ac:dyDescent="0.2">
      <c r="A227" s="19" t="s">
        <v>95</v>
      </c>
      <c r="B227" s="19" t="s">
        <v>72</v>
      </c>
      <c r="C227" s="33">
        <v>26.792000000000002</v>
      </c>
      <c r="D227" s="22">
        <v>2.5694444444444447E-2</v>
      </c>
    </row>
    <row r="228" spans="1:4" x14ac:dyDescent="0.2">
      <c r="A228" s="19" t="s">
        <v>95</v>
      </c>
      <c r="B228" s="19" t="s">
        <v>73</v>
      </c>
      <c r="C228" s="33">
        <v>43.225999999999999</v>
      </c>
      <c r="D228" s="22">
        <v>2.7777777777777776E-2</v>
      </c>
    </row>
    <row r="229" spans="1:4" x14ac:dyDescent="0.2">
      <c r="A229" s="19" t="s">
        <v>95</v>
      </c>
      <c r="B229" s="19" t="s">
        <v>74</v>
      </c>
      <c r="C229" s="33">
        <v>41.872999999999998</v>
      </c>
      <c r="D229" s="22">
        <v>2.9166666666666664E-2</v>
      </c>
    </row>
    <row r="230" spans="1:4" x14ac:dyDescent="0.2">
      <c r="A230" s="19" t="s">
        <v>95</v>
      </c>
      <c r="B230" s="19" t="s">
        <v>96</v>
      </c>
      <c r="C230" s="33">
        <v>39.651000000000003</v>
      </c>
      <c r="D230" s="22">
        <v>2.4999999999999998E-2</v>
      </c>
    </row>
    <row r="231" spans="1:4" x14ac:dyDescent="0.2">
      <c r="A231" s="19" t="s">
        <v>95</v>
      </c>
      <c r="B231" s="19" t="s">
        <v>76</v>
      </c>
      <c r="C231" s="33">
        <v>40.08</v>
      </c>
      <c r="D231" s="22">
        <v>2.7083333333333334E-2</v>
      </c>
    </row>
    <row r="232" spans="1:4" x14ac:dyDescent="0.2">
      <c r="A232" s="19" t="s">
        <v>95</v>
      </c>
      <c r="B232" s="19" t="s">
        <v>77</v>
      </c>
      <c r="C232" s="33">
        <v>39.201000000000001</v>
      </c>
      <c r="D232" s="22">
        <v>2.6388888888888889E-2</v>
      </c>
    </row>
    <row r="233" spans="1:4" x14ac:dyDescent="0.2">
      <c r="A233" s="19" t="s">
        <v>95</v>
      </c>
      <c r="B233" s="19" t="s">
        <v>78</v>
      </c>
      <c r="C233" s="33">
        <v>43.52</v>
      </c>
      <c r="D233" s="22">
        <v>2.7777777777777776E-2</v>
      </c>
    </row>
    <row r="234" spans="1:4" x14ac:dyDescent="0.2">
      <c r="A234" s="19" t="s">
        <v>95</v>
      </c>
      <c r="B234" s="19" t="s">
        <v>79</v>
      </c>
      <c r="C234" s="33">
        <v>42.276000000000003</v>
      </c>
      <c r="D234" s="22">
        <v>2.9166666666666664E-2</v>
      </c>
    </row>
    <row r="235" spans="1:4" x14ac:dyDescent="0.2">
      <c r="A235" s="19" t="s">
        <v>95</v>
      </c>
      <c r="B235" s="19" t="s">
        <v>80</v>
      </c>
      <c r="C235" s="33">
        <v>51.768000000000001</v>
      </c>
      <c r="D235" s="22">
        <v>3.3333333333333333E-2</v>
      </c>
    </row>
    <row r="236" spans="1:4" x14ac:dyDescent="0.2">
      <c r="A236" s="19" t="s">
        <v>95</v>
      </c>
      <c r="B236" s="19" t="s">
        <v>81</v>
      </c>
      <c r="C236" s="33">
        <v>55.728999999999999</v>
      </c>
      <c r="D236" s="22">
        <v>3.6111111111111115E-2</v>
      </c>
    </row>
    <row r="237" spans="1:4" x14ac:dyDescent="0.2">
      <c r="A237" s="19" t="s">
        <v>95</v>
      </c>
      <c r="B237" s="19" t="s">
        <v>82</v>
      </c>
      <c r="C237" s="33">
        <v>60.911000000000001</v>
      </c>
      <c r="D237" s="22">
        <v>3.888888888888889E-2</v>
      </c>
    </row>
    <row r="238" spans="1:4" x14ac:dyDescent="0.2">
      <c r="A238" s="19" t="s">
        <v>95</v>
      </c>
      <c r="B238" s="19" t="s">
        <v>83</v>
      </c>
      <c r="C238" s="33">
        <v>58.006999999999998</v>
      </c>
      <c r="D238" s="22">
        <v>3.8194444444444441E-2</v>
      </c>
    </row>
    <row r="239" spans="1:4" x14ac:dyDescent="0.2">
      <c r="A239" s="19" t="s">
        <v>95</v>
      </c>
      <c r="B239" s="19" t="s">
        <v>84</v>
      </c>
      <c r="C239" s="33">
        <v>68.206000000000003</v>
      </c>
      <c r="D239" s="22">
        <v>4.5833333333333337E-2</v>
      </c>
    </row>
    <row r="240" spans="1:4" x14ac:dyDescent="0.2">
      <c r="A240" s="19" t="s">
        <v>95</v>
      </c>
      <c r="B240" s="19" t="s">
        <v>85</v>
      </c>
      <c r="C240" s="33">
        <v>67.253</v>
      </c>
      <c r="D240" s="22">
        <v>4.4444444444444446E-2</v>
      </c>
    </row>
    <row r="241" spans="1:4" x14ac:dyDescent="0.2">
      <c r="A241" s="19" t="s">
        <v>95</v>
      </c>
      <c r="B241" s="19" t="s">
        <v>86</v>
      </c>
      <c r="C241" s="33">
        <v>64.605000000000004</v>
      </c>
      <c r="D241" s="22">
        <v>4.1666666666666664E-2</v>
      </c>
    </row>
    <row r="242" spans="1:4" x14ac:dyDescent="0.2">
      <c r="A242" s="19" t="s">
        <v>95</v>
      </c>
      <c r="B242" s="19" t="s">
        <v>87</v>
      </c>
      <c r="C242" s="33">
        <v>63.281999999999996</v>
      </c>
      <c r="D242" s="22">
        <v>4.0972222222222222E-2</v>
      </c>
    </row>
    <row r="243" spans="1:4" x14ac:dyDescent="0.2">
      <c r="A243" s="19" t="s">
        <v>95</v>
      </c>
      <c r="B243" s="19" t="s">
        <v>88</v>
      </c>
      <c r="C243" s="33">
        <v>61.607999999999997</v>
      </c>
      <c r="D243" s="22">
        <v>3.9583333333333331E-2</v>
      </c>
    </row>
    <row r="244" spans="1:4" x14ac:dyDescent="0.2">
      <c r="A244" s="19" t="s">
        <v>95</v>
      </c>
      <c r="B244" s="19" t="s">
        <v>89</v>
      </c>
      <c r="C244" s="33">
        <v>58.548999999999999</v>
      </c>
      <c r="D244" s="22">
        <v>3.8194444444444441E-2</v>
      </c>
    </row>
    <row r="245" spans="1:4" x14ac:dyDescent="0.2">
      <c r="A245" s="19" t="s">
        <v>95</v>
      </c>
      <c r="B245" s="19" t="s">
        <v>90</v>
      </c>
      <c r="C245" s="33">
        <v>23.149000000000001</v>
      </c>
      <c r="D245" s="22">
        <v>2.2916666666666669E-2</v>
      </c>
    </row>
    <row r="246" spans="1:4" x14ac:dyDescent="0.2">
      <c r="A246" s="19" t="s">
        <v>95</v>
      </c>
      <c r="B246" s="19" t="s">
        <v>91</v>
      </c>
      <c r="C246" s="33">
        <v>48.527999999999999</v>
      </c>
      <c r="D246" s="22">
        <v>2.9861111111111113E-2</v>
      </c>
    </row>
    <row r="247" spans="1:4" x14ac:dyDescent="0.2">
      <c r="A247" s="19" t="s">
        <v>95</v>
      </c>
      <c r="B247" s="19" t="s">
        <v>92</v>
      </c>
      <c r="C247" s="33">
        <v>57.066000000000003</v>
      </c>
      <c r="D247" s="22">
        <v>3.4722222222222224E-2</v>
      </c>
    </row>
    <row r="248" spans="1:4" x14ac:dyDescent="0.2">
      <c r="A248" s="19" t="s">
        <v>95</v>
      </c>
      <c r="B248" s="19" t="s">
        <v>93</v>
      </c>
      <c r="C248" s="33">
        <v>62.570999999999998</v>
      </c>
      <c r="D248" s="22">
        <v>3.8194444444444441E-2</v>
      </c>
    </row>
    <row r="249" spans="1:4" x14ac:dyDescent="0.2">
      <c r="A249" s="19" t="s">
        <v>95</v>
      </c>
      <c r="B249" s="19" t="s">
        <v>94</v>
      </c>
      <c r="C249" s="33">
        <v>60.991999999999997</v>
      </c>
      <c r="D249" s="22">
        <v>3.888888888888889E-2</v>
      </c>
    </row>
    <row r="250" spans="1:4" x14ac:dyDescent="0.2">
      <c r="A250" s="19" t="s">
        <v>72</v>
      </c>
      <c r="B250" s="19" t="s">
        <v>66</v>
      </c>
      <c r="C250" s="33">
        <v>31.571999999999999</v>
      </c>
      <c r="D250" s="22">
        <v>2.2222222222222223E-2</v>
      </c>
    </row>
    <row r="251" spans="1:4" x14ac:dyDescent="0.2">
      <c r="A251" s="19" t="s">
        <v>72</v>
      </c>
      <c r="B251" s="19" t="s">
        <v>75</v>
      </c>
      <c r="C251" s="33">
        <v>2.6190000000000002</v>
      </c>
      <c r="D251" s="22">
        <v>4.1666666666666666E-3</v>
      </c>
    </row>
    <row r="252" spans="1:4" x14ac:dyDescent="0.2">
      <c r="A252" s="19" t="s">
        <v>72</v>
      </c>
      <c r="B252" s="19" t="s">
        <v>67</v>
      </c>
      <c r="C252" s="33">
        <v>1.998</v>
      </c>
      <c r="D252" s="22">
        <v>4.1666666666666666E-3</v>
      </c>
    </row>
    <row r="253" spans="1:4" x14ac:dyDescent="0.2">
      <c r="A253" s="19" t="s">
        <v>72</v>
      </c>
      <c r="B253" s="19" t="s">
        <v>68</v>
      </c>
      <c r="C253" s="33">
        <v>1.986</v>
      </c>
      <c r="D253" s="22">
        <v>2.7777777777777779E-3</v>
      </c>
    </row>
    <row r="254" spans="1:4" x14ac:dyDescent="0.2">
      <c r="A254" s="19" t="s">
        <v>72</v>
      </c>
      <c r="B254" s="19" t="s">
        <v>69</v>
      </c>
      <c r="C254" s="33">
        <v>2.0019999999999998</v>
      </c>
      <c r="D254" s="22">
        <v>2.7777777777777779E-3</v>
      </c>
    </row>
    <row r="255" spans="1:4" x14ac:dyDescent="0.2">
      <c r="A255" s="19" t="s">
        <v>72</v>
      </c>
      <c r="B255" s="19" t="s">
        <v>70</v>
      </c>
      <c r="C255" s="33">
        <v>2.2669999999999999</v>
      </c>
      <c r="D255" s="22">
        <v>2.7777777777777779E-3</v>
      </c>
    </row>
    <row r="256" spans="1:4" x14ac:dyDescent="0.2">
      <c r="A256" s="19" t="s">
        <v>72</v>
      </c>
      <c r="B256" s="19" t="s">
        <v>71</v>
      </c>
      <c r="C256" s="33">
        <v>3.0449999999999999</v>
      </c>
      <c r="D256" s="22">
        <v>3.472222222222222E-3</v>
      </c>
    </row>
    <row r="257" spans="1:4" x14ac:dyDescent="0.2">
      <c r="A257" s="19" t="s">
        <v>72</v>
      </c>
      <c r="B257" s="19" t="s">
        <v>95</v>
      </c>
      <c r="C257" s="33">
        <v>27.56</v>
      </c>
      <c r="D257" s="22">
        <v>2.5694444444444447E-2</v>
      </c>
    </row>
    <row r="258" spans="1:4" x14ac:dyDescent="0.2">
      <c r="A258" s="19" t="s">
        <v>72</v>
      </c>
      <c r="B258" s="19" t="s">
        <v>72</v>
      </c>
      <c r="C258" s="33">
        <v>0</v>
      </c>
      <c r="D258" s="22">
        <v>0</v>
      </c>
    </row>
    <row r="259" spans="1:4" x14ac:dyDescent="0.2">
      <c r="A259" s="19" t="s">
        <v>72</v>
      </c>
      <c r="B259" s="19" t="s">
        <v>73</v>
      </c>
      <c r="C259" s="33">
        <v>6.7220000000000004</v>
      </c>
      <c r="D259" s="22">
        <v>1.0416666666666666E-2</v>
      </c>
    </row>
    <row r="260" spans="1:4" x14ac:dyDescent="0.2">
      <c r="A260" s="19" t="s">
        <v>72</v>
      </c>
      <c r="B260" s="19" t="s">
        <v>74</v>
      </c>
      <c r="C260" s="33">
        <v>4.3259999999999996</v>
      </c>
      <c r="D260" s="22">
        <v>6.9444444444444441E-3</v>
      </c>
    </row>
    <row r="261" spans="1:4" x14ac:dyDescent="0.2">
      <c r="A261" s="19" t="s">
        <v>72</v>
      </c>
      <c r="B261" s="19" t="s">
        <v>96</v>
      </c>
      <c r="C261" s="33">
        <v>62.841999999999999</v>
      </c>
      <c r="D261" s="22">
        <v>3.7499999999999999E-2</v>
      </c>
    </row>
    <row r="262" spans="1:4" x14ac:dyDescent="0.2">
      <c r="A262" s="19" t="s">
        <v>72</v>
      </c>
      <c r="B262" s="19" t="s">
        <v>76</v>
      </c>
      <c r="C262" s="33">
        <v>3.5670000000000002</v>
      </c>
      <c r="D262" s="22">
        <v>5.5555555555555558E-3</v>
      </c>
    </row>
    <row r="263" spans="1:4" x14ac:dyDescent="0.2">
      <c r="A263" s="19" t="s">
        <v>72</v>
      </c>
      <c r="B263" s="19" t="s">
        <v>77</v>
      </c>
      <c r="C263" s="33">
        <v>2.6880000000000002</v>
      </c>
      <c r="D263" s="22">
        <v>4.1666666666666666E-3</v>
      </c>
    </row>
    <row r="264" spans="1:4" x14ac:dyDescent="0.2">
      <c r="A264" s="19" t="s">
        <v>72</v>
      </c>
      <c r="B264" s="19" t="s">
        <v>78</v>
      </c>
      <c r="C264" s="33">
        <v>7.444</v>
      </c>
      <c r="D264" s="22">
        <v>1.0416666666666666E-2</v>
      </c>
    </row>
    <row r="265" spans="1:4" x14ac:dyDescent="0.2">
      <c r="A265" s="19" t="s">
        <v>72</v>
      </c>
      <c r="B265" s="19" t="s">
        <v>79</v>
      </c>
      <c r="C265" s="33">
        <v>7.2240000000000002</v>
      </c>
      <c r="D265" s="22">
        <v>9.7222222222222224E-3</v>
      </c>
    </row>
    <row r="266" spans="1:4" x14ac:dyDescent="0.2">
      <c r="A266" s="19" t="s">
        <v>72</v>
      </c>
      <c r="B266" s="19" t="s">
        <v>80</v>
      </c>
      <c r="C266" s="33">
        <v>15.82</v>
      </c>
      <c r="D266" s="22">
        <v>1.3194444444444444E-2</v>
      </c>
    </row>
    <row r="267" spans="1:4" x14ac:dyDescent="0.2">
      <c r="A267" s="19" t="s">
        <v>72</v>
      </c>
      <c r="B267" s="19" t="s">
        <v>81</v>
      </c>
      <c r="C267" s="33">
        <v>22.356000000000002</v>
      </c>
      <c r="D267" s="22">
        <v>1.7361111111111112E-2</v>
      </c>
    </row>
    <row r="268" spans="1:4" x14ac:dyDescent="0.2">
      <c r="A268" s="19" t="s">
        <v>72</v>
      </c>
      <c r="B268" s="19" t="s">
        <v>82</v>
      </c>
      <c r="C268" s="33">
        <v>23.369</v>
      </c>
      <c r="D268" s="22">
        <v>1.8749999999999999E-2</v>
      </c>
    </row>
    <row r="269" spans="1:4" x14ac:dyDescent="0.2">
      <c r="A269" s="19" t="s">
        <v>72</v>
      </c>
      <c r="B269" s="19" t="s">
        <v>83</v>
      </c>
      <c r="C269" s="33">
        <v>20.465</v>
      </c>
      <c r="D269" s="22">
        <v>1.8055555555555557E-2</v>
      </c>
    </row>
    <row r="270" spans="1:4" x14ac:dyDescent="0.2">
      <c r="A270" s="19" t="s">
        <v>72</v>
      </c>
      <c r="B270" s="19" t="s">
        <v>84</v>
      </c>
      <c r="C270" s="33">
        <v>30.664000000000001</v>
      </c>
      <c r="D270" s="22">
        <v>2.4999999999999998E-2</v>
      </c>
    </row>
    <row r="271" spans="1:4" x14ac:dyDescent="0.2">
      <c r="A271" s="19" t="s">
        <v>72</v>
      </c>
      <c r="B271" s="19" t="s">
        <v>85</v>
      </c>
      <c r="C271" s="33">
        <v>29.710999999999999</v>
      </c>
      <c r="D271" s="22">
        <v>2.4305555555555556E-2</v>
      </c>
    </row>
    <row r="272" spans="1:4" x14ac:dyDescent="0.2">
      <c r="A272" s="19" t="s">
        <v>72</v>
      </c>
      <c r="B272" s="19" t="s">
        <v>86</v>
      </c>
      <c r="C272" s="33">
        <v>27.062999999999999</v>
      </c>
      <c r="D272" s="22">
        <v>2.1527777777777781E-2</v>
      </c>
    </row>
    <row r="273" spans="1:4" x14ac:dyDescent="0.2">
      <c r="A273" s="19" t="s">
        <v>72</v>
      </c>
      <c r="B273" s="19" t="s">
        <v>87</v>
      </c>
      <c r="C273" s="33">
        <v>25.74</v>
      </c>
      <c r="D273" s="22">
        <v>2.0833333333333332E-2</v>
      </c>
    </row>
    <row r="274" spans="1:4" x14ac:dyDescent="0.2">
      <c r="A274" s="19" t="s">
        <v>72</v>
      </c>
      <c r="B274" s="19" t="s">
        <v>88</v>
      </c>
      <c r="C274" s="33">
        <v>24.065999999999999</v>
      </c>
      <c r="D274" s="22">
        <v>1.9444444444444445E-2</v>
      </c>
    </row>
    <row r="275" spans="1:4" x14ac:dyDescent="0.2">
      <c r="A275" s="19" t="s">
        <v>72</v>
      </c>
      <c r="B275" s="19" t="s">
        <v>89</v>
      </c>
      <c r="C275" s="33">
        <v>21.007000000000001</v>
      </c>
      <c r="D275" s="22">
        <v>1.8055555555555557E-2</v>
      </c>
    </row>
    <row r="276" spans="1:4" x14ac:dyDescent="0.2">
      <c r="A276" s="19" t="s">
        <v>72</v>
      </c>
      <c r="B276" s="19" t="s">
        <v>90</v>
      </c>
      <c r="C276" s="33">
        <v>3.94</v>
      </c>
      <c r="D276" s="22">
        <v>6.2499999999999995E-3</v>
      </c>
    </row>
    <row r="277" spans="1:4" x14ac:dyDescent="0.2">
      <c r="A277" s="19" t="s">
        <v>72</v>
      </c>
      <c r="B277" s="19" t="s">
        <v>91</v>
      </c>
      <c r="C277" s="33">
        <v>8.5280000000000005</v>
      </c>
      <c r="D277" s="22">
        <v>7.6388888888888886E-3</v>
      </c>
    </row>
    <row r="278" spans="1:4" x14ac:dyDescent="0.2">
      <c r="A278" s="19" t="s">
        <v>72</v>
      </c>
      <c r="B278" s="19" t="s">
        <v>92</v>
      </c>
      <c r="C278" s="33">
        <v>19.199000000000002</v>
      </c>
      <c r="D278" s="22">
        <v>1.3888888888888888E-2</v>
      </c>
    </row>
    <row r="279" spans="1:4" x14ac:dyDescent="0.2">
      <c r="A279" s="19" t="s">
        <v>72</v>
      </c>
      <c r="B279" s="19" t="s">
        <v>93</v>
      </c>
      <c r="C279" s="33">
        <v>25.251999999999999</v>
      </c>
      <c r="D279" s="22">
        <v>1.9444444444444445E-2</v>
      </c>
    </row>
    <row r="280" spans="1:4" x14ac:dyDescent="0.2">
      <c r="A280" s="19" t="s">
        <v>72</v>
      </c>
      <c r="B280" s="19" t="s">
        <v>94</v>
      </c>
      <c r="C280" s="33">
        <v>23.125</v>
      </c>
      <c r="D280" s="22">
        <v>1.8055555555555557E-2</v>
      </c>
    </row>
    <row r="281" spans="1:4" x14ac:dyDescent="0.2">
      <c r="A281" s="19" t="s">
        <v>73</v>
      </c>
      <c r="B281" s="19" t="s">
        <v>66</v>
      </c>
      <c r="C281" s="33">
        <v>35.761000000000003</v>
      </c>
      <c r="D281" s="22">
        <v>2.2222222222222223E-2</v>
      </c>
    </row>
    <row r="282" spans="1:4" x14ac:dyDescent="0.2">
      <c r="A282" s="19" t="s">
        <v>73</v>
      </c>
      <c r="B282" s="19" t="s">
        <v>75</v>
      </c>
      <c r="C282" s="33">
        <v>6.5430000000000001</v>
      </c>
      <c r="D282" s="22">
        <v>9.7222222222222224E-3</v>
      </c>
    </row>
    <row r="283" spans="1:4" x14ac:dyDescent="0.2">
      <c r="A283" s="19" t="s">
        <v>73</v>
      </c>
      <c r="B283" s="19" t="s">
        <v>67</v>
      </c>
      <c r="C283" s="33">
        <v>8.343</v>
      </c>
      <c r="D283" s="22">
        <v>1.1805555555555555E-2</v>
      </c>
    </row>
    <row r="284" spans="1:4" x14ac:dyDescent="0.2">
      <c r="A284" s="19" t="s">
        <v>73</v>
      </c>
      <c r="B284" s="19" t="s">
        <v>68</v>
      </c>
      <c r="C284" s="33">
        <v>8.859</v>
      </c>
      <c r="D284" s="22">
        <v>1.1805555555555555E-2</v>
      </c>
    </row>
    <row r="285" spans="1:4" x14ac:dyDescent="0.2">
      <c r="A285" s="19" t="s">
        <v>73</v>
      </c>
      <c r="B285" s="19" t="s">
        <v>69</v>
      </c>
      <c r="C285" s="33">
        <v>8.0350000000000001</v>
      </c>
      <c r="D285" s="22">
        <v>1.1111111111111112E-2</v>
      </c>
    </row>
    <row r="286" spans="1:4" x14ac:dyDescent="0.2">
      <c r="A286" s="19" t="s">
        <v>73</v>
      </c>
      <c r="B286" s="19" t="s">
        <v>70</v>
      </c>
      <c r="C286" s="33">
        <v>6.3159999999999998</v>
      </c>
      <c r="D286" s="22">
        <v>9.7222222222222224E-3</v>
      </c>
    </row>
    <row r="287" spans="1:4" x14ac:dyDescent="0.2">
      <c r="A287" s="19" t="s">
        <v>73</v>
      </c>
      <c r="B287" s="19" t="s">
        <v>71</v>
      </c>
      <c r="C287" s="33">
        <v>10.052</v>
      </c>
      <c r="D287" s="22">
        <v>1.2499999999999999E-2</v>
      </c>
    </row>
    <row r="288" spans="1:4" x14ac:dyDescent="0.2">
      <c r="A288" s="19" t="s">
        <v>73</v>
      </c>
      <c r="B288" s="19" t="s">
        <v>95</v>
      </c>
      <c r="C288" s="33">
        <v>40.515000000000001</v>
      </c>
      <c r="D288" s="22">
        <v>2.6388888888888889E-2</v>
      </c>
    </row>
    <row r="289" spans="1:4" x14ac:dyDescent="0.2">
      <c r="A289" s="19" t="s">
        <v>73</v>
      </c>
      <c r="B289" s="19" t="s">
        <v>72</v>
      </c>
      <c r="C289" s="33">
        <v>7.9450000000000003</v>
      </c>
      <c r="D289" s="22">
        <v>1.1111111111111112E-2</v>
      </c>
    </row>
    <row r="290" spans="1:4" x14ac:dyDescent="0.2">
      <c r="A290" s="19" t="s">
        <v>73</v>
      </c>
      <c r="B290" s="19" t="s">
        <v>73</v>
      </c>
      <c r="C290" s="33">
        <v>0</v>
      </c>
      <c r="D290" s="22">
        <v>0</v>
      </c>
    </row>
    <row r="291" spans="1:4" x14ac:dyDescent="0.2">
      <c r="A291" s="19" t="s">
        <v>73</v>
      </c>
      <c r="B291" s="19" t="s">
        <v>74</v>
      </c>
      <c r="C291" s="33">
        <v>3.0640000000000001</v>
      </c>
      <c r="D291" s="22">
        <v>6.2499999999999995E-3</v>
      </c>
    </row>
    <row r="292" spans="1:4" x14ac:dyDescent="0.2">
      <c r="A292" s="19" t="s">
        <v>73</v>
      </c>
      <c r="B292" s="19" t="s">
        <v>96</v>
      </c>
      <c r="C292" s="33">
        <v>67.031000000000006</v>
      </c>
      <c r="D292" s="22">
        <v>3.7499999999999999E-2</v>
      </c>
    </row>
    <row r="293" spans="1:4" x14ac:dyDescent="0.2">
      <c r="A293" s="19" t="s">
        <v>73</v>
      </c>
      <c r="B293" s="19" t="s">
        <v>76</v>
      </c>
      <c r="C293" s="33">
        <v>4.835</v>
      </c>
      <c r="D293" s="22">
        <v>8.3333333333333332E-3</v>
      </c>
    </row>
    <row r="294" spans="1:4" x14ac:dyDescent="0.2">
      <c r="A294" s="19" t="s">
        <v>73</v>
      </c>
      <c r="B294" s="19" t="s">
        <v>77</v>
      </c>
      <c r="C294" s="33">
        <v>5.734</v>
      </c>
      <c r="D294" s="22">
        <v>8.3333333333333332E-3</v>
      </c>
    </row>
    <row r="295" spans="1:4" x14ac:dyDescent="0.2">
      <c r="A295" s="19" t="s">
        <v>73</v>
      </c>
      <c r="B295" s="19" t="s">
        <v>78</v>
      </c>
      <c r="C295" s="33">
        <v>1.5680000000000001</v>
      </c>
      <c r="D295" s="22">
        <v>4.1666666666666666E-3</v>
      </c>
    </row>
    <row r="296" spans="1:4" x14ac:dyDescent="0.2">
      <c r="A296" s="19" t="s">
        <v>73</v>
      </c>
      <c r="B296" s="19" t="s">
        <v>79</v>
      </c>
      <c r="C296" s="33">
        <v>3.06</v>
      </c>
      <c r="D296" s="22">
        <v>4.8611111111111112E-3</v>
      </c>
    </row>
    <row r="297" spans="1:4" x14ac:dyDescent="0.2">
      <c r="A297" s="19" t="s">
        <v>73</v>
      </c>
      <c r="B297" s="19" t="s">
        <v>80</v>
      </c>
      <c r="C297" s="33">
        <v>9.9480000000000004</v>
      </c>
      <c r="D297" s="22">
        <v>1.1805555555555555E-2</v>
      </c>
    </row>
    <row r="298" spans="1:4" x14ac:dyDescent="0.2">
      <c r="A298" s="19" t="s">
        <v>73</v>
      </c>
      <c r="B298" s="19" t="s">
        <v>81</v>
      </c>
      <c r="C298" s="33">
        <v>14.750999999999999</v>
      </c>
      <c r="D298" s="22">
        <v>1.6666666666666666E-2</v>
      </c>
    </row>
    <row r="299" spans="1:4" x14ac:dyDescent="0.2">
      <c r="A299" s="19" t="s">
        <v>73</v>
      </c>
      <c r="B299" s="19" t="s">
        <v>82</v>
      </c>
      <c r="C299" s="33">
        <v>19.091000000000001</v>
      </c>
      <c r="D299" s="22">
        <v>1.8055555555555557E-2</v>
      </c>
    </row>
    <row r="300" spans="1:4" x14ac:dyDescent="0.2">
      <c r="A300" s="19" t="s">
        <v>73</v>
      </c>
      <c r="B300" s="19" t="s">
        <v>83</v>
      </c>
      <c r="C300" s="33">
        <v>16.187000000000001</v>
      </c>
      <c r="D300" s="22">
        <v>1.7361111111111112E-2</v>
      </c>
    </row>
    <row r="301" spans="1:4" x14ac:dyDescent="0.2">
      <c r="A301" s="19" t="s">
        <v>73</v>
      </c>
      <c r="B301" s="19" t="s">
        <v>84</v>
      </c>
      <c r="C301" s="33">
        <v>26.385999999999999</v>
      </c>
      <c r="D301" s="22">
        <v>2.4305555555555556E-2</v>
      </c>
    </row>
    <row r="302" spans="1:4" x14ac:dyDescent="0.2">
      <c r="A302" s="19" t="s">
        <v>73</v>
      </c>
      <c r="B302" s="19" t="s">
        <v>85</v>
      </c>
      <c r="C302" s="33">
        <v>25.433</v>
      </c>
      <c r="D302" s="22">
        <v>2.361111111111111E-2</v>
      </c>
    </row>
    <row r="303" spans="1:4" x14ac:dyDescent="0.2">
      <c r="A303" s="19" t="s">
        <v>73</v>
      </c>
      <c r="B303" s="19" t="s">
        <v>86</v>
      </c>
      <c r="C303" s="33">
        <v>21.966999999999999</v>
      </c>
      <c r="D303" s="22">
        <v>2.0833333333333332E-2</v>
      </c>
    </row>
    <row r="304" spans="1:4" x14ac:dyDescent="0.2">
      <c r="A304" s="19" t="s">
        <v>73</v>
      </c>
      <c r="B304" s="19" t="s">
        <v>87</v>
      </c>
      <c r="C304" s="33">
        <v>21.462</v>
      </c>
      <c r="D304" s="22">
        <v>1.9444444444444445E-2</v>
      </c>
    </row>
    <row r="305" spans="1:4" x14ac:dyDescent="0.2">
      <c r="A305" s="19" t="s">
        <v>73</v>
      </c>
      <c r="B305" s="19" t="s">
        <v>88</v>
      </c>
      <c r="C305" s="33">
        <v>19.788</v>
      </c>
      <c r="D305" s="22">
        <v>1.8749999999999999E-2</v>
      </c>
    </row>
    <row r="306" spans="1:4" x14ac:dyDescent="0.2">
      <c r="A306" s="19" t="s">
        <v>73</v>
      </c>
      <c r="B306" s="19" t="s">
        <v>89</v>
      </c>
      <c r="C306" s="33">
        <v>16.728999999999999</v>
      </c>
      <c r="D306" s="22">
        <v>1.6666666666666666E-2</v>
      </c>
    </row>
    <row r="307" spans="1:4" x14ac:dyDescent="0.2">
      <c r="A307" s="19" t="s">
        <v>73</v>
      </c>
      <c r="B307" s="19" t="s">
        <v>90</v>
      </c>
      <c r="C307" s="33">
        <v>9.75</v>
      </c>
      <c r="D307" s="22">
        <v>1.3194444444444444E-2</v>
      </c>
    </row>
    <row r="308" spans="1:4" x14ac:dyDescent="0.2">
      <c r="A308" s="19" t="s">
        <v>73</v>
      </c>
      <c r="B308" s="19" t="s">
        <v>91</v>
      </c>
      <c r="C308" s="33">
        <v>5.3390000000000004</v>
      </c>
      <c r="D308" s="22">
        <v>6.9444444444444441E-3</v>
      </c>
    </row>
    <row r="309" spans="1:4" x14ac:dyDescent="0.2">
      <c r="A309" s="19" t="s">
        <v>73</v>
      </c>
      <c r="B309" s="19" t="s">
        <v>92</v>
      </c>
      <c r="C309" s="33">
        <v>16.056000000000001</v>
      </c>
      <c r="D309" s="22">
        <v>1.3194444444444444E-2</v>
      </c>
    </row>
    <row r="310" spans="1:4" x14ac:dyDescent="0.2">
      <c r="A310" s="19" t="s">
        <v>73</v>
      </c>
      <c r="B310" s="19" t="s">
        <v>93</v>
      </c>
      <c r="C310" s="33">
        <v>22.109000000000002</v>
      </c>
      <c r="D310" s="22">
        <v>1.8749999999999999E-2</v>
      </c>
    </row>
    <row r="311" spans="1:4" x14ac:dyDescent="0.2">
      <c r="A311" s="19" t="s">
        <v>73</v>
      </c>
      <c r="B311" s="19" t="s">
        <v>94</v>
      </c>
      <c r="C311" s="33">
        <v>19.981999999999999</v>
      </c>
      <c r="D311" s="22">
        <v>1.6666666666666666E-2</v>
      </c>
    </row>
    <row r="312" spans="1:4" x14ac:dyDescent="0.2">
      <c r="A312" s="19" t="s">
        <v>74</v>
      </c>
      <c r="B312" s="19" t="s">
        <v>66</v>
      </c>
      <c r="C312" s="33">
        <v>37.765000000000001</v>
      </c>
      <c r="D312" s="22">
        <v>2.4999999999999998E-2</v>
      </c>
    </row>
    <row r="313" spans="1:4" x14ac:dyDescent="0.2">
      <c r="A313" s="19" t="s">
        <v>74</v>
      </c>
      <c r="B313" s="19" t="s">
        <v>75</v>
      </c>
      <c r="C313" s="33">
        <v>3.9020000000000001</v>
      </c>
      <c r="D313" s="22">
        <v>6.2499999999999995E-3</v>
      </c>
    </row>
    <row r="314" spans="1:4" x14ac:dyDescent="0.2">
      <c r="A314" s="19" t="s">
        <v>74</v>
      </c>
      <c r="B314" s="19" t="s">
        <v>67</v>
      </c>
      <c r="C314" s="33">
        <v>5.702</v>
      </c>
      <c r="D314" s="22">
        <v>8.3333333333333332E-3</v>
      </c>
    </row>
    <row r="315" spans="1:4" x14ac:dyDescent="0.2">
      <c r="A315" s="19" t="s">
        <v>74</v>
      </c>
      <c r="B315" s="19" t="s">
        <v>68</v>
      </c>
      <c r="C315" s="33">
        <v>5.4560000000000004</v>
      </c>
      <c r="D315" s="22">
        <v>8.3333333333333332E-3</v>
      </c>
    </row>
    <row r="316" spans="1:4" x14ac:dyDescent="0.2">
      <c r="A316" s="19" t="s">
        <v>74</v>
      </c>
      <c r="B316" s="19" t="s">
        <v>69</v>
      </c>
      <c r="C316" s="33">
        <v>5.3940000000000001</v>
      </c>
      <c r="D316" s="22">
        <v>7.6388888888888886E-3</v>
      </c>
    </row>
    <row r="317" spans="1:4" x14ac:dyDescent="0.2">
      <c r="A317" s="19" t="s">
        <v>74</v>
      </c>
      <c r="B317" s="19" t="s">
        <v>70</v>
      </c>
      <c r="C317" s="33">
        <v>3.6749999999999998</v>
      </c>
      <c r="D317" s="22">
        <v>6.2499999999999995E-3</v>
      </c>
    </row>
    <row r="318" spans="1:4" x14ac:dyDescent="0.2">
      <c r="A318" s="19" t="s">
        <v>74</v>
      </c>
      <c r="B318" s="19" t="s">
        <v>71</v>
      </c>
      <c r="C318" s="33">
        <v>6.5149999999999997</v>
      </c>
      <c r="D318" s="22">
        <v>9.0277777777777787E-3</v>
      </c>
    </row>
    <row r="319" spans="1:4" x14ac:dyDescent="0.2">
      <c r="A319" s="19" t="s">
        <v>74</v>
      </c>
      <c r="B319" s="19" t="s">
        <v>95</v>
      </c>
      <c r="C319" s="33">
        <v>31.428000000000001</v>
      </c>
      <c r="D319" s="22">
        <v>2.9861111111111113E-2</v>
      </c>
    </row>
    <row r="320" spans="1:4" x14ac:dyDescent="0.2">
      <c r="A320" s="19" t="s">
        <v>74</v>
      </c>
      <c r="B320" s="19" t="s">
        <v>72</v>
      </c>
      <c r="C320" s="33">
        <v>4.4080000000000004</v>
      </c>
      <c r="D320" s="22">
        <v>7.6388888888888886E-3</v>
      </c>
    </row>
    <row r="321" spans="1:4" x14ac:dyDescent="0.2">
      <c r="A321" s="19" t="s">
        <v>74</v>
      </c>
      <c r="B321" s="19" t="s">
        <v>73</v>
      </c>
      <c r="C321" s="33">
        <v>2.8740000000000001</v>
      </c>
      <c r="D321" s="22">
        <v>4.8611111111111112E-3</v>
      </c>
    </row>
    <row r="322" spans="1:4" x14ac:dyDescent="0.2">
      <c r="A322" s="19" t="s">
        <v>74</v>
      </c>
      <c r="B322" s="19" t="s">
        <v>74</v>
      </c>
      <c r="C322" s="33">
        <v>0</v>
      </c>
      <c r="D322" s="22">
        <v>0</v>
      </c>
    </row>
    <row r="323" spans="1:4" x14ac:dyDescent="0.2">
      <c r="A323" s="19" t="s">
        <v>74</v>
      </c>
      <c r="B323" s="19" t="s">
        <v>96</v>
      </c>
      <c r="C323" s="33">
        <v>69.034999999999997</v>
      </c>
      <c r="D323" s="22">
        <v>3.9583333333333331E-2</v>
      </c>
    </row>
    <row r="324" spans="1:4" x14ac:dyDescent="0.2">
      <c r="A324" s="19" t="s">
        <v>74</v>
      </c>
      <c r="B324" s="19" t="s">
        <v>76</v>
      </c>
      <c r="C324" s="33">
        <v>2.194</v>
      </c>
      <c r="D324" s="22">
        <v>4.8611111111111112E-3</v>
      </c>
    </row>
    <row r="325" spans="1:4" x14ac:dyDescent="0.2">
      <c r="A325" s="19" t="s">
        <v>74</v>
      </c>
      <c r="B325" s="19" t="s">
        <v>77</v>
      </c>
      <c r="C325" s="33">
        <v>3.093</v>
      </c>
      <c r="D325" s="22">
        <v>4.8611111111111112E-3</v>
      </c>
    </row>
    <row r="326" spans="1:4" x14ac:dyDescent="0.2">
      <c r="A326" s="19" t="s">
        <v>74</v>
      </c>
      <c r="B326" s="19" t="s">
        <v>78</v>
      </c>
      <c r="C326" s="33">
        <v>3.5960000000000001</v>
      </c>
      <c r="D326" s="22">
        <v>5.5555555555555558E-3</v>
      </c>
    </row>
    <row r="327" spans="1:4" x14ac:dyDescent="0.2">
      <c r="A327" s="19" t="s">
        <v>74</v>
      </c>
      <c r="B327" s="19" t="s">
        <v>79</v>
      </c>
      <c r="C327" s="33">
        <v>3.3759999999999999</v>
      </c>
      <c r="D327" s="22">
        <v>4.1666666666666666E-3</v>
      </c>
    </row>
    <row r="328" spans="1:4" x14ac:dyDescent="0.2">
      <c r="A328" s="19" t="s">
        <v>74</v>
      </c>
      <c r="B328" s="19" t="s">
        <v>80</v>
      </c>
      <c r="C328" s="33">
        <v>10.327999999999999</v>
      </c>
      <c r="D328" s="22">
        <v>1.1805555555555555E-2</v>
      </c>
    </row>
    <row r="329" spans="1:4" x14ac:dyDescent="0.2">
      <c r="A329" s="19" t="s">
        <v>74</v>
      </c>
      <c r="B329" s="19" t="s">
        <v>81</v>
      </c>
      <c r="C329" s="33">
        <v>18.457999999999998</v>
      </c>
      <c r="D329" s="22">
        <v>1.6666666666666666E-2</v>
      </c>
    </row>
    <row r="330" spans="1:4" x14ac:dyDescent="0.2">
      <c r="A330" s="19" t="s">
        <v>74</v>
      </c>
      <c r="B330" s="19" t="s">
        <v>82</v>
      </c>
      <c r="C330" s="33">
        <v>19.471</v>
      </c>
      <c r="D330" s="22">
        <v>1.8055555555555557E-2</v>
      </c>
    </row>
    <row r="331" spans="1:4" x14ac:dyDescent="0.2">
      <c r="A331" s="19" t="s">
        <v>74</v>
      </c>
      <c r="B331" s="19" t="s">
        <v>83</v>
      </c>
      <c r="C331" s="33">
        <v>16.567</v>
      </c>
      <c r="D331" s="22">
        <v>1.7361111111111112E-2</v>
      </c>
    </row>
    <row r="332" spans="1:4" x14ac:dyDescent="0.2">
      <c r="A332" s="19" t="s">
        <v>74</v>
      </c>
      <c r="B332" s="19" t="s">
        <v>84</v>
      </c>
      <c r="C332" s="33">
        <v>26.765999999999998</v>
      </c>
      <c r="D332" s="22">
        <v>2.4305555555555556E-2</v>
      </c>
    </row>
    <row r="333" spans="1:4" x14ac:dyDescent="0.2">
      <c r="A333" s="19" t="s">
        <v>74</v>
      </c>
      <c r="B333" s="19" t="s">
        <v>85</v>
      </c>
      <c r="C333" s="33">
        <v>25.812999999999999</v>
      </c>
      <c r="D333" s="22">
        <v>2.361111111111111E-2</v>
      </c>
    </row>
    <row r="334" spans="1:4" x14ac:dyDescent="0.2">
      <c r="A334" s="19" t="s">
        <v>74</v>
      </c>
      <c r="B334" s="19" t="s">
        <v>86</v>
      </c>
      <c r="C334" s="33">
        <v>23.164999999999999</v>
      </c>
      <c r="D334" s="22">
        <v>2.0833333333333332E-2</v>
      </c>
    </row>
    <row r="335" spans="1:4" x14ac:dyDescent="0.2">
      <c r="A335" s="19" t="s">
        <v>74</v>
      </c>
      <c r="B335" s="19" t="s">
        <v>87</v>
      </c>
      <c r="C335" s="33">
        <v>21.841999999999999</v>
      </c>
      <c r="D335" s="22">
        <v>2.013888888888889E-2</v>
      </c>
    </row>
    <row r="336" spans="1:4" x14ac:dyDescent="0.2">
      <c r="A336" s="19" t="s">
        <v>74</v>
      </c>
      <c r="B336" s="19" t="s">
        <v>88</v>
      </c>
      <c r="C336" s="33">
        <v>20.167999999999999</v>
      </c>
      <c r="D336" s="22">
        <v>1.8749999999999999E-2</v>
      </c>
    </row>
    <row r="337" spans="1:4" x14ac:dyDescent="0.2">
      <c r="A337" s="19" t="s">
        <v>74</v>
      </c>
      <c r="B337" s="19" t="s">
        <v>89</v>
      </c>
      <c r="C337" s="33">
        <v>17.109000000000002</v>
      </c>
      <c r="D337" s="22">
        <v>1.6666666666666666E-2</v>
      </c>
    </row>
    <row r="338" spans="1:4" x14ac:dyDescent="0.2">
      <c r="A338" s="19" t="s">
        <v>74</v>
      </c>
      <c r="B338" s="19" t="s">
        <v>90</v>
      </c>
      <c r="C338" s="33">
        <v>7.109</v>
      </c>
      <c r="D338" s="22">
        <v>9.7222222222222224E-3</v>
      </c>
    </row>
    <row r="339" spans="1:4" x14ac:dyDescent="0.2">
      <c r="A339" s="19" t="s">
        <v>74</v>
      </c>
      <c r="B339" s="19" t="s">
        <v>91</v>
      </c>
      <c r="C339" s="33">
        <v>5.7190000000000003</v>
      </c>
      <c r="D339" s="22">
        <v>6.9444444444444441E-3</v>
      </c>
    </row>
    <row r="340" spans="1:4" x14ac:dyDescent="0.2">
      <c r="A340" s="19" t="s">
        <v>74</v>
      </c>
      <c r="B340" s="19" t="s">
        <v>92</v>
      </c>
      <c r="C340" s="33">
        <v>16.436</v>
      </c>
      <c r="D340" s="22">
        <v>1.3194444444444444E-2</v>
      </c>
    </row>
    <row r="341" spans="1:4" x14ac:dyDescent="0.2">
      <c r="A341" s="19" t="s">
        <v>74</v>
      </c>
      <c r="B341" s="19" t="s">
        <v>93</v>
      </c>
      <c r="C341" s="33">
        <v>22.489000000000001</v>
      </c>
      <c r="D341" s="22">
        <v>1.9444444444444445E-2</v>
      </c>
    </row>
    <row r="342" spans="1:4" x14ac:dyDescent="0.2">
      <c r="A342" s="19" t="s">
        <v>74</v>
      </c>
      <c r="B342" s="19" t="s">
        <v>94</v>
      </c>
      <c r="C342" s="33">
        <v>20.361999999999998</v>
      </c>
      <c r="D342" s="22">
        <v>1.7361111111111112E-2</v>
      </c>
    </row>
    <row r="343" spans="1:4" x14ac:dyDescent="0.2">
      <c r="A343" s="19" t="s">
        <v>96</v>
      </c>
      <c r="B343" s="19" t="s">
        <v>66</v>
      </c>
      <c r="C343" s="33">
        <v>37.921999999999997</v>
      </c>
      <c r="D343" s="22">
        <v>2.361111111111111E-2</v>
      </c>
    </row>
    <row r="344" spans="1:4" x14ac:dyDescent="0.2">
      <c r="A344" s="19" t="s">
        <v>96</v>
      </c>
      <c r="B344" s="19" t="s">
        <v>75</v>
      </c>
      <c r="C344" s="33">
        <v>65.721999999999994</v>
      </c>
      <c r="D344" s="22">
        <v>3.7499999999999999E-2</v>
      </c>
    </row>
    <row r="345" spans="1:4" x14ac:dyDescent="0.2">
      <c r="A345" s="19" t="s">
        <v>96</v>
      </c>
      <c r="B345" s="19" t="s">
        <v>67</v>
      </c>
      <c r="C345" s="33">
        <v>63.805999999999997</v>
      </c>
      <c r="D345" s="22">
        <v>3.6111111111111115E-2</v>
      </c>
    </row>
    <row r="346" spans="1:4" x14ac:dyDescent="0.2">
      <c r="A346" s="19" t="s">
        <v>96</v>
      </c>
      <c r="B346" s="19" t="s">
        <v>68</v>
      </c>
      <c r="C346" s="33">
        <v>58.161000000000001</v>
      </c>
      <c r="D346" s="22">
        <v>3.6111111111111115E-2</v>
      </c>
    </row>
    <row r="347" spans="1:4" x14ac:dyDescent="0.2">
      <c r="A347" s="19" t="s">
        <v>96</v>
      </c>
      <c r="B347" s="19" t="s">
        <v>69</v>
      </c>
      <c r="C347" s="33">
        <v>64.697999999999993</v>
      </c>
      <c r="D347" s="22">
        <v>3.6805555555555557E-2</v>
      </c>
    </row>
    <row r="348" spans="1:4" x14ac:dyDescent="0.2">
      <c r="A348" s="19" t="s">
        <v>96</v>
      </c>
      <c r="B348" s="19" t="s">
        <v>70</v>
      </c>
      <c r="C348" s="33">
        <v>65.507999999999996</v>
      </c>
      <c r="D348" s="22">
        <v>3.8194444444444441E-2</v>
      </c>
    </row>
    <row r="349" spans="1:4" x14ac:dyDescent="0.2">
      <c r="A349" s="19" t="s">
        <v>96</v>
      </c>
      <c r="B349" s="19" t="s">
        <v>71</v>
      </c>
      <c r="C349" s="33">
        <v>58.792999999999999</v>
      </c>
      <c r="D349" s="22">
        <v>3.6805555555555557E-2</v>
      </c>
    </row>
    <row r="350" spans="1:4" x14ac:dyDescent="0.2">
      <c r="A350" s="19" t="s">
        <v>96</v>
      </c>
      <c r="B350" s="19" t="s">
        <v>95</v>
      </c>
      <c r="C350" s="33">
        <v>45.045000000000002</v>
      </c>
      <c r="D350" s="22">
        <v>2.7083333333333334E-2</v>
      </c>
    </row>
    <row r="351" spans="1:4" x14ac:dyDescent="0.2">
      <c r="A351" s="19" t="s">
        <v>96</v>
      </c>
      <c r="B351" s="19" t="s">
        <v>72</v>
      </c>
      <c r="C351" s="33">
        <v>65.278000000000006</v>
      </c>
      <c r="D351" s="22">
        <v>3.8194444444444441E-2</v>
      </c>
    </row>
    <row r="352" spans="1:4" x14ac:dyDescent="0.2">
      <c r="A352" s="19" t="s">
        <v>96</v>
      </c>
      <c r="B352" s="19" t="s">
        <v>73</v>
      </c>
      <c r="C352" s="33">
        <v>69.816000000000003</v>
      </c>
      <c r="D352" s="22">
        <v>3.9583333333333331E-2</v>
      </c>
    </row>
    <row r="353" spans="1:4" x14ac:dyDescent="0.2">
      <c r="A353" s="19" t="s">
        <v>96</v>
      </c>
      <c r="B353" s="19" t="s">
        <v>74</v>
      </c>
      <c r="C353" s="33">
        <v>68.462999999999994</v>
      </c>
      <c r="D353" s="22">
        <v>4.0972222222222222E-2</v>
      </c>
    </row>
    <row r="354" spans="1:4" x14ac:dyDescent="0.2">
      <c r="A354" s="19" t="s">
        <v>96</v>
      </c>
      <c r="B354" s="19" t="s">
        <v>96</v>
      </c>
      <c r="C354" s="33">
        <v>0</v>
      </c>
      <c r="D354" s="22">
        <v>0</v>
      </c>
    </row>
    <row r="355" spans="1:4" x14ac:dyDescent="0.2">
      <c r="A355" s="19" t="s">
        <v>96</v>
      </c>
      <c r="B355" s="19" t="s">
        <v>76</v>
      </c>
      <c r="C355" s="33">
        <v>66.67</v>
      </c>
      <c r="D355" s="22">
        <v>3.888888888888889E-2</v>
      </c>
    </row>
    <row r="356" spans="1:4" x14ac:dyDescent="0.2">
      <c r="A356" s="19" t="s">
        <v>96</v>
      </c>
      <c r="B356" s="19" t="s">
        <v>77</v>
      </c>
      <c r="C356" s="33">
        <v>65.790999999999997</v>
      </c>
      <c r="D356" s="22">
        <v>3.7499999999999999E-2</v>
      </c>
    </row>
    <row r="357" spans="1:4" x14ac:dyDescent="0.2">
      <c r="A357" s="19" t="s">
        <v>96</v>
      </c>
      <c r="B357" s="19" t="s">
        <v>78</v>
      </c>
      <c r="C357" s="33">
        <v>70.11</v>
      </c>
      <c r="D357" s="22">
        <v>3.9583333333333331E-2</v>
      </c>
    </row>
    <row r="358" spans="1:4" x14ac:dyDescent="0.2">
      <c r="A358" s="19" t="s">
        <v>96</v>
      </c>
      <c r="B358" s="19" t="s">
        <v>79</v>
      </c>
      <c r="C358" s="33">
        <v>71.602000000000004</v>
      </c>
      <c r="D358" s="22">
        <v>4.027777777777778E-2</v>
      </c>
    </row>
    <row r="359" spans="1:4" x14ac:dyDescent="0.2">
      <c r="A359" s="19" t="s">
        <v>96</v>
      </c>
      <c r="B359" s="19" t="s">
        <v>80</v>
      </c>
      <c r="C359" s="33">
        <v>78.358000000000004</v>
      </c>
      <c r="D359" s="22">
        <v>4.4444444444444446E-2</v>
      </c>
    </row>
    <row r="360" spans="1:4" x14ac:dyDescent="0.2">
      <c r="A360" s="19" t="s">
        <v>96</v>
      </c>
      <c r="B360" s="19" t="s">
        <v>81</v>
      </c>
      <c r="C360" s="33">
        <v>82.319000000000003</v>
      </c>
      <c r="D360" s="22">
        <v>4.7916666666666663E-2</v>
      </c>
    </row>
    <row r="361" spans="1:4" x14ac:dyDescent="0.2">
      <c r="A361" s="19" t="s">
        <v>96</v>
      </c>
      <c r="B361" s="19" t="s">
        <v>82</v>
      </c>
      <c r="C361" s="33">
        <v>87.501000000000005</v>
      </c>
      <c r="D361" s="22">
        <v>5.0694444444444452E-2</v>
      </c>
    </row>
    <row r="362" spans="1:4" x14ac:dyDescent="0.2">
      <c r="A362" s="19" t="s">
        <v>96</v>
      </c>
      <c r="B362" s="19" t="s">
        <v>83</v>
      </c>
      <c r="C362" s="33">
        <v>84.596999999999994</v>
      </c>
      <c r="D362" s="22">
        <v>4.9999999999999996E-2</v>
      </c>
    </row>
    <row r="363" spans="1:4" x14ac:dyDescent="0.2">
      <c r="A363" s="19" t="s">
        <v>96</v>
      </c>
      <c r="B363" s="19" t="s">
        <v>84</v>
      </c>
      <c r="C363" s="33">
        <v>94.796000000000006</v>
      </c>
      <c r="D363" s="22">
        <v>5.6944444444444443E-2</v>
      </c>
    </row>
    <row r="364" spans="1:4" x14ac:dyDescent="0.2">
      <c r="A364" s="19" t="s">
        <v>96</v>
      </c>
      <c r="B364" s="19" t="s">
        <v>85</v>
      </c>
      <c r="C364" s="33">
        <v>94.975999999999999</v>
      </c>
      <c r="D364" s="22">
        <v>5.6944444444444443E-2</v>
      </c>
    </row>
    <row r="365" spans="1:4" x14ac:dyDescent="0.2">
      <c r="A365" s="19" t="s">
        <v>96</v>
      </c>
      <c r="B365" s="19" t="s">
        <v>86</v>
      </c>
      <c r="C365" s="33">
        <v>91.194999999999993</v>
      </c>
      <c r="D365" s="22">
        <v>5.347222222222222E-2</v>
      </c>
    </row>
    <row r="366" spans="1:4" x14ac:dyDescent="0.2">
      <c r="A366" s="19" t="s">
        <v>96</v>
      </c>
      <c r="B366" s="19" t="s">
        <v>87</v>
      </c>
      <c r="C366" s="33">
        <v>89.872</v>
      </c>
      <c r="D366" s="22">
        <v>5.2777777777777778E-2</v>
      </c>
    </row>
    <row r="367" spans="1:4" x14ac:dyDescent="0.2">
      <c r="A367" s="19" t="s">
        <v>96</v>
      </c>
      <c r="B367" s="19" t="s">
        <v>88</v>
      </c>
      <c r="C367" s="33">
        <v>88.197999999999993</v>
      </c>
      <c r="D367" s="22">
        <v>5.1388888888888894E-2</v>
      </c>
    </row>
    <row r="368" spans="1:4" x14ac:dyDescent="0.2">
      <c r="A368" s="19" t="s">
        <v>96</v>
      </c>
      <c r="B368" s="19" t="s">
        <v>89</v>
      </c>
      <c r="C368" s="33">
        <v>85.138999999999996</v>
      </c>
      <c r="D368" s="22">
        <v>4.9999999999999996E-2</v>
      </c>
    </row>
    <row r="369" spans="1:4" x14ac:dyDescent="0.2">
      <c r="A369" s="19" t="s">
        <v>96</v>
      </c>
      <c r="B369" s="19" t="s">
        <v>90</v>
      </c>
      <c r="C369" s="33">
        <v>64.481999999999999</v>
      </c>
      <c r="D369" s="22">
        <v>3.4722222222222224E-2</v>
      </c>
    </row>
    <row r="370" spans="1:4" x14ac:dyDescent="0.2">
      <c r="A370" s="19" t="s">
        <v>96</v>
      </c>
      <c r="B370" s="19" t="s">
        <v>91</v>
      </c>
      <c r="C370" s="33">
        <v>75.117999999999995</v>
      </c>
      <c r="D370" s="22">
        <v>4.1666666666666664E-2</v>
      </c>
    </row>
    <row r="371" spans="1:4" x14ac:dyDescent="0.2">
      <c r="A371" s="19" t="s">
        <v>96</v>
      </c>
      <c r="B371" s="19" t="s">
        <v>92</v>
      </c>
      <c r="C371" s="33">
        <v>83.656000000000006</v>
      </c>
      <c r="D371" s="22">
        <v>4.6527777777777779E-2</v>
      </c>
    </row>
    <row r="372" spans="1:4" x14ac:dyDescent="0.2">
      <c r="A372" s="19" t="s">
        <v>96</v>
      </c>
      <c r="B372" s="19" t="s">
        <v>93</v>
      </c>
      <c r="C372" s="33">
        <v>89.161000000000001</v>
      </c>
      <c r="D372" s="22">
        <v>4.9999999999999996E-2</v>
      </c>
    </row>
    <row r="373" spans="1:4" x14ac:dyDescent="0.2">
      <c r="A373" s="19" t="s">
        <v>96</v>
      </c>
      <c r="B373" s="19" t="s">
        <v>94</v>
      </c>
      <c r="C373" s="33">
        <v>88.445999999999998</v>
      </c>
      <c r="D373" s="22">
        <v>4.9305555555555554E-2</v>
      </c>
    </row>
    <row r="374" spans="1:4" x14ac:dyDescent="0.2">
      <c r="A374" s="19" t="s">
        <v>76</v>
      </c>
      <c r="B374" s="19" t="s">
        <v>66</v>
      </c>
      <c r="C374" s="33">
        <v>36.564999999999998</v>
      </c>
      <c r="D374" s="22">
        <v>2.2916666666666669E-2</v>
      </c>
    </row>
    <row r="375" spans="1:4" x14ac:dyDescent="0.2">
      <c r="A375" s="19" t="s">
        <v>76</v>
      </c>
      <c r="B375" s="19" t="s">
        <v>75</v>
      </c>
      <c r="C375" s="33">
        <v>2.1520000000000001</v>
      </c>
      <c r="D375" s="22">
        <v>4.1666666666666666E-3</v>
      </c>
    </row>
    <row r="376" spans="1:4" x14ac:dyDescent="0.2">
      <c r="A376" s="19" t="s">
        <v>76</v>
      </c>
      <c r="B376" s="19" t="s">
        <v>67</v>
      </c>
      <c r="C376" s="33">
        <v>3.952</v>
      </c>
      <c r="D376" s="22">
        <v>5.5555555555555558E-3</v>
      </c>
    </row>
    <row r="377" spans="1:4" x14ac:dyDescent="0.2">
      <c r="A377" s="19" t="s">
        <v>76</v>
      </c>
      <c r="B377" s="19" t="s">
        <v>68</v>
      </c>
      <c r="C377" s="33">
        <v>4.468</v>
      </c>
      <c r="D377" s="22">
        <v>6.2499999999999995E-3</v>
      </c>
    </row>
    <row r="378" spans="1:4" x14ac:dyDescent="0.2">
      <c r="A378" s="19" t="s">
        <v>76</v>
      </c>
      <c r="B378" s="19" t="s">
        <v>69</v>
      </c>
      <c r="C378" s="33">
        <v>3.6440000000000001</v>
      </c>
      <c r="D378" s="22">
        <v>5.5555555555555558E-3</v>
      </c>
    </row>
    <row r="379" spans="1:4" x14ac:dyDescent="0.2">
      <c r="A379" s="19" t="s">
        <v>76</v>
      </c>
      <c r="B379" s="19" t="s">
        <v>70</v>
      </c>
      <c r="C379" s="33">
        <v>1.925</v>
      </c>
      <c r="D379" s="22">
        <v>4.1666666666666666E-3</v>
      </c>
    </row>
    <row r="380" spans="1:4" x14ac:dyDescent="0.2">
      <c r="A380" s="19" t="s">
        <v>76</v>
      </c>
      <c r="B380" s="19" t="s">
        <v>71</v>
      </c>
      <c r="C380" s="33">
        <v>5.6609999999999996</v>
      </c>
      <c r="D380" s="22">
        <v>6.9444444444444441E-3</v>
      </c>
    </row>
    <row r="381" spans="1:4" x14ac:dyDescent="0.2">
      <c r="A381" s="19" t="s">
        <v>76</v>
      </c>
      <c r="B381" s="19" t="s">
        <v>95</v>
      </c>
      <c r="C381" s="33">
        <v>29.678000000000001</v>
      </c>
      <c r="D381" s="22">
        <v>2.7777777777777776E-2</v>
      </c>
    </row>
    <row r="382" spans="1:4" x14ac:dyDescent="0.2">
      <c r="A382" s="19" t="s">
        <v>76</v>
      </c>
      <c r="B382" s="19" t="s">
        <v>72</v>
      </c>
      <c r="C382" s="33">
        <v>3.5539999999999998</v>
      </c>
      <c r="D382" s="22">
        <v>5.5555555555555558E-3</v>
      </c>
    </row>
    <row r="383" spans="1:4" x14ac:dyDescent="0.2">
      <c r="A383" s="19" t="s">
        <v>76</v>
      </c>
      <c r="B383" s="19" t="s">
        <v>73</v>
      </c>
      <c r="C383" s="33">
        <v>5</v>
      </c>
      <c r="D383" s="22">
        <v>6.9444444444444441E-3</v>
      </c>
    </row>
    <row r="384" spans="1:4" x14ac:dyDescent="0.2">
      <c r="A384" s="19" t="s">
        <v>76</v>
      </c>
      <c r="B384" s="19" t="s">
        <v>74</v>
      </c>
      <c r="C384" s="33">
        <v>2.2370000000000001</v>
      </c>
      <c r="D384" s="22">
        <v>3.472222222222222E-3</v>
      </c>
    </row>
    <row r="385" spans="1:4" x14ac:dyDescent="0.2">
      <c r="A385" s="19" t="s">
        <v>76</v>
      </c>
      <c r="B385" s="19" t="s">
        <v>96</v>
      </c>
      <c r="C385" s="33">
        <v>64.260999999999996</v>
      </c>
      <c r="D385" s="22">
        <v>3.888888888888889E-2</v>
      </c>
    </row>
    <row r="386" spans="1:4" x14ac:dyDescent="0.2">
      <c r="A386" s="19" t="s">
        <v>76</v>
      </c>
      <c r="B386" s="19" t="s">
        <v>76</v>
      </c>
      <c r="C386" s="33">
        <v>0</v>
      </c>
      <c r="D386" s="22">
        <v>0</v>
      </c>
    </row>
    <row r="387" spans="1:4" x14ac:dyDescent="0.2">
      <c r="A387" s="19" t="s">
        <v>76</v>
      </c>
      <c r="B387" s="19" t="s">
        <v>77</v>
      </c>
      <c r="C387" s="33">
        <v>1.343</v>
      </c>
      <c r="D387" s="22">
        <v>2.7777777777777779E-3</v>
      </c>
    </row>
    <row r="388" spans="1:4" x14ac:dyDescent="0.2">
      <c r="A388" s="19" t="s">
        <v>76</v>
      </c>
      <c r="B388" s="19" t="s">
        <v>78</v>
      </c>
      <c r="C388" s="33">
        <v>5.72</v>
      </c>
      <c r="D388" s="22">
        <v>6.9444444444444441E-3</v>
      </c>
    </row>
    <row r="389" spans="1:4" x14ac:dyDescent="0.2">
      <c r="A389" s="19" t="s">
        <v>76</v>
      </c>
      <c r="B389" s="19" t="s">
        <v>79</v>
      </c>
      <c r="C389" s="33">
        <v>5.1349999999999998</v>
      </c>
      <c r="D389" s="22">
        <v>6.2499999999999995E-3</v>
      </c>
    </row>
    <row r="390" spans="1:4" x14ac:dyDescent="0.2">
      <c r="A390" s="19" t="s">
        <v>76</v>
      </c>
      <c r="B390" s="19" t="s">
        <v>80</v>
      </c>
      <c r="C390" s="33">
        <v>12.452</v>
      </c>
      <c r="D390" s="22">
        <v>1.3888888888888888E-2</v>
      </c>
    </row>
    <row r="391" spans="1:4" x14ac:dyDescent="0.2">
      <c r="A391" s="19" t="s">
        <v>76</v>
      </c>
      <c r="B391" s="19" t="s">
        <v>81</v>
      </c>
      <c r="C391" s="33">
        <v>17.254999999999999</v>
      </c>
      <c r="D391" s="22">
        <v>1.8055555555555557E-2</v>
      </c>
    </row>
    <row r="392" spans="1:4" x14ac:dyDescent="0.2">
      <c r="A392" s="19" t="s">
        <v>76</v>
      </c>
      <c r="B392" s="19" t="s">
        <v>82</v>
      </c>
      <c r="C392" s="33">
        <v>21.594999999999999</v>
      </c>
      <c r="D392" s="22">
        <v>1.9444444444444445E-2</v>
      </c>
    </row>
    <row r="393" spans="1:4" x14ac:dyDescent="0.2">
      <c r="A393" s="19" t="s">
        <v>76</v>
      </c>
      <c r="B393" s="19" t="s">
        <v>83</v>
      </c>
      <c r="C393" s="33">
        <v>18.690999999999999</v>
      </c>
      <c r="D393" s="22">
        <v>1.8749999999999999E-2</v>
      </c>
    </row>
    <row r="394" spans="1:4" x14ac:dyDescent="0.2">
      <c r="A394" s="19" t="s">
        <v>76</v>
      </c>
      <c r="B394" s="19" t="s">
        <v>84</v>
      </c>
      <c r="C394" s="33">
        <v>28.89</v>
      </c>
      <c r="D394" s="22">
        <v>2.6388888888888889E-2</v>
      </c>
    </row>
    <row r="395" spans="1:4" x14ac:dyDescent="0.2">
      <c r="A395" s="19" t="s">
        <v>76</v>
      </c>
      <c r="B395" s="19" t="s">
        <v>85</v>
      </c>
      <c r="C395" s="33">
        <v>27.937000000000001</v>
      </c>
      <c r="D395" s="22">
        <v>2.4999999999999998E-2</v>
      </c>
    </row>
    <row r="396" spans="1:4" x14ac:dyDescent="0.2">
      <c r="A396" s="19" t="s">
        <v>76</v>
      </c>
      <c r="B396" s="19" t="s">
        <v>86</v>
      </c>
      <c r="C396" s="33">
        <v>25.289000000000001</v>
      </c>
      <c r="D396" s="22">
        <v>2.2916666666666669E-2</v>
      </c>
    </row>
    <row r="397" spans="1:4" x14ac:dyDescent="0.2">
      <c r="A397" s="19" t="s">
        <v>76</v>
      </c>
      <c r="B397" s="19" t="s">
        <v>87</v>
      </c>
      <c r="C397" s="33">
        <v>23.966000000000001</v>
      </c>
      <c r="D397" s="22">
        <v>2.1527777777777781E-2</v>
      </c>
    </row>
    <row r="398" spans="1:4" x14ac:dyDescent="0.2">
      <c r="A398" s="19" t="s">
        <v>76</v>
      </c>
      <c r="B398" s="19" t="s">
        <v>88</v>
      </c>
      <c r="C398" s="33">
        <v>22.292000000000002</v>
      </c>
      <c r="D398" s="22">
        <v>2.013888888888889E-2</v>
      </c>
    </row>
    <row r="399" spans="1:4" x14ac:dyDescent="0.2">
      <c r="A399" s="19" t="s">
        <v>76</v>
      </c>
      <c r="B399" s="19" t="s">
        <v>89</v>
      </c>
      <c r="C399" s="33">
        <v>19.233000000000001</v>
      </c>
      <c r="D399" s="22">
        <v>1.8749999999999999E-2</v>
      </c>
    </row>
    <row r="400" spans="1:4" x14ac:dyDescent="0.2">
      <c r="A400" s="19" t="s">
        <v>76</v>
      </c>
      <c r="B400" s="19" t="s">
        <v>90</v>
      </c>
      <c r="C400" s="33">
        <v>5.359</v>
      </c>
      <c r="D400" s="22">
        <v>7.6388888888888886E-3</v>
      </c>
    </row>
    <row r="401" spans="1:4" x14ac:dyDescent="0.2">
      <c r="A401" s="19" t="s">
        <v>76</v>
      </c>
      <c r="B401" s="19" t="s">
        <v>91</v>
      </c>
      <c r="C401" s="33">
        <v>7.843</v>
      </c>
      <c r="D401" s="22">
        <v>9.0277777777777787E-3</v>
      </c>
    </row>
    <row r="402" spans="1:4" x14ac:dyDescent="0.2">
      <c r="A402" s="19" t="s">
        <v>76</v>
      </c>
      <c r="B402" s="19" t="s">
        <v>92</v>
      </c>
      <c r="C402" s="33">
        <v>18.559999999999999</v>
      </c>
      <c r="D402" s="22">
        <v>1.5277777777777777E-2</v>
      </c>
    </row>
    <row r="403" spans="1:4" x14ac:dyDescent="0.2">
      <c r="A403" s="19" t="s">
        <v>76</v>
      </c>
      <c r="B403" s="19" t="s">
        <v>93</v>
      </c>
      <c r="C403" s="33">
        <v>24.613</v>
      </c>
      <c r="D403" s="22">
        <v>2.0833333333333332E-2</v>
      </c>
    </row>
    <row r="404" spans="1:4" x14ac:dyDescent="0.2">
      <c r="A404" s="19" t="s">
        <v>76</v>
      </c>
      <c r="B404" s="19" t="s">
        <v>94</v>
      </c>
      <c r="C404" s="33">
        <v>22.486000000000001</v>
      </c>
      <c r="D404" s="22">
        <v>1.8749999999999999E-2</v>
      </c>
    </row>
    <row r="405" spans="1:4" x14ac:dyDescent="0.2">
      <c r="A405" s="19" t="s">
        <v>77</v>
      </c>
      <c r="B405" s="19" t="s">
        <v>66</v>
      </c>
      <c r="C405" s="33">
        <v>32.112000000000002</v>
      </c>
      <c r="D405" s="22">
        <v>2.2222222222222223E-2</v>
      </c>
    </row>
    <row r="406" spans="1:4" x14ac:dyDescent="0.2">
      <c r="A406" s="19" t="s">
        <v>77</v>
      </c>
      <c r="B406" s="19" t="s">
        <v>75</v>
      </c>
      <c r="C406" s="33">
        <v>1.2729999999999999</v>
      </c>
      <c r="D406" s="22">
        <v>2.7777777777777779E-3</v>
      </c>
    </row>
    <row r="407" spans="1:4" x14ac:dyDescent="0.2">
      <c r="A407" s="19" t="s">
        <v>77</v>
      </c>
      <c r="B407" s="19" t="s">
        <v>67</v>
      </c>
      <c r="C407" s="33">
        <v>3.073</v>
      </c>
      <c r="D407" s="22">
        <v>4.1666666666666666E-3</v>
      </c>
    </row>
    <row r="408" spans="1:4" x14ac:dyDescent="0.2">
      <c r="A408" s="19" t="s">
        <v>77</v>
      </c>
      <c r="B408" s="19" t="s">
        <v>68</v>
      </c>
      <c r="C408" s="33">
        <v>3.589</v>
      </c>
      <c r="D408" s="22">
        <v>4.8611111111111112E-3</v>
      </c>
    </row>
    <row r="409" spans="1:4" x14ac:dyDescent="0.2">
      <c r="A409" s="19" t="s">
        <v>77</v>
      </c>
      <c r="B409" s="19" t="s">
        <v>69</v>
      </c>
      <c r="C409" s="33">
        <v>2.7650000000000001</v>
      </c>
      <c r="D409" s="22">
        <v>3.472222222222222E-3</v>
      </c>
    </row>
    <row r="410" spans="1:4" x14ac:dyDescent="0.2">
      <c r="A410" s="19" t="s">
        <v>77</v>
      </c>
      <c r="B410" s="19" t="s">
        <v>70</v>
      </c>
      <c r="C410" s="33">
        <v>1.046</v>
      </c>
      <c r="D410" s="22">
        <v>2.0833333333333333E-3</v>
      </c>
    </row>
    <row r="411" spans="1:4" x14ac:dyDescent="0.2">
      <c r="A411" s="19" t="s">
        <v>77</v>
      </c>
      <c r="B411" s="19" t="s">
        <v>71</v>
      </c>
      <c r="C411" s="33">
        <v>4.782</v>
      </c>
      <c r="D411" s="22">
        <v>5.5555555555555558E-3</v>
      </c>
    </row>
    <row r="412" spans="1:4" x14ac:dyDescent="0.2">
      <c r="A412" s="19" t="s">
        <v>77</v>
      </c>
      <c r="B412" s="19" t="s">
        <v>95</v>
      </c>
      <c r="C412" s="33">
        <v>28.798999999999999</v>
      </c>
      <c r="D412" s="22">
        <v>2.5694444444444447E-2</v>
      </c>
    </row>
    <row r="413" spans="1:4" x14ac:dyDescent="0.2">
      <c r="A413" s="19" t="s">
        <v>77</v>
      </c>
      <c r="B413" s="19" t="s">
        <v>72</v>
      </c>
      <c r="C413" s="33">
        <v>2.6749999999999998</v>
      </c>
      <c r="D413" s="22">
        <v>3.472222222222222E-3</v>
      </c>
    </row>
    <row r="414" spans="1:4" x14ac:dyDescent="0.2">
      <c r="A414" s="19" t="s">
        <v>77</v>
      </c>
      <c r="B414" s="19" t="s">
        <v>73</v>
      </c>
      <c r="C414" s="33">
        <v>5.899</v>
      </c>
      <c r="D414" s="22">
        <v>7.6388888888888886E-3</v>
      </c>
    </row>
    <row r="415" spans="1:4" x14ac:dyDescent="0.2">
      <c r="A415" s="19" t="s">
        <v>77</v>
      </c>
      <c r="B415" s="19" t="s">
        <v>74</v>
      </c>
      <c r="C415" s="33">
        <v>3.1360000000000001</v>
      </c>
      <c r="D415" s="22">
        <v>4.8611111111111112E-3</v>
      </c>
    </row>
    <row r="416" spans="1:4" x14ac:dyDescent="0.2">
      <c r="A416" s="19" t="s">
        <v>77</v>
      </c>
      <c r="B416" s="19" t="s">
        <v>96</v>
      </c>
      <c r="C416" s="33">
        <v>63.381999999999998</v>
      </c>
      <c r="D416" s="22">
        <v>3.7499999999999999E-2</v>
      </c>
    </row>
    <row r="417" spans="1:4" x14ac:dyDescent="0.2">
      <c r="A417" s="19" t="s">
        <v>77</v>
      </c>
      <c r="B417" s="19" t="s">
        <v>76</v>
      </c>
      <c r="C417" s="33">
        <v>1.343</v>
      </c>
      <c r="D417" s="22">
        <v>2.7777777777777779E-3</v>
      </c>
    </row>
    <row r="418" spans="1:4" x14ac:dyDescent="0.2">
      <c r="A418" s="19" t="s">
        <v>77</v>
      </c>
      <c r="B418" s="19" t="s">
        <v>77</v>
      </c>
      <c r="C418" s="33">
        <v>0</v>
      </c>
      <c r="D418" s="22">
        <v>0</v>
      </c>
    </row>
    <row r="419" spans="1:4" x14ac:dyDescent="0.2">
      <c r="A419" s="19" t="s">
        <v>77</v>
      </c>
      <c r="B419" s="19" t="s">
        <v>78</v>
      </c>
      <c r="C419" s="33">
        <v>6.6189999999999998</v>
      </c>
      <c r="D419" s="22">
        <v>8.3333333333333332E-3</v>
      </c>
    </row>
    <row r="420" spans="1:4" x14ac:dyDescent="0.2">
      <c r="A420" s="19" t="s">
        <v>77</v>
      </c>
      <c r="B420" s="19" t="s">
        <v>79</v>
      </c>
      <c r="C420" s="33">
        <v>6.0339999999999998</v>
      </c>
      <c r="D420" s="22">
        <v>7.6388888888888886E-3</v>
      </c>
    </row>
    <row r="421" spans="1:4" x14ac:dyDescent="0.2">
      <c r="A421" s="19" t="s">
        <v>77</v>
      </c>
      <c r="B421" s="19" t="s">
        <v>80</v>
      </c>
      <c r="C421" s="33">
        <v>16.414000000000001</v>
      </c>
      <c r="D421" s="22">
        <v>1.3888888888888888E-2</v>
      </c>
    </row>
    <row r="422" spans="1:4" x14ac:dyDescent="0.2">
      <c r="A422" s="19" t="s">
        <v>77</v>
      </c>
      <c r="B422" s="19" t="s">
        <v>81</v>
      </c>
      <c r="C422" s="33">
        <v>22.95</v>
      </c>
      <c r="D422" s="22">
        <v>1.8055555555555557E-2</v>
      </c>
    </row>
    <row r="423" spans="1:4" x14ac:dyDescent="0.2">
      <c r="A423" s="19" t="s">
        <v>77</v>
      </c>
      <c r="B423" s="19" t="s">
        <v>82</v>
      </c>
      <c r="C423" s="33">
        <v>23.963000000000001</v>
      </c>
      <c r="D423" s="22">
        <v>1.9444444444444445E-2</v>
      </c>
    </row>
    <row r="424" spans="1:4" x14ac:dyDescent="0.2">
      <c r="A424" s="19" t="s">
        <v>77</v>
      </c>
      <c r="B424" s="19" t="s">
        <v>83</v>
      </c>
      <c r="C424" s="33">
        <v>21.059000000000001</v>
      </c>
      <c r="D424" s="22">
        <v>1.8749999999999999E-2</v>
      </c>
    </row>
    <row r="425" spans="1:4" x14ac:dyDescent="0.2">
      <c r="A425" s="19" t="s">
        <v>77</v>
      </c>
      <c r="B425" s="19" t="s">
        <v>84</v>
      </c>
      <c r="C425" s="33">
        <v>30.152999999999999</v>
      </c>
      <c r="D425" s="22">
        <v>2.6388888888888889E-2</v>
      </c>
    </row>
    <row r="426" spans="1:4" x14ac:dyDescent="0.2">
      <c r="A426" s="19" t="s">
        <v>77</v>
      </c>
      <c r="B426" s="19" t="s">
        <v>85</v>
      </c>
      <c r="C426" s="33">
        <v>30.305</v>
      </c>
      <c r="D426" s="22">
        <v>2.4305555555555556E-2</v>
      </c>
    </row>
    <row r="427" spans="1:4" x14ac:dyDescent="0.2">
      <c r="A427" s="19" t="s">
        <v>77</v>
      </c>
      <c r="B427" s="19" t="s">
        <v>86</v>
      </c>
      <c r="C427" s="33">
        <v>27.657</v>
      </c>
      <c r="D427" s="22">
        <v>2.2222222222222223E-2</v>
      </c>
    </row>
    <row r="428" spans="1:4" x14ac:dyDescent="0.2">
      <c r="A428" s="19" t="s">
        <v>77</v>
      </c>
      <c r="B428" s="19" t="s">
        <v>87</v>
      </c>
      <c r="C428" s="33">
        <v>26.334</v>
      </c>
      <c r="D428" s="22">
        <v>2.0833333333333332E-2</v>
      </c>
    </row>
    <row r="429" spans="1:4" x14ac:dyDescent="0.2">
      <c r="A429" s="19" t="s">
        <v>77</v>
      </c>
      <c r="B429" s="19" t="s">
        <v>88</v>
      </c>
      <c r="C429" s="33">
        <v>24.741</v>
      </c>
      <c r="D429" s="22">
        <v>2.013888888888889E-2</v>
      </c>
    </row>
    <row r="430" spans="1:4" x14ac:dyDescent="0.2">
      <c r="A430" s="19" t="s">
        <v>77</v>
      </c>
      <c r="B430" s="19" t="s">
        <v>89</v>
      </c>
      <c r="C430" s="33">
        <v>21.600999999999999</v>
      </c>
      <c r="D430" s="22">
        <v>1.8055555555555557E-2</v>
      </c>
    </row>
    <row r="431" spans="1:4" x14ac:dyDescent="0.2">
      <c r="A431" s="19" t="s">
        <v>77</v>
      </c>
      <c r="B431" s="19" t="s">
        <v>90</v>
      </c>
      <c r="C431" s="33">
        <v>4.4800000000000004</v>
      </c>
      <c r="D431" s="22">
        <v>5.5555555555555558E-3</v>
      </c>
    </row>
    <row r="432" spans="1:4" x14ac:dyDescent="0.2">
      <c r="A432" s="19" t="s">
        <v>77</v>
      </c>
      <c r="B432" s="19" t="s">
        <v>91</v>
      </c>
      <c r="C432" s="33">
        <v>9.1219999999999999</v>
      </c>
      <c r="D432" s="22">
        <v>7.6388888888888886E-3</v>
      </c>
    </row>
    <row r="433" spans="1:4" x14ac:dyDescent="0.2">
      <c r="A433" s="19" t="s">
        <v>77</v>
      </c>
      <c r="B433" s="19" t="s">
        <v>92</v>
      </c>
      <c r="C433" s="33">
        <v>19.792999999999999</v>
      </c>
      <c r="D433" s="22">
        <v>1.3888888888888888E-2</v>
      </c>
    </row>
    <row r="434" spans="1:4" x14ac:dyDescent="0.2">
      <c r="A434" s="19" t="s">
        <v>77</v>
      </c>
      <c r="B434" s="19" t="s">
        <v>93</v>
      </c>
      <c r="C434" s="33">
        <v>25.846</v>
      </c>
      <c r="D434" s="22">
        <v>2.013888888888889E-2</v>
      </c>
    </row>
    <row r="435" spans="1:4" x14ac:dyDescent="0.2">
      <c r="A435" s="19" t="s">
        <v>77</v>
      </c>
      <c r="B435" s="19" t="s">
        <v>94</v>
      </c>
      <c r="C435" s="33">
        <v>23.719000000000001</v>
      </c>
      <c r="D435" s="22">
        <v>1.8055555555555557E-2</v>
      </c>
    </row>
    <row r="436" spans="1:4" x14ac:dyDescent="0.2">
      <c r="A436" s="19" t="s">
        <v>78</v>
      </c>
      <c r="B436" s="19" t="s">
        <v>66</v>
      </c>
      <c r="C436" s="33">
        <v>36.375999999999998</v>
      </c>
      <c r="D436" s="22">
        <v>2.361111111111111E-2</v>
      </c>
    </row>
    <row r="437" spans="1:4" x14ac:dyDescent="0.2">
      <c r="A437" s="19" t="s">
        <v>78</v>
      </c>
      <c r="B437" s="19" t="s">
        <v>75</v>
      </c>
      <c r="C437" s="33">
        <v>6.3120000000000003</v>
      </c>
      <c r="D437" s="22">
        <v>9.7222222222222224E-3</v>
      </c>
    </row>
    <row r="438" spans="1:4" x14ac:dyDescent="0.2">
      <c r="A438" s="19" t="s">
        <v>78</v>
      </c>
      <c r="B438" s="19" t="s">
        <v>67</v>
      </c>
      <c r="C438" s="33">
        <v>8.1120000000000001</v>
      </c>
      <c r="D438" s="22">
        <v>1.1111111111111112E-2</v>
      </c>
    </row>
    <row r="439" spans="1:4" x14ac:dyDescent="0.2">
      <c r="A439" s="19" t="s">
        <v>78</v>
      </c>
      <c r="B439" s="19" t="s">
        <v>68</v>
      </c>
      <c r="C439" s="33">
        <v>7.9269999999999996</v>
      </c>
      <c r="D439" s="22">
        <v>1.1111111111111112E-2</v>
      </c>
    </row>
    <row r="440" spans="1:4" x14ac:dyDescent="0.2">
      <c r="A440" s="19" t="s">
        <v>78</v>
      </c>
      <c r="B440" s="19" t="s">
        <v>69</v>
      </c>
      <c r="C440" s="33">
        <v>7.8040000000000003</v>
      </c>
      <c r="D440" s="22">
        <v>1.1111111111111112E-2</v>
      </c>
    </row>
    <row r="441" spans="1:4" x14ac:dyDescent="0.2">
      <c r="A441" s="19" t="s">
        <v>78</v>
      </c>
      <c r="B441" s="19" t="s">
        <v>70</v>
      </c>
      <c r="C441" s="33">
        <v>6.085</v>
      </c>
      <c r="D441" s="22">
        <v>9.7222222222222224E-3</v>
      </c>
    </row>
    <row r="442" spans="1:4" x14ac:dyDescent="0.2">
      <c r="A442" s="19" t="s">
        <v>78</v>
      </c>
      <c r="B442" s="19" t="s">
        <v>71</v>
      </c>
      <c r="C442" s="33">
        <v>8.9860000000000007</v>
      </c>
      <c r="D442" s="22">
        <v>1.1805555555555555E-2</v>
      </c>
    </row>
    <row r="443" spans="1:4" x14ac:dyDescent="0.2">
      <c r="A443" s="19" t="s">
        <v>78</v>
      </c>
      <c r="B443" s="19" t="s">
        <v>95</v>
      </c>
      <c r="C443" s="33">
        <v>41.13</v>
      </c>
      <c r="D443" s="22">
        <v>2.7777777777777776E-2</v>
      </c>
    </row>
    <row r="444" spans="1:4" x14ac:dyDescent="0.2">
      <c r="A444" s="19" t="s">
        <v>78</v>
      </c>
      <c r="B444" s="19" t="s">
        <v>72</v>
      </c>
      <c r="C444" s="33">
        <v>6.8789999999999996</v>
      </c>
      <c r="D444" s="22">
        <v>1.0416666666666666E-2</v>
      </c>
    </row>
    <row r="445" spans="1:4" x14ac:dyDescent="0.2">
      <c r="A445" s="19" t="s">
        <v>78</v>
      </c>
      <c r="B445" s="19" t="s">
        <v>73</v>
      </c>
      <c r="C445" s="33">
        <v>1.4850000000000001</v>
      </c>
      <c r="D445" s="22">
        <v>4.1666666666666666E-3</v>
      </c>
    </row>
    <row r="446" spans="1:4" x14ac:dyDescent="0.2">
      <c r="A446" s="19" t="s">
        <v>78</v>
      </c>
      <c r="B446" s="19" t="s">
        <v>74</v>
      </c>
      <c r="C446" s="33">
        <v>2.8330000000000002</v>
      </c>
      <c r="D446" s="22">
        <v>6.2499999999999995E-3</v>
      </c>
    </row>
    <row r="447" spans="1:4" x14ac:dyDescent="0.2">
      <c r="A447" s="19" t="s">
        <v>78</v>
      </c>
      <c r="B447" s="19" t="s">
        <v>96</v>
      </c>
      <c r="C447" s="33">
        <v>67.646000000000001</v>
      </c>
      <c r="D447" s="22">
        <v>3.888888888888889E-2</v>
      </c>
    </row>
    <row r="448" spans="1:4" x14ac:dyDescent="0.2">
      <c r="A448" s="19" t="s">
        <v>78</v>
      </c>
      <c r="B448" s="19" t="s">
        <v>76</v>
      </c>
      <c r="C448" s="33">
        <v>4.6040000000000001</v>
      </c>
      <c r="D448" s="22">
        <v>8.3333333333333332E-3</v>
      </c>
    </row>
    <row r="449" spans="1:4" x14ac:dyDescent="0.2">
      <c r="A449" s="19" t="s">
        <v>78</v>
      </c>
      <c r="B449" s="19" t="s">
        <v>77</v>
      </c>
      <c r="C449" s="33">
        <v>5.5030000000000001</v>
      </c>
      <c r="D449" s="22">
        <v>8.3333333333333332E-3</v>
      </c>
    </row>
    <row r="450" spans="1:4" x14ac:dyDescent="0.2">
      <c r="A450" s="19" t="s">
        <v>78</v>
      </c>
      <c r="B450" s="19" t="s">
        <v>78</v>
      </c>
      <c r="C450" s="33">
        <v>0</v>
      </c>
      <c r="D450" s="22">
        <v>0</v>
      </c>
    </row>
    <row r="451" spans="1:4" x14ac:dyDescent="0.2">
      <c r="A451" s="19" t="s">
        <v>78</v>
      </c>
      <c r="B451" s="19" t="s">
        <v>79</v>
      </c>
      <c r="C451" s="33">
        <v>2.8290000000000002</v>
      </c>
      <c r="D451" s="22">
        <v>4.8611111111111112E-3</v>
      </c>
    </row>
    <row r="452" spans="1:4" x14ac:dyDescent="0.2">
      <c r="A452" s="19" t="s">
        <v>78</v>
      </c>
      <c r="B452" s="19" t="s">
        <v>80</v>
      </c>
      <c r="C452" s="33">
        <v>8.6980000000000004</v>
      </c>
      <c r="D452" s="22">
        <v>1.0416666666666666E-2</v>
      </c>
    </row>
    <row r="453" spans="1:4" x14ac:dyDescent="0.2">
      <c r="A453" s="19" t="s">
        <v>78</v>
      </c>
      <c r="B453" s="19" t="s">
        <v>81</v>
      </c>
      <c r="C453" s="33">
        <v>13.500999999999999</v>
      </c>
      <c r="D453" s="22">
        <v>1.5277777777777777E-2</v>
      </c>
    </row>
    <row r="454" spans="1:4" x14ac:dyDescent="0.2">
      <c r="A454" s="19" t="s">
        <v>78</v>
      </c>
      <c r="B454" s="19" t="s">
        <v>82</v>
      </c>
      <c r="C454" s="33">
        <v>17.841000000000001</v>
      </c>
      <c r="D454" s="22">
        <v>1.6666666666666666E-2</v>
      </c>
    </row>
    <row r="455" spans="1:4" x14ac:dyDescent="0.2">
      <c r="A455" s="19" t="s">
        <v>78</v>
      </c>
      <c r="B455" s="19" t="s">
        <v>83</v>
      </c>
      <c r="C455" s="33">
        <v>14.936999999999999</v>
      </c>
      <c r="D455" s="22">
        <v>1.5972222222222224E-2</v>
      </c>
    </row>
    <row r="456" spans="1:4" x14ac:dyDescent="0.2">
      <c r="A456" s="19" t="s">
        <v>78</v>
      </c>
      <c r="B456" s="19" t="s">
        <v>84</v>
      </c>
      <c r="C456" s="33">
        <v>25.135999999999999</v>
      </c>
      <c r="D456" s="22">
        <v>2.2916666666666669E-2</v>
      </c>
    </row>
    <row r="457" spans="1:4" x14ac:dyDescent="0.2">
      <c r="A457" s="19" t="s">
        <v>78</v>
      </c>
      <c r="B457" s="19" t="s">
        <v>85</v>
      </c>
      <c r="C457" s="33">
        <v>24.183</v>
      </c>
      <c r="D457" s="22">
        <v>2.2222222222222223E-2</v>
      </c>
    </row>
    <row r="458" spans="1:4" x14ac:dyDescent="0.2">
      <c r="A458" s="19" t="s">
        <v>78</v>
      </c>
      <c r="B458" s="19" t="s">
        <v>86</v>
      </c>
      <c r="C458" s="33">
        <v>21.535</v>
      </c>
      <c r="D458" s="22">
        <v>1.9444444444444445E-2</v>
      </c>
    </row>
    <row r="459" spans="1:4" x14ac:dyDescent="0.2">
      <c r="A459" s="19" t="s">
        <v>78</v>
      </c>
      <c r="B459" s="19" t="s">
        <v>87</v>
      </c>
      <c r="C459" s="33">
        <v>20.212</v>
      </c>
      <c r="D459" s="22">
        <v>1.8749999999999999E-2</v>
      </c>
    </row>
    <row r="460" spans="1:4" x14ac:dyDescent="0.2">
      <c r="A460" s="19" t="s">
        <v>78</v>
      </c>
      <c r="B460" s="19" t="s">
        <v>88</v>
      </c>
      <c r="C460" s="33">
        <v>18.538</v>
      </c>
      <c r="D460" s="22">
        <v>1.7361111111111112E-2</v>
      </c>
    </row>
    <row r="461" spans="1:4" x14ac:dyDescent="0.2">
      <c r="A461" s="19" t="s">
        <v>78</v>
      </c>
      <c r="B461" s="19" t="s">
        <v>89</v>
      </c>
      <c r="C461" s="33">
        <v>15.478999999999999</v>
      </c>
      <c r="D461" s="22">
        <v>1.5277777777777777E-2</v>
      </c>
    </row>
    <row r="462" spans="1:4" x14ac:dyDescent="0.2">
      <c r="A462" s="19" t="s">
        <v>78</v>
      </c>
      <c r="B462" s="19" t="s">
        <v>90</v>
      </c>
      <c r="C462" s="33">
        <v>9.5190000000000001</v>
      </c>
      <c r="D462" s="22">
        <v>1.3194444444444444E-2</v>
      </c>
    </row>
    <row r="463" spans="1:4" x14ac:dyDescent="0.2">
      <c r="A463" s="19" t="s">
        <v>78</v>
      </c>
      <c r="B463" s="19" t="s">
        <v>91</v>
      </c>
      <c r="C463" s="33">
        <v>4.0970000000000004</v>
      </c>
      <c r="D463" s="22">
        <v>5.5555555555555558E-3</v>
      </c>
    </row>
    <row r="464" spans="1:4" x14ac:dyDescent="0.2">
      <c r="A464" s="19" t="s">
        <v>78</v>
      </c>
      <c r="B464" s="19" t="s">
        <v>92</v>
      </c>
      <c r="C464" s="33">
        <v>14.805999999999999</v>
      </c>
      <c r="D464" s="22">
        <v>1.1805555555555555E-2</v>
      </c>
    </row>
    <row r="465" spans="1:4" x14ac:dyDescent="0.2">
      <c r="A465" s="19" t="s">
        <v>78</v>
      </c>
      <c r="B465" s="19" t="s">
        <v>93</v>
      </c>
      <c r="C465" s="33">
        <v>16.948</v>
      </c>
      <c r="D465" s="22">
        <v>1.7361111111111112E-2</v>
      </c>
    </row>
    <row r="466" spans="1:4" x14ac:dyDescent="0.2">
      <c r="A466" s="19" t="s">
        <v>78</v>
      </c>
      <c r="B466" s="19" t="s">
        <v>94</v>
      </c>
      <c r="C466" s="33">
        <v>18.731999999999999</v>
      </c>
      <c r="D466" s="22">
        <v>1.5972222222222224E-2</v>
      </c>
    </row>
    <row r="467" spans="1:4" x14ac:dyDescent="0.2">
      <c r="A467" s="19" t="s">
        <v>79</v>
      </c>
      <c r="B467" s="19" t="s">
        <v>66</v>
      </c>
      <c r="C467" s="33">
        <v>35.83</v>
      </c>
      <c r="D467" s="22">
        <v>2.2916666666666669E-2</v>
      </c>
    </row>
    <row r="468" spans="1:4" x14ac:dyDescent="0.2">
      <c r="A468" s="19" t="s">
        <v>79</v>
      </c>
      <c r="B468" s="19" t="s">
        <v>75</v>
      </c>
      <c r="C468" s="33">
        <v>3.7610000000000001</v>
      </c>
      <c r="D468" s="22">
        <v>6.2499999999999995E-3</v>
      </c>
    </row>
    <row r="469" spans="1:4" x14ac:dyDescent="0.2">
      <c r="A469" s="19" t="s">
        <v>79</v>
      </c>
      <c r="B469" s="19" t="s">
        <v>67</v>
      </c>
      <c r="C469" s="33">
        <v>5.5609999999999999</v>
      </c>
      <c r="D469" s="22">
        <v>7.6388888888888886E-3</v>
      </c>
    </row>
    <row r="470" spans="1:4" x14ac:dyDescent="0.2">
      <c r="A470" s="19" t="s">
        <v>79</v>
      </c>
      <c r="B470" s="19" t="s">
        <v>68</v>
      </c>
      <c r="C470" s="33">
        <v>6.077</v>
      </c>
      <c r="D470" s="22">
        <v>8.3333333333333332E-3</v>
      </c>
    </row>
    <row r="471" spans="1:4" x14ac:dyDescent="0.2">
      <c r="A471" s="19" t="s">
        <v>79</v>
      </c>
      <c r="B471" s="19" t="s">
        <v>69</v>
      </c>
      <c r="C471" s="33">
        <v>5.2530000000000001</v>
      </c>
      <c r="D471" s="22">
        <v>6.9444444444444441E-3</v>
      </c>
    </row>
    <row r="472" spans="1:4" x14ac:dyDescent="0.2">
      <c r="A472" s="19" t="s">
        <v>79</v>
      </c>
      <c r="B472" s="19" t="s">
        <v>70</v>
      </c>
      <c r="C472" s="33">
        <v>3.5339999999999998</v>
      </c>
      <c r="D472" s="22">
        <v>5.5555555555555558E-3</v>
      </c>
    </row>
    <row r="473" spans="1:4" x14ac:dyDescent="0.2">
      <c r="A473" s="19" t="s">
        <v>79</v>
      </c>
      <c r="B473" s="19" t="s">
        <v>71</v>
      </c>
      <c r="C473" s="33">
        <v>7.27</v>
      </c>
      <c r="D473" s="22">
        <v>8.3333333333333332E-3</v>
      </c>
    </row>
    <row r="474" spans="1:4" x14ac:dyDescent="0.2">
      <c r="A474" s="19" t="s">
        <v>79</v>
      </c>
      <c r="B474" s="19" t="s">
        <v>95</v>
      </c>
      <c r="C474" s="33">
        <v>31.213999999999999</v>
      </c>
      <c r="D474" s="22">
        <v>2.7777777777777776E-2</v>
      </c>
    </row>
    <row r="475" spans="1:4" x14ac:dyDescent="0.2">
      <c r="A475" s="19" t="s">
        <v>79</v>
      </c>
      <c r="B475" s="19" t="s">
        <v>72</v>
      </c>
      <c r="C475" s="33">
        <v>5.1630000000000003</v>
      </c>
      <c r="D475" s="22">
        <v>6.9444444444444441E-3</v>
      </c>
    </row>
    <row r="476" spans="1:4" x14ac:dyDescent="0.2">
      <c r="A476" s="19" t="s">
        <v>79</v>
      </c>
      <c r="B476" s="19" t="s">
        <v>73</v>
      </c>
      <c r="C476" s="33">
        <v>3.0569999999999999</v>
      </c>
      <c r="D476" s="22">
        <v>6.2499999999999995E-3</v>
      </c>
    </row>
    <row r="477" spans="1:4" x14ac:dyDescent="0.2">
      <c r="A477" s="19" t="s">
        <v>79</v>
      </c>
      <c r="B477" s="19" t="s">
        <v>74</v>
      </c>
      <c r="C477" s="33">
        <v>3.8460000000000001</v>
      </c>
      <c r="D477" s="22">
        <v>5.5555555555555558E-3</v>
      </c>
    </row>
    <row r="478" spans="1:4" x14ac:dyDescent="0.2">
      <c r="A478" s="19" t="s">
        <v>79</v>
      </c>
      <c r="B478" s="19" t="s">
        <v>96</v>
      </c>
      <c r="C478" s="33">
        <v>67.099999999999994</v>
      </c>
      <c r="D478" s="22">
        <v>3.7499999999999999E-2</v>
      </c>
    </row>
    <row r="479" spans="1:4" x14ac:dyDescent="0.2">
      <c r="A479" s="19" t="s">
        <v>79</v>
      </c>
      <c r="B479" s="19" t="s">
        <v>76</v>
      </c>
      <c r="C479" s="33">
        <v>2.0529999999999999</v>
      </c>
      <c r="D479" s="22">
        <v>4.1666666666666666E-3</v>
      </c>
    </row>
    <row r="480" spans="1:4" x14ac:dyDescent="0.2">
      <c r="A480" s="19" t="s">
        <v>79</v>
      </c>
      <c r="B480" s="19" t="s">
        <v>77</v>
      </c>
      <c r="C480" s="33">
        <v>2.952</v>
      </c>
      <c r="D480" s="22">
        <v>4.1666666666666666E-3</v>
      </c>
    </row>
    <row r="481" spans="1:4" x14ac:dyDescent="0.2">
      <c r="A481" s="19" t="s">
        <v>79</v>
      </c>
      <c r="B481" s="19" t="s">
        <v>78</v>
      </c>
      <c r="C481" s="33">
        <v>3.7770000000000001</v>
      </c>
      <c r="D481" s="22">
        <v>6.2499999999999995E-3</v>
      </c>
    </row>
    <row r="482" spans="1:4" x14ac:dyDescent="0.2">
      <c r="A482" s="19" t="s">
        <v>79</v>
      </c>
      <c r="B482" s="19" t="s">
        <v>79</v>
      </c>
      <c r="C482" s="33">
        <v>0</v>
      </c>
      <c r="D482" s="22">
        <v>0</v>
      </c>
    </row>
    <row r="483" spans="1:4" x14ac:dyDescent="0.2">
      <c r="A483" s="19" t="s">
        <v>79</v>
      </c>
      <c r="B483" s="19" t="s">
        <v>80</v>
      </c>
      <c r="C483" s="33">
        <v>10.509</v>
      </c>
      <c r="D483" s="22">
        <v>1.3194444444444444E-2</v>
      </c>
    </row>
    <row r="484" spans="1:4" x14ac:dyDescent="0.2">
      <c r="A484" s="19" t="s">
        <v>79</v>
      </c>
      <c r="B484" s="19" t="s">
        <v>81</v>
      </c>
      <c r="C484" s="33">
        <v>18.638999999999999</v>
      </c>
      <c r="D484" s="22">
        <v>1.8055555555555557E-2</v>
      </c>
    </row>
    <row r="485" spans="1:4" x14ac:dyDescent="0.2">
      <c r="A485" s="19" t="s">
        <v>79</v>
      </c>
      <c r="B485" s="19" t="s">
        <v>82</v>
      </c>
      <c r="C485" s="33">
        <v>19.652000000000001</v>
      </c>
      <c r="D485" s="22">
        <v>1.8749999999999999E-2</v>
      </c>
    </row>
    <row r="486" spans="1:4" x14ac:dyDescent="0.2">
      <c r="A486" s="19" t="s">
        <v>79</v>
      </c>
      <c r="B486" s="19" t="s">
        <v>83</v>
      </c>
      <c r="C486" s="33">
        <v>16.748000000000001</v>
      </c>
      <c r="D486" s="22">
        <v>1.8055555555555557E-2</v>
      </c>
    </row>
    <row r="487" spans="1:4" x14ac:dyDescent="0.2">
      <c r="A487" s="19" t="s">
        <v>79</v>
      </c>
      <c r="B487" s="19" t="s">
        <v>84</v>
      </c>
      <c r="C487" s="33">
        <v>26.946999999999999</v>
      </c>
      <c r="D487" s="22">
        <v>2.5694444444444447E-2</v>
      </c>
    </row>
    <row r="488" spans="1:4" x14ac:dyDescent="0.2">
      <c r="A488" s="19" t="s">
        <v>79</v>
      </c>
      <c r="B488" s="19" t="s">
        <v>85</v>
      </c>
      <c r="C488" s="33">
        <v>25.994</v>
      </c>
      <c r="D488" s="22">
        <v>2.4305555555555556E-2</v>
      </c>
    </row>
    <row r="489" spans="1:4" x14ac:dyDescent="0.2">
      <c r="A489" s="19" t="s">
        <v>79</v>
      </c>
      <c r="B489" s="19" t="s">
        <v>86</v>
      </c>
      <c r="C489" s="33">
        <v>23.346</v>
      </c>
      <c r="D489" s="22">
        <v>2.2222222222222223E-2</v>
      </c>
    </row>
    <row r="490" spans="1:4" x14ac:dyDescent="0.2">
      <c r="A490" s="19" t="s">
        <v>79</v>
      </c>
      <c r="B490" s="19" t="s">
        <v>87</v>
      </c>
      <c r="C490" s="33">
        <v>22.023</v>
      </c>
      <c r="D490" s="22">
        <v>2.0833333333333332E-2</v>
      </c>
    </row>
    <row r="491" spans="1:4" x14ac:dyDescent="0.2">
      <c r="A491" s="19" t="s">
        <v>79</v>
      </c>
      <c r="B491" s="19" t="s">
        <v>88</v>
      </c>
      <c r="C491" s="33">
        <v>20.349</v>
      </c>
      <c r="D491" s="22">
        <v>1.9444444444444445E-2</v>
      </c>
    </row>
    <row r="492" spans="1:4" x14ac:dyDescent="0.2">
      <c r="A492" s="19" t="s">
        <v>79</v>
      </c>
      <c r="B492" s="19" t="s">
        <v>89</v>
      </c>
      <c r="C492" s="33">
        <v>17.29</v>
      </c>
      <c r="D492" s="22">
        <v>1.8055555555555557E-2</v>
      </c>
    </row>
    <row r="493" spans="1:4" x14ac:dyDescent="0.2">
      <c r="A493" s="19" t="s">
        <v>79</v>
      </c>
      <c r="B493" s="19" t="s">
        <v>90</v>
      </c>
      <c r="C493" s="33">
        <v>6.968</v>
      </c>
      <c r="D493" s="22">
        <v>9.0277777777777787E-3</v>
      </c>
    </row>
    <row r="494" spans="1:4" x14ac:dyDescent="0.2">
      <c r="A494" s="19" t="s">
        <v>79</v>
      </c>
      <c r="B494" s="19" t="s">
        <v>91</v>
      </c>
      <c r="C494" s="33">
        <v>5.9</v>
      </c>
      <c r="D494" s="22">
        <v>8.3333333333333332E-3</v>
      </c>
    </row>
    <row r="495" spans="1:4" x14ac:dyDescent="0.2">
      <c r="A495" s="19" t="s">
        <v>79</v>
      </c>
      <c r="B495" s="19" t="s">
        <v>92</v>
      </c>
      <c r="C495" s="33">
        <v>16.617000000000001</v>
      </c>
      <c r="D495" s="22">
        <v>1.4583333333333332E-2</v>
      </c>
    </row>
    <row r="496" spans="1:4" x14ac:dyDescent="0.2">
      <c r="A496" s="19" t="s">
        <v>79</v>
      </c>
      <c r="B496" s="19" t="s">
        <v>93</v>
      </c>
      <c r="C496" s="33">
        <v>22.67</v>
      </c>
      <c r="D496" s="22">
        <v>2.013888888888889E-2</v>
      </c>
    </row>
    <row r="497" spans="1:4" x14ac:dyDescent="0.2">
      <c r="A497" s="19" t="s">
        <v>79</v>
      </c>
      <c r="B497" s="19" t="s">
        <v>94</v>
      </c>
      <c r="C497" s="33">
        <v>20.542999999999999</v>
      </c>
      <c r="D497" s="22">
        <v>1.8055555555555557E-2</v>
      </c>
    </row>
    <row r="498" spans="1:4" x14ac:dyDescent="0.2">
      <c r="A498" s="19" t="s">
        <v>80</v>
      </c>
      <c r="B498" s="19" t="s">
        <v>66</v>
      </c>
      <c r="C498" s="33">
        <v>45.155999999999999</v>
      </c>
      <c r="D498" s="22">
        <v>2.9166666666666664E-2</v>
      </c>
    </row>
    <row r="499" spans="1:4" x14ac:dyDescent="0.2">
      <c r="A499" s="19" t="s">
        <v>80</v>
      </c>
      <c r="B499" s="19" t="s">
        <v>75</v>
      </c>
      <c r="C499" s="33">
        <v>12.106</v>
      </c>
      <c r="D499" s="22">
        <v>1.4583333333333332E-2</v>
      </c>
    </row>
    <row r="500" spans="1:4" x14ac:dyDescent="0.2">
      <c r="A500" s="19" t="s">
        <v>80</v>
      </c>
      <c r="B500" s="19" t="s">
        <v>67</v>
      </c>
      <c r="C500" s="33">
        <v>13.278</v>
      </c>
      <c r="D500" s="22">
        <v>1.5277777777777777E-2</v>
      </c>
    </row>
    <row r="501" spans="1:4" x14ac:dyDescent="0.2">
      <c r="A501" s="19" t="s">
        <v>80</v>
      </c>
      <c r="B501" s="19" t="s">
        <v>68</v>
      </c>
      <c r="C501" s="33">
        <v>12.526999999999999</v>
      </c>
      <c r="D501" s="22">
        <v>1.3888888888888888E-2</v>
      </c>
    </row>
    <row r="502" spans="1:4" x14ac:dyDescent="0.2">
      <c r="A502" s="19" t="s">
        <v>80</v>
      </c>
      <c r="B502" s="19" t="s">
        <v>69</v>
      </c>
      <c r="C502" s="33">
        <v>12.542999999999999</v>
      </c>
      <c r="D502" s="22">
        <v>1.3888888888888888E-2</v>
      </c>
    </row>
    <row r="503" spans="1:4" x14ac:dyDescent="0.2">
      <c r="A503" s="19" t="s">
        <v>80</v>
      </c>
      <c r="B503" s="19" t="s">
        <v>70</v>
      </c>
      <c r="C503" s="33">
        <v>11.754</v>
      </c>
      <c r="D503" s="22">
        <v>1.3194444444444444E-2</v>
      </c>
    </row>
    <row r="504" spans="1:4" x14ac:dyDescent="0.2">
      <c r="A504" s="19" t="s">
        <v>80</v>
      </c>
      <c r="B504" s="19" t="s">
        <v>71</v>
      </c>
      <c r="C504" s="33">
        <v>13.781000000000001</v>
      </c>
      <c r="D504" s="22">
        <v>1.4583333333333332E-2</v>
      </c>
    </row>
    <row r="505" spans="1:4" x14ac:dyDescent="0.2">
      <c r="A505" s="19" t="s">
        <v>80</v>
      </c>
      <c r="B505" s="19" t="s">
        <v>95</v>
      </c>
      <c r="C505" s="33">
        <v>49.91</v>
      </c>
      <c r="D505" s="22">
        <v>3.3333333333333333E-2</v>
      </c>
    </row>
    <row r="506" spans="1:4" x14ac:dyDescent="0.2">
      <c r="A506" s="19" t="s">
        <v>80</v>
      </c>
      <c r="B506" s="19" t="s">
        <v>72</v>
      </c>
      <c r="C506" s="33">
        <v>11.478999999999999</v>
      </c>
      <c r="D506" s="22">
        <v>1.3194444444444444E-2</v>
      </c>
    </row>
    <row r="507" spans="1:4" x14ac:dyDescent="0.2">
      <c r="A507" s="19" t="s">
        <v>80</v>
      </c>
      <c r="B507" s="19" t="s">
        <v>73</v>
      </c>
      <c r="C507" s="33">
        <v>11.076000000000001</v>
      </c>
      <c r="D507" s="22">
        <v>1.1805555555555555E-2</v>
      </c>
    </row>
    <row r="508" spans="1:4" x14ac:dyDescent="0.2">
      <c r="A508" s="19" t="s">
        <v>80</v>
      </c>
      <c r="B508" s="19" t="s">
        <v>74</v>
      </c>
      <c r="C508" s="33">
        <v>10.795</v>
      </c>
      <c r="D508" s="22">
        <v>1.2499999999999999E-2</v>
      </c>
    </row>
    <row r="509" spans="1:4" x14ac:dyDescent="0.2">
      <c r="A509" s="19" t="s">
        <v>80</v>
      </c>
      <c r="B509" s="19" t="s">
        <v>96</v>
      </c>
      <c r="C509" s="33">
        <v>76.426000000000002</v>
      </c>
      <c r="D509" s="22">
        <v>4.4444444444444446E-2</v>
      </c>
    </row>
    <row r="510" spans="1:4" x14ac:dyDescent="0.2">
      <c r="A510" s="19" t="s">
        <v>80</v>
      </c>
      <c r="B510" s="19" t="s">
        <v>76</v>
      </c>
      <c r="C510" s="33">
        <v>13.356</v>
      </c>
      <c r="D510" s="22">
        <v>1.4583333333333332E-2</v>
      </c>
    </row>
    <row r="511" spans="1:4" x14ac:dyDescent="0.2">
      <c r="A511" s="19" t="s">
        <v>80</v>
      </c>
      <c r="B511" s="19" t="s">
        <v>77</v>
      </c>
      <c r="C511" s="33">
        <v>13.561999999999999</v>
      </c>
      <c r="D511" s="22">
        <v>1.3888888888888888E-2</v>
      </c>
    </row>
    <row r="512" spans="1:4" x14ac:dyDescent="0.2">
      <c r="A512" s="19" t="s">
        <v>80</v>
      </c>
      <c r="B512" s="19" t="s">
        <v>78</v>
      </c>
      <c r="C512" s="33">
        <v>11.528</v>
      </c>
      <c r="D512" s="22">
        <v>1.2499999999999999E-2</v>
      </c>
    </row>
    <row r="513" spans="1:4" x14ac:dyDescent="0.2">
      <c r="A513" s="19" t="s">
        <v>80</v>
      </c>
      <c r="B513" s="19" t="s">
        <v>79</v>
      </c>
      <c r="C513" s="33">
        <v>11.581</v>
      </c>
      <c r="D513" s="22">
        <v>1.1111111111111112E-2</v>
      </c>
    </row>
    <row r="514" spans="1:4" x14ac:dyDescent="0.2">
      <c r="A514" s="19" t="s">
        <v>80</v>
      </c>
      <c r="B514" s="19" t="s">
        <v>80</v>
      </c>
      <c r="C514" s="33">
        <v>0</v>
      </c>
      <c r="D514" s="22">
        <v>0</v>
      </c>
    </row>
    <row r="515" spans="1:4" x14ac:dyDescent="0.2">
      <c r="A515" s="19" t="s">
        <v>80</v>
      </c>
      <c r="B515" s="19" t="s">
        <v>81</v>
      </c>
      <c r="C515" s="33">
        <v>9.6300000000000008</v>
      </c>
      <c r="D515" s="22">
        <v>9.0277777777777787E-3</v>
      </c>
    </row>
    <row r="516" spans="1:4" x14ac:dyDescent="0.2">
      <c r="A516" s="19" t="s">
        <v>80</v>
      </c>
      <c r="B516" s="19" t="s">
        <v>82</v>
      </c>
      <c r="C516" s="33">
        <v>10.643000000000001</v>
      </c>
      <c r="D516" s="22">
        <v>9.7222222222222224E-3</v>
      </c>
    </row>
    <row r="517" spans="1:4" x14ac:dyDescent="0.2">
      <c r="A517" s="19" t="s">
        <v>80</v>
      </c>
      <c r="B517" s="19" t="s">
        <v>83</v>
      </c>
      <c r="C517" s="33">
        <v>7.7389999999999999</v>
      </c>
      <c r="D517" s="22">
        <v>9.7222222222222224E-3</v>
      </c>
    </row>
    <row r="518" spans="1:4" x14ac:dyDescent="0.2">
      <c r="A518" s="19" t="s">
        <v>80</v>
      </c>
      <c r="B518" s="19" t="s">
        <v>84</v>
      </c>
      <c r="C518" s="33">
        <v>17.937999999999999</v>
      </c>
      <c r="D518" s="22">
        <v>1.6666666666666666E-2</v>
      </c>
    </row>
    <row r="519" spans="1:4" x14ac:dyDescent="0.2">
      <c r="A519" s="19" t="s">
        <v>80</v>
      </c>
      <c r="B519" s="19" t="s">
        <v>85</v>
      </c>
      <c r="C519" s="33">
        <v>16.984999999999999</v>
      </c>
      <c r="D519" s="22">
        <v>1.5277777777777777E-2</v>
      </c>
    </row>
    <row r="520" spans="1:4" x14ac:dyDescent="0.2">
      <c r="A520" s="19" t="s">
        <v>80</v>
      </c>
      <c r="B520" s="19" t="s">
        <v>86</v>
      </c>
      <c r="C520" s="33">
        <v>14.337</v>
      </c>
      <c r="D520" s="22">
        <v>1.3194444444444444E-2</v>
      </c>
    </row>
    <row r="521" spans="1:4" x14ac:dyDescent="0.2">
      <c r="A521" s="19" t="s">
        <v>80</v>
      </c>
      <c r="B521" s="19" t="s">
        <v>87</v>
      </c>
      <c r="C521" s="33">
        <v>13.013999999999999</v>
      </c>
      <c r="D521" s="22">
        <v>1.1805555555555555E-2</v>
      </c>
    </row>
    <row r="522" spans="1:4" x14ac:dyDescent="0.2">
      <c r="A522" s="19" t="s">
        <v>80</v>
      </c>
      <c r="B522" s="19" t="s">
        <v>88</v>
      </c>
      <c r="C522" s="33">
        <v>11.34</v>
      </c>
      <c r="D522" s="22">
        <v>1.1111111111111112E-2</v>
      </c>
    </row>
    <row r="523" spans="1:4" x14ac:dyDescent="0.2">
      <c r="A523" s="19" t="s">
        <v>80</v>
      </c>
      <c r="B523" s="19" t="s">
        <v>89</v>
      </c>
      <c r="C523" s="33">
        <v>8.2810000000000006</v>
      </c>
      <c r="D523" s="22">
        <v>9.0277777777777787E-3</v>
      </c>
    </row>
    <row r="524" spans="1:4" x14ac:dyDescent="0.2">
      <c r="A524" s="19" t="s">
        <v>80</v>
      </c>
      <c r="B524" s="19" t="s">
        <v>90</v>
      </c>
      <c r="C524" s="33">
        <v>16.556999999999999</v>
      </c>
      <c r="D524" s="22">
        <v>1.7361111111111112E-2</v>
      </c>
    </row>
    <row r="525" spans="1:4" x14ac:dyDescent="0.2">
      <c r="A525" s="19" t="s">
        <v>80</v>
      </c>
      <c r="B525" s="19" t="s">
        <v>91</v>
      </c>
      <c r="C525" s="33">
        <v>8.2469999999999999</v>
      </c>
      <c r="D525" s="22">
        <v>8.3333333333333332E-3</v>
      </c>
    </row>
    <row r="526" spans="1:4" x14ac:dyDescent="0.2">
      <c r="A526" s="19" t="s">
        <v>80</v>
      </c>
      <c r="B526" s="19" t="s">
        <v>92</v>
      </c>
      <c r="C526" s="33">
        <v>12.395</v>
      </c>
      <c r="D526" s="22">
        <v>1.1111111111111112E-2</v>
      </c>
    </row>
    <row r="527" spans="1:4" x14ac:dyDescent="0.2">
      <c r="A527" s="19" t="s">
        <v>80</v>
      </c>
      <c r="B527" s="19" t="s">
        <v>93</v>
      </c>
      <c r="C527" s="33">
        <v>16.87</v>
      </c>
      <c r="D527" s="22">
        <v>1.5277777777777777E-2</v>
      </c>
    </row>
    <row r="528" spans="1:4" x14ac:dyDescent="0.2">
      <c r="A528" s="19" t="s">
        <v>80</v>
      </c>
      <c r="B528" s="19" t="s">
        <v>94</v>
      </c>
      <c r="C528" s="33">
        <v>16.321000000000002</v>
      </c>
      <c r="D528" s="22">
        <v>1.4583333333333332E-2</v>
      </c>
    </row>
    <row r="529" spans="1:4" x14ac:dyDescent="0.2">
      <c r="A529" s="19" t="s">
        <v>81</v>
      </c>
      <c r="B529" s="19" t="s">
        <v>66</v>
      </c>
      <c r="C529" s="33">
        <v>49.298999999999999</v>
      </c>
      <c r="D529" s="22">
        <v>3.1944444444444449E-2</v>
      </c>
    </row>
    <row r="530" spans="1:4" x14ac:dyDescent="0.2">
      <c r="A530" s="19" t="s">
        <v>81</v>
      </c>
      <c r="B530" s="19" t="s">
        <v>75</v>
      </c>
      <c r="C530" s="33">
        <v>21.277999999999999</v>
      </c>
      <c r="D530" s="22">
        <v>1.7361111111111112E-2</v>
      </c>
    </row>
    <row r="531" spans="1:4" x14ac:dyDescent="0.2">
      <c r="A531" s="19" t="s">
        <v>81</v>
      </c>
      <c r="B531" s="19" t="s">
        <v>67</v>
      </c>
      <c r="C531" s="33">
        <v>22.45</v>
      </c>
      <c r="D531" s="22">
        <v>1.8055555555555557E-2</v>
      </c>
    </row>
    <row r="532" spans="1:4" x14ac:dyDescent="0.2">
      <c r="A532" s="19" t="s">
        <v>81</v>
      </c>
      <c r="B532" s="19" t="s">
        <v>68</v>
      </c>
      <c r="C532" s="33">
        <v>21.699000000000002</v>
      </c>
      <c r="D532" s="22">
        <v>1.6666666666666666E-2</v>
      </c>
    </row>
    <row r="533" spans="1:4" x14ac:dyDescent="0.2">
      <c r="A533" s="19" t="s">
        <v>81</v>
      </c>
      <c r="B533" s="19" t="s">
        <v>69</v>
      </c>
      <c r="C533" s="33">
        <v>21.715</v>
      </c>
      <c r="D533" s="22">
        <v>1.6666666666666666E-2</v>
      </c>
    </row>
    <row r="534" spans="1:4" x14ac:dyDescent="0.2">
      <c r="A534" s="19" t="s">
        <v>81</v>
      </c>
      <c r="B534" s="19" t="s">
        <v>70</v>
      </c>
      <c r="C534" s="33">
        <v>20.925999999999998</v>
      </c>
      <c r="D534" s="22">
        <v>1.5972222222222224E-2</v>
      </c>
    </row>
    <row r="535" spans="1:4" x14ac:dyDescent="0.2">
      <c r="A535" s="19" t="s">
        <v>81</v>
      </c>
      <c r="B535" s="19" t="s">
        <v>71</v>
      </c>
      <c r="C535" s="33">
        <v>22.952999999999999</v>
      </c>
      <c r="D535" s="22">
        <v>1.7361111111111112E-2</v>
      </c>
    </row>
    <row r="536" spans="1:4" x14ac:dyDescent="0.2">
      <c r="A536" s="19" t="s">
        <v>81</v>
      </c>
      <c r="B536" s="19" t="s">
        <v>95</v>
      </c>
      <c r="C536" s="33">
        <v>54.052999999999997</v>
      </c>
      <c r="D536" s="22">
        <v>3.6805555555555557E-2</v>
      </c>
    </row>
    <row r="537" spans="1:4" x14ac:dyDescent="0.2">
      <c r="A537" s="19" t="s">
        <v>81</v>
      </c>
      <c r="B537" s="19" t="s">
        <v>72</v>
      </c>
      <c r="C537" s="33">
        <v>20.651</v>
      </c>
      <c r="D537" s="22">
        <v>1.5972222222222224E-2</v>
      </c>
    </row>
    <row r="538" spans="1:4" x14ac:dyDescent="0.2">
      <c r="A538" s="19" t="s">
        <v>81</v>
      </c>
      <c r="B538" s="19" t="s">
        <v>73</v>
      </c>
      <c r="C538" s="33">
        <v>17.622</v>
      </c>
      <c r="D538" s="22">
        <v>1.5277777777777777E-2</v>
      </c>
    </row>
    <row r="539" spans="1:4" x14ac:dyDescent="0.2">
      <c r="A539" s="19" t="s">
        <v>81</v>
      </c>
      <c r="B539" s="19" t="s">
        <v>74</v>
      </c>
      <c r="C539" s="33">
        <v>17.341000000000001</v>
      </c>
      <c r="D539" s="22">
        <v>1.5277777777777777E-2</v>
      </c>
    </row>
    <row r="540" spans="1:4" x14ac:dyDescent="0.2">
      <c r="A540" s="19" t="s">
        <v>81</v>
      </c>
      <c r="B540" s="19" t="s">
        <v>96</v>
      </c>
      <c r="C540" s="33">
        <v>80.569000000000003</v>
      </c>
      <c r="D540" s="22">
        <v>4.7222222222222221E-2</v>
      </c>
    </row>
    <row r="541" spans="1:4" x14ac:dyDescent="0.2">
      <c r="A541" s="19" t="s">
        <v>81</v>
      </c>
      <c r="B541" s="19" t="s">
        <v>76</v>
      </c>
      <c r="C541" s="33">
        <v>19.902000000000001</v>
      </c>
      <c r="D541" s="22">
        <v>1.7361111111111112E-2</v>
      </c>
    </row>
    <row r="542" spans="1:4" x14ac:dyDescent="0.2">
      <c r="A542" s="19" t="s">
        <v>81</v>
      </c>
      <c r="B542" s="19" t="s">
        <v>77</v>
      </c>
      <c r="C542" s="33">
        <v>20.108000000000001</v>
      </c>
      <c r="D542" s="22">
        <v>1.6666666666666666E-2</v>
      </c>
    </row>
    <row r="543" spans="1:4" x14ac:dyDescent="0.2">
      <c r="A543" s="19" t="s">
        <v>81</v>
      </c>
      <c r="B543" s="19" t="s">
        <v>78</v>
      </c>
      <c r="C543" s="33">
        <v>18.074000000000002</v>
      </c>
      <c r="D543" s="22">
        <v>1.5277777777777777E-2</v>
      </c>
    </row>
    <row r="544" spans="1:4" x14ac:dyDescent="0.2">
      <c r="A544" s="19" t="s">
        <v>81</v>
      </c>
      <c r="B544" s="19" t="s">
        <v>79</v>
      </c>
      <c r="C544" s="33">
        <v>18.126999999999999</v>
      </c>
      <c r="D544" s="22">
        <v>1.3888888888888888E-2</v>
      </c>
    </row>
    <row r="545" spans="1:4" x14ac:dyDescent="0.2">
      <c r="A545" s="19" t="s">
        <v>81</v>
      </c>
      <c r="B545" s="19" t="s">
        <v>80</v>
      </c>
      <c r="C545" s="33">
        <v>7.1680000000000001</v>
      </c>
      <c r="D545" s="22">
        <v>5.5555555555555558E-3</v>
      </c>
    </row>
    <row r="546" spans="1:4" x14ac:dyDescent="0.2">
      <c r="A546" s="19" t="s">
        <v>81</v>
      </c>
      <c r="B546" s="19" t="s">
        <v>81</v>
      </c>
      <c r="C546" s="33">
        <v>0</v>
      </c>
      <c r="D546" s="22">
        <v>0</v>
      </c>
    </row>
    <row r="547" spans="1:4" x14ac:dyDescent="0.2">
      <c r="A547" s="19" t="s">
        <v>81</v>
      </c>
      <c r="B547" s="19" t="s">
        <v>82</v>
      </c>
      <c r="C547" s="33">
        <v>4.83</v>
      </c>
      <c r="D547" s="22">
        <v>4.8611111111111112E-3</v>
      </c>
    </row>
    <row r="548" spans="1:4" x14ac:dyDescent="0.2">
      <c r="A548" s="19" t="s">
        <v>81</v>
      </c>
      <c r="B548" s="19" t="s">
        <v>83</v>
      </c>
      <c r="C548" s="33">
        <v>8.673</v>
      </c>
      <c r="D548" s="22">
        <v>9.0277777777777787E-3</v>
      </c>
    </row>
    <row r="549" spans="1:4" x14ac:dyDescent="0.2">
      <c r="A549" s="19" t="s">
        <v>81</v>
      </c>
      <c r="B549" s="19" t="s">
        <v>84</v>
      </c>
      <c r="C549" s="33">
        <v>13.257999999999999</v>
      </c>
      <c r="D549" s="22">
        <v>1.2499999999999999E-2</v>
      </c>
    </row>
    <row r="550" spans="1:4" x14ac:dyDescent="0.2">
      <c r="A550" s="19" t="s">
        <v>81</v>
      </c>
      <c r="B550" s="19" t="s">
        <v>85</v>
      </c>
      <c r="C550" s="33">
        <v>12.305</v>
      </c>
      <c r="D550" s="22">
        <v>1.1111111111111112E-2</v>
      </c>
    </row>
    <row r="551" spans="1:4" x14ac:dyDescent="0.2">
      <c r="A551" s="19" t="s">
        <v>81</v>
      </c>
      <c r="B551" s="19" t="s">
        <v>86</v>
      </c>
      <c r="C551" s="33">
        <v>9.657</v>
      </c>
      <c r="D551" s="22">
        <v>8.3333333333333332E-3</v>
      </c>
    </row>
    <row r="552" spans="1:4" x14ac:dyDescent="0.2">
      <c r="A552" s="19" t="s">
        <v>81</v>
      </c>
      <c r="B552" s="19" t="s">
        <v>87</v>
      </c>
      <c r="C552" s="33">
        <v>8.3339999999999996</v>
      </c>
      <c r="D552" s="22">
        <v>7.6388888888888886E-3</v>
      </c>
    </row>
    <row r="553" spans="1:4" x14ac:dyDescent="0.2">
      <c r="A553" s="19" t="s">
        <v>81</v>
      </c>
      <c r="B553" s="19" t="s">
        <v>88</v>
      </c>
      <c r="C553" s="33">
        <v>12.273999999999999</v>
      </c>
      <c r="D553" s="22">
        <v>1.0416666666666666E-2</v>
      </c>
    </row>
    <row r="554" spans="1:4" x14ac:dyDescent="0.2">
      <c r="A554" s="19" t="s">
        <v>81</v>
      </c>
      <c r="B554" s="19" t="s">
        <v>89</v>
      </c>
      <c r="C554" s="33">
        <v>9.2149999999999999</v>
      </c>
      <c r="D554" s="22">
        <v>8.3333333333333332E-3</v>
      </c>
    </row>
    <row r="555" spans="1:4" x14ac:dyDescent="0.2">
      <c r="A555" s="19" t="s">
        <v>81</v>
      </c>
      <c r="B555" s="19" t="s">
        <v>90</v>
      </c>
      <c r="C555" s="33">
        <v>25.728999999999999</v>
      </c>
      <c r="D555" s="22">
        <v>2.013888888888889E-2</v>
      </c>
    </row>
    <row r="556" spans="1:4" x14ac:dyDescent="0.2">
      <c r="A556" s="19" t="s">
        <v>81</v>
      </c>
      <c r="B556" s="19" t="s">
        <v>91</v>
      </c>
      <c r="C556" s="33">
        <v>14.798999999999999</v>
      </c>
      <c r="D556" s="22">
        <v>1.0416666666666666E-2</v>
      </c>
    </row>
    <row r="557" spans="1:4" x14ac:dyDescent="0.2">
      <c r="A557" s="19" t="s">
        <v>81</v>
      </c>
      <c r="B557" s="19" t="s">
        <v>92</v>
      </c>
      <c r="C557" s="33">
        <v>13.315</v>
      </c>
      <c r="D557" s="22">
        <v>9.7222222222222224E-3</v>
      </c>
    </row>
    <row r="558" spans="1:4" x14ac:dyDescent="0.2">
      <c r="A558" s="19" t="s">
        <v>81</v>
      </c>
      <c r="B558" s="19" t="s">
        <v>93</v>
      </c>
      <c r="C558" s="33">
        <v>17.79</v>
      </c>
      <c r="D558" s="22">
        <v>1.4583333333333332E-2</v>
      </c>
    </row>
    <row r="559" spans="1:4" x14ac:dyDescent="0.2">
      <c r="A559" s="19" t="s">
        <v>81</v>
      </c>
      <c r="B559" s="19" t="s">
        <v>94</v>
      </c>
      <c r="C559" s="33">
        <v>17.241</v>
      </c>
      <c r="D559" s="22">
        <v>1.3888888888888888E-2</v>
      </c>
    </row>
    <row r="560" spans="1:4" x14ac:dyDescent="0.2">
      <c r="A560" s="19" t="s">
        <v>82</v>
      </c>
      <c r="B560" s="19" t="s">
        <v>66</v>
      </c>
      <c r="C560" s="33">
        <v>54.228999999999999</v>
      </c>
      <c r="D560" s="22">
        <v>3.6111111111111115E-2</v>
      </c>
    </row>
    <row r="561" spans="1:4" x14ac:dyDescent="0.2">
      <c r="A561" s="19" t="s">
        <v>82</v>
      </c>
      <c r="B561" s="19" t="s">
        <v>75</v>
      </c>
      <c r="C561" s="33">
        <v>24.774999999999999</v>
      </c>
      <c r="D561" s="22">
        <v>2.0833333333333332E-2</v>
      </c>
    </row>
    <row r="562" spans="1:4" x14ac:dyDescent="0.2">
      <c r="A562" s="19" t="s">
        <v>82</v>
      </c>
      <c r="B562" s="19" t="s">
        <v>67</v>
      </c>
      <c r="C562" s="33">
        <v>24.46</v>
      </c>
      <c r="D562" s="22">
        <v>2.0833333333333332E-2</v>
      </c>
    </row>
    <row r="563" spans="1:4" x14ac:dyDescent="0.2">
      <c r="A563" s="19" t="s">
        <v>82</v>
      </c>
      <c r="B563" s="19" t="s">
        <v>68</v>
      </c>
      <c r="C563" s="33">
        <v>23.605</v>
      </c>
      <c r="D563" s="22">
        <v>2.013888888888889E-2</v>
      </c>
    </row>
    <row r="564" spans="1:4" x14ac:dyDescent="0.2">
      <c r="A564" s="19" t="s">
        <v>82</v>
      </c>
      <c r="B564" s="19" t="s">
        <v>69</v>
      </c>
      <c r="C564" s="33">
        <v>25.212</v>
      </c>
      <c r="D564" s="22">
        <v>2.013888888888889E-2</v>
      </c>
    </row>
    <row r="565" spans="1:4" x14ac:dyDescent="0.2">
      <c r="A565" s="19" t="s">
        <v>82</v>
      </c>
      <c r="B565" s="19" t="s">
        <v>70</v>
      </c>
      <c r="C565" s="33">
        <v>24.422999999999998</v>
      </c>
      <c r="D565" s="22">
        <v>1.9444444444444445E-2</v>
      </c>
    </row>
    <row r="566" spans="1:4" x14ac:dyDescent="0.2">
      <c r="A566" s="19" t="s">
        <v>82</v>
      </c>
      <c r="B566" s="19" t="s">
        <v>71</v>
      </c>
      <c r="C566" s="33">
        <v>22.507999999999999</v>
      </c>
      <c r="D566" s="22">
        <v>1.8749999999999999E-2</v>
      </c>
    </row>
    <row r="567" spans="1:4" x14ac:dyDescent="0.2">
      <c r="A567" s="19" t="s">
        <v>82</v>
      </c>
      <c r="B567" s="19" t="s">
        <v>95</v>
      </c>
      <c r="C567" s="33">
        <v>45.886000000000003</v>
      </c>
      <c r="D567" s="22">
        <v>3.9583333333333331E-2</v>
      </c>
    </row>
    <row r="568" spans="1:4" x14ac:dyDescent="0.2">
      <c r="A568" s="19" t="s">
        <v>82</v>
      </c>
      <c r="B568" s="19" t="s">
        <v>72</v>
      </c>
      <c r="C568" s="33">
        <v>24.148</v>
      </c>
      <c r="D568" s="22">
        <v>1.9444444444444445E-2</v>
      </c>
    </row>
    <row r="569" spans="1:4" x14ac:dyDescent="0.2">
      <c r="A569" s="19" t="s">
        <v>82</v>
      </c>
      <c r="B569" s="19" t="s">
        <v>73</v>
      </c>
      <c r="C569" s="33">
        <v>21.119</v>
      </c>
      <c r="D569" s="22">
        <v>1.8055555555555557E-2</v>
      </c>
    </row>
    <row r="570" spans="1:4" x14ac:dyDescent="0.2">
      <c r="A570" s="19" t="s">
        <v>82</v>
      </c>
      <c r="B570" s="19" t="s">
        <v>74</v>
      </c>
      <c r="C570" s="33">
        <v>20.838000000000001</v>
      </c>
      <c r="D570" s="22">
        <v>1.8055555555555557E-2</v>
      </c>
    </row>
    <row r="571" spans="1:4" x14ac:dyDescent="0.2">
      <c r="A571" s="19" t="s">
        <v>82</v>
      </c>
      <c r="B571" s="19" t="s">
        <v>96</v>
      </c>
      <c r="C571" s="33">
        <v>85.498999999999995</v>
      </c>
      <c r="D571" s="22">
        <v>5.0694444444444452E-2</v>
      </c>
    </row>
    <row r="572" spans="1:4" x14ac:dyDescent="0.2">
      <c r="A572" s="19" t="s">
        <v>82</v>
      </c>
      <c r="B572" s="19" t="s">
        <v>76</v>
      </c>
      <c r="C572" s="33">
        <v>23.399000000000001</v>
      </c>
      <c r="D572" s="22">
        <v>2.0833333333333332E-2</v>
      </c>
    </row>
    <row r="573" spans="1:4" x14ac:dyDescent="0.2">
      <c r="A573" s="19" t="s">
        <v>82</v>
      </c>
      <c r="B573" s="19" t="s">
        <v>77</v>
      </c>
      <c r="C573" s="33">
        <v>23.605</v>
      </c>
      <c r="D573" s="22">
        <v>2.013888888888889E-2</v>
      </c>
    </row>
    <row r="574" spans="1:4" x14ac:dyDescent="0.2">
      <c r="A574" s="19" t="s">
        <v>82</v>
      </c>
      <c r="B574" s="19" t="s">
        <v>78</v>
      </c>
      <c r="C574" s="33">
        <v>21.571000000000002</v>
      </c>
      <c r="D574" s="22">
        <v>1.8749999999999999E-2</v>
      </c>
    </row>
    <row r="575" spans="1:4" x14ac:dyDescent="0.2">
      <c r="A575" s="19" t="s">
        <v>82</v>
      </c>
      <c r="B575" s="19" t="s">
        <v>79</v>
      </c>
      <c r="C575" s="33">
        <v>21.623999999999999</v>
      </c>
      <c r="D575" s="22">
        <v>1.7361111111111112E-2</v>
      </c>
    </row>
    <row r="576" spans="1:4" x14ac:dyDescent="0.2">
      <c r="A576" s="19" t="s">
        <v>82</v>
      </c>
      <c r="B576" s="19" t="s">
        <v>80</v>
      </c>
      <c r="C576" s="33">
        <v>10.664999999999999</v>
      </c>
      <c r="D576" s="22">
        <v>9.0277777777777787E-3</v>
      </c>
    </row>
    <row r="577" spans="1:4" x14ac:dyDescent="0.2">
      <c r="A577" s="19" t="s">
        <v>82</v>
      </c>
      <c r="B577" s="19" t="s">
        <v>81</v>
      </c>
      <c r="C577" s="33">
        <v>4.9930000000000003</v>
      </c>
      <c r="D577" s="22">
        <v>4.8611111111111112E-3</v>
      </c>
    </row>
    <row r="578" spans="1:4" x14ac:dyDescent="0.2">
      <c r="A578" s="19" t="s">
        <v>82</v>
      </c>
      <c r="B578" s="19" t="s">
        <v>82</v>
      </c>
      <c r="C578" s="33">
        <v>0</v>
      </c>
      <c r="D578" s="22">
        <v>0</v>
      </c>
    </row>
    <row r="579" spans="1:4" x14ac:dyDescent="0.2">
      <c r="A579" s="19" t="s">
        <v>82</v>
      </c>
      <c r="B579" s="19" t="s">
        <v>83</v>
      </c>
      <c r="C579" s="33">
        <v>7.3940000000000001</v>
      </c>
      <c r="D579" s="22">
        <v>7.6388888888888886E-3</v>
      </c>
    </row>
    <row r="580" spans="1:4" x14ac:dyDescent="0.2">
      <c r="A580" s="19" t="s">
        <v>82</v>
      </c>
      <c r="B580" s="19" t="s">
        <v>84</v>
      </c>
      <c r="C580" s="33">
        <v>9.5280000000000005</v>
      </c>
      <c r="D580" s="22">
        <v>9.0277777777777787E-3</v>
      </c>
    </row>
    <row r="581" spans="1:4" x14ac:dyDescent="0.2">
      <c r="A581" s="19" t="s">
        <v>82</v>
      </c>
      <c r="B581" s="19" t="s">
        <v>85</v>
      </c>
      <c r="C581" s="33">
        <v>8.5749999999999993</v>
      </c>
      <c r="D581" s="22">
        <v>8.3333333333333332E-3</v>
      </c>
    </row>
    <row r="582" spans="1:4" x14ac:dyDescent="0.2">
      <c r="A582" s="19" t="s">
        <v>82</v>
      </c>
      <c r="B582" s="19" t="s">
        <v>86</v>
      </c>
      <c r="C582" s="33">
        <v>5.9269999999999996</v>
      </c>
      <c r="D582" s="22">
        <v>5.5555555555555558E-3</v>
      </c>
    </row>
    <row r="583" spans="1:4" x14ac:dyDescent="0.2">
      <c r="A583" s="19" t="s">
        <v>82</v>
      </c>
      <c r="B583" s="19" t="s">
        <v>87</v>
      </c>
      <c r="C583" s="33">
        <v>4.6040000000000001</v>
      </c>
      <c r="D583" s="22">
        <v>4.8611111111111112E-3</v>
      </c>
    </row>
    <row r="584" spans="1:4" x14ac:dyDescent="0.2">
      <c r="A584" s="19" t="s">
        <v>82</v>
      </c>
      <c r="B584" s="19" t="s">
        <v>88</v>
      </c>
      <c r="C584" s="33">
        <v>11.289</v>
      </c>
      <c r="D584" s="22">
        <v>1.1111111111111112E-2</v>
      </c>
    </row>
    <row r="585" spans="1:4" x14ac:dyDescent="0.2">
      <c r="A585" s="19" t="s">
        <v>82</v>
      </c>
      <c r="B585" s="19" t="s">
        <v>89</v>
      </c>
      <c r="C585" s="33">
        <v>6.3079999999999998</v>
      </c>
      <c r="D585" s="22">
        <v>6.2499999999999995E-3</v>
      </c>
    </row>
    <row r="586" spans="1:4" x14ac:dyDescent="0.2">
      <c r="A586" s="19" t="s">
        <v>82</v>
      </c>
      <c r="B586" s="19" t="s">
        <v>90</v>
      </c>
      <c r="C586" s="33">
        <v>25.283999999999999</v>
      </c>
      <c r="D586" s="22">
        <v>2.1527777777777781E-2</v>
      </c>
    </row>
    <row r="587" spans="1:4" x14ac:dyDescent="0.2">
      <c r="A587" s="19" t="s">
        <v>82</v>
      </c>
      <c r="B587" s="19" t="s">
        <v>91</v>
      </c>
      <c r="C587" s="33">
        <v>18.295999999999999</v>
      </c>
      <c r="D587" s="22">
        <v>1.3888888888888888E-2</v>
      </c>
    </row>
    <row r="588" spans="1:4" x14ac:dyDescent="0.2">
      <c r="A588" s="19" t="s">
        <v>82</v>
      </c>
      <c r="B588" s="19" t="s">
        <v>92</v>
      </c>
      <c r="C588" s="33">
        <v>16.812000000000001</v>
      </c>
      <c r="D588" s="22">
        <v>1.3194444444444444E-2</v>
      </c>
    </row>
    <row r="589" spans="1:4" x14ac:dyDescent="0.2">
      <c r="A589" s="19" t="s">
        <v>82</v>
      </c>
      <c r="B589" s="19" t="s">
        <v>93</v>
      </c>
      <c r="C589" s="33">
        <v>21.286999999999999</v>
      </c>
      <c r="D589" s="22">
        <v>1.8055555555555557E-2</v>
      </c>
    </row>
    <row r="590" spans="1:4" x14ac:dyDescent="0.2">
      <c r="A590" s="19" t="s">
        <v>82</v>
      </c>
      <c r="B590" s="19" t="s">
        <v>94</v>
      </c>
      <c r="C590" s="33">
        <v>20.738</v>
      </c>
      <c r="D590" s="22">
        <v>1.7361111111111112E-2</v>
      </c>
    </row>
    <row r="591" spans="1:4" x14ac:dyDescent="0.2">
      <c r="A591" s="19" t="s">
        <v>83</v>
      </c>
      <c r="B591" s="19" t="s">
        <v>66</v>
      </c>
      <c r="C591" s="33">
        <v>51.790999999999997</v>
      </c>
      <c r="D591" s="22">
        <v>3.4722222222222224E-2</v>
      </c>
    </row>
    <row r="592" spans="1:4" x14ac:dyDescent="0.2">
      <c r="A592" s="19" t="s">
        <v>83</v>
      </c>
      <c r="B592" s="19" t="s">
        <v>75</v>
      </c>
      <c r="C592" s="33">
        <v>21.341999999999999</v>
      </c>
      <c r="D592" s="22">
        <v>1.8749999999999999E-2</v>
      </c>
    </row>
    <row r="593" spans="1:4" x14ac:dyDescent="0.2">
      <c r="A593" s="19" t="s">
        <v>83</v>
      </c>
      <c r="B593" s="19" t="s">
        <v>67</v>
      </c>
      <c r="C593" s="33">
        <v>22.513999999999999</v>
      </c>
      <c r="D593" s="22">
        <v>1.9444444444444445E-2</v>
      </c>
    </row>
    <row r="594" spans="1:4" x14ac:dyDescent="0.2">
      <c r="A594" s="19" t="s">
        <v>83</v>
      </c>
      <c r="B594" s="19" t="s">
        <v>68</v>
      </c>
      <c r="C594" s="33">
        <v>21.763000000000002</v>
      </c>
      <c r="D594" s="22">
        <v>1.8055555555555557E-2</v>
      </c>
    </row>
    <row r="595" spans="1:4" x14ac:dyDescent="0.2">
      <c r="A595" s="19" t="s">
        <v>83</v>
      </c>
      <c r="B595" s="19" t="s">
        <v>69</v>
      </c>
      <c r="C595" s="33">
        <v>21.779</v>
      </c>
      <c r="D595" s="22">
        <v>1.8055555555555557E-2</v>
      </c>
    </row>
    <row r="596" spans="1:4" x14ac:dyDescent="0.2">
      <c r="A596" s="19" t="s">
        <v>83</v>
      </c>
      <c r="B596" s="19" t="s">
        <v>70</v>
      </c>
      <c r="C596" s="33">
        <v>20.99</v>
      </c>
      <c r="D596" s="22">
        <v>1.7361111111111112E-2</v>
      </c>
    </row>
    <row r="597" spans="1:4" x14ac:dyDescent="0.2">
      <c r="A597" s="19" t="s">
        <v>83</v>
      </c>
      <c r="B597" s="19" t="s">
        <v>71</v>
      </c>
      <c r="C597" s="33">
        <v>23.016999999999999</v>
      </c>
      <c r="D597" s="22">
        <v>1.8749999999999999E-2</v>
      </c>
    </row>
    <row r="598" spans="1:4" x14ac:dyDescent="0.2">
      <c r="A598" s="19" t="s">
        <v>83</v>
      </c>
      <c r="B598" s="19" t="s">
        <v>95</v>
      </c>
      <c r="C598" s="33">
        <v>56.545000000000002</v>
      </c>
      <c r="D598" s="22">
        <v>3.888888888888889E-2</v>
      </c>
    </row>
    <row r="599" spans="1:4" x14ac:dyDescent="0.2">
      <c r="A599" s="19" t="s">
        <v>83</v>
      </c>
      <c r="B599" s="19" t="s">
        <v>72</v>
      </c>
      <c r="C599" s="33">
        <v>20.715</v>
      </c>
      <c r="D599" s="22">
        <v>1.7361111111111112E-2</v>
      </c>
    </row>
    <row r="600" spans="1:4" x14ac:dyDescent="0.2">
      <c r="A600" s="19" t="s">
        <v>83</v>
      </c>
      <c r="B600" s="19" t="s">
        <v>73</v>
      </c>
      <c r="C600" s="33">
        <v>17.686</v>
      </c>
      <c r="D600" s="22">
        <v>1.6666666666666666E-2</v>
      </c>
    </row>
    <row r="601" spans="1:4" x14ac:dyDescent="0.2">
      <c r="A601" s="19" t="s">
        <v>83</v>
      </c>
      <c r="B601" s="19" t="s">
        <v>74</v>
      </c>
      <c r="C601" s="33">
        <v>17.405000000000001</v>
      </c>
      <c r="D601" s="22">
        <v>1.6666666666666666E-2</v>
      </c>
    </row>
    <row r="602" spans="1:4" x14ac:dyDescent="0.2">
      <c r="A602" s="19" t="s">
        <v>83</v>
      </c>
      <c r="B602" s="19" t="s">
        <v>96</v>
      </c>
      <c r="C602" s="33">
        <v>85.944999999999993</v>
      </c>
      <c r="D602" s="22">
        <v>4.9999999999999996E-2</v>
      </c>
    </row>
    <row r="603" spans="1:4" x14ac:dyDescent="0.2">
      <c r="A603" s="19" t="s">
        <v>83</v>
      </c>
      <c r="B603" s="19" t="s">
        <v>76</v>
      </c>
      <c r="C603" s="33">
        <v>19.966000000000001</v>
      </c>
      <c r="D603" s="22">
        <v>1.8749999999999999E-2</v>
      </c>
    </row>
    <row r="604" spans="1:4" x14ac:dyDescent="0.2">
      <c r="A604" s="19" t="s">
        <v>83</v>
      </c>
      <c r="B604" s="19" t="s">
        <v>77</v>
      </c>
      <c r="C604" s="33">
        <v>20.172000000000001</v>
      </c>
      <c r="D604" s="22">
        <v>1.8749999999999999E-2</v>
      </c>
    </row>
    <row r="605" spans="1:4" x14ac:dyDescent="0.2">
      <c r="A605" s="19" t="s">
        <v>83</v>
      </c>
      <c r="B605" s="19" t="s">
        <v>78</v>
      </c>
      <c r="C605" s="33">
        <v>18.138000000000002</v>
      </c>
      <c r="D605" s="22">
        <v>1.6666666666666666E-2</v>
      </c>
    </row>
    <row r="606" spans="1:4" x14ac:dyDescent="0.2">
      <c r="A606" s="19" t="s">
        <v>83</v>
      </c>
      <c r="B606" s="19" t="s">
        <v>79</v>
      </c>
      <c r="C606" s="33">
        <v>18.190999999999999</v>
      </c>
      <c r="D606" s="22">
        <v>1.5972222222222224E-2</v>
      </c>
    </row>
    <row r="607" spans="1:4" x14ac:dyDescent="0.2">
      <c r="A607" s="19" t="s">
        <v>83</v>
      </c>
      <c r="B607" s="19" t="s">
        <v>80</v>
      </c>
      <c r="C607" s="33">
        <v>7.2679999999999998</v>
      </c>
      <c r="D607" s="22">
        <v>6.9444444444444441E-3</v>
      </c>
    </row>
    <row r="608" spans="1:4" x14ac:dyDescent="0.2">
      <c r="A608" s="19" t="s">
        <v>83</v>
      </c>
      <c r="B608" s="19" t="s">
        <v>81</v>
      </c>
      <c r="C608" s="33">
        <v>10.092000000000001</v>
      </c>
      <c r="D608" s="22">
        <v>9.0277777777777787E-3</v>
      </c>
    </row>
    <row r="609" spans="1:4" x14ac:dyDescent="0.2">
      <c r="A609" s="19" t="s">
        <v>83</v>
      </c>
      <c r="B609" s="19" t="s">
        <v>82</v>
      </c>
      <c r="C609" s="33">
        <v>7.32</v>
      </c>
      <c r="D609" s="22">
        <v>6.9444444444444441E-3</v>
      </c>
    </row>
    <row r="610" spans="1:4" x14ac:dyDescent="0.2">
      <c r="A610" s="19" t="s">
        <v>83</v>
      </c>
      <c r="B610" s="19" t="s">
        <v>83</v>
      </c>
      <c r="C610" s="33">
        <v>0</v>
      </c>
      <c r="D610" s="22">
        <v>0</v>
      </c>
    </row>
    <row r="611" spans="1:4" x14ac:dyDescent="0.2">
      <c r="A611" s="19" t="s">
        <v>83</v>
      </c>
      <c r="B611" s="19" t="s">
        <v>84</v>
      </c>
      <c r="C611" s="33">
        <v>12.297000000000001</v>
      </c>
      <c r="D611" s="22">
        <v>1.1805555555555555E-2</v>
      </c>
    </row>
    <row r="612" spans="1:4" x14ac:dyDescent="0.2">
      <c r="A612" s="19" t="s">
        <v>83</v>
      </c>
      <c r="B612" s="19" t="s">
        <v>85</v>
      </c>
      <c r="C612" s="33">
        <v>11.343999999999999</v>
      </c>
      <c r="D612" s="22">
        <v>1.0416666666666666E-2</v>
      </c>
    </row>
    <row r="613" spans="1:4" x14ac:dyDescent="0.2">
      <c r="A613" s="19" t="s">
        <v>83</v>
      </c>
      <c r="B613" s="19" t="s">
        <v>86</v>
      </c>
      <c r="C613" s="33">
        <v>8.6959999999999997</v>
      </c>
      <c r="D613" s="22">
        <v>8.3333333333333332E-3</v>
      </c>
    </row>
    <row r="614" spans="1:4" x14ac:dyDescent="0.2">
      <c r="A614" s="19" t="s">
        <v>83</v>
      </c>
      <c r="B614" s="19" t="s">
        <v>87</v>
      </c>
      <c r="C614" s="33">
        <v>7.3730000000000002</v>
      </c>
      <c r="D614" s="22">
        <v>6.9444444444444441E-3</v>
      </c>
    </row>
    <row r="615" spans="1:4" x14ac:dyDescent="0.2">
      <c r="A615" s="19" t="s">
        <v>83</v>
      </c>
      <c r="B615" s="19" t="s">
        <v>88</v>
      </c>
      <c r="C615" s="33">
        <v>7.2359999999999998</v>
      </c>
      <c r="D615" s="22">
        <v>8.3333333333333332E-3</v>
      </c>
    </row>
    <row r="616" spans="1:4" x14ac:dyDescent="0.2">
      <c r="A616" s="19" t="s">
        <v>83</v>
      </c>
      <c r="B616" s="19" t="s">
        <v>89</v>
      </c>
      <c r="C616" s="33">
        <v>1.944</v>
      </c>
      <c r="D616" s="22">
        <v>2.7777777777777779E-3</v>
      </c>
    </row>
    <row r="617" spans="1:4" x14ac:dyDescent="0.2">
      <c r="A617" s="19" t="s">
        <v>83</v>
      </c>
      <c r="B617" s="19" t="s">
        <v>90</v>
      </c>
      <c r="C617" s="33">
        <v>25.792999999999999</v>
      </c>
      <c r="D617" s="22">
        <v>2.1527777777777781E-2</v>
      </c>
    </row>
    <row r="618" spans="1:4" x14ac:dyDescent="0.2">
      <c r="A618" s="19" t="s">
        <v>83</v>
      </c>
      <c r="B618" s="19" t="s">
        <v>91</v>
      </c>
      <c r="C618" s="33">
        <v>14.863</v>
      </c>
      <c r="D618" s="22">
        <v>1.2499999999999999E-2</v>
      </c>
    </row>
    <row r="619" spans="1:4" x14ac:dyDescent="0.2">
      <c r="A619" s="19" t="s">
        <v>83</v>
      </c>
      <c r="B619" s="19" t="s">
        <v>92</v>
      </c>
      <c r="C619" s="33">
        <v>13.379</v>
      </c>
      <c r="D619" s="22">
        <v>1.1111111111111112E-2</v>
      </c>
    </row>
    <row r="620" spans="1:4" x14ac:dyDescent="0.2">
      <c r="A620" s="19" t="s">
        <v>83</v>
      </c>
      <c r="B620" s="19" t="s">
        <v>93</v>
      </c>
      <c r="C620" s="33">
        <v>17.271999999999998</v>
      </c>
      <c r="D620" s="22">
        <v>1.5972222222222224E-2</v>
      </c>
    </row>
    <row r="621" spans="1:4" x14ac:dyDescent="0.2">
      <c r="A621" s="19" t="s">
        <v>83</v>
      </c>
      <c r="B621" s="19" t="s">
        <v>94</v>
      </c>
      <c r="C621" s="33">
        <v>17.305</v>
      </c>
      <c r="D621" s="22">
        <v>1.5277777777777777E-2</v>
      </c>
    </row>
    <row r="622" spans="1:4" x14ac:dyDescent="0.2">
      <c r="A622" s="19" t="s">
        <v>84</v>
      </c>
      <c r="B622" s="19" t="s">
        <v>66</v>
      </c>
      <c r="C622" s="33">
        <v>64.19</v>
      </c>
      <c r="D622" s="22">
        <v>4.2361111111111106E-2</v>
      </c>
    </row>
    <row r="623" spans="1:4" x14ac:dyDescent="0.2">
      <c r="A623" s="19" t="s">
        <v>84</v>
      </c>
      <c r="B623" s="19" t="s">
        <v>75</v>
      </c>
      <c r="C623" s="33">
        <v>30.856999999999999</v>
      </c>
      <c r="D623" s="22">
        <v>2.6388888888888889E-2</v>
      </c>
    </row>
    <row r="624" spans="1:4" x14ac:dyDescent="0.2">
      <c r="A624" s="19" t="s">
        <v>84</v>
      </c>
      <c r="B624" s="19" t="s">
        <v>67</v>
      </c>
      <c r="C624" s="33">
        <v>32.029000000000003</v>
      </c>
      <c r="D624" s="22">
        <v>2.7083333333333334E-2</v>
      </c>
    </row>
    <row r="625" spans="1:4" x14ac:dyDescent="0.2">
      <c r="A625" s="19" t="s">
        <v>84</v>
      </c>
      <c r="B625" s="19" t="s">
        <v>68</v>
      </c>
      <c r="C625" s="33">
        <v>31.277999999999999</v>
      </c>
      <c r="D625" s="22">
        <v>2.5694444444444447E-2</v>
      </c>
    </row>
    <row r="626" spans="1:4" x14ac:dyDescent="0.2">
      <c r="A626" s="19" t="s">
        <v>84</v>
      </c>
      <c r="B626" s="19" t="s">
        <v>69</v>
      </c>
      <c r="C626" s="33">
        <v>31.294</v>
      </c>
      <c r="D626" s="22">
        <v>2.5694444444444447E-2</v>
      </c>
    </row>
    <row r="627" spans="1:4" x14ac:dyDescent="0.2">
      <c r="A627" s="19" t="s">
        <v>84</v>
      </c>
      <c r="B627" s="19" t="s">
        <v>70</v>
      </c>
      <c r="C627" s="33">
        <v>30.504999999999999</v>
      </c>
      <c r="D627" s="22">
        <v>2.4999999999999998E-2</v>
      </c>
    </row>
    <row r="628" spans="1:4" x14ac:dyDescent="0.2">
      <c r="A628" s="19" t="s">
        <v>84</v>
      </c>
      <c r="B628" s="19" t="s">
        <v>71</v>
      </c>
      <c r="C628" s="33">
        <v>32.531999999999996</v>
      </c>
      <c r="D628" s="22">
        <v>2.6388888888888889E-2</v>
      </c>
    </row>
    <row r="629" spans="1:4" x14ac:dyDescent="0.2">
      <c r="A629" s="19" t="s">
        <v>84</v>
      </c>
      <c r="B629" s="19" t="s">
        <v>95</v>
      </c>
      <c r="C629" s="33">
        <v>54.488</v>
      </c>
      <c r="D629" s="22">
        <v>4.7222222222222221E-2</v>
      </c>
    </row>
    <row r="630" spans="1:4" x14ac:dyDescent="0.2">
      <c r="A630" s="19" t="s">
        <v>84</v>
      </c>
      <c r="B630" s="19" t="s">
        <v>72</v>
      </c>
      <c r="C630" s="33">
        <v>30.23</v>
      </c>
      <c r="D630" s="22">
        <v>2.4999999999999998E-2</v>
      </c>
    </row>
    <row r="631" spans="1:4" x14ac:dyDescent="0.2">
      <c r="A631" s="19" t="s">
        <v>84</v>
      </c>
      <c r="B631" s="19" t="s">
        <v>73</v>
      </c>
      <c r="C631" s="33">
        <v>27.201000000000001</v>
      </c>
      <c r="D631" s="22">
        <v>2.361111111111111E-2</v>
      </c>
    </row>
    <row r="632" spans="1:4" x14ac:dyDescent="0.2">
      <c r="A632" s="19" t="s">
        <v>84</v>
      </c>
      <c r="B632" s="19" t="s">
        <v>74</v>
      </c>
      <c r="C632" s="33">
        <v>26.92</v>
      </c>
      <c r="D632" s="22">
        <v>2.4305555555555556E-2</v>
      </c>
    </row>
    <row r="633" spans="1:4" x14ac:dyDescent="0.2">
      <c r="A633" s="19" t="s">
        <v>84</v>
      </c>
      <c r="B633" s="19" t="s">
        <v>96</v>
      </c>
      <c r="C633" s="33">
        <v>95.46</v>
      </c>
      <c r="D633" s="22">
        <v>5.7638888888888885E-2</v>
      </c>
    </row>
    <row r="634" spans="1:4" x14ac:dyDescent="0.2">
      <c r="A634" s="19" t="s">
        <v>84</v>
      </c>
      <c r="B634" s="19" t="s">
        <v>76</v>
      </c>
      <c r="C634" s="33">
        <v>29.481000000000002</v>
      </c>
      <c r="D634" s="22">
        <v>2.6388888888888889E-2</v>
      </c>
    </row>
    <row r="635" spans="1:4" x14ac:dyDescent="0.2">
      <c r="A635" s="19" t="s">
        <v>84</v>
      </c>
      <c r="B635" s="19" t="s">
        <v>77</v>
      </c>
      <c r="C635" s="33">
        <v>29.687000000000001</v>
      </c>
      <c r="D635" s="22">
        <v>2.6388888888888889E-2</v>
      </c>
    </row>
    <row r="636" spans="1:4" x14ac:dyDescent="0.2">
      <c r="A636" s="19" t="s">
        <v>84</v>
      </c>
      <c r="B636" s="19" t="s">
        <v>78</v>
      </c>
      <c r="C636" s="33">
        <v>27.652999999999999</v>
      </c>
      <c r="D636" s="22">
        <v>2.4305555555555556E-2</v>
      </c>
    </row>
    <row r="637" spans="1:4" x14ac:dyDescent="0.2">
      <c r="A637" s="19" t="s">
        <v>84</v>
      </c>
      <c r="B637" s="19" t="s">
        <v>79</v>
      </c>
      <c r="C637" s="33">
        <v>27.706</v>
      </c>
      <c r="D637" s="22">
        <v>2.361111111111111E-2</v>
      </c>
    </row>
    <row r="638" spans="1:4" x14ac:dyDescent="0.2">
      <c r="A638" s="19" t="s">
        <v>84</v>
      </c>
      <c r="B638" s="19" t="s">
        <v>80</v>
      </c>
      <c r="C638" s="33">
        <v>16.783000000000001</v>
      </c>
      <c r="D638" s="22">
        <v>1.4583333333333332E-2</v>
      </c>
    </row>
    <row r="639" spans="1:4" x14ac:dyDescent="0.2">
      <c r="A639" s="19" t="s">
        <v>84</v>
      </c>
      <c r="B639" s="19" t="s">
        <v>81</v>
      </c>
      <c r="C639" s="33">
        <v>12.316000000000001</v>
      </c>
      <c r="D639" s="22">
        <v>1.1805555555555555E-2</v>
      </c>
    </row>
    <row r="640" spans="1:4" x14ac:dyDescent="0.2">
      <c r="A640" s="19" t="s">
        <v>84</v>
      </c>
      <c r="B640" s="19" t="s">
        <v>82</v>
      </c>
      <c r="C640" s="33">
        <v>8.6110000000000007</v>
      </c>
      <c r="D640" s="22">
        <v>9.0277777777777787E-3</v>
      </c>
    </row>
    <row r="641" spans="1:4" x14ac:dyDescent="0.2">
      <c r="A641" s="19" t="s">
        <v>84</v>
      </c>
      <c r="B641" s="19" t="s">
        <v>83</v>
      </c>
      <c r="C641" s="33">
        <v>12.863</v>
      </c>
      <c r="D641" s="22">
        <v>1.3194444444444444E-2</v>
      </c>
    </row>
    <row r="642" spans="1:4" x14ac:dyDescent="0.2">
      <c r="A642" s="19" t="s">
        <v>84</v>
      </c>
      <c r="B642" s="19" t="s">
        <v>84</v>
      </c>
      <c r="C642" s="33">
        <v>0</v>
      </c>
      <c r="D642" s="22">
        <v>0</v>
      </c>
    </row>
    <row r="643" spans="1:4" x14ac:dyDescent="0.2">
      <c r="A643" s="19" t="s">
        <v>84</v>
      </c>
      <c r="B643" s="19" t="s">
        <v>85</v>
      </c>
      <c r="C643" s="33">
        <v>7.29</v>
      </c>
      <c r="D643" s="22">
        <v>8.3333333333333332E-3</v>
      </c>
    </row>
    <row r="644" spans="1:4" x14ac:dyDescent="0.2">
      <c r="A644" s="19" t="s">
        <v>84</v>
      </c>
      <c r="B644" s="19" t="s">
        <v>86</v>
      </c>
      <c r="C644" s="33">
        <v>4.6420000000000003</v>
      </c>
      <c r="D644" s="22">
        <v>5.5555555555555558E-3</v>
      </c>
    </row>
    <row r="645" spans="1:4" x14ac:dyDescent="0.2">
      <c r="A645" s="19" t="s">
        <v>84</v>
      </c>
      <c r="B645" s="19" t="s">
        <v>87</v>
      </c>
      <c r="C645" s="33">
        <v>6.0410000000000004</v>
      </c>
      <c r="D645" s="22">
        <v>6.9444444444444441E-3</v>
      </c>
    </row>
    <row r="646" spans="1:4" x14ac:dyDescent="0.2">
      <c r="A646" s="19" t="s">
        <v>84</v>
      </c>
      <c r="B646" s="19" t="s">
        <v>88</v>
      </c>
      <c r="C646" s="33">
        <v>12.035</v>
      </c>
      <c r="D646" s="22">
        <v>1.3194444444444444E-2</v>
      </c>
    </row>
    <row r="647" spans="1:4" x14ac:dyDescent="0.2">
      <c r="A647" s="19" t="s">
        <v>84</v>
      </c>
      <c r="B647" s="19" t="s">
        <v>89</v>
      </c>
      <c r="C647" s="33">
        <v>11.776999999999999</v>
      </c>
      <c r="D647" s="22">
        <v>1.1805555555555555E-2</v>
      </c>
    </row>
    <row r="648" spans="1:4" x14ac:dyDescent="0.2">
      <c r="A648" s="19" t="s">
        <v>84</v>
      </c>
      <c r="B648" s="19" t="s">
        <v>90</v>
      </c>
      <c r="C648" s="33">
        <v>35.308</v>
      </c>
      <c r="D648" s="22">
        <v>2.9166666666666664E-2</v>
      </c>
    </row>
    <row r="649" spans="1:4" x14ac:dyDescent="0.2">
      <c r="A649" s="19" t="s">
        <v>84</v>
      </c>
      <c r="B649" s="19" t="s">
        <v>91</v>
      </c>
      <c r="C649" s="33">
        <v>24.378</v>
      </c>
      <c r="D649" s="22">
        <v>1.9444444444444445E-2</v>
      </c>
    </row>
    <row r="650" spans="1:4" x14ac:dyDescent="0.2">
      <c r="A650" s="19" t="s">
        <v>84</v>
      </c>
      <c r="B650" s="19" t="s">
        <v>92</v>
      </c>
      <c r="C650" s="33">
        <v>22.893999999999998</v>
      </c>
      <c r="D650" s="22">
        <v>1.8749999999999999E-2</v>
      </c>
    </row>
    <row r="651" spans="1:4" x14ac:dyDescent="0.2">
      <c r="A651" s="19" t="s">
        <v>84</v>
      </c>
      <c r="B651" s="19" t="s">
        <v>93</v>
      </c>
      <c r="C651" s="33">
        <v>23.335999999999999</v>
      </c>
      <c r="D651" s="22">
        <v>2.2916666666666669E-2</v>
      </c>
    </row>
    <row r="652" spans="1:4" x14ac:dyDescent="0.2">
      <c r="A652" s="19" t="s">
        <v>84</v>
      </c>
      <c r="B652" s="19" t="s">
        <v>94</v>
      </c>
      <c r="C652" s="33">
        <v>26.82</v>
      </c>
      <c r="D652" s="22">
        <v>2.2916666666666669E-2</v>
      </c>
    </row>
    <row r="653" spans="1:4" x14ac:dyDescent="0.2">
      <c r="A653" s="19" t="s">
        <v>85</v>
      </c>
      <c r="B653" s="19" t="s">
        <v>66</v>
      </c>
      <c r="C653" s="33">
        <v>64.153999999999996</v>
      </c>
      <c r="D653" s="22">
        <v>4.1666666666666664E-2</v>
      </c>
    </row>
    <row r="654" spans="1:4" x14ac:dyDescent="0.2">
      <c r="A654" s="19" t="s">
        <v>85</v>
      </c>
      <c r="B654" s="19" t="s">
        <v>75</v>
      </c>
      <c r="C654" s="33">
        <v>30.821000000000002</v>
      </c>
      <c r="D654" s="22">
        <v>2.5694444444444447E-2</v>
      </c>
    </row>
    <row r="655" spans="1:4" x14ac:dyDescent="0.2">
      <c r="A655" s="19" t="s">
        <v>85</v>
      </c>
      <c r="B655" s="19" t="s">
        <v>67</v>
      </c>
      <c r="C655" s="33">
        <v>31.992999999999999</v>
      </c>
      <c r="D655" s="22">
        <v>2.5694444444444447E-2</v>
      </c>
    </row>
    <row r="656" spans="1:4" x14ac:dyDescent="0.2">
      <c r="A656" s="19" t="s">
        <v>85</v>
      </c>
      <c r="B656" s="19" t="s">
        <v>68</v>
      </c>
      <c r="C656" s="33">
        <v>31.242000000000001</v>
      </c>
      <c r="D656" s="22">
        <v>2.4999999999999998E-2</v>
      </c>
    </row>
    <row r="657" spans="1:4" x14ac:dyDescent="0.2">
      <c r="A657" s="19" t="s">
        <v>85</v>
      </c>
      <c r="B657" s="19" t="s">
        <v>69</v>
      </c>
      <c r="C657" s="33">
        <v>31.257999999999999</v>
      </c>
      <c r="D657" s="22">
        <v>2.4999999999999998E-2</v>
      </c>
    </row>
    <row r="658" spans="1:4" x14ac:dyDescent="0.2">
      <c r="A658" s="19" t="s">
        <v>85</v>
      </c>
      <c r="B658" s="19" t="s">
        <v>70</v>
      </c>
      <c r="C658" s="33">
        <v>30.469000000000001</v>
      </c>
      <c r="D658" s="22">
        <v>2.361111111111111E-2</v>
      </c>
    </row>
    <row r="659" spans="1:4" x14ac:dyDescent="0.2">
      <c r="A659" s="19" t="s">
        <v>85</v>
      </c>
      <c r="B659" s="19" t="s">
        <v>71</v>
      </c>
      <c r="C659" s="33">
        <v>32.496000000000002</v>
      </c>
      <c r="D659" s="22">
        <v>2.5694444444444447E-2</v>
      </c>
    </row>
    <row r="660" spans="1:4" x14ac:dyDescent="0.2">
      <c r="A660" s="19" t="s">
        <v>85</v>
      </c>
      <c r="B660" s="19" t="s">
        <v>95</v>
      </c>
      <c r="C660" s="33">
        <v>66.024000000000001</v>
      </c>
      <c r="D660" s="22">
        <v>4.5138888888888888E-2</v>
      </c>
    </row>
    <row r="661" spans="1:4" x14ac:dyDescent="0.2">
      <c r="A661" s="19" t="s">
        <v>85</v>
      </c>
      <c r="B661" s="19" t="s">
        <v>72</v>
      </c>
      <c r="C661" s="33">
        <v>30.193999999999999</v>
      </c>
      <c r="D661" s="22">
        <v>2.4305555555555556E-2</v>
      </c>
    </row>
    <row r="662" spans="1:4" x14ac:dyDescent="0.2">
      <c r="A662" s="19" t="s">
        <v>85</v>
      </c>
      <c r="B662" s="19" t="s">
        <v>73</v>
      </c>
      <c r="C662" s="33">
        <v>27.164999999999999</v>
      </c>
      <c r="D662" s="22">
        <v>2.2916666666666669E-2</v>
      </c>
    </row>
    <row r="663" spans="1:4" x14ac:dyDescent="0.2">
      <c r="A663" s="19" t="s">
        <v>85</v>
      </c>
      <c r="B663" s="19" t="s">
        <v>74</v>
      </c>
      <c r="C663" s="33">
        <v>26.884</v>
      </c>
      <c r="D663" s="22">
        <v>2.2916666666666669E-2</v>
      </c>
    </row>
    <row r="664" spans="1:4" x14ac:dyDescent="0.2">
      <c r="A664" s="19" t="s">
        <v>85</v>
      </c>
      <c r="B664" s="19" t="s">
        <v>96</v>
      </c>
      <c r="C664" s="33">
        <v>100.51900000000001</v>
      </c>
      <c r="D664" s="22">
        <v>5.7638888888888885E-2</v>
      </c>
    </row>
    <row r="665" spans="1:4" x14ac:dyDescent="0.2">
      <c r="A665" s="19" t="s">
        <v>85</v>
      </c>
      <c r="B665" s="19" t="s">
        <v>76</v>
      </c>
      <c r="C665" s="33">
        <v>29.445</v>
      </c>
      <c r="D665" s="22">
        <v>2.4999999999999998E-2</v>
      </c>
    </row>
    <row r="666" spans="1:4" x14ac:dyDescent="0.2">
      <c r="A666" s="19" t="s">
        <v>85</v>
      </c>
      <c r="B666" s="19" t="s">
        <v>77</v>
      </c>
      <c r="C666" s="33">
        <v>29.651</v>
      </c>
      <c r="D666" s="22">
        <v>2.4999999999999998E-2</v>
      </c>
    </row>
    <row r="667" spans="1:4" x14ac:dyDescent="0.2">
      <c r="A667" s="19" t="s">
        <v>85</v>
      </c>
      <c r="B667" s="19" t="s">
        <v>78</v>
      </c>
      <c r="C667" s="33">
        <v>27.617000000000001</v>
      </c>
      <c r="D667" s="22">
        <v>2.2916666666666669E-2</v>
      </c>
    </row>
    <row r="668" spans="1:4" x14ac:dyDescent="0.2">
      <c r="A668" s="19" t="s">
        <v>85</v>
      </c>
      <c r="B668" s="19" t="s">
        <v>79</v>
      </c>
      <c r="C668" s="33">
        <v>27.67</v>
      </c>
      <c r="D668" s="22">
        <v>2.2222222222222223E-2</v>
      </c>
    </row>
    <row r="669" spans="1:4" x14ac:dyDescent="0.2">
      <c r="A669" s="19" t="s">
        <v>85</v>
      </c>
      <c r="B669" s="19" t="s">
        <v>80</v>
      </c>
      <c r="C669" s="33">
        <v>16.747</v>
      </c>
      <c r="D669" s="22">
        <v>1.3888888888888888E-2</v>
      </c>
    </row>
    <row r="670" spans="1:4" x14ac:dyDescent="0.2">
      <c r="A670" s="19" t="s">
        <v>85</v>
      </c>
      <c r="B670" s="19" t="s">
        <v>81</v>
      </c>
      <c r="C670" s="33">
        <v>12.28</v>
      </c>
      <c r="D670" s="22">
        <v>1.0416666666666666E-2</v>
      </c>
    </row>
    <row r="671" spans="1:4" x14ac:dyDescent="0.2">
      <c r="A671" s="19" t="s">
        <v>85</v>
      </c>
      <c r="B671" s="19" t="s">
        <v>82</v>
      </c>
      <c r="C671" s="33">
        <v>8.5749999999999993</v>
      </c>
      <c r="D671" s="22">
        <v>7.6388888888888886E-3</v>
      </c>
    </row>
    <row r="672" spans="1:4" x14ac:dyDescent="0.2">
      <c r="A672" s="19" t="s">
        <v>85</v>
      </c>
      <c r="B672" s="19" t="s">
        <v>83</v>
      </c>
      <c r="C672" s="33">
        <v>11.523</v>
      </c>
      <c r="D672" s="22">
        <v>1.1805555555555555E-2</v>
      </c>
    </row>
    <row r="673" spans="1:4" x14ac:dyDescent="0.2">
      <c r="A673" s="19" t="s">
        <v>85</v>
      </c>
      <c r="B673" s="19" t="s">
        <v>84</v>
      </c>
      <c r="C673" s="33">
        <v>6.8609999999999998</v>
      </c>
      <c r="D673" s="22">
        <v>7.6388888888888886E-3</v>
      </c>
    </row>
    <row r="674" spans="1:4" x14ac:dyDescent="0.2">
      <c r="A674" s="19" t="s">
        <v>85</v>
      </c>
      <c r="B674" s="19" t="s">
        <v>85</v>
      </c>
      <c r="C674" s="33">
        <v>0</v>
      </c>
      <c r="D674" s="22">
        <v>0</v>
      </c>
    </row>
    <row r="675" spans="1:4" x14ac:dyDescent="0.2">
      <c r="A675" s="19" t="s">
        <v>85</v>
      </c>
      <c r="B675" s="19" t="s">
        <v>86</v>
      </c>
      <c r="C675" s="33">
        <v>3.58</v>
      </c>
      <c r="D675" s="22">
        <v>3.472222222222222E-3</v>
      </c>
    </row>
    <row r="676" spans="1:4" x14ac:dyDescent="0.2">
      <c r="A676" s="19" t="s">
        <v>85</v>
      </c>
      <c r="B676" s="19" t="s">
        <v>87</v>
      </c>
      <c r="C676" s="33">
        <v>6.0049999999999999</v>
      </c>
      <c r="D676" s="22">
        <v>5.5555555555555558E-3</v>
      </c>
    </row>
    <row r="677" spans="1:4" x14ac:dyDescent="0.2">
      <c r="A677" s="19" t="s">
        <v>85</v>
      </c>
      <c r="B677" s="19" t="s">
        <v>88</v>
      </c>
      <c r="C677" s="33">
        <v>7.45</v>
      </c>
      <c r="D677" s="22">
        <v>8.3333333333333332E-3</v>
      </c>
    </row>
    <row r="678" spans="1:4" x14ac:dyDescent="0.2">
      <c r="A678" s="19" t="s">
        <v>85</v>
      </c>
      <c r="B678" s="19" t="s">
        <v>89</v>
      </c>
      <c r="C678" s="33">
        <v>11.741</v>
      </c>
      <c r="D678" s="22">
        <v>1.1111111111111112E-2</v>
      </c>
    </row>
    <row r="679" spans="1:4" x14ac:dyDescent="0.2">
      <c r="A679" s="19" t="s">
        <v>85</v>
      </c>
      <c r="B679" s="19" t="s">
        <v>90</v>
      </c>
      <c r="C679" s="33">
        <v>35.271999999999998</v>
      </c>
      <c r="D679" s="22">
        <v>2.7777777777777776E-2</v>
      </c>
    </row>
    <row r="680" spans="1:4" x14ac:dyDescent="0.2">
      <c r="A680" s="19" t="s">
        <v>85</v>
      </c>
      <c r="B680" s="19" t="s">
        <v>91</v>
      </c>
      <c r="C680" s="33">
        <v>24.341999999999999</v>
      </c>
      <c r="D680" s="22">
        <v>1.8749999999999999E-2</v>
      </c>
    </row>
    <row r="681" spans="1:4" x14ac:dyDescent="0.2">
      <c r="A681" s="19" t="s">
        <v>85</v>
      </c>
      <c r="B681" s="19" t="s">
        <v>92</v>
      </c>
      <c r="C681" s="33">
        <v>22.201000000000001</v>
      </c>
      <c r="D681" s="22">
        <v>1.5972222222222224E-2</v>
      </c>
    </row>
    <row r="682" spans="1:4" x14ac:dyDescent="0.2">
      <c r="A682" s="19" t="s">
        <v>85</v>
      </c>
      <c r="B682" s="19" t="s">
        <v>93</v>
      </c>
      <c r="C682" s="33">
        <v>20.036000000000001</v>
      </c>
      <c r="D682" s="22">
        <v>1.6666666666666666E-2</v>
      </c>
    </row>
    <row r="683" spans="1:4" x14ac:dyDescent="0.2">
      <c r="A683" s="19" t="s">
        <v>85</v>
      </c>
      <c r="B683" s="19" t="s">
        <v>94</v>
      </c>
      <c r="C683" s="33">
        <v>26.126999999999999</v>
      </c>
      <c r="D683" s="22">
        <v>1.9444444444444445E-2</v>
      </c>
    </row>
    <row r="684" spans="1:4" x14ac:dyDescent="0.2">
      <c r="A684" s="19" t="s">
        <v>86</v>
      </c>
      <c r="B684" s="19" t="s">
        <v>66</v>
      </c>
      <c r="C684" s="33">
        <v>60.281999999999996</v>
      </c>
      <c r="D684" s="22">
        <v>3.888888888888889E-2</v>
      </c>
    </row>
    <row r="685" spans="1:4" x14ac:dyDescent="0.2">
      <c r="A685" s="19" t="s">
        <v>86</v>
      </c>
      <c r="B685" s="19" t="s">
        <v>75</v>
      </c>
      <c r="C685" s="33">
        <v>26.949000000000002</v>
      </c>
      <c r="D685" s="22">
        <v>2.2916666666666669E-2</v>
      </c>
    </row>
    <row r="686" spans="1:4" x14ac:dyDescent="0.2">
      <c r="A686" s="19" t="s">
        <v>86</v>
      </c>
      <c r="B686" s="19" t="s">
        <v>67</v>
      </c>
      <c r="C686" s="33">
        <v>28.120999999999999</v>
      </c>
      <c r="D686" s="22">
        <v>2.361111111111111E-2</v>
      </c>
    </row>
    <row r="687" spans="1:4" x14ac:dyDescent="0.2">
      <c r="A687" s="19" t="s">
        <v>86</v>
      </c>
      <c r="B687" s="19" t="s">
        <v>68</v>
      </c>
      <c r="C687" s="33">
        <v>27.37</v>
      </c>
      <c r="D687" s="22">
        <v>2.2222222222222223E-2</v>
      </c>
    </row>
    <row r="688" spans="1:4" x14ac:dyDescent="0.2">
      <c r="A688" s="19" t="s">
        <v>86</v>
      </c>
      <c r="B688" s="19" t="s">
        <v>69</v>
      </c>
      <c r="C688" s="33">
        <v>27.385999999999999</v>
      </c>
      <c r="D688" s="22">
        <v>2.2222222222222223E-2</v>
      </c>
    </row>
    <row r="689" spans="1:4" x14ac:dyDescent="0.2">
      <c r="A689" s="19" t="s">
        <v>86</v>
      </c>
      <c r="B689" s="19" t="s">
        <v>70</v>
      </c>
      <c r="C689" s="33">
        <v>26.597000000000001</v>
      </c>
      <c r="D689" s="22">
        <v>2.1527777777777781E-2</v>
      </c>
    </row>
    <row r="690" spans="1:4" x14ac:dyDescent="0.2">
      <c r="A690" s="19" t="s">
        <v>86</v>
      </c>
      <c r="B690" s="19" t="s">
        <v>71</v>
      </c>
      <c r="C690" s="33">
        <v>28.623999999999999</v>
      </c>
      <c r="D690" s="22">
        <v>2.2916666666666669E-2</v>
      </c>
    </row>
    <row r="691" spans="1:4" x14ac:dyDescent="0.2">
      <c r="A691" s="19" t="s">
        <v>86</v>
      </c>
      <c r="B691" s="19" t="s">
        <v>95</v>
      </c>
      <c r="C691" s="33">
        <v>62.152000000000001</v>
      </c>
      <c r="D691" s="22">
        <v>4.3055555555555562E-2</v>
      </c>
    </row>
    <row r="692" spans="1:4" x14ac:dyDescent="0.2">
      <c r="A692" s="19" t="s">
        <v>86</v>
      </c>
      <c r="B692" s="19" t="s">
        <v>72</v>
      </c>
      <c r="C692" s="33">
        <v>26.321999999999999</v>
      </c>
      <c r="D692" s="22">
        <v>2.1527777777777781E-2</v>
      </c>
    </row>
    <row r="693" spans="1:4" x14ac:dyDescent="0.2">
      <c r="A693" s="19" t="s">
        <v>86</v>
      </c>
      <c r="B693" s="19" t="s">
        <v>73</v>
      </c>
      <c r="C693" s="33">
        <v>23.292999999999999</v>
      </c>
      <c r="D693" s="22">
        <v>2.013888888888889E-2</v>
      </c>
    </row>
    <row r="694" spans="1:4" x14ac:dyDescent="0.2">
      <c r="A694" s="19" t="s">
        <v>86</v>
      </c>
      <c r="B694" s="19" t="s">
        <v>74</v>
      </c>
      <c r="C694" s="33">
        <v>23.012</v>
      </c>
      <c r="D694" s="22">
        <v>2.013888888888889E-2</v>
      </c>
    </row>
    <row r="695" spans="1:4" x14ac:dyDescent="0.2">
      <c r="A695" s="19" t="s">
        <v>86</v>
      </c>
      <c r="B695" s="19" t="s">
        <v>96</v>
      </c>
      <c r="C695" s="33">
        <v>91.552000000000007</v>
      </c>
      <c r="D695" s="22">
        <v>5.4166666666666669E-2</v>
      </c>
    </row>
    <row r="696" spans="1:4" x14ac:dyDescent="0.2">
      <c r="A696" s="19" t="s">
        <v>86</v>
      </c>
      <c r="B696" s="19" t="s">
        <v>76</v>
      </c>
      <c r="C696" s="33">
        <v>25.573</v>
      </c>
      <c r="D696" s="22">
        <v>2.2916666666666669E-2</v>
      </c>
    </row>
    <row r="697" spans="1:4" x14ac:dyDescent="0.2">
      <c r="A697" s="19" t="s">
        <v>86</v>
      </c>
      <c r="B697" s="19" t="s">
        <v>77</v>
      </c>
      <c r="C697" s="33">
        <v>25.779</v>
      </c>
      <c r="D697" s="22">
        <v>2.2222222222222223E-2</v>
      </c>
    </row>
    <row r="698" spans="1:4" x14ac:dyDescent="0.2">
      <c r="A698" s="19" t="s">
        <v>86</v>
      </c>
      <c r="B698" s="19" t="s">
        <v>78</v>
      </c>
      <c r="C698" s="33">
        <v>23.745000000000001</v>
      </c>
      <c r="D698" s="22">
        <v>2.013888888888889E-2</v>
      </c>
    </row>
    <row r="699" spans="1:4" x14ac:dyDescent="0.2">
      <c r="A699" s="19" t="s">
        <v>86</v>
      </c>
      <c r="B699" s="19" t="s">
        <v>79</v>
      </c>
      <c r="C699" s="33">
        <v>23.797999999999998</v>
      </c>
      <c r="D699" s="22">
        <v>1.9444444444444445E-2</v>
      </c>
    </row>
    <row r="700" spans="1:4" x14ac:dyDescent="0.2">
      <c r="A700" s="19" t="s">
        <v>86</v>
      </c>
      <c r="B700" s="19" t="s">
        <v>80</v>
      </c>
      <c r="C700" s="33">
        <v>12.875</v>
      </c>
      <c r="D700" s="22">
        <v>1.1111111111111112E-2</v>
      </c>
    </row>
    <row r="701" spans="1:4" x14ac:dyDescent="0.2">
      <c r="A701" s="19" t="s">
        <v>86</v>
      </c>
      <c r="B701" s="19" t="s">
        <v>81</v>
      </c>
      <c r="C701" s="33">
        <v>9.6319999999999997</v>
      </c>
      <c r="D701" s="22">
        <v>8.3333333333333332E-3</v>
      </c>
    </row>
    <row r="702" spans="1:4" x14ac:dyDescent="0.2">
      <c r="A702" s="19" t="s">
        <v>86</v>
      </c>
      <c r="B702" s="19" t="s">
        <v>82</v>
      </c>
      <c r="C702" s="33">
        <v>5.9269999999999996</v>
      </c>
      <c r="D702" s="22">
        <v>5.5555555555555558E-3</v>
      </c>
    </row>
    <row r="703" spans="1:4" x14ac:dyDescent="0.2">
      <c r="A703" s="19" t="s">
        <v>86</v>
      </c>
      <c r="B703" s="19" t="s">
        <v>83</v>
      </c>
      <c r="C703" s="33">
        <v>8.6050000000000004</v>
      </c>
      <c r="D703" s="22">
        <v>9.0277777777777787E-3</v>
      </c>
    </row>
    <row r="704" spans="1:4" x14ac:dyDescent="0.2">
      <c r="A704" s="19" t="s">
        <v>86</v>
      </c>
      <c r="B704" s="19" t="s">
        <v>84</v>
      </c>
      <c r="C704" s="33">
        <v>5.5590000000000002</v>
      </c>
      <c r="D704" s="22">
        <v>5.5555555555555558E-3</v>
      </c>
    </row>
    <row r="705" spans="1:4" x14ac:dyDescent="0.2">
      <c r="A705" s="19" t="s">
        <v>86</v>
      </c>
      <c r="B705" s="19" t="s">
        <v>85</v>
      </c>
      <c r="C705" s="33">
        <v>3.58</v>
      </c>
      <c r="D705" s="22">
        <v>3.472222222222222E-3</v>
      </c>
    </row>
    <row r="706" spans="1:4" x14ac:dyDescent="0.2">
      <c r="A706" s="19" t="s">
        <v>86</v>
      </c>
      <c r="B706" s="19" t="s">
        <v>86</v>
      </c>
      <c r="C706" s="33">
        <v>0</v>
      </c>
      <c r="D706" s="22">
        <v>0</v>
      </c>
    </row>
    <row r="707" spans="1:4" x14ac:dyDescent="0.2">
      <c r="A707" s="19" t="s">
        <v>86</v>
      </c>
      <c r="B707" s="19" t="s">
        <v>87</v>
      </c>
      <c r="C707" s="33">
        <v>3.3570000000000002</v>
      </c>
      <c r="D707" s="22">
        <v>3.472222222222222E-3</v>
      </c>
    </row>
    <row r="708" spans="1:4" x14ac:dyDescent="0.2">
      <c r="A708" s="19" t="s">
        <v>86</v>
      </c>
      <c r="B708" s="19" t="s">
        <v>88</v>
      </c>
      <c r="C708" s="33">
        <v>7.9249999999999998</v>
      </c>
      <c r="D708" s="22">
        <v>7.6388888888888886E-3</v>
      </c>
    </row>
    <row r="709" spans="1:4" x14ac:dyDescent="0.2">
      <c r="A709" s="19" t="s">
        <v>86</v>
      </c>
      <c r="B709" s="19" t="s">
        <v>89</v>
      </c>
      <c r="C709" s="33">
        <v>9.093</v>
      </c>
      <c r="D709" s="22">
        <v>8.3333333333333332E-3</v>
      </c>
    </row>
    <row r="710" spans="1:4" x14ac:dyDescent="0.2">
      <c r="A710" s="19" t="s">
        <v>86</v>
      </c>
      <c r="B710" s="19" t="s">
        <v>90</v>
      </c>
      <c r="C710" s="33">
        <v>31.4</v>
      </c>
      <c r="D710" s="22">
        <v>2.4999999999999998E-2</v>
      </c>
    </row>
    <row r="711" spans="1:4" x14ac:dyDescent="0.2">
      <c r="A711" s="19" t="s">
        <v>86</v>
      </c>
      <c r="B711" s="19" t="s">
        <v>91</v>
      </c>
      <c r="C711" s="33">
        <v>20.47</v>
      </c>
      <c r="D711" s="22">
        <v>1.5972222222222224E-2</v>
      </c>
    </row>
    <row r="712" spans="1:4" x14ac:dyDescent="0.2">
      <c r="A712" s="19" t="s">
        <v>86</v>
      </c>
      <c r="B712" s="19" t="s">
        <v>92</v>
      </c>
      <c r="C712" s="33">
        <v>18.986000000000001</v>
      </c>
      <c r="D712" s="22">
        <v>1.5277777777777777E-2</v>
      </c>
    </row>
    <row r="713" spans="1:4" x14ac:dyDescent="0.2">
      <c r="A713" s="19" t="s">
        <v>86</v>
      </c>
      <c r="B713" s="19" t="s">
        <v>93</v>
      </c>
      <c r="C713" s="33">
        <v>19.225999999999999</v>
      </c>
      <c r="D713" s="22">
        <v>1.8055555555555557E-2</v>
      </c>
    </row>
    <row r="714" spans="1:4" x14ac:dyDescent="0.2">
      <c r="A714" s="19" t="s">
        <v>86</v>
      </c>
      <c r="B714" s="19" t="s">
        <v>94</v>
      </c>
      <c r="C714" s="33">
        <v>22.911999999999999</v>
      </c>
      <c r="D714" s="22">
        <v>1.8749999999999999E-2</v>
      </c>
    </row>
    <row r="715" spans="1:4" x14ac:dyDescent="0.2">
      <c r="A715" s="19" t="s">
        <v>87</v>
      </c>
      <c r="B715" s="19" t="s">
        <v>66</v>
      </c>
      <c r="C715" s="33">
        <v>56.488</v>
      </c>
      <c r="D715" s="22">
        <v>3.7499999999999999E-2</v>
      </c>
    </row>
    <row r="716" spans="1:4" x14ac:dyDescent="0.2">
      <c r="A716" s="19" t="s">
        <v>87</v>
      </c>
      <c r="B716" s="19" t="s">
        <v>75</v>
      </c>
      <c r="C716" s="33">
        <v>26.039000000000001</v>
      </c>
      <c r="D716" s="22">
        <v>2.1527777777777781E-2</v>
      </c>
    </row>
    <row r="717" spans="1:4" x14ac:dyDescent="0.2">
      <c r="A717" s="19" t="s">
        <v>87</v>
      </c>
      <c r="B717" s="19" t="s">
        <v>67</v>
      </c>
      <c r="C717" s="33">
        <v>27.210999999999999</v>
      </c>
      <c r="D717" s="22">
        <v>2.2222222222222223E-2</v>
      </c>
    </row>
    <row r="718" spans="1:4" x14ac:dyDescent="0.2">
      <c r="A718" s="19" t="s">
        <v>87</v>
      </c>
      <c r="B718" s="19" t="s">
        <v>68</v>
      </c>
      <c r="C718" s="33">
        <v>26.46</v>
      </c>
      <c r="D718" s="22">
        <v>2.0833333333333332E-2</v>
      </c>
    </row>
    <row r="719" spans="1:4" x14ac:dyDescent="0.2">
      <c r="A719" s="19" t="s">
        <v>87</v>
      </c>
      <c r="B719" s="19" t="s">
        <v>69</v>
      </c>
      <c r="C719" s="33">
        <v>26.475999999999999</v>
      </c>
      <c r="D719" s="22">
        <v>2.0833333333333332E-2</v>
      </c>
    </row>
    <row r="720" spans="1:4" x14ac:dyDescent="0.2">
      <c r="A720" s="19" t="s">
        <v>87</v>
      </c>
      <c r="B720" s="19" t="s">
        <v>70</v>
      </c>
      <c r="C720" s="33">
        <v>25.687000000000001</v>
      </c>
      <c r="D720" s="22">
        <v>2.013888888888889E-2</v>
      </c>
    </row>
    <row r="721" spans="1:4" x14ac:dyDescent="0.2">
      <c r="A721" s="19" t="s">
        <v>87</v>
      </c>
      <c r="B721" s="19" t="s">
        <v>71</v>
      </c>
      <c r="C721" s="33">
        <v>27.713999999999999</v>
      </c>
      <c r="D721" s="22">
        <v>2.1527777777777781E-2</v>
      </c>
    </row>
    <row r="722" spans="1:4" x14ac:dyDescent="0.2">
      <c r="A722" s="19" t="s">
        <v>87</v>
      </c>
      <c r="B722" s="19" t="s">
        <v>95</v>
      </c>
      <c r="C722" s="33">
        <v>49.67</v>
      </c>
      <c r="D722" s="22">
        <v>4.2361111111111106E-2</v>
      </c>
    </row>
    <row r="723" spans="1:4" x14ac:dyDescent="0.2">
      <c r="A723" s="19" t="s">
        <v>87</v>
      </c>
      <c r="B723" s="19" t="s">
        <v>72</v>
      </c>
      <c r="C723" s="33">
        <v>25.411999999999999</v>
      </c>
      <c r="D723" s="22">
        <v>2.013888888888889E-2</v>
      </c>
    </row>
    <row r="724" spans="1:4" x14ac:dyDescent="0.2">
      <c r="A724" s="19" t="s">
        <v>87</v>
      </c>
      <c r="B724" s="19" t="s">
        <v>73</v>
      </c>
      <c r="C724" s="33">
        <v>22.382999999999999</v>
      </c>
      <c r="D724" s="22">
        <v>1.8749999999999999E-2</v>
      </c>
    </row>
    <row r="725" spans="1:4" x14ac:dyDescent="0.2">
      <c r="A725" s="19" t="s">
        <v>87</v>
      </c>
      <c r="B725" s="19" t="s">
        <v>74</v>
      </c>
      <c r="C725" s="33">
        <v>22.102</v>
      </c>
      <c r="D725" s="22">
        <v>1.9444444444444445E-2</v>
      </c>
    </row>
    <row r="726" spans="1:4" x14ac:dyDescent="0.2">
      <c r="A726" s="19" t="s">
        <v>87</v>
      </c>
      <c r="B726" s="19" t="s">
        <v>96</v>
      </c>
      <c r="C726" s="33">
        <v>90.641999999999996</v>
      </c>
      <c r="D726" s="22">
        <v>5.2777777777777778E-2</v>
      </c>
    </row>
    <row r="727" spans="1:4" x14ac:dyDescent="0.2">
      <c r="A727" s="19" t="s">
        <v>87</v>
      </c>
      <c r="B727" s="19" t="s">
        <v>76</v>
      </c>
      <c r="C727" s="33">
        <v>24.663</v>
      </c>
      <c r="D727" s="22">
        <v>2.1527777777777781E-2</v>
      </c>
    </row>
    <row r="728" spans="1:4" x14ac:dyDescent="0.2">
      <c r="A728" s="19" t="s">
        <v>87</v>
      </c>
      <c r="B728" s="19" t="s">
        <v>77</v>
      </c>
      <c r="C728" s="33">
        <v>24.869</v>
      </c>
      <c r="D728" s="22">
        <v>2.0833333333333332E-2</v>
      </c>
    </row>
    <row r="729" spans="1:4" x14ac:dyDescent="0.2">
      <c r="A729" s="19" t="s">
        <v>87</v>
      </c>
      <c r="B729" s="19" t="s">
        <v>78</v>
      </c>
      <c r="C729" s="33">
        <v>22.835000000000001</v>
      </c>
      <c r="D729" s="22">
        <v>1.9444444444444445E-2</v>
      </c>
    </row>
    <row r="730" spans="1:4" x14ac:dyDescent="0.2">
      <c r="A730" s="19" t="s">
        <v>87</v>
      </c>
      <c r="B730" s="19" t="s">
        <v>79</v>
      </c>
      <c r="C730" s="33">
        <v>22.888000000000002</v>
      </c>
      <c r="D730" s="22">
        <v>1.8055555555555557E-2</v>
      </c>
    </row>
    <row r="731" spans="1:4" x14ac:dyDescent="0.2">
      <c r="A731" s="19" t="s">
        <v>87</v>
      </c>
      <c r="B731" s="19" t="s">
        <v>80</v>
      </c>
      <c r="C731" s="33">
        <v>11.965</v>
      </c>
      <c r="D731" s="22">
        <v>9.7222222222222224E-3</v>
      </c>
    </row>
    <row r="732" spans="1:4" x14ac:dyDescent="0.2">
      <c r="A732" s="19" t="s">
        <v>87</v>
      </c>
      <c r="B732" s="19" t="s">
        <v>81</v>
      </c>
      <c r="C732" s="33">
        <v>7.4980000000000002</v>
      </c>
      <c r="D732" s="22">
        <v>6.9444444444444441E-3</v>
      </c>
    </row>
    <row r="733" spans="1:4" x14ac:dyDescent="0.2">
      <c r="A733" s="19" t="s">
        <v>87</v>
      </c>
      <c r="B733" s="19" t="s">
        <v>82</v>
      </c>
      <c r="C733" s="33">
        <v>3.7930000000000001</v>
      </c>
      <c r="D733" s="22">
        <v>4.1666666666666666E-3</v>
      </c>
    </row>
    <row r="734" spans="1:4" x14ac:dyDescent="0.2">
      <c r="A734" s="19" t="s">
        <v>87</v>
      </c>
      <c r="B734" s="19" t="s">
        <v>83</v>
      </c>
      <c r="C734" s="33">
        <v>8.0449999999999999</v>
      </c>
      <c r="D734" s="22">
        <v>8.3333333333333332E-3</v>
      </c>
    </row>
    <row r="735" spans="1:4" x14ac:dyDescent="0.2">
      <c r="A735" s="19" t="s">
        <v>87</v>
      </c>
      <c r="B735" s="19" t="s">
        <v>84</v>
      </c>
      <c r="C735" s="33">
        <v>6.9880000000000004</v>
      </c>
      <c r="D735" s="22">
        <v>6.9444444444444441E-3</v>
      </c>
    </row>
    <row r="736" spans="1:4" x14ac:dyDescent="0.2">
      <c r="A736" s="19" t="s">
        <v>87</v>
      </c>
      <c r="B736" s="19" t="s">
        <v>85</v>
      </c>
      <c r="C736" s="33">
        <v>6.0350000000000001</v>
      </c>
      <c r="D736" s="22">
        <v>6.2499999999999995E-3</v>
      </c>
    </row>
    <row r="737" spans="1:4" x14ac:dyDescent="0.2">
      <c r="A737" s="19" t="s">
        <v>87</v>
      </c>
      <c r="B737" s="19" t="s">
        <v>86</v>
      </c>
      <c r="C737" s="33">
        <v>3.387</v>
      </c>
      <c r="D737" s="22">
        <v>3.472222222222222E-3</v>
      </c>
    </row>
    <row r="738" spans="1:4" x14ac:dyDescent="0.2">
      <c r="A738" s="19" t="s">
        <v>87</v>
      </c>
      <c r="B738" s="19" t="s">
        <v>87</v>
      </c>
      <c r="C738" s="33">
        <v>0</v>
      </c>
      <c r="D738" s="22">
        <v>0</v>
      </c>
    </row>
    <row r="739" spans="1:4" x14ac:dyDescent="0.2">
      <c r="A739" s="19" t="s">
        <v>87</v>
      </c>
      <c r="B739" s="19" t="s">
        <v>88</v>
      </c>
      <c r="C739" s="33">
        <v>10.78</v>
      </c>
      <c r="D739" s="22">
        <v>1.1111111111111112E-2</v>
      </c>
    </row>
    <row r="740" spans="1:4" x14ac:dyDescent="0.2">
      <c r="A740" s="19" t="s">
        <v>87</v>
      </c>
      <c r="B740" s="19" t="s">
        <v>89</v>
      </c>
      <c r="C740" s="33">
        <v>6.9589999999999996</v>
      </c>
      <c r="D740" s="22">
        <v>6.9444444444444441E-3</v>
      </c>
    </row>
    <row r="741" spans="1:4" x14ac:dyDescent="0.2">
      <c r="A741" s="19" t="s">
        <v>87</v>
      </c>
      <c r="B741" s="19" t="s">
        <v>90</v>
      </c>
      <c r="C741" s="33">
        <v>30.49</v>
      </c>
      <c r="D741" s="22">
        <v>2.4305555555555556E-2</v>
      </c>
    </row>
    <row r="742" spans="1:4" x14ac:dyDescent="0.2">
      <c r="A742" s="19" t="s">
        <v>87</v>
      </c>
      <c r="B742" s="19" t="s">
        <v>91</v>
      </c>
      <c r="C742" s="33">
        <v>19.559999999999999</v>
      </c>
      <c r="D742" s="22">
        <v>1.4583333333333332E-2</v>
      </c>
    </row>
    <row r="743" spans="1:4" x14ac:dyDescent="0.2">
      <c r="A743" s="19" t="s">
        <v>87</v>
      </c>
      <c r="B743" s="19" t="s">
        <v>92</v>
      </c>
      <c r="C743" s="33">
        <v>18.076000000000001</v>
      </c>
      <c r="D743" s="22">
        <v>1.3888888888888888E-2</v>
      </c>
    </row>
    <row r="744" spans="1:4" x14ac:dyDescent="0.2">
      <c r="A744" s="19" t="s">
        <v>87</v>
      </c>
      <c r="B744" s="19" t="s">
        <v>93</v>
      </c>
      <c r="C744" s="33">
        <v>22.550999999999998</v>
      </c>
      <c r="D744" s="22">
        <v>1.8749999999999999E-2</v>
      </c>
    </row>
    <row r="745" spans="1:4" x14ac:dyDescent="0.2">
      <c r="A745" s="19" t="s">
        <v>87</v>
      </c>
      <c r="B745" s="19" t="s">
        <v>94</v>
      </c>
      <c r="C745" s="33">
        <v>22.001999999999999</v>
      </c>
      <c r="D745" s="22">
        <v>1.8055555555555557E-2</v>
      </c>
    </row>
    <row r="746" spans="1:4" x14ac:dyDescent="0.2">
      <c r="A746" s="19" t="s">
        <v>88</v>
      </c>
      <c r="B746" s="19" t="s">
        <v>66</v>
      </c>
      <c r="C746" s="33">
        <v>55.273000000000003</v>
      </c>
      <c r="D746" s="22">
        <v>3.6111111111111115E-2</v>
      </c>
    </row>
    <row r="747" spans="1:4" x14ac:dyDescent="0.2">
      <c r="A747" s="19" t="s">
        <v>88</v>
      </c>
      <c r="B747" s="19" t="s">
        <v>75</v>
      </c>
      <c r="C747" s="33">
        <v>24.824000000000002</v>
      </c>
      <c r="D747" s="22">
        <v>2.013888888888889E-2</v>
      </c>
    </row>
    <row r="748" spans="1:4" x14ac:dyDescent="0.2">
      <c r="A748" s="19" t="s">
        <v>88</v>
      </c>
      <c r="B748" s="19" t="s">
        <v>67</v>
      </c>
      <c r="C748" s="33">
        <v>25.995999999999999</v>
      </c>
      <c r="D748" s="22">
        <v>2.0833333333333332E-2</v>
      </c>
    </row>
    <row r="749" spans="1:4" x14ac:dyDescent="0.2">
      <c r="A749" s="19" t="s">
        <v>88</v>
      </c>
      <c r="B749" s="19" t="s">
        <v>68</v>
      </c>
      <c r="C749" s="33">
        <v>25.245000000000001</v>
      </c>
      <c r="D749" s="22">
        <v>1.9444444444444445E-2</v>
      </c>
    </row>
    <row r="750" spans="1:4" x14ac:dyDescent="0.2">
      <c r="A750" s="19" t="s">
        <v>88</v>
      </c>
      <c r="B750" s="19" t="s">
        <v>69</v>
      </c>
      <c r="C750" s="33">
        <v>25.260999999999999</v>
      </c>
      <c r="D750" s="22">
        <v>1.9444444444444445E-2</v>
      </c>
    </row>
    <row r="751" spans="1:4" x14ac:dyDescent="0.2">
      <c r="A751" s="19" t="s">
        <v>88</v>
      </c>
      <c r="B751" s="19" t="s">
        <v>70</v>
      </c>
      <c r="C751" s="33">
        <v>24.472000000000001</v>
      </c>
      <c r="D751" s="22">
        <v>1.8749999999999999E-2</v>
      </c>
    </row>
    <row r="752" spans="1:4" x14ac:dyDescent="0.2">
      <c r="A752" s="19" t="s">
        <v>88</v>
      </c>
      <c r="B752" s="19" t="s">
        <v>71</v>
      </c>
      <c r="C752" s="33">
        <v>26.498999999999999</v>
      </c>
      <c r="D752" s="22">
        <v>2.013888888888889E-2</v>
      </c>
    </row>
    <row r="753" spans="1:4" x14ac:dyDescent="0.2">
      <c r="A753" s="19" t="s">
        <v>88</v>
      </c>
      <c r="B753" s="19" t="s">
        <v>95</v>
      </c>
      <c r="C753" s="33">
        <v>60.027000000000001</v>
      </c>
      <c r="D753" s="22">
        <v>4.027777777777778E-2</v>
      </c>
    </row>
    <row r="754" spans="1:4" x14ac:dyDescent="0.2">
      <c r="A754" s="19" t="s">
        <v>88</v>
      </c>
      <c r="B754" s="19" t="s">
        <v>72</v>
      </c>
      <c r="C754" s="33">
        <v>24.196999999999999</v>
      </c>
      <c r="D754" s="22">
        <v>1.8749999999999999E-2</v>
      </c>
    </row>
    <row r="755" spans="1:4" x14ac:dyDescent="0.2">
      <c r="A755" s="19" t="s">
        <v>88</v>
      </c>
      <c r="B755" s="19" t="s">
        <v>73</v>
      </c>
      <c r="C755" s="33">
        <v>21.167999999999999</v>
      </c>
      <c r="D755" s="22">
        <v>1.8055555555555557E-2</v>
      </c>
    </row>
    <row r="756" spans="1:4" x14ac:dyDescent="0.2">
      <c r="A756" s="19" t="s">
        <v>88</v>
      </c>
      <c r="B756" s="19" t="s">
        <v>74</v>
      </c>
      <c r="C756" s="33">
        <v>20.887</v>
      </c>
      <c r="D756" s="22">
        <v>1.8055555555555557E-2</v>
      </c>
    </row>
    <row r="757" spans="1:4" x14ac:dyDescent="0.2">
      <c r="A757" s="19" t="s">
        <v>88</v>
      </c>
      <c r="B757" s="19" t="s">
        <v>96</v>
      </c>
      <c r="C757" s="33">
        <v>89.427000000000007</v>
      </c>
      <c r="D757" s="22">
        <v>5.1388888888888894E-2</v>
      </c>
    </row>
    <row r="758" spans="1:4" x14ac:dyDescent="0.2">
      <c r="A758" s="19" t="s">
        <v>88</v>
      </c>
      <c r="B758" s="19" t="s">
        <v>76</v>
      </c>
      <c r="C758" s="33">
        <v>23.448</v>
      </c>
      <c r="D758" s="22">
        <v>2.013888888888889E-2</v>
      </c>
    </row>
    <row r="759" spans="1:4" x14ac:dyDescent="0.2">
      <c r="A759" s="19" t="s">
        <v>88</v>
      </c>
      <c r="B759" s="19" t="s">
        <v>77</v>
      </c>
      <c r="C759" s="33">
        <v>23.654</v>
      </c>
      <c r="D759" s="22">
        <v>2.013888888888889E-2</v>
      </c>
    </row>
    <row r="760" spans="1:4" x14ac:dyDescent="0.2">
      <c r="A760" s="19" t="s">
        <v>88</v>
      </c>
      <c r="B760" s="19" t="s">
        <v>78</v>
      </c>
      <c r="C760" s="33">
        <v>21.62</v>
      </c>
      <c r="D760" s="22">
        <v>1.8055555555555557E-2</v>
      </c>
    </row>
    <row r="761" spans="1:4" x14ac:dyDescent="0.2">
      <c r="A761" s="19" t="s">
        <v>88</v>
      </c>
      <c r="B761" s="19" t="s">
        <v>79</v>
      </c>
      <c r="C761" s="33">
        <v>21.672999999999998</v>
      </c>
      <c r="D761" s="22">
        <v>1.7361111111111112E-2</v>
      </c>
    </row>
    <row r="762" spans="1:4" x14ac:dyDescent="0.2">
      <c r="A762" s="19" t="s">
        <v>88</v>
      </c>
      <c r="B762" s="19" t="s">
        <v>80</v>
      </c>
      <c r="C762" s="33">
        <v>10.75</v>
      </c>
      <c r="D762" s="22">
        <v>8.3333333333333332E-3</v>
      </c>
    </row>
    <row r="763" spans="1:4" x14ac:dyDescent="0.2">
      <c r="A763" s="19" t="s">
        <v>88</v>
      </c>
      <c r="B763" s="19" t="s">
        <v>81</v>
      </c>
      <c r="C763" s="33">
        <v>13.574</v>
      </c>
      <c r="D763" s="22">
        <v>1.0416666666666666E-2</v>
      </c>
    </row>
    <row r="764" spans="1:4" x14ac:dyDescent="0.2">
      <c r="A764" s="19" t="s">
        <v>88</v>
      </c>
      <c r="B764" s="19" t="s">
        <v>82</v>
      </c>
      <c r="C764" s="33">
        <v>11.43</v>
      </c>
      <c r="D764" s="22">
        <v>9.7222222222222224E-3</v>
      </c>
    </row>
    <row r="765" spans="1:4" x14ac:dyDescent="0.2">
      <c r="A765" s="19" t="s">
        <v>88</v>
      </c>
      <c r="B765" s="19" t="s">
        <v>83</v>
      </c>
      <c r="C765" s="33">
        <v>6.48</v>
      </c>
      <c r="D765" s="22">
        <v>6.2499999999999995E-3</v>
      </c>
    </row>
    <row r="766" spans="1:4" x14ac:dyDescent="0.2">
      <c r="A766" s="19" t="s">
        <v>88</v>
      </c>
      <c r="B766" s="19" t="s">
        <v>84</v>
      </c>
      <c r="C766" s="33">
        <v>13.006</v>
      </c>
      <c r="D766" s="22">
        <v>1.2499999999999999E-2</v>
      </c>
    </row>
    <row r="767" spans="1:4" x14ac:dyDescent="0.2">
      <c r="A767" s="19" t="s">
        <v>88</v>
      </c>
      <c r="B767" s="19" t="s">
        <v>85</v>
      </c>
      <c r="C767" s="33">
        <v>6.9020000000000001</v>
      </c>
      <c r="D767" s="22">
        <v>7.6388888888888886E-3</v>
      </c>
    </row>
    <row r="768" spans="1:4" x14ac:dyDescent="0.2">
      <c r="A768" s="19" t="s">
        <v>88</v>
      </c>
      <c r="B768" s="19" t="s">
        <v>86</v>
      </c>
      <c r="C768" s="33">
        <v>7.9790000000000001</v>
      </c>
      <c r="D768" s="22">
        <v>7.6388888888888886E-3</v>
      </c>
    </row>
    <row r="769" spans="1:4" x14ac:dyDescent="0.2">
      <c r="A769" s="19" t="s">
        <v>88</v>
      </c>
      <c r="B769" s="19" t="s">
        <v>87</v>
      </c>
      <c r="C769" s="33">
        <v>11.483000000000001</v>
      </c>
      <c r="D769" s="22">
        <v>1.0416666666666666E-2</v>
      </c>
    </row>
    <row r="770" spans="1:4" x14ac:dyDescent="0.2">
      <c r="A770" s="19" t="s">
        <v>88</v>
      </c>
      <c r="B770" s="19" t="s">
        <v>88</v>
      </c>
      <c r="C770" s="33">
        <v>0</v>
      </c>
      <c r="D770" s="22">
        <v>0</v>
      </c>
    </row>
    <row r="771" spans="1:4" x14ac:dyDescent="0.2">
      <c r="A771" s="19" t="s">
        <v>88</v>
      </c>
      <c r="B771" s="19" t="s">
        <v>89</v>
      </c>
      <c r="C771" s="33">
        <v>7.4409999999999998</v>
      </c>
      <c r="D771" s="22">
        <v>6.9444444444444441E-3</v>
      </c>
    </row>
    <row r="772" spans="1:4" x14ac:dyDescent="0.2">
      <c r="A772" s="19" t="s">
        <v>88</v>
      </c>
      <c r="B772" s="19" t="s">
        <v>90</v>
      </c>
      <c r="C772" s="33">
        <v>29.274999999999999</v>
      </c>
      <c r="D772" s="22">
        <v>2.2916666666666669E-2</v>
      </c>
    </row>
    <row r="773" spans="1:4" x14ac:dyDescent="0.2">
      <c r="A773" s="19" t="s">
        <v>88</v>
      </c>
      <c r="B773" s="19" t="s">
        <v>91</v>
      </c>
      <c r="C773" s="33">
        <v>18.344999999999999</v>
      </c>
      <c r="D773" s="22">
        <v>1.3888888888888888E-2</v>
      </c>
    </row>
    <row r="774" spans="1:4" x14ac:dyDescent="0.2">
      <c r="A774" s="19" t="s">
        <v>88</v>
      </c>
      <c r="B774" s="19" t="s">
        <v>92</v>
      </c>
      <c r="C774" s="33">
        <v>12.627000000000001</v>
      </c>
      <c r="D774" s="22">
        <v>1.2499999999999999E-2</v>
      </c>
    </row>
    <row r="775" spans="1:4" x14ac:dyDescent="0.2">
      <c r="A775" s="19" t="s">
        <v>88</v>
      </c>
      <c r="B775" s="19" t="s">
        <v>93</v>
      </c>
      <c r="C775" s="33">
        <v>13.881</v>
      </c>
      <c r="D775" s="22">
        <v>1.3888888888888888E-2</v>
      </c>
    </row>
    <row r="776" spans="1:4" x14ac:dyDescent="0.2">
      <c r="A776" s="19" t="s">
        <v>88</v>
      </c>
      <c r="B776" s="19" t="s">
        <v>94</v>
      </c>
      <c r="C776" s="33">
        <v>16.553000000000001</v>
      </c>
      <c r="D776" s="22">
        <v>1.5972222222222224E-2</v>
      </c>
    </row>
    <row r="777" spans="1:4" x14ac:dyDescent="0.2">
      <c r="A777" s="19" t="s">
        <v>89</v>
      </c>
      <c r="B777" s="19" t="s">
        <v>66</v>
      </c>
      <c r="C777" s="33">
        <v>52.557000000000002</v>
      </c>
      <c r="D777" s="22">
        <v>3.5416666666666666E-2</v>
      </c>
    </row>
    <row r="778" spans="1:4" x14ac:dyDescent="0.2">
      <c r="A778" s="19" t="s">
        <v>89</v>
      </c>
      <c r="B778" s="19" t="s">
        <v>75</v>
      </c>
      <c r="C778" s="33">
        <v>22.108000000000001</v>
      </c>
      <c r="D778" s="22">
        <v>1.9444444444444445E-2</v>
      </c>
    </row>
    <row r="779" spans="1:4" x14ac:dyDescent="0.2">
      <c r="A779" s="19" t="s">
        <v>89</v>
      </c>
      <c r="B779" s="19" t="s">
        <v>67</v>
      </c>
      <c r="C779" s="33">
        <v>23.28</v>
      </c>
      <c r="D779" s="22">
        <v>2.013888888888889E-2</v>
      </c>
    </row>
    <row r="780" spans="1:4" x14ac:dyDescent="0.2">
      <c r="A780" s="19" t="s">
        <v>89</v>
      </c>
      <c r="B780" s="19" t="s">
        <v>68</v>
      </c>
      <c r="C780" s="33">
        <v>22.529</v>
      </c>
      <c r="D780" s="22">
        <v>1.8749999999999999E-2</v>
      </c>
    </row>
    <row r="781" spans="1:4" x14ac:dyDescent="0.2">
      <c r="A781" s="19" t="s">
        <v>89</v>
      </c>
      <c r="B781" s="19" t="s">
        <v>69</v>
      </c>
      <c r="C781" s="33">
        <v>22.545000000000002</v>
      </c>
      <c r="D781" s="22">
        <v>1.8749999999999999E-2</v>
      </c>
    </row>
    <row r="782" spans="1:4" x14ac:dyDescent="0.2">
      <c r="A782" s="19" t="s">
        <v>89</v>
      </c>
      <c r="B782" s="19" t="s">
        <v>70</v>
      </c>
      <c r="C782" s="33">
        <v>21.756</v>
      </c>
      <c r="D782" s="22">
        <v>1.8055555555555557E-2</v>
      </c>
    </row>
    <row r="783" spans="1:4" x14ac:dyDescent="0.2">
      <c r="A783" s="19" t="s">
        <v>89</v>
      </c>
      <c r="B783" s="19" t="s">
        <v>71</v>
      </c>
      <c r="C783" s="33">
        <v>23.783000000000001</v>
      </c>
      <c r="D783" s="22">
        <v>1.9444444444444445E-2</v>
      </c>
    </row>
    <row r="784" spans="1:4" x14ac:dyDescent="0.2">
      <c r="A784" s="19" t="s">
        <v>89</v>
      </c>
      <c r="B784" s="19" t="s">
        <v>95</v>
      </c>
      <c r="C784" s="33">
        <v>57.311</v>
      </c>
      <c r="D784" s="22">
        <v>3.9583333333333331E-2</v>
      </c>
    </row>
    <row r="785" spans="1:4" x14ac:dyDescent="0.2">
      <c r="A785" s="19" t="s">
        <v>89</v>
      </c>
      <c r="B785" s="19" t="s">
        <v>72</v>
      </c>
      <c r="C785" s="33">
        <v>21.481000000000002</v>
      </c>
      <c r="D785" s="22">
        <v>1.8055555555555557E-2</v>
      </c>
    </row>
    <row r="786" spans="1:4" x14ac:dyDescent="0.2">
      <c r="A786" s="19" t="s">
        <v>89</v>
      </c>
      <c r="B786" s="19" t="s">
        <v>73</v>
      </c>
      <c r="C786" s="33">
        <v>18.452000000000002</v>
      </c>
      <c r="D786" s="22">
        <v>1.6666666666666666E-2</v>
      </c>
    </row>
    <row r="787" spans="1:4" x14ac:dyDescent="0.2">
      <c r="A787" s="19" t="s">
        <v>89</v>
      </c>
      <c r="B787" s="19" t="s">
        <v>74</v>
      </c>
      <c r="C787" s="33">
        <v>18.170999999999999</v>
      </c>
      <c r="D787" s="22">
        <v>1.6666666666666666E-2</v>
      </c>
    </row>
    <row r="788" spans="1:4" x14ac:dyDescent="0.2">
      <c r="A788" s="19" t="s">
        <v>89</v>
      </c>
      <c r="B788" s="19" t="s">
        <v>96</v>
      </c>
      <c r="C788" s="33">
        <v>86.710999999999999</v>
      </c>
      <c r="D788" s="22">
        <v>5.0694444444444452E-2</v>
      </c>
    </row>
    <row r="789" spans="1:4" x14ac:dyDescent="0.2">
      <c r="A789" s="19" t="s">
        <v>89</v>
      </c>
      <c r="B789" s="19" t="s">
        <v>76</v>
      </c>
      <c r="C789" s="33">
        <v>20.731999999999999</v>
      </c>
      <c r="D789" s="22">
        <v>1.9444444444444445E-2</v>
      </c>
    </row>
    <row r="790" spans="1:4" x14ac:dyDescent="0.2">
      <c r="A790" s="19" t="s">
        <v>89</v>
      </c>
      <c r="B790" s="19" t="s">
        <v>77</v>
      </c>
      <c r="C790" s="33">
        <v>20.937999999999999</v>
      </c>
      <c r="D790" s="22">
        <v>1.8749999999999999E-2</v>
      </c>
    </row>
    <row r="791" spans="1:4" x14ac:dyDescent="0.2">
      <c r="A791" s="19" t="s">
        <v>89</v>
      </c>
      <c r="B791" s="19" t="s">
        <v>78</v>
      </c>
      <c r="C791" s="33">
        <v>18.904</v>
      </c>
      <c r="D791" s="22">
        <v>1.7361111111111112E-2</v>
      </c>
    </row>
    <row r="792" spans="1:4" x14ac:dyDescent="0.2">
      <c r="A792" s="19" t="s">
        <v>89</v>
      </c>
      <c r="B792" s="19" t="s">
        <v>79</v>
      </c>
      <c r="C792" s="33">
        <v>18.957000000000001</v>
      </c>
      <c r="D792" s="22">
        <v>1.5972222222222224E-2</v>
      </c>
    </row>
    <row r="793" spans="1:4" x14ac:dyDescent="0.2">
      <c r="A793" s="19" t="s">
        <v>89</v>
      </c>
      <c r="B793" s="19" t="s">
        <v>80</v>
      </c>
      <c r="C793" s="33">
        <v>8.0340000000000007</v>
      </c>
      <c r="D793" s="22">
        <v>7.6388888888888886E-3</v>
      </c>
    </row>
    <row r="794" spans="1:4" x14ac:dyDescent="0.2">
      <c r="A794" s="19" t="s">
        <v>89</v>
      </c>
      <c r="B794" s="19" t="s">
        <v>81</v>
      </c>
      <c r="C794" s="33">
        <v>9.9390000000000001</v>
      </c>
      <c r="D794" s="22">
        <v>8.3333333333333332E-3</v>
      </c>
    </row>
    <row r="795" spans="1:4" x14ac:dyDescent="0.2">
      <c r="A795" s="19" t="s">
        <v>89</v>
      </c>
      <c r="B795" s="19" t="s">
        <v>82</v>
      </c>
      <c r="C795" s="33">
        <v>6.234</v>
      </c>
      <c r="D795" s="22">
        <v>5.5555555555555558E-3</v>
      </c>
    </row>
    <row r="796" spans="1:4" x14ac:dyDescent="0.2">
      <c r="A796" s="19" t="s">
        <v>89</v>
      </c>
      <c r="B796" s="19" t="s">
        <v>83</v>
      </c>
      <c r="C796" s="33">
        <v>1.944</v>
      </c>
      <c r="D796" s="22">
        <v>3.472222222222222E-3</v>
      </c>
    </row>
    <row r="797" spans="1:4" x14ac:dyDescent="0.2">
      <c r="A797" s="19" t="s">
        <v>89</v>
      </c>
      <c r="B797" s="19" t="s">
        <v>84</v>
      </c>
      <c r="C797" s="33">
        <v>11.211</v>
      </c>
      <c r="D797" s="22">
        <v>1.0416666666666666E-2</v>
      </c>
    </row>
    <row r="798" spans="1:4" x14ac:dyDescent="0.2">
      <c r="A798" s="19" t="s">
        <v>89</v>
      </c>
      <c r="B798" s="19" t="s">
        <v>85</v>
      </c>
      <c r="C798" s="33">
        <v>10.257999999999999</v>
      </c>
      <c r="D798" s="22">
        <v>9.7222222222222224E-3</v>
      </c>
    </row>
    <row r="799" spans="1:4" x14ac:dyDescent="0.2">
      <c r="A799" s="19" t="s">
        <v>89</v>
      </c>
      <c r="B799" s="19" t="s">
        <v>86</v>
      </c>
      <c r="C799" s="33">
        <v>7.61</v>
      </c>
      <c r="D799" s="22">
        <v>6.9444444444444441E-3</v>
      </c>
    </row>
    <row r="800" spans="1:4" x14ac:dyDescent="0.2">
      <c r="A800" s="19" t="s">
        <v>89</v>
      </c>
      <c r="B800" s="19" t="s">
        <v>87</v>
      </c>
      <c r="C800" s="33">
        <v>6.2869999999999999</v>
      </c>
      <c r="D800" s="22">
        <v>5.5555555555555558E-3</v>
      </c>
    </row>
    <row r="801" spans="1:4" x14ac:dyDescent="0.2">
      <c r="A801" s="19" t="s">
        <v>89</v>
      </c>
      <c r="B801" s="19" t="s">
        <v>88</v>
      </c>
      <c r="C801" s="33">
        <v>8.1969999999999992</v>
      </c>
      <c r="D801" s="22">
        <v>9.0277777777777787E-3</v>
      </c>
    </row>
    <row r="802" spans="1:4" x14ac:dyDescent="0.2">
      <c r="A802" s="19" t="s">
        <v>89</v>
      </c>
      <c r="B802" s="19" t="s">
        <v>89</v>
      </c>
      <c r="C802" s="33">
        <v>0</v>
      </c>
      <c r="D802" s="22">
        <v>0</v>
      </c>
    </row>
    <row r="803" spans="1:4" x14ac:dyDescent="0.2">
      <c r="A803" s="19" t="s">
        <v>89</v>
      </c>
      <c r="B803" s="19" t="s">
        <v>90</v>
      </c>
      <c r="C803" s="33">
        <v>26.559000000000001</v>
      </c>
      <c r="D803" s="22">
        <v>2.2222222222222223E-2</v>
      </c>
    </row>
    <row r="804" spans="1:4" x14ac:dyDescent="0.2">
      <c r="A804" s="19" t="s">
        <v>89</v>
      </c>
      <c r="B804" s="19" t="s">
        <v>91</v>
      </c>
      <c r="C804" s="33">
        <v>15.629</v>
      </c>
      <c r="D804" s="22">
        <v>1.2499999999999999E-2</v>
      </c>
    </row>
    <row r="805" spans="1:4" x14ac:dyDescent="0.2">
      <c r="A805" s="19" t="s">
        <v>89</v>
      </c>
      <c r="B805" s="19" t="s">
        <v>92</v>
      </c>
      <c r="C805" s="33">
        <v>14.145</v>
      </c>
      <c r="D805" s="22">
        <v>1.1805555555555555E-2</v>
      </c>
    </row>
    <row r="806" spans="1:4" x14ac:dyDescent="0.2">
      <c r="A806" s="19" t="s">
        <v>89</v>
      </c>
      <c r="B806" s="19" t="s">
        <v>93</v>
      </c>
      <c r="C806" s="33">
        <v>18.62</v>
      </c>
      <c r="D806" s="22">
        <v>1.6666666666666666E-2</v>
      </c>
    </row>
    <row r="807" spans="1:4" x14ac:dyDescent="0.2">
      <c r="A807" s="19" t="s">
        <v>89</v>
      </c>
      <c r="B807" s="19" t="s">
        <v>94</v>
      </c>
      <c r="C807" s="33">
        <v>18.071000000000002</v>
      </c>
      <c r="D807" s="22">
        <v>1.5972222222222224E-2</v>
      </c>
    </row>
    <row r="808" spans="1:4" x14ac:dyDescent="0.2">
      <c r="A808" s="19" t="s">
        <v>90</v>
      </c>
      <c r="B808" s="19" t="s">
        <v>66</v>
      </c>
      <c r="C808" s="33">
        <v>22.687000000000001</v>
      </c>
      <c r="D808" s="22">
        <v>2.013888888888889E-2</v>
      </c>
    </row>
    <row r="809" spans="1:4" x14ac:dyDescent="0.2">
      <c r="A809" s="19" t="s">
        <v>90</v>
      </c>
      <c r="B809" s="19" t="s">
        <v>75</v>
      </c>
      <c r="C809" s="33">
        <v>5.109</v>
      </c>
      <c r="D809" s="22">
        <v>6.9444444444444441E-3</v>
      </c>
    </row>
    <row r="810" spans="1:4" x14ac:dyDescent="0.2">
      <c r="A810" s="19" t="s">
        <v>90</v>
      </c>
      <c r="B810" s="19" t="s">
        <v>67</v>
      </c>
      <c r="C810" s="33">
        <v>2.4849999999999999</v>
      </c>
      <c r="D810" s="22">
        <v>4.1666666666666666E-3</v>
      </c>
    </row>
    <row r="811" spans="1:4" x14ac:dyDescent="0.2">
      <c r="A811" s="19" t="s">
        <v>90</v>
      </c>
      <c r="B811" s="19" t="s">
        <v>68</v>
      </c>
      <c r="C811" s="33">
        <v>3.3839999999999999</v>
      </c>
      <c r="D811" s="22">
        <v>4.8611111111111112E-3</v>
      </c>
    </row>
    <row r="812" spans="1:4" x14ac:dyDescent="0.2">
      <c r="A812" s="19" t="s">
        <v>90</v>
      </c>
      <c r="B812" s="19" t="s">
        <v>69</v>
      </c>
      <c r="C812" s="33">
        <v>3.3769999999999998</v>
      </c>
      <c r="D812" s="22">
        <v>4.8611111111111112E-3</v>
      </c>
    </row>
    <row r="813" spans="1:4" x14ac:dyDescent="0.2">
      <c r="A813" s="19" t="s">
        <v>90</v>
      </c>
      <c r="B813" s="19" t="s">
        <v>70</v>
      </c>
      <c r="C813" s="33">
        <v>6.2990000000000004</v>
      </c>
      <c r="D813" s="22">
        <v>7.6388888888888886E-3</v>
      </c>
    </row>
    <row r="814" spans="1:4" x14ac:dyDescent="0.2">
      <c r="A814" s="19" t="s">
        <v>90</v>
      </c>
      <c r="B814" s="19" t="s">
        <v>71</v>
      </c>
      <c r="C814" s="33">
        <v>3.919</v>
      </c>
      <c r="D814" s="22">
        <v>4.8611111111111112E-3</v>
      </c>
    </row>
    <row r="815" spans="1:4" x14ac:dyDescent="0.2">
      <c r="A815" s="19" t="s">
        <v>90</v>
      </c>
      <c r="B815" s="19" t="s">
        <v>95</v>
      </c>
      <c r="C815" s="33">
        <v>24.271999999999998</v>
      </c>
      <c r="D815" s="22">
        <v>2.2222222222222223E-2</v>
      </c>
    </row>
    <row r="816" spans="1:4" x14ac:dyDescent="0.2">
      <c r="A816" s="19" t="s">
        <v>90</v>
      </c>
      <c r="B816" s="19" t="s">
        <v>72</v>
      </c>
      <c r="C816" s="33">
        <v>4.97</v>
      </c>
      <c r="D816" s="22">
        <v>6.2499999999999995E-3</v>
      </c>
    </row>
    <row r="817" spans="1:4" x14ac:dyDescent="0.2">
      <c r="A817" s="19" t="s">
        <v>90</v>
      </c>
      <c r="B817" s="19" t="s">
        <v>73</v>
      </c>
      <c r="C817" s="33">
        <v>10.613</v>
      </c>
      <c r="D817" s="22">
        <v>1.3888888888888888E-2</v>
      </c>
    </row>
    <row r="818" spans="1:4" x14ac:dyDescent="0.2">
      <c r="A818" s="19" t="s">
        <v>90</v>
      </c>
      <c r="B818" s="19" t="s">
        <v>74</v>
      </c>
      <c r="C818" s="33">
        <v>7.85</v>
      </c>
      <c r="D818" s="22">
        <v>1.0416666666666666E-2</v>
      </c>
    </row>
    <row r="819" spans="1:4" x14ac:dyDescent="0.2">
      <c r="A819" s="19" t="s">
        <v>90</v>
      </c>
      <c r="B819" s="19" t="s">
        <v>96</v>
      </c>
      <c r="C819" s="33">
        <v>53.658999999999999</v>
      </c>
      <c r="D819" s="22">
        <v>3.4722222222222224E-2</v>
      </c>
    </row>
    <row r="820" spans="1:4" x14ac:dyDescent="0.2">
      <c r="A820" s="19" t="s">
        <v>90</v>
      </c>
      <c r="B820" s="19" t="s">
        <v>76</v>
      </c>
      <c r="C820" s="33">
        <v>6.0570000000000004</v>
      </c>
      <c r="D820" s="22">
        <v>8.3333333333333332E-3</v>
      </c>
    </row>
    <row r="821" spans="1:4" x14ac:dyDescent="0.2">
      <c r="A821" s="19" t="s">
        <v>90</v>
      </c>
      <c r="B821" s="19" t="s">
        <v>77</v>
      </c>
      <c r="C821" s="33">
        <v>5.1779999999999999</v>
      </c>
      <c r="D821" s="22">
        <v>6.9444444444444441E-3</v>
      </c>
    </row>
    <row r="822" spans="1:4" x14ac:dyDescent="0.2">
      <c r="A822" s="19" t="s">
        <v>90</v>
      </c>
      <c r="B822" s="19" t="s">
        <v>78</v>
      </c>
      <c r="C822" s="33">
        <v>11.333</v>
      </c>
      <c r="D822" s="22">
        <v>1.3888888888888888E-2</v>
      </c>
    </row>
    <row r="823" spans="1:4" x14ac:dyDescent="0.2">
      <c r="A823" s="19" t="s">
        <v>90</v>
      </c>
      <c r="B823" s="19" t="s">
        <v>79</v>
      </c>
      <c r="C823" s="33">
        <v>10.747999999999999</v>
      </c>
      <c r="D823" s="22">
        <v>1.3194444444444444E-2</v>
      </c>
    </row>
    <row r="824" spans="1:4" x14ac:dyDescent="0.2">
      <c r="A824" s="19" t="s">
        <v>90</v>
      </c>
      <c r="B824" s="19" t="s">
        <v>80</v>
      </c>
      <c r="C824" s="33">
        <v>20.163</v>
      </c>
      <c r="D824" s="22">
        <v>1.8055555555555557E-2</v>
      </c>
    </row>
    <row r="825" spans="1:4" x14ac:dyDescent="0.2">
      <c r="A825" s="19" t="s">
        <v>90</v>
      </c>
      <c r="B825" s="19" t="s">
        <v>81</v>
      </c>
      <c r="C825" s="33">
        <v>26.699000000000002</v>
      </c>
      <c r="D825" s="22">
        <v>2.2222222222222223E-2</v>
      </c>
    </row>
    <row r="826" spans="1:4" x14ac:dyDescent="0.2">
      <c r="A826" s="19" t="s">
        <v>90</v>
      </c>
      <c r="B826" s="19" t="s">
        <v>82</v>
      </c>
      <c r="C826" s="33">
        <v>27.815999999999999</v>
      </c>
      <c r="D826" s="22">
        <v>2.361111111111111E-2</v>
      </c>
    </row>
    <row r="827" spans="1:4" x14ac:dyDescent="0.2">
      <c r="A827" s="19" t="s">
        <v>90</v>
      </c>
      <c r="B827" s="19" t="s">
        <v>83</v>
      </c>
      <c r="C827" s="33">
        <v>24.808</v>
      </c>
      <c r="D827" s="22">
        <v>2.2916666666666669E-2</v>
      </c>
    </row>
    <row r="828" spans="1:4" x14ac:dyDescent="0.2">
      <c r="A828" s="19" t="s">
        <v>90</v>
      </c>
      <c r="B828" s="19" t="s">
        <v>84</v>
      </c>
      <c r="C828" s="33">
        <v>33.902000000000001</v>
      </c>
      <c r="D828" s="22">
        <v>3.0555555555555555E-2</v>
      </c>
    </row>
    <row r="829" spans="1:4" x14ac:dyDescent="0.2">
      <c r="A829" s="19" t="s">
        <v>90</v>
      </c>
      <c r="B829" s="19" t="s">
        <v>85</v>
      </c>
      <c r="C829" s="33">
        <v>32.948999999999998</v>
      </c>
      <c r="D829" s="22">
        <v>2.9861111111111113E-2</v>
      </c>
    </row>
    <row r="830" spans="1:4" x14ac:dyDescent="0.2">
      <c r="A830" s="19" t="s">
        <v>90</v>
      </c>
      <c r="B830" s="19" t="s">
        <v>86</v>
      </c>
      <c r="C830" s="33">
        <v>31.405999999999999</v>
      </c>
      <c r="D830" s="22">
        <v>2.6388888888888889E-2</v>
      </c>
    </row>
    <row r="831" spans="1:4" x14ac:dyDescent="0.2">
      <c r="A831" s="19" t="s">
        <v>90</v>
      </c>
      <c r="B831" s="19" t="s">
        <v>87</v>
      </c>
      <c r="C831" s="33">
        <v>30.164000000000001</v>
      </c>
      <c r="D831" s="22">
        <v>2.5694444444444447E-2</v>
      </c>
    </row>
    <row r="832" spans="1:4" x14ac:dyDescent="0.2">
      <c r="A832" s="19" t="s">
        <v>90</v>
      </c>
      <c r="B832" s="19" t="s">
        <v>88</v>
      </c>
      <c r="C832" s="33">
        <v>28.408999999999999</v>
      </c>
      <c r="D832" s="22">
        <v>2.4305555555555556E-2</v>
      </c>
    </row>
    <row r="833" spans="1:4" x14ac:dyDescent="0.2">
      <c r="A833" s="19" t="s">
        <v>90</v>
      </c>
      <c r="B833" s="19" t="s">
        <v>89</v>
      </c>
      <c r="C833" s="33">
        <v>25.35</v>
      </c>
      <c r="D833" s="22">
        <v>2.2222222222222223E-2</v>
      </c>
    </row>
    <row r="834" spans="1:4" x14ac:dyDescent="0.2">
      <c r="A834" s="19" t="s">
        <v>90</v>
      </c>
      <c r="B834" s="19" t="s">
        <v>90</v>
      </c>
      <c r="C834" s="33">
        <v>0</v>
      </c>
      <c r="D834" s="22">
        <v>0</v>
      </c>
    </row>
    <row r="835" spans="1:4" x14ac:dyDescent="0.2">
      <c r="A835" s="19" t="s">
        <v>90</v>
      </c>
      <c r="B835" s="19" t="s">
        <v>91</v>
      </c>
      <c r="C835" s="33">
        <v>12.871</v>
      </c>
      <c r="D835" s="22">
        <v>1.2499999999999999E-2</v>
      </c>
    </row>
    <row r="836" spans="1:4" x14ac:dyDescent="0.2">
      <c r="A836" s="19" t="s">
        <v>90</v>
      </c>
      <c r="B836" s="19" t="s">
        <v>92</v>
      </c>
      <c r="C836" s="33">
        <v>23.231000000000002</v>
      </c>
      <c r="D836" s="22">
        <v>1.8749999999999999E-2</v>
      </c>
    </row>
    <row r="837" spans="1:4" x14ac:dyDescent="0.2">
      <c r="A837" s="19" t="s">
        <v>90</v>
      </c>
      <c r="B837" s="19" t="s">
        <v>93</v>
      </c>
      <c r="C837" s="33">
        <v>29.594999999999999</v>
      </c>
      <c r="D837" s="22">
        <v>2.4305555555555556E-2</v>
      </c>
    </row>
    <row r="838" spans="1:4" x14ac:dyDescent="0.2">
      <c r="A838" s="19" t="s">
        <v>90</v>
      </c>
      <c r="B838" s="19" t="s">
        <v>94</v>
      </c>
      <c r="C838" s="33">
        <v>27.468</v>
      </c>
      <c r="D838" s="22">
        <v>2.2222222222222223E-2</v>
      </c>
    </row>
    <row r="839" spans="1:4" x14ac:dyDescent="0.2">
      <c r="A839" s="19" t="s">
        <v>91</v>
      </c>
      <c r="B839" s="19" t="s">
        <v>66</v>
      </c>
      <c r="C839" s="33">
        <v>41.246000000000002</v>
      </c>
      <c r="D839" s="22">
        <v>2.4305555555555556E-2</v>
      </c>
    </row>
    <row r="840" spans="1:4" x14ac:dyDescent="0.2">
      <c r="A840" s="19" t="s">
        <v>91</v>
      </c>
      <c r="B840" s="19" t="s">
        <v>75</v>
      </c>
      <c r="C840" s="33">
        <v>9.6159999999999997</v>
      </c>
      <c r="D840" s="22">
        <v>1.0416666666666666E-2</v>
      </c>
    </row>
    <row r="841" spans="1:4" x14ac:dyDescent="0.2">
      <c r="A841" s="19" t="s">
        <v>91</v>
      </c>
      <c r="B841" s="19" t="s">
        <v>67</v>
      </c>
      <c r="C841" s="33">
        <v>10.788</v>
      </c>
      <c r="D841" s="22">
        <v>1.1111111111111112E-2</v>
      </c>
    </row>
    <row r="842" spans="1:4" x14ac:dyDescent="0.2">
      <c r="A842" s="19" t="s">
        <v>91</v>
      </c>
      <c r="B842" s="19" t="s">
        <v>68</v>
      </c>
      <c r="C842" s="33">
        <v>10.037000000000001</v>
      </c>
      <c r="D842" s="22">
        <v>1.0416666666666666E-2</v>
      </c>
    </row>
    <row r="843" spans="1:4" x14ac:dyDescent="0.2">
      <c r="A843" s="19" t="s">
        <v>91</v>
      </c>
      <c r="B843" s="19" t="s">
        <v>69</v>
      </c>
      <c r="C843" s="33">
        <v>10.053000000000001</v>
      </c>
      <c r="D843" s="22">
        <v>1.0416666666666666E-2</v>
      </c>
    </row>
    <row r="844" spans="1:4" x14ac:dyDescent="0.2">
      <c r="A844" s="19" t="s">
        <v>91</v>
      </c>
      <c r="B844" s="19" t="s">
        <v>70</v>
      </c>
      <c r="C844" s="33">
        <v>9.2639999999999993</v>
      </c>
      <c r="D844" s="22">
        <v>9.0277777777777787E-3</v>
      </c>
    </row>
    <row r="845" spans="1:4" x14ac:dyDescent="0.2">
      <c r="A845" s="19" t="s">
        <v>91</v>
      </c>
      <c r="B845" s="19" t="s">
        <v>71</v>
      </c>
      <c r="C845" s="33">
        <v>11.096</v>
      </c>
      <c r="D845" s="22">
        <v>1.1111111111111112E-2</v>
      </c>
    </row>
    <row r="846" spans="1:4" x14ac:dyDescent="0.2">
      <c r="A846" s="19" t="s">
        <v>91</v>
      </c>
      <c r="B846" s="19" t="s">
        <v>95</v>
      </c>
      <c r="C846" s="33">
        <v>46</v>
      </c>
      <c r="D846" s="22">
        <v>2.8472222222222222E-2</v>
      </c>
    </row>
    <row r="847" spans="1:4" x14ac:dyDescent="0.2">
      <c r="A847" s="19" t="s">
        <v>91</v>
      </c>
      <c r="B847" s="19" t="s">
        <v>72</v>
      </c>
      <c r="C847" s="33">
        <v>8.9890000000000008</v>
      </c>
      <c r="D847" s="22">
        <v>9.7222222222222224E-3</v>
      </c>
    </row>
    <row r="848" spans="1:4" x14ac:dyDescent="0.2">
      <c r="A848" s="19" t="s">
        <v>91</v>
      </c>
      <c r="B848" s="19" t="s">
        <v>73</v>
      </c>
      <c r="C848" s="33">
        <v>5.5890000000000004</v>
      </c>
      <c r="D848" s="22">
        <v>7.6388888888888886E-3</v>
      </c>
    </row>
    <row r="849" spans="1:4" x14ac:dyDescent="0.2">
      <c r="A849" s="19" t="s">
        <v>91</v>
      </c>
      <c r="B849" s="19" t="s">
        <v>74</v>
      </c>
      <c r="C849" s="33">
        <v>5.3079999999999998</v>
      </c>
      <c r="D849" s="22">
        <v>7.6388888888888886E-3</v>
      </c>
    </row>
    <row r="850" spans="1:4" x14ac:dyDescent="0.2">
      <c r="A850" s="19" t="s">
        <v>91</v>
      </c>
      <c r="B850" s="19" t="s">
        <v>96</v>
      </c>
      <c r="C850" s="33">
        <v>72.516000000000005</v>
      </c>
      <c r="D850" s="22">
        <v>3.9583333333333331E-2</v>
      </c>
    </row>
    <row r="851" spans="1:4" x14ac:dyDescent="0.2">
      <c r="A851" s="19" t="s">
        <v>91</v>
      </c>
      <c r="B851" s="19" t="s">
        <v>76</v>
      </c>
      <c r="C851" s="33">
        <v>7.8689999999999998</v>
      </c>
      <c r="D851" s="22">
        <v>1.0416666666666666E-2</v>
      </c>
    </row>
    <row r="852" spans="1:4" x14ac:dyDescent="0.2">
      <c r="A852" s="19" t="s">
        <v>91</v>
      </c>
      <c r="B852" s="19" t="s">
        <v>77</v>
      </c>
      <c r="C852" s="33">
        <v>8.0749999999999993</v>
      </c>
      <c r="D852" s="22">
        <v>9.7222222222222224E-3</v>
      </c>
    </row>
    <row r="853" spans="1:4" x14ac:dyDescent="0.2">
      <c r="A853" s="19" t="s">
        <v>91</v>
      </c>
      <c r="B853" s="19" t="s">
        <v>78</v>
      </c>
      <c r="C853" s="33">
        <v>6.0410000000000004</v>
      </c>
      <c r="D853" s="22">
        <v>7.6388888888888886E-3</v>
      </c>
    </row>
    <row r="854" spans="1:4" x14ac:dyDescent="0.2">
      <c r="A854" s="19" t="s">
        <v>91</v>
      </c>
      <c r="B854" s="19" t="s">
        <v>79</v>
      </c>
      <c r="C854" s="33">
        <v>6.0940000000000003</v>
      </c>
      <c r="D854" s="22">
        <v>6.9444444444444441E-3</v>
      </c>
    </row>
    <row r="855" spans="1:4" x14ac:dyDescent="0.2">
      <c r="A855" s="19" t="s">
        <v>91</v>
      </c>
      <c r="B855" s="19" t="s">
        <v>80</v>
      </c>
      <c r="C855" s="33">
        <v>7.9610000000000003</v>
      </c>
      <c r="D855" s="22">
        <v>6.9444444444444441E-3</v>
      </c>
    </row>
    <row r="856" spans="1:4" x14ac:dyDescent="0.2">
      <c r="A856" s="19" t="s">
        <v>91</v>
      </c>
      <c r="B856" s="19" t="s">
        <v>81</v>
      </c>
      <c r="C856" s="33">
        <v>14.497</v>
      </c>
      <c r="D856" s="22">
        <v>1.1111111111111112E-2</v>
      </c>
    </row>
    <row r="857" spans="1:4" x14ac:dyDescent="0.2">
      <c r="A857" s="19" t="s">
        <v>91</v>
      </c>
      <c r="B857" s="19" t="s">
        <v>82</v>
      </c>
      <c r="C857" s="33">
        <v>15.51</v>
      </c>
      <c r="D857" s="22">
        <v>1.2499999999999999E-2</v>
      </c>
    </row>
    <row r="858" spans="1:4" x14ac:dyDescent="0.2">
      <c r="A858" s="19" t="s">
        <v>91</v>
      </c>
      <c r="B858" s="19" t="s">
        <v>83</v>
      </c>
      <c r="C858" s="33">
        <v>12.606</v>
      </c>
      <c r="D858" s="22">
        <v>1.1805555555555555E-2</v>
      </c>
    </row>
    <row r="859" spans="1:4" x14ac:dyDescent="0.2">
      <c r="A859" s="19" t="s">
        <v>91</v>
      </c>
      <c r="B859" s="19" t="s">
        <v>84</v>
      </c>
      <c r="C859" s="33">
        <v>22.805</v>
      </c>
      <c r="D859" s="22">
        <v>1.8749999999999999E-2</v>
      </c>
    </row>
    <row r="860" spans="1:4" x14ac:dyDescent="0.2">
      <c r="A860" s="19" t="s">
        <v>91</v>
      </c>
      <c r="B860" s="19" t="s">
        <v>85</v>
      </c>
      <c r="C860" s="33">
        <v>21.852</v>
      </c>
      <c r="D860" s="22">
        <v>1.8055555555555557E-2</v>
      </c>
    </row>
    <row r="861" spans="1:4" x14ac:dyDescent="0.2">
      <c r="A861" s="19" t="s">
        <v>91</v>
      </c>
      <c r="B861" s="19" t="s">
        <v>86</v>
      </c>
      <c r="C861" s="33">
        <v>18.385999999999999</v>
      </c>
      <c r="D861" s="22">
        <v>1.5277777777777777E-2</v>
      </c>
    </row>
    <row r="862" spans="1:4" x14ac:dyDescent="0.2">
      <c r="A862" s="19" t="s">
        <v>91</v>
      </c>
      <c r="B862" s="19" t="s">
        <v>87</v>
      </c>
      <c r="C862" s="33">
        <v>17.881</v>
      </c>
      <c r="D862" s="22">
        <v>1.3888888888888888E-2</v>
      </c>
    </row>
    <row r="863" spans="1:4" x14ac:dyDescent="0.2">
      <c r="A863" s="19" t="s">
        <v>91</v>
      </c>
      <c r="B863" s="19" t="s">
        <v>88</v>
      </c>
      <c r="C863" s="33">
        <v>16.207000000000001</v>
      </c>
      <c r="D863" s="22">
        <v>1.3194444444444444E-2</v>
      </c>
    </row>
    <row r="864" spans="1:4" x14ac:dyDescent="0.2">
      <c r="A864" s="19" t="s">
        <v>91</v>
      </c>
      <c r="B864" s="19" t="s">
        <v>89</v>
      </c>
      <c r="C864" s="33">
        <v>13.148</v>
      </c>
      <c r="D864" s="22">
        <v>1.1111111111111112E-2</v>
      </c>
    </row>
    <row r="865" spans="1:4" x14ac:dyDescent="0.2">
      <c r="A865" s="19" t="s">
        <v>91</v>
      </c>
      <c r="B865" s="19" t="s">
        <v>90</v>
      </c>
      <c r="C865" s="33">
        <v>12.808999999999999</v>
      </c>
      <c r="D865" s="22">
        <v>1.3194444444444444E-2</v>
      </c>
    </row>
    <row r="866" spans="1:4" x14ac:dyDescent="0.2">
      <c r="A866" s="19" t="s">
        <v>91</v>
      </c>
      <c r="B866" s="19" t="s">
        <v>91</v>
      </c>
      <c r="C866" s="33">
        <v>0</v>
      </c>
      <c r="D866" s="22">
        <v>0</v>
      </c>
    </row>
    <row r="867" spans="1:4" x14ac:dyDescent="0.2">
      <c r="A867" s="19" t="s">
        <v>91</v>
      </c>
      <c r="B867" s="19" t="s">
        <v>92</v>
      </c>
      <c r="C867" s="33">
        <v>11.282</v>
      </c>
      <c r="D867" s="22">
        <v>7.6388888888888886E-3</v>
      </c>
    </row>
    <row r="868" spans="1:4" x14ac:dyDescent="0.2">
      <c r="A868" s="19" t="s">
        <v>91</v>
      </c>
      <c r="B868" s="19" t="s">
        <v>93</v>
      </c>
      <c r="C868" s="33">
        <v>17.335000000000001</v>
      </c>
      <c r="D868" s="22">
        <v>1.3194444444444444E-2</v>
      </c>
    </row>
    <row r="869" spans="1:4" x14ac:dyDescent="0.2">
      <c r="A869" s="19" t="s">
        <v>91</v>
      </c>
      <c r="B869" s="19" t="s">
        <v>94</v>
      </c>
      <c r="C869" s="33">
        <v>15.208</v>
      </c>
      <c r="D869" s="22">
        <v>1.1111111111111112E-2</v>
      </c>
    </row>
    <row r="870" spans="1:4" x14ac:dyDescent="0.2">
      <c r="A870" s="19" t="s">
        <v>92</v>
      </c>
      <c r="B870" s="19" t="s">
        <v>66</v>
      </c>
      <c r="C870" s="33">
        <v>51.898000000000003</v>
      </c>
      <c r="D870" s="22">
        <v>3.3333333333333333E-2</v>
      </c>
    </row>
    <row r="871" spans="1:4" x14ac:dyDescent="0.2">
      <c r="A871" s="19" t="s">
        <v>92</v>
      </c>
      <c r="B871" s="19" t="s">
        <v>75</v>
      </c>
      <c r="C871" s="33">
        <v>24.195</v>
      </c>
      <c r="D871" s="22">
        <v>1.9444444444444445E-2</v>
      </c>
    </row>
    <row r="872" spans="1:4" x14ac:dyDescent="0.2">
      <c r="A872" s="19" t="s">
        <v>92</v>
      </c>
      <c r="B872" s="19" t="s">
        <v>67</v>
      </c>
      <c r="C872" s="33">
        <v>25.367000000000001</v>
      </c>
      <c r="D872" s="22">
        <v>2.013888888888889E-2</v>
      </c>
    </row>
    <row r="873" spans="1:4" x14ac:dyDescent="0.2">
      <c r="A873" s="19" t="s">
        <v>92</v>
      </c>
      <c r="B873" s="19" t="s">
        <v>68</v>
      </c>
      <c r="C873" s="33">
        <v>24.616</v>
      </c>
      <c r="D873" s="22">
        <v>1.9444444444444445E-2</v>
      </c>
    </row>
    <row r="874" spans="1:4" x14ac:dyDescent="0.2">
      <c r="A874" s="19" t="s">
        <v>92</v>
      </c>
      <c r="B874" s="19" t="s">
        <v>69</v>
      </c>
      <c r="C874" s="33">
        <v>24.632000000000001</v>
      </c>
      <c r="D874" s="22">
        <v>1.9444444444444445E-2</v>
      </c>
    </row>
    <row r="875" spans="1:4" x14ac:dyDescent="0.2">
      <c r="A875" s="19" t="s">
        <v>92</v>
      </c>
      <c r="B875" s="19" t="s">
        <v>70</v>
      </c>
      <c r="C875" s="33">
        <v>23.843</v>
      </c>
      <c r="D875" s="22">
        <v>1.8055555555555557E-2</v>
      </c>
    </row>
    <row r="876" spans="1:4" x14ac:dyDescent="0.2">
      <c r="A876" s="19" t="s">
        <v>92</v>
      </c>
      <c r="B876" s="19" t="s">
        <v>71</v>
      </c>
      <c r="C876" s="33">
        <v>25.87</v>
      </c>
      <c r="D876" s="22">
        <v>1.9444444444444445E-2</v>
      </c>
    </row>
    <row r="877" spans="1:4" x14ac:dyDescent="0.2">
      <c r="A877" s="19" t="s">
        <v>92</v>
      </c>
      <c r="B877" s="19" t="s">
        <v>95</v>
      </c>
      <c r="C877" s="33">
        <v>56.652000000000001</v>
      </c>
      <c r="D877" s="22">
        <v>3.7499999999999999E-2</v>
      </c>
    </row>
    <row r="878" spans="1:4" x14ac:dyDescent="0.2">
      <c r="A878" s="19" t="s">
        <v>92</v>
      </c>
      <c r="B878" s="19" t="s">
        <v>72</v>
      </c>
      <c r="C878" s="33">
        <v>23.568000000000001</v>
      </c>
      <c r="D878" s="22">
        <v>1.8749999999999999E-2</v>
      </c>
    </row>
    <row r="879" spans="1:4" x14ac:dyDescent="0.2">
      <c r="A879" s="19" t="s">
        <v>92</v>
      </c>
      <c r="B879" s="19" t="s">
        <v>73</v>
      </c>
      <c r="C879" s="33">
        <v>20.539000000000001</v>
      </c>
      <c r="D879" s="22">
        <v>1.7361111111111112E-2</v>
      </c>
    </row>
    <row r="880" spans="1:4" x14ac:dyDescent="0.2">
      <c r="A880" s="19" t="s">
        <v>92</v>
      </c>
      <c r="B880" s="19" t="s">
        <v>74</v>
      </c>
      <c r="C880" s="33">
        <v>20.257999999999999</v>
      </c>
      <c r="D880" s="22">
        <v>1.7361111111111112E-2</v>
      </c>
    </row>
    <row r="881" spans="1:4" x14ac:dyDescent="0.2">
      <c r="A881" s="19" t="s">
        <v>92</v>
      </c>
      <c r="B881" s="19" t="s">
        <v>96</v>
      </c>
      <c r="C881" s="33">
        <v>88.066000000000003</v>
      </c>
      <c r="D881" s="22">
        <v>4.7222222222222221E-2</v>
      </c>
    </row>
    <row r="882" spans="1:4" x14ac:dyDescent="0.2">
      <c r="A882" s="19" t="s">
        <v>92</v>
      </c>
      <c r="B882" s="19" t="s">
        <v>76</v>
      </c>
      <c r="C882" s="33">
        <v>22.818999999999999</v>
      </c>
      <c r="D882" s="22">
        <v>1.9444444444444445E-2</v>
      </c>
    </row>
    <row r="883" spans="1:4" x14ac:dyDescent="0.2">
      <c r="A883" s="19" t="s">
        <v>92</v>
      </c>
      <c r="B883" s="19" t="s">
        <v>77</v>
      </c>
      <c r="C883" s="33">
        <v>23.024999999999999</v>
      </c>
      <c r="D883" s="22">
        <v>1.9444444444444445E-2</v>
      </c>
    </row>
    <row r="884" spans="1:4" x14ac:dyDescent="0.2">
      <c r="A884" s="19" t="s">
        <v>92</v>
      </c>
      <c r="B884" s="19" t="s">
        <v>78</v>
      </c>
      <c r="C884" s="33">
        <v>20.991</v>
      </c>
      <c r="D884" s="22">
        <v>1.7361111111111112E-2</v>
      </c>
    </row>
    <row r="885" spans="1:4" x14ac:dyDescent="0.2">
      <c r="A885" s="19" t="s">
        <v>92</v>
      </c>
      <c r="B885" s="19" t="s">
        <v>79</v>
      </c>
      <c r="C885" s="33">
        <v>21.044</v>
      </c>
      <c r="D885" s="22">
        <v>1.6666666666666666E-2</v>
      </c>
    </row>
    <row r="886" spans="1:4" x14ac:dyDescent="0.2">
      <c r="A886" s="19" t="s">
        <v>92</v>
      </c>
      <c r="B886" s="19" t="s">
        <v>80</v>
      </c>
      <c r="C886" s="33">
        <v>14.183999999999999</v>
      </c>
      <c r="D886" s="22">
        <v>1.1111111111111112E-2</v>
      </c>
    </row>
    <row r="887" spans="1:4" x14ac:dyDescent="0.2">
      <c r="A887" s="19" t="s">
        <v>92</v>
      </c>
      <c r="B887" s="19" t="s">
        <v>81</v>
      </c>
      <c r="C887" s="33">
        <v>16.843</v>
      </c>
      <c r="D887" s="22">
        <v>1.2499999999999999E-2</v>
      </c>
    </row>
    <row r="888" spans="1:4" x14ac:dyDescent="0.2">
      <c r="A888" s="19" t="s">
        <v>92</v>
      </c>
      <c r="B888" s="19" t="s">
        <v>82</v>
      </c>
      <c r="C888" s="33">
        <v>17.856000000000002</v>
      </c>
      <c r="D888" s="22">
        <v>1.3888888888888888E-2</v>
      </c>
    </row>
    <row r="889" spans="1:4" x14ac:dyDescent="0.2">
      <c r="A889" s="19" t="s">
        <v>92</v>
      </c>
      <c r="B889" s="19" t="s">
        <v>83</v>
      </c>
      <c r="C889" s="33">
        <v>14.534000000000001</v>
      </c>
      <c r="D889" s="22">
        <v>1.2499999999999999E-2</v>
      </c>
    </row>
    <row r="890" spans="1:4" x14ac:dyDescent="0.2">
      <c r="A890" s="19" t="s">
        <v>92</v>
      </c>
      <c r="B890" s="19" t="s">
        <v>84</v>
      </c>
      <c r="C890" s="33">
        <v>22.297000000000001</v>
      </c>
      <c r="D890" s="22">
        <v>2.013888888888889E-2</v>
      </c>
    </row>
    <row r="891" spans="1:4" x14ac:dyDescent="0.2">
      <c r="A891" s="19" t="s">
        <v>92</v>
      </c>
      <c r="B891" s="19" t="s">
        <v>85</v>
      </c>
      <c r="C891" s="33">
        <v>17.718</v>
      </c>
      <c r="D891" s="22">
        <v>1.4583333333333332E-2</v>
      </c>
    </row>
    <row r="892" spans="1:4" x14ac:dyDescent="0.2">
      <c r="A892" s="19" t="s">
        <v>92</v>
      </c>
      <c r="B892" s="19" t="s">
        <v>86</v>
      </c>
      <c r="C892" s="33">
        <v>17.27</v>
      </c>
      <c r="D892" s="22">
        <v>1.5277777777777777E-2</v>
      </c>
    </row>
    <row r="893" spans="1:4" x14ac:dyDescent="0.2">
      <c r="A893" s="19" t="s">
        <v>92</v>
      </c>
      <c r="B893" s="19" t="s">
        <v>87</v>
      </c>
      <c r="C893" s="33">
        <v>21.448</v>
      </c>
      <c r="D893" s="22">
        <v>1.6666666666666666E-2</v>
      </c>
    </row>
    <row r="894" spans="1:4" x14ac:dyDescent="0.2">
      <c r="A894" s="19" t="s">
        <v>92</v>
      </c>
      <c r="B894" s="19" t="s">
        <v>88</v>
      </c>
      <c r="C894" s="33">
        <v>11.871</v>
      </c>
      <c r="D894" s="22">
        <v>1.0416666666666666E-2</v>
      </c>
    </row>
    <row r="895" spans="1:4" x14ac:dyDescent="0.2">
      <c r="A895" s="19" t="s">
        <v>92</v>
      </c>
      <c r="B895" s="19" t="s">
        <v>89</v>
      </c>
      <c r="C895" s="33">
        <v>15.494999999999999</v>
      </c>
      <c r="D895" s="22">
        <v>1.3194444444444444E-2</v>
      </c>
    </row>
    <row r="896" spans="1:4" x14ac:dyDescent="0.2">
      <c r="A896" s="19" t="s">
        <v>92</v>
      </c>
      <c r="B896" s="19" t="s">
        <v>90</v>
      </c>
      <c r="C896" s="33">
        <v>28.646000000000001</v>
      </c>
      <c r="D896" s="22">
        <v>2.2222222222222223E-2</v>
      </c>
    </row>
    <row r="897" spans="1:4" x14ac:dyDescent="0.2">
      <c r="A897" s="19" t="s">
        <v>92</v>
      </c>
      <c r="B897" s="19" t="s">
        <v>91</v>
      </c>
      <c r="C897" s="33">
        <v>12.75</v>
      </c>
      <c r="D897" s="22">
        <v>1.1111111111111112E-2</v>
      </c>
    </row>
    <row r="898" spans="1:4" x14ac:dyDescent="0.2">
      <c r="A898" s="19" t="s">
        <v>92</v>
      </c>
      <c r="B898" s="19" t="s">
        <v>92</v>
      </c>
      <c r="C898" s="33">
        <v>0</v>
      </c>
      <c r="D898" s="22">
        <v>0</v>
      </c>
    </row>
    <row r="899" spans="1:4" x14ac:dyDescent="0.2">
      <c r="A899" s="19" t="s">
        <v>92</v>
      </c>
      <c r="B899" s="19" t="s">
        <v>93</v>
      </c>
      <c r="C899" s="33">
        <v>5.7539999999999996</v>
      </c>
      <c r="D899" s="22">
        <v>5.5555555555555558E-3</v>
      </c>
    </row>
    <row r="900" spans="1:4" x14ac:dyDescent="0.2">
      <c r="A900" s="19" t="s">
        <v>92</v>
      </c>
      <c r="B900" s="19" t="s">
        <v>94</v>
      </c>
      <c r="C900" s="33">
        <v>3.9249999999999998</v>
      </c>
      <c r="D900" s="22">
        <v>3.472222222222222E-3</v>
      </c>
    </row>
    <row r="901" spans="1:4" x14ac:dyDescent="0.2">
      <c r="A901" s="19" t="s">
        <v>93</v>
      </c>
      <c r="B901" s="19" t="s">
        <v>66</v>
      </c>
      <c r="C901" s="33">
        <v>54.774000000000001</v>
      </c>
      <c r="D901" s="22">
        <v>3.125E-2</v>
      </c>
    </row>
    <row r="902" spans="1:4" x14ac:dyDescent="0.2">
      <c r="A902" s="19" t="s">
        <v>93</v>
      </c>
      <c r="B902" s="19" t="s">
        <v>75</v>
      </c>
      <c r="C902" s="33">
        <v>27.492000000000001</v>
      </c>
      <c r="D902" s="22">
        <v>2.2222222222222223E-2</v>
      </c>
    </row>
    <row r="903" spans="1:4" x14ac:dyDescent="0.2">
      <c r="A903" s="19" t="s">
        <v>93</v>
      </c>
      <c r="B903" s="19" t="s">
        <v>67</v>
      </c>
      <c r="C903" s="33">
        <v>28.664000000000001</v>
      </c>
      <c r="D903" s="22">
        <v>2.2916666666666669E-2</v>
      </c>
    </row>
    <row r="904" spans="1:4" x14ac:dyDescent="0.2">
      <c r="A904" s="19" t="s">
        <v>93</v>
      </c>
      <c r="B904" s="19" t="s">
        <v>68</v>
      </c>
      <c r="C904" s="33">
        <v>27.913</v>
      </c>
      <c r="D904" s="22">
        <v>2.1527777777777781E-2</v>
      </c>
    </row>
    <row r="905" spans="1:4" x14ac:dyDescent="0.2">
      <c r="A905" s="19" t="s">
        <v>93</v>
      </c>
      <c r="B905" s="19" t="s">
        <v>69</v>
      </c>
      <c r="C905" s="33">
        <v>27.928999999999998</v>
      </c>
      <c r="D905" s="22">
        <v>2.1527777777777781E-2</v>
      </c>
    </row>
    <row r="906" spans="1:4" x14ac:dyDescent="0.2">
      <c r="A906" s="19" t="s">
        <v>93</v>
      </c>
      <c r="B906" s="19" t="s">
        <v>70</v>
      </c>
      <c r="C906" s="33">
        <v>27.14</v>
      </c>
      <c r="D906" s="22">
        <v>2.0833333333333332E-2</v>
      </c>
    </row>
    <row r="907" spans="1:4" x14ac:dyDescent="0.2">
      <c r="A907" s="19" t="s">
        <v>93</v>
      </c>
      <c r="B907" s="19" t="s">
        <v>71</v>
      </c>
      <c r="C907" s="33">
        <v>29.167000000000002</v>
      </c>
      <c r="D907" s="22">
        <v>2.2222222222222223E-2</v>
      </c>
    </row>
    <row r="908" spans="1:4" x14ac:dyDescent="0.2">
      <c r="A908" s="19" t="s">
        <v>93</v>
      </c>
      <c r="B908" s="19" t="s">
        <v>95</v>
      </c>
      <c r="C908" s="33">
        <v>54.655999999999999</v>
      </c>
      <c r="D908" s="22">
        <v>3.8194444444444441E-2</v>
      </c>
    </row>
    <row r="909" spans="1:4" x14ac:dyDescent="0.2">
      <c r="A909" s="19" t="s">
        <v>93</v>
      </c>
      <c r="B909" s="19" t="s">
        <v>72</v>
      </c>
      <c r="C909" s="33">
        <v>26.864999999999998</v>
      </c>
      <c r="D909" s="22">
        <v>2.0833333333333332E-2</v>
      </c>
    </row>
    <row r="910" spans="1:4" x14ac:dyDescent="0.2">
      <c r="A910" s="19" t="s">
        <v>93</v>
      </c>
      <c r="B910" s="19" t="s">
        <v>73</v>
      </c>
      <c r="C910" s="33">
        <v>16.983000000000001</v>
      </c>
      <c r="D910" s="22">
        <v>1.8749999999999999E-2</v>
      </c>
    </row>
    <row r="911" spans="1:4" x14ac:dyDescent="0.2">
      <c r="A911" s="19" t="s">
        <v>93</v>
      </c>
      <c r="B911" s="19" t="s">
        <v>74</v>
      </c>
      <c r="C911" s="33">
        <v>16.702000000000002</v>
      </c>
      <c r="D911" s="22">
        <v>1.8749999999999999E-2</v>
      </c>
    </row>
    <row r="912" spans="1:4" x14ac:dyDescent="0.2">
      <c r="A912" s="19" t="s">
        <v>93</v>
      </c>
      <c r="B912" s="19" t="s">
        <v>96</v>
      </c>
      <c r="C912" s="33">
        <v>86.043999999999997</v>
      </c>
      <c r="D912" s="22">
        <v>4.6527777777777779E-2</v>
      </c>
    </row>
    <row r="913" spans="1:4" x14ac:dyDescent="0.2">
      <c r="A913" s="19" t="s">
        <v>93</v>
      </c>
      <c r="B913" s="19" t="s">
        <v>76</v>
      </c>
      <c r="C913" s="33">
        <v>19.263000000000002</v>
      </c>
      <c r="D913" s="22">
        <v>2.0833333333333332E-2</v>
      </c>
    </row>
    <row r="914" spans="1:4" x14ac:dyDescent="0.2">
      <c r="A914" s="19" t="s">
        <v>93</v>
      </c>
      <c r="B914" s="19" t="s">
        <v>77</v>
      </c>
      <c r="C914" s="33">
        <v>19.469000000000001</v>
      </c>
      <c r="D914" s="22">
        <v>2.0833333333333332E-2</v>
      </c>
    </row>
    <row r="915" spans="1:4" x14ac:dyDescent="0.2">
      <c r="A915" s="19" t="s">
        <v>93</v>
      </c>
      <c r="B915" s="19" t="s">
        <v>78</v>
      </c>
      <c r="C915" s="33">
        <v>17.434999999999999</v>
      </c>
      <c r="D915" s="22">
        <v>1.8749999999999999E-2</v>
      </c>
    </row>
    <row r="916" spans="1:4" x14ac:dyDescent="0.2">
      <c r="A916" s="19" t="s">
        <v>93</v>
      </c>
      <c r="B916" s="19" t="s">
        <v>79</v>
      </c>
      <c r="C916" s="33">
        <v>17.488</v>
      </c>
      <c r="D916" s="22">
        <v>1.8055555555555557E-2</v>
      </c>
    </row>
    <row r="917" spans="1:4" x14ac:dyDescent="0.2">
      <c r="A917" s="19" t="s">
        <v>93</v>
      </c>
      <c r="B917" s="19" t="s">
        <v>80</v>
      </c>
      <c r="C917" s="33">
        <v>14.965999999999999</v>
      </c>
      <c r="D917" s="22">
        <v>1.3194444444444444E-2</v>
      </c>
    </row>
    <row r="918" spans="1:4" x14ac:dyDescent="0.2">
      <c r="A918" s="19" t="s">
        <v>93</v>
      </c>
      <c r="B918" s="19" t="s">
        <v>81</v>
      </c>
      <c r="C918" s="33">
        <v>17.625</v>
      </c>
      <c r="D918" s="22">
        <v>1.4583333333333332E-2</v>
      </c>
    </row>
    <row r="919" spans="1:4" x14ac:dyDescent="0.2">
      <c r="A919" s="19" t="s">
        <v>93</v>
      </c>
      <c r="B919" s="19" t="s">
        <v>82</v>
      </c>
      <c r="C919" s="33">
        <v>18.638000000000002</v>
      </c>
      <c r="D919" s="22">
        <v>1.5972222222222224E-2</v>
      </c>
    </row>
    <row r="920" spans="1:4" x14ac:dyDescent="0.2">
      <c r="A920" s="19" t="s">
        <v>93</v>
      </c>
      <c r="B920" s="19" t="s">
        <v>83</v>
      </c>
      <c r="C920" s="33">
        <v>17.524999999999999</v>
      </c>
      <c r="D920" s="22">
        <v>1.5277777777777777E-2</v>
      </c>
    </row>
    <row r="921" spans="1:4" x14ac:dyDescent="0.2">
      <c r="A921" s="19" t="s">
        <v>93</v>
      </c>
      <c r="B921" s="19" t="s">
        <v>84</v>
      </c>
      <c r="C921" s="33">
        <v>25.288</v>
      </c>
      <c r="D921" s="22">
        <v>2.2916666666666669E-2</v>
      </c>
    </row>
    <row r="922" spans="1:4" x14ac:dyDescent="0.2">
      <c r="A922" s="19" t="s">
        <v>93</v>
      </c>
      <c r="B922" s="19" t="s">
        <v>85</v>
      </c>
      <c r="C922" s="33">
        <v>20.709</v>
      </c>
      <c r="D922" s="22">
        <v>1.7361111111111112E-2</v>
      </c>
    </row>
    <row r="923" spans="1:4" x14ac:dyDescent="0.2">
      <c r="A923" s="19" t="s">
        <v>93</v>
      </c>
      <c r="B923" s="19" t="s">
        <v>86</v>
      </c>
      <c r="C923" s="33">
        <v>20.260999999999999</v>
      </c>
      <c r="D923" s="22">
        <v>1.7361111111111112E-2</v>
      </c>
    </row>
    <row r="924" spans="1:4" x14ac:dyDescent="0.2">
      <c r="A924" s="19" t="s">
        <v>93</v>
      </c>
      <c r="B924" s="19" t="s">
        <v>87</v>
      </c>
      <c r="C924" s="33">
        <v>21.166</v>
      </c>
      <c r="D924" s="22">
        <v>1.8749999999999999E-2</v>
      </c>
    </row>
    <row r="925" spans="1:4" x14ac:dyDescent="0.2">
      <c r="A925" s="19" t="s">
        <v>93</v>
      </c>
      <c r="B925" s="19" t="s">
        <v>88</v>
      </c>
      <c r="C925" s="33">
        <v>14.862</v>
      </c>
      <c r="D925" s="22">
        <v>1.3194444444444444E-2</v>
      </c>
    </row>
    <row r="926" spans="1:4" x14ac:dyDescent="0.2">
      <c r="A926" s="19" t="s">
        <v>93</v>
      </c>
      <c r="B926" s="19" t="s">
        <v>89</v>
      </c>
      <c r="C926" s="33">
        <v>16.433</v>
      </c>
      <c r="D926" s="22">
        <v>1.5277777777777777E-2</v>
      </c>
    </row>
    <row r="927" spans="1:4" x14ac:dyDescent="0.2">
      <c r="A927" s="19" t="s">
        <v>93</v>
      </c>
      <c r="B927" s="19" t="s">
        <v>90</v>
      </c>
      <c r="C927" s="33">
        <v>31.943000000000001</v>
      </c>
      <c r="D927" s="22">
        <v>2.4999999999999998E-2</v>
      </c>
    </row>
    <row r="928" spans="1:4" x14ac:dyDescent="0.2">
      <c r="A928" s="19" t="s">
        <v>93</v>
      </c>
      <c r="B928" s="19" t="s">
        <v>91</v>
      </c>
      <c r="C928" s="33">
        <v>15.564</v>
      </c>
      <c r="D928" s="22">
        <v>1.3888888888888888E-2</v>
      </c>
    </row>
    <row r="929" spans="1:4" x14ac:dyDescent="0.2">
      <c r="A929" s="19" t="s">
        <v>93</v>
      </c>
      <c r="B929" s="19" t="s">
        <v>92</v>
      </c>
      <c r="C929" s="33">
        <v>5.8979999999999997</v>
      </c>
      <c r="D929" s="22">
        <v>5.5555555555555558E-3</v>
      </c>
    </row>
    <row r="930" spans="1:4" x14ac:dyDescent="0.2">
      <c r="A930" s="19" t="s">
        <v>93</v>
      </c>
      <c r="B930" s="19" t="s">
        <v>93</v>
      </c>
      <c r="C930" s="33">
        <v>0</v>
      </c>
      <c r="D930" s="22">
        <v>0</v>
      </c>
    </row>
    <row r="931" spans="1:4" x14ac:dyDescent="0.2">
      <c r="A931" s="19" t="s">
        <v>93</v>
      </c>
      <c r="B931" s="19" t="s">
        <v>94</v>
      </c>
      <c r="C931" s="33">
        <v>2.9910000000000001</v>
      </c>
      <c r="D931" s="22">
        <v>4.1666666666666666E-3</v>
      </c>
    </row>
    <row r="932" spans="1:4" x14ac:dyDescent="0.2">
      <c r="A932" s="19" t="s">
        <v>94</v>
      </c>
      <c r="B932" s="19" t="s">
        <v>66</v>
      </c>
      <c r="C932" s="33">
        <v>53.168999999999997</v>
      </c>
      <c r="D932" s="22">
        <v>2.9166666666666664E-2</v>
      </c>
    </row>
    <row r="933" spans="1:4" x14ac:dyDescent="0.2">
      <c r="A933" s="19" t="s">
        <v>94</v>
      </c>
      <c r="B933" s="19" t="s">
        <v>75</v>
      </c>
      <c r="C933" s="33">
        <v>18.672999999999998</v>
      </c>
      <c r="D933" s="22">
        <v>2.013888888888889E-2</v>
      </c>
    </row>
    <row r="934" spans="1:4" x14ac:dyDescent="0.2">
      <c r="A934" s="19" t="s">
        <v>94</v>
      </c>
      <c r="B934" s="19" t="s">
        <v>67</v>
      </c>
      <c r="C934" s="33">
        <v>27.564</v>
      </c>
      <c r="D934" s="22">
        <v>2.1527777777777781E-2</v>
      </c>
    </row>
    <row r="935" spans="1:4" x14ac:dyDescent="0.2">
      <c r="A935" s="19" t="s">
        <v>94</v>
      </c>
      <c r="B935" s="19" t="s">
        <v>68</v>
      </c>
      <c r="C935" s="33">
        <v>26.812999999999999</v>
      </c>
      <c r="D935" s="22">
        <v>2.0833333333333332E-2</v>
      </c>
    </row>
    <row r="936" spans="1:4" x14ac:dyDescent="0.2">
      <c r="A936" s="19" t="s">
        <v>94</v>
      </c>
      <c r="B936" s="19" t="s">
        <v>69</v>
      </c>
      <c r="C936" s="33">
        <v>26.829000000000001</v>
      </c>
      <c r="D936" s="22">
        <v>2.0833333333333332E-2</v>
      </c>
    </row>
    <row r="937" spans="1:4" x14ac:dyDescent="0.2">
      <c r="A937" s="19" t="s">
        <v>94</v>
      </c>
      <c r="B937" s="19" t="s">
        <v>70</v>
      </c>
      <c r="C937" s="33">
        <v>26.04</v>
      </c>
      <c r="D937" s="22">
        <v>1.9444444444444445E-2</v>
      </c>
    </row>
    <row r="938" spans="1:4" x14ac:dyDescent="0.2">
      <c r="A938" s="19" t="s">
        <v>94</v>
      </c>
      <c r="B938" s="19" t="s">
        <v>71</v>
      </c>
      <c r="C938" s="33">
        <v>28.067</v>
      </c>
      <c r="D938" s="22">
        <v>2.0833333333333332E-2</v>
      </c>
    </row>
    <row r="939" spans="1:4" x14ac:dyDescent="0.2">
      <c r="A939" s="19" t="s">
        <v>94</v>
      </c>
      <c r="B939" s="19" t="s">
        <v>95</v>
      </c>
      <c r="C939" s="33">
        <v>53.051000000000002</v>
      </c>
      <c r="D939" s="22">
        <v>3.6111111111111115E-2</v>
      </c>
    </row>
    <row r="940" spans="1:4" x14ac:dyDescent="0.2">
      <c r="A940" s="19" t="s">
        <v>94</v>
      </c>
      <c r="B940" s="19" t="s">
        <v>72</v>
      </c>
      <c r="C940" s="33">
        <v>25.765000000000001</v>
      </c>
      <c r="D940" s="22">
        <v>1.9444444444444445E-2</v>
      </c>
    </row>
    <row r="941" spans="1:4" x14ac:dyDescent="0.2">
      <c r="A941" s="19" t="s">
        <v>94</v>
      </c>
      <c r="B941" s="19" t="s">
        <v>73</v>
      </c>
      <c r="C941" s="33">
        <v>15.378</v>
      </c>
      <c r="D941" s="22">
        <v>1.6666666666666666E-2</v>
      </c>
    </row>
    <row r="942" spans="1:4" x14ac:dyDescent="0.2">
      <c r="A942" s="19" t="s">
        <v>94</v>
      </c>
      <c r="B942" s="19" t="s">
        <v>74</v>
      </c>
      <c r="C942" s="33">
        <v>15.097</v>
      </c>
      <c r="D942" s="22">
        <v>1.6666666666666666E-2</v>
      </c>
    </row>
    <row r="943" spans="1:4" x14ac:dyDescent="0.2">
      <c r="A943" s="19" t="s">
        <v>94</v>
      </c>
      <c r="B943" s="19" t="s">
        <v>96</v>
      </c>
      <c r="C943" s="33">
        <v>84.438999999999993</v>
      </c>
      <c r="D943" s="22">
        <v>4.4444444444444446E-2</v>
      </c>
    </row>
    <row r="944" spans="1:4" x14ac:dyDescent="0.2">
      <c r="A944" s="19" t="s">
        <v>94</v>
      </c>
      <c r="B944" s="19" t="s">
        <v>76</v>
      </c>
      <c r="C944" s="33">
        <v>17.658000000000001</v>
      </c>
      <c r="D944" s="22">
        <v>1.8749999999999999E-2</v>
      </c>
    </row>
    <row r="945" spans="1:4" x14ac:dyDescent="0.2">
      <c r="A945" s="19" t="s">
        <v>94</v>
      </c>
      <c r="B945" s="19" t="s">
        <v>77</v>
      </c>
      <c r="C945" s="33">
        <v>17.864000000000001</v>
      </c>
      <c r="D945" s="22">
        <v>1.8749999999999999E-2</v>
      </c>
    </row>
    <row r="946" spans="1:4" x14ac:dyDescent="0.2">
      <c r="A946" s="19" t="s">
        <v>94</v>
      </c>
      <c r="B946" s="19" t="s">
        <v>78</v>
      </c>
      <c r="C946" s="33">
        <v>15.83</v>
      </c>
      <c r="D946" s="22">
        <v>1.6666666666666666E-2</v>
      </c>
    </row>
    <row r="947" spans="1:4" x14ac:dyDescent="0.2">
      <c r="A947" s="19" t="s">
        <v>94</v>
      </c>
      <c r="B947" s="19" t="s">
        <v>79</v>
      </c>
      <c r="C947" s="33">
        <v>15.882999999999999</v>
      </c>
      <c r="D947" s="22">
        <v>1.5277777777777777E-2</v>
      </c>
    </row>
    <row r="948" spans="1:4" x14ac:dyDescent="0.2">
      <c r="A948" s="19" t="s">
        <v>94</v>
      </c>
      <c r="B948" s="19" t="s">
        <v>80</v>
      </c>
      <c r="C948" s="33">
        <v>13.361000000000001</v>
      </c>
      <c r="D948" s="22">
        <v>1.1111111111111112E-2</v>
      </c>
    </row>
    <row r="949" spans="1:4" x14ac:dyDescent="0.2">
      <c r="A949" s="19" t="s">
        <v>94</v>
      </c>
      <c r="B949" s="19" t="s">
        <v>81</v>
      </c>
      <c r="C949" s="33">
        <v>16.02</v>
      </c>
      <c r="D949" s="22">
        <v>1.2499999999999999E-2</v>
      </c>
    </row>
    <row r="950" spans="1:4" x14ac:dyDescent="0.2">
      <c r="A950" s="19" t="s">
        <v>94</v>
      </c>
      <c r="B950" s="19" t="s">
        <v>82</v>
      </c>
      <c r="C950" s="33">
        <v>17.033000000000001</v>
      </c>
      <c r="D950" s="22">
        <v>1.3888888888888888E-2</v>
      </c>
    </row>
    <row r="951" spans="1:4" x14ac:dyDescent="0.2">
      <c r="A951" s="19" t="s">
        <v>94</v>
      </c>
      <c r="B951" s="19" t="s">
        <v>83</v>
      </c>
      <c r="C951" s="33">
        <v>14.286</v>
      </c>
      <c r="D951" s="22">
        <v>1.3888888888888888E-2</v>
      </c>
    </row>
    <row r="952" spans="1:4" x14ac:dyDescent="0.2">
      <c r="A952" s="19" t="s">
        <v>94</v>
      </c>
      <c r="B952" s="19" t="s">
        <v>84</v>
      </c>
      <c r="C952" s="33">
        <v>24.484999999999999</v>
      </c>
      <c r="D952" s="22">
        <v>2.0833333333333332E-2</v>
      </c>
    </row>
    <row r="953" spans="1:4" x14ac:dyDescent="0.2">
      <c r="A953" s="19" t="s">
        <v>94</v>
      </c>
      <c r="B953" s="19" t="s">
        <v>85</v>
      </c>
      <c r="C953" s="33">
        <v>20.608000000000001</v>
      </c>
      <c r="D953" s="22">
        <v>1.7361111111111112E-2</v>
      </c>
    </row>
    <row r="954" spans="1:4" x14ac:dyDescent="0.2">
      <c r="A954" s="19" t="s">
        <v>94</v>
      </c>
      <c r="B954" s="19" t="s">
        <v>86</v>
      </c>
      <c r="C954" s="33">
        <v>20.884</v>
      </c>
      <c r="D954" s="22">
        <v>1.7361111111111112E-2</v>
      </c>
    </row>
    <row r="955" spans="1:4" x14ac:dyDescent="0.2">
      <c r="A955" s="19" t="s">
        <v>94</v>
      </c>
      <c r="B955" s="19" t="s">
        <v>87</v>
      </c>
      <c r="C955" s="33">
        <v>19.561</v>
      </c>
      <c r="D955" s="22">
        <v>1.6666666666666666E-2</v>
      </c>
    </row>
    <row r="956" spans="1:4" x14ac:dyDescent="0.2">
      <c r="A956" s="19" t="s">
        <v>94</v>
      </c>
      <c r="B956" s="19" t="s">
        <v>88</v>
      </c>
      <c r="C956" s="33">
        <v>14.760999999999999</v>
      </c>
      <c r="D956" s="22">
        <v>1.3194444444444444E-2</v>
      </c>
    </row>
    <row r="957" spans="1:4" x14ac:dyDescent="0.2">
      <c r="A957" s="19" t="s">
        <v>94</v>
      </c>
      <c r="B957" s="19" t="s">
        <v>89</v>
      </c>
      <c r="C957" s="33">
        <v>14.827999999999999</v>
      </c>
      <c r="D957" s="22">
        <v>1.3194444444444444E-2</v>
      </c>
    </row>
    <row r="958" spans="1:4" x14ac:dyDescent="0.2">
      <c r="A958" s="19" t="s">
        <v>94</v>
      </c>
      <c r="B958" s="19" t="s">
        <v>90</v>
      </c>
      <c r="C958" s="33">
        <v>21.88</v>
      </c>
      <c r="D958" s="22">
        <v>2.361111111111111E-2</v>
      </c>
    </row>
    <row r="959" spans="1:4" x14ac:dyDescent="0.2">
      <c r="A959" s="19" t="s">
        <v>94</v>
      </c>
      <c r="B959" s="19" t="s">
        <v>91</v>
      </c>
      <c r="C959" s="33">
        <v>13.959</v>
      </c>
      <c r="D959" s="22">
        <v>1.1111111111111112E-2</v>
      </c>
    </row>
    <row r="960" spans="1:4" x14ac:dyDescent="0.2">
      <c r="A960" s="19" t="s">
        <v>94</v>
      </c>
      <c r="B960" s="19" t="s">
        <v>92</v>
      </c>
      <c r="C960" s="33">
        <v>4.319</v>
      </c>
      <c r="D960" s="22">
        <v>4.1666666666666666E-3</v>
      </c>
    </row>
    <row r="961" spans="1:4" x14ac:dyDescent="0.2">
      <c r="A961" s="19" t="s">
        <v>94</v>
      </c>
      <c r="B961" s="19" t="s">
        <v>93</v>
      </c>
      <c r="C961" s="33">
        <v>2.1269999999999998</v>
      </c>
      <c r="D961" s="22">
        <v>2.7777777777777779E-3</v>
      </c>
    </row>
    <row r="962" spans="1:4" x14ac:dyDescent="0.2">
      <c r="A962" s="17" t="s">
        <v>94</v>
      </c>
      <c r="B962" s="17" t="s">
        <v>94</v>
      </c>
      <c r="C962" s="31">
        <v>0</v>
      </c>
      <c r="D962" s="3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2"/>
  <sheetViews>
    <sheetView workbookViewId="0">
      <selection activeCell="F7" sqref="F7"/>
    </sheetView>
  </sheetViews>
  <sheetFormatPr defaultRowHeight="14.25" x14ac:dyDescent="0.2"/>
  <cols>
    <col min="1" max="1" width="13.375" bestFit="1" customWidth="1"/>
    <col min="2" max="2" width="10.375" bestFit="1" customWidth="1"/>
    <col min="3" max="3" width="7.75" bestFit="1" customWidth="1"/>
    <col min="4" max="4" width="15.625" bestFit="1" customWidth="1"/>
    <col min="5" max="5" width="18.75" bestFit="1" customWidth="1"/>
    <col min="6" max="6" width="14.875" bestFit="1" customWidth="1"/>
  </cols>
  <sheetData>
    <row r="1" spans="1:6" s="12" customFormat="1" x14ac:dyDescent="0.2">
      <c r="A1" s="25" t="s">
        <v>102</v>
      </c>
      <c r="B1" s="12" t="s">
        <v>103</v>
      </c>
      <c r="C1" s="12" t="s">
        <v>104</v>
      </c>
      <c r="D1" s="12" t="s">
        <v>105</v>
      </c>
      <c r="E1" s="12" t="s">
        <v>106</v>
      </c>
      <c r="F1" s="12" t="s">
        <v>107</v>
      </c>
    </row>
    <row r="2" spans="1:6" s="28" customFormat="1" x14ac:dyDescent="0.2">
      <c r="A2" s="34">
        <v>1</v>
      </c>
      <c r="B2" s="35" t="s">
        <v>108</v>
      </c>
      <c r="C2" s="35">
        <v>4</v>
      </c>
      <c r="D2" s="35">
        <v>0</v>
      </c>
      <c r="E2" s="35">
        <v>8</v>
      </c>
      <c r="F2" s="35">
        <v>12</v>
      </c>
    </row>
  </sheetData>
  <dataValidations count="2">
    <dataValidation type="decimal" operator="greaterThan" allowBlank="1" showInputMessage="1" showErrorMessage="1" error="Please enter a nonnegative value" sqref="C2:E2" xr:uid="{00000000-0002-0000-0400-000000000000}">
      <formula1>-0.0001</formula1>
    </dataValidation>
    <dataValidation type="whole" operator="greaterThan" allowBlank="1" showInputMessage="1" showErrorMessage="1" error="Please enter a nonnegative integer value" sqref="F2" xr:uid="{00000000-0002-0000-0400-000003000000}">
      <formula1>-1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Y38"/>
  <sheetViews>
    <sheetView workbookViewId="0"/>
  </sheetViews>
  <sheetFormatPr defaultRowHeight="14.25" x14ac:dyDescent="0.2"/>
  <cols>
    <col min="1" max="1" width="15.875" bestFit="1" customWidth="1"/>
    <col min="2" max="2" width="14.75" bestFit="1" customWidth="1"/>
    <col min="3" max="3" width="11.875" hidden="1" customWidth="1"/>
    <col min="4" max="4" width="12.25" hidden="1" customWidth="1"/>
    <col min="5" max="5" width="13.875" hidden="1" customWidth="1"/>
    <col min="6" max="6" width="9.25" bestFit="1" customWidth="1"/>
    <col min="7" max="7" width="10.25" bestFit="1" customWidth="1"/>
    <col min="8" max="8" width="6.5" hidden="1" customWidth="1"/>
    <col min="9" max="9" width="12.625" bestFit="1" customWidth="1"/>
    <col min="10" max="10" width="10.625" customWidth="1"/>
    <col min="11" max="11" width="10.625" bestFit="1" customWidth="1"/>
    <col min="12" max="12" width="13.75" bestFit="1" customWidth="1"/>
    <col min="14" max="14" width="11" bestFit="1" customWidth="1"/>
    <col min="15" max="15" width="14.75" bestFit="1" customWidth="1"/>
    <col min="16" max="16" width="11.875" hidden="1" customWidth="1"/>
    <col min="17" max="17" width="12.25" hidden="1" customWidth="1"/>
    <col min="18" max="18" width="13.875" hidden="1" customWidth="1"/>
    <col min="19" max="19" width="9.25" bestFit="1" customWidth="1"/>
    <col min="20" max="20" width="10.25" bestFit="1" customWidth="1"/>
    <col min="21" max="21" width="6.5" hidden="1" customWidth="1"/>
    <col min="22" max="22" width="12.625" bestFit="1" customWidth="1"/>
    <col min="23" max="23" width="10.625" customWidth="1"/>
    <col min="24" max="24" width="10.625" bestFit="1" customWidth="1"/>
    <col min="25" max="25" width="13.75" bestFit="1" customWidth="1"/>
    <col min="27" max="27" width="11" bestFit="1" customWidth="1"/>
    <col min="28" max="28" width="14.75" bestFit="1" customWidth="1"/>
    <col min="29" max="29" width="11.875" hidden="1" customWidth="1"/>
    <col min="30" max="30" width="12.25" hidden="1" customWidth="1"/>
    <col min="31" max="31" width="13.875" hidden="1" customWidth="1"/>
    <col min="32" max="32" width="9.25" bestFit="1" customWidth="1"/>
    <col min="33" max="33" width="10.25" bestFit="1" customWidth="1"/>
    <col min="34" max="34" width="6.5" hidden="1" customWidth="1"/>
    <col min="35" max="35" width="12.625" bestFit="1" customWidth="1"/>
    <col min="36" max="36" width="10.625" customWidth="1"/>
    <col min="37" max="37" width="10.625" bestFit="1" customWidth="1"/>
    <col min="38" max="38" width="13.75" bestFit="1" customWidth="1"/>
    <col min="40" max="40" width="11" bestFit="1" customWidth="1"/>
    <col min="41" max="41" width="14.75" bestFit="1" customWidth="1"/>
    <col min="42" max="42" width="11.875" hidden="1" customWidth="1"/>
    <col min="43" max="43" width="12.25" hidden="1" customWidth="1"/>
    <col min="44" max="44" width="13.875" hidden="1" customWidth="1"/>
    <col min="45" max="45" width="9.25" bestFit="1" customWidth="1"/>
    <col min="46" max="46" width="10.25" bestFit="1" customWidth="1"/>
    <col min="47" max="47" width="6.5" hidden="1" customWidth="1"/>
    <col min="48" max="48" width="12.625" bestFit="1" customWidth="1"/>
    <col min="49" max="49" width="10.625" customWidth="1"/>
    <col min="50" max="50" width="10.625" bestFit="1" customWidth="1"/>
    <col min="51" max="51" width="13.75" bestFit="1" customWidth="1"/>
    <col min="53" max="53" width="11" bestFit="1" customWidth="1"/>
    <col min="54" max="54" width="14.75" bestFit="1" customWidth="1"/>
    <col min="55" max="55" width="11.875" hidden="1" customWidth="1"/>
    <col min="56" max="56" width="12.25" hidden="1" customWidth="1"/>
    <col min="57" max="57" width="13.875" hidden="1" customWidth="1"/>
    <col min="58" max="58" width="9.25" bestFit="1" customWidth="1"/>
    <col min="59" max="59" width="10.25" bestFit="1" customWidth="1"/>
    <col min="60" max="60" width="6.5" hidden="1" customWidth="1"/>
    <col min="61" max="61" width="12.625" bestFit="1" customWidth="1"/>
    <col min="62" max="62" width="10.625" customWidth="1"/>
    <col min="63" max="63" width="10.625" bestFit="1" customWidth="1"/>
    <col min="64" max="64" width="13.75" bestFit="1" customWidth="1"/>
    <col min="66" max="66" width="11" bestFit="1" customWidth="1"/>
    <col min="67" max="67" width="14.75" bestFit="1" customWidth="1"/>
    <col min="68" max="68" width="11.875" hidden="1" customWidth="1"/>
    <col min="69" max="69" width="12.25" hidden="1" customWidth="1"/>
    <col min="70" max="70" width="13.875" hidden="1" customWidth="1"/>
    <col min="71" max="71" width="9.25" bestFit="1" customWidth="1"/>
    <col min="72" max="72" width="10.25" bestFit="1" customWidth="1"/>
    <col min="73" max="73" width="6.5" hidden="1" customWidth="1"/>
    <col min="74" max="74" width="12.625" bestFit="1" customWidth="1"/>
    <col min="75" max="75" width="10.625" customWidth="1"/>
    <col min="76" max="76" width="10.625" bestFit="1" customWidth="1"/>
    <col min="77" max="77" width="13.75" bestFit="1" customWidth="1"/>
    <col min="79" max="79" width="11" bestFit="1" customWidth="1"/>
    <col min="80" max="80" width="14.75" bestFit="1" customWidth="1"/>
    <col min="81" max="81" width="11.875" hidden="1" customWidth="1"/>
    <col min="82" max="82" width="12.25" hidden="1" customWidth="1"/>
    <col min="83" max="83" width="13.875" hidden="1" customWidth="1"/>
    <col min="84" max="84" width="9.25" bestFit="1" customWidth="1"/>
    <col min="85" max="85" width="10.25" bestFit="1" customWidth="1"/>
    <col min="86" max="86" width="6.5" hidden="1" customWidth="1"/>
    <col min="87" max="87" width="12.625" bestFit="1" customWidth="1"/>
    <col min="88" max="88" width="10.625" customWidth="1"/>
    <col min="89" max="89" width="10.625" bestFit="1" customWidth="1"/>
    <col min="90" max="90" width="13.75" bestFit="1" customWidth="1"/>
    <col min="92" max="92" width="11" bestFit="1" customWidth="1"/>
    <col min="93" max="93" width="14.75" bestFit="1" customWidth="1"/>
    <col min="94" max="94" width="11.875" hidden="1" customWidth="1"/>
    <col min="95" max="95" width="12.25" hidden="1" customWidth="1"/>
    <col min="96" max="96" width="13.875" hidden="1" customWidth="1"/>
    <col min="97" max="97" width="9.25" bestFit="1" customWidth="1"/>
    <col min="98" max="98" width="10.25" bestFit="1" customWidth="1"/>
    <col min="99" max="99" width="6.5" hidden="1" customWidth="1"/>
    <col min="100" max="100" width="12.625" bestFit="1" customWidth="1"/>
    <col min="101" max="101" width="10.625" customWidth="1"/>
    <col min="102" max="102" width="10.625" bestFit="1" customWidth="1"/>
    <col min="103" max="103" width="13.75" bestFit="1" customWidth="1"/>
    <col min="105" max="105" width="11" bestFit="1" customWidth="1"/>
    <col min="106" max="106" width="14.75" bestFit="1" customWidth="1"/>
    <col min="107" max="107" width="11.875" hidden="1" customWidth="1"/>
    <col min="108" max="108" width="12.25" hidden="1" customWidth="1"/>
    <col min="109" max="109" width="13.875" hidden="1" customWidth="1"/>
    <col min="110" max="110" width="9.25" bestFit="1" customWidth="1"/>
    <col min="111" max="111" width="10.25" bestFit="1" customWidth="1"/>
    <col min="112" max="112" width="6.5" hidden="1" customWidth="1"/>
    <col min="113" max="113" width="12.625" bestFit="1" customWidth="1"/>
    <col min="114" max="114" width="10.625" customWidth="1"/>
    <col min="115" max="115" width="10.625" bestFit="1" customWidth="1"/>
    <col min="116" max="116" width="13.75" bestFit="1" customWidth="1"/>
    <col min="118" max="118" width="11" bestFit="1" customWidth="1"/>
    <col min="119" max="119" width="14.75" bestFit="1" customWidth="1"/>
    <col min="120" max="120" width="11.875" hidden="1" customWidth="1"/>
    <col min="121" max="121" width="12.25" hidden="1" customWidth="1"/>
    <col min="122" max="122" width="13.875" hidden="1" customWidth="1"/>
    <col min="123" max="123" width="9.25" bestFit="1" customWidth="1"/>
    <col min="124" max="124" width="10.25" bestFit="1" customWidth="1"/>
    <col min="125" max="125" width="6.5" hidden="1" customWidth="1"/>
    <col min="126" max="126" width="12.625" bestFit="1" customWidth="1"/>
    <col min="127" max="127" width="10.625" customWidth="1"/>
    <col min="128" max="128" width="10.625" bestFit="1" customWidth="1"/>
    <col min="129" max="129" width="13.75" bestFit="1" customWidth="1"/>
    <col min="131" max="131" width="11" bestFit="1" customWidth="1"/>
    <col min="132" max="132" width="14.75" bestFit="1" customWidth="1"/>
    <col min="133" max="133" width="11.875" hidden="1" customWidth="1"/>
    <col min="134" max="134" width="12.25" hidden="1" customWidth="1"/>
    <col min="135" max="135" width="13.875" hidden="1" customWidth="1"/>
    <col min="136" max="136" width="9.25" bestFit="1" customWidth="1"/>
    <col min="137" max="137" width="10.25" bestFit="1" customWidth="1"/>
    <col min="138" max="138" width="6.5" hidden="1" customWidth="1"/>
    <col min="139" max="139" width="12.625" bestFit="1" customWidth="1"/>
    <col min="140" max="140" width="10.625" customWidth="1"/>
    <col min="141" max="141" width="10.625" bestFit="1" customWidth="1"/>
    <col min="142" max="142" width="13.75" bestFit="1" customWidth="1"/>
    <col min="144" max="144" width="11" bestFit="1" customWidth="1"/>
    <col min="145" max="145" width="14.75" bestFit="1" customWidth="1"/>
    <col min="146" max="146" width="11.875" hidden="1" customWidth="1"/>
    <col min="147" max="147" width="12.25" hidden="1" customWidth="1"/>
    <col min="148" max="148" width="13.875" hidden="1" customWidth="1"/>
    <col min="149" max="149" width="9.25" bestFit="1" customWidth="1"/>
    <col min="150" max="150" width="10.25" bestFit="1" customWidth="1"/>
    <col min="151" max="151" width="6.5" hidden="1" customWidth="1"/>
    <col min="152" max="152" width="12.625" bestFit="1" customWidth="1"/>
    <col min="153" max="153" width="10.625" customWidth="1"/>
    <col min="154" max="154" width="10.625" bestFit="1" customWidth="1"/>
    <col min="155" max="155" width="13.75" bestFit="1" customWidth="1"/>
  </cols>
  <sheetData>
    <row r="1" spans="1:155" s="12" customFormat="1" x14ac:dyDescent="0.2">
      <c r="A1" s="12" t="s">
        <v>109</v>
      </c>
      <c r="B1" s="48">
        <f ca="1">+$J$3+$W$3+$AJ$3+$AW$3+$BJ$3+$BW$3+$CJ$3+$CW$3+$DJ$3+$DW$3+$EJ$3+$EW$3</f>
        <v>-7676.0879999999997</v>
      </c>
    </row>
    <row r="2" spans="1:155" s="12" customFormat="1" x14ac:dyDescent="0.2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</row>
    <row r="3" spans="1:155" s="12" customFormat="1" x14ac:dyDescent="0.2">
      <c r="A3" s="12" t="s">
        <v>117</v>
      </c>
      <c r="B3" s="12" t="s">
        <v>118</v>
      </c>
      <c r="F3" s="12" t="s">
        <v>119</v>
      </c>
      <c r="G3" s="49">
        <f>COUNTA($B$6:$B$36)</f>
        <v>3</v>
      </c>
      <c r="I3" s="12" t="s">
        <v>120</v>
      </c>
      <c r="J3" s="50">
        <f ca="1">INDEX($H$5:$H$36,$G$3+ 1)-(INDEX($F$5:$F$36,$G$3+ 1) * '3.Vehicles'!$E$2)- IF(INDIRECT("$G$3") &gt; 1, INDIRECT("'3.Vehicles'!$D$2"), 0)</f>
        <v>-469.048</v>
      </c>
      <c r="N3" s="12" t="s">
        <v>117</v>
      </c>
      <c r="O3" s="12" t="s">
        <v>121</v>
      </c>
      <c r="S3" s="12" t="s">
        <v>119</v>
      </c>
      <c r="T3" s="49">
        <f>COUNTA($O$6:$O$36)</f>
        <v>4</v>
      </c>
      <c r="V3" s="12" t="s">
        <v>120</v>
      </c>
      <c r="W3" s="50">
        <f ca="1">INDEX($U$5:$U$36,$T$3+ 1)-(INDEX($S$5:$S$36,$T$3+ 1) * '3.Vehicles'!$E$2)- IF(INDIRECT("$T$3") &gt; 1, INDIRECT("'3.Vehicles'!$D$2"), 0)</f>
        <v>-667.28</v>
      </c>
      <c r="AA3" s="12" t="s">
        <v>117</v>
      </c>
      <c r="AB3" s="12" t="s">
        <v>122</v>
      </c>
      <c r="AF3" s="12" t="s">
        <v>119</v>
      </c>
      <c r="AG3" s="49">
        <f>COUNTA($AB$6:$AB$36)</f>
        <v>4</v>
      </c>
      <c r="AI3" s="12" t="s">
        <v>120</v>
      </c>
      <c r="AJ3" s="50">
        <f ca="1">INDEX($AH$5:$AH$36,$AG$3+ 1)-(INDEX($AF$5:$AF$36,$AG$3+ 1) * '3.Vehicles'!$E$2)- IF(INDIRECT("$AG$3") &gt; 1, INDIRECT("'3.Vehicles'!$D$2"), 0)</f>
        <v>-898.88</v>
      </c>
      <c r="AN3" s="12" t="s">
        <v>117</v>
      </c>
      <c r="AO3" s="12" t="s">
        <v>123</v>
      </c>
      <c r="AS3" s="12" t="s">
        <v>119</v>
      </c>
      <c r="AT3" s="49">
        <f>COUNTA($AO$6:$AO$36)</f>
        <v>4</v>
      </c>
      <c r="AV3" s="12" t="s">
        <v>120</v>
      </c>
      <c r="AW3" s="50">
        <f ca="1">INDEX($AU$5:$AU$36,$AT$3+ 1)-(INDEX($AS$5:$AS$36,$AT$3+ 1) * '3.Vehicles'!$E$2)- IF(INDIRECT("$AT$3") &gt; 1, INDIRECT("'3.Vehicles'!$D$2"), 0)</f>
        <v>-1003.008</v>
      </c>
      <c r="BA3" s="12" t="s">
        <v>117</v>
      </c>
      <c r="BB3" s="12" t="s">
        <v>124</v>
      </c>
      <c r="BF3" s="12" t="s">
        <v>119</v>
      </c>
      <c r="BG3" s="49">
        <f>COUNTA($BB$6:$BB$36)</f>
        <v>3</v>
      </c>
      <c r="BI3" s="12" t="s">
        <v>120</v>
      </c>
      <c r="BJ3" s="50">
        <f ca="1">INDEX($BH$5:$BH$36,$BG$3+ 1)-(INDEX($BF$5:$BF$36,$BG$3+ 1) * '3.Vehicles'!$E$2)- IF(INDIRECT("$BG$3") &gt; 1, INDIRECT("'3.Vehicles'!$D$2"), 0)</f>
        <v>-613.17599999999993</v>
      </c>
      <c r="BN3" s="12" t="s">
        <v>117</v>
      </c>
      <c r="BO3" s="12" t="s">
        <v>125</v>
      </c>
      <c r="BS3" s="12" t="s">
        <v>119</v>
      </c>
      <c r="BT3" s="49">
        <f>COUNTA($BO$6:$BO$36)</f>
        <v>4</v>
      </c>
      <c r="BV3" s="12" t="s">
        <v>120</v>
      </c>
      <c r="BW3" s="50">
        <f ca="1">INDEX($BU$5:$BU$36,$BT$3+ 1)-(INDEX($BS$5:$BS$36,$BT$3+ 1) * '3.Vehicles'!$E$2)- IF(INDIRECT("$BT$3") &gt; 1, INDIRECT("'3.Vehicles'!$D$2"), 0)</f>
        <v>-542.14400000000001</v>
      </c>
      <c r="CA3" s="12" t="s">
        <v>117</v>
      </c>
      <c r="CB3" s="12" t="s">
        <v>126</v>
      </c>
      <c r="CF3" s="12" t="s">
        <v>119</v>
      </c>
      <c r="CG3" s="49">
        <f>COUNTA($CB$6:$CB$36)</f>
        <v>5</v>
      </c>
      <c r="CI3" s="12" t="s">
        <v>120</v>
      </c>
      <c r="CJ3" s="50">
        <f ca="1">INDEX($CH$5:$CH$36,$CG$3+ 1)-(INDEX($CF$5:$CF$36,$CG$3+ 1) * '3.Vehicles'!$E$2)- IF(INDIRECT("$CG$3") &gt; 1, INDIRECT("'3.Vehicles'!$D$2"), 0)</f>
        <v>-910.24</v>
      </c>
      <c r="CN3" s="12" t="s">
        <v>117</v>
      </c>
      <c r="CO3" s="12" t="s">
        <v>127</v>
      </c>
      <c r="CS3" s="12" t="s">
        <v>119</v>
      </c>
      <c r="CT3" s="49">
        <f>COUNTA($CO$6:$CO$36)</f>
        <v>4</v>
      </c>
      <c r="CV3" s="12" t="s">
        <v>120</v>
      </c>
      <c r="CW3" s="50">
        <f ca="1">INDEX($CU$5:$CU$36,$CT$3+ 1)-(INDEX($CS$5:$CS$36,$CT$3+ 1) * '3.Vehicles'!$E$2)- IF(INDIRECT("$CT$3") &gt; 1, INDIRECT("'3.Vehicles'!$D$2"), 0)</f>
        <v>-553.65600000000006</v>
      </c>
      <c r="DA3" s="12" t="s">
        <v>117</v>
      </c>
      <c r="DB3" s="12" t="s">
        <v>128</v>
      </c>
      <c r="DF3" s="12" t="s">
        <v>119</v>
      </c>
      <c r="DG3" s="49">
        <f>COUNTA($DB$6:$DB$36)</f>
        <v>4</v>
      </c>
      <c r="DI3" s="12" t="s">
        <v>120</v>
      </c>
      <c r="DJ3" s="50">
        <f ca="1">INDEX($DH$5:$DH$36,$DG$3+ 1)-(INDEX($DF$5:$DF$36,$DG$3+ 1) * '3.Vehicles'!$E$2)- IF(INDIRECT("$DG$3") &gt; 1, INDIRECT("'3.Vehicles'!$D$2"), 0)</f>
        <v>-1013.8960000000001</v>
      </c>
      <c r="DN3" s="12" t="s">
        <v>117</v>
      </c>
      <c r="DO3" s="12" t="s">
        <v>129</v>
      </c>
      <c r="DS3" s="12" t="s">
        <v>119</v>
      </c>
      <c r="DT3" s="49">
        <f>COUNTA($DO$6:$DO$36)</f>
        <v>5</v>
      </c>
      <c r="DV3" s="12" t="s">
        <v>120</v>
      </c>
      <c r="DW3" s="50">
        <f ca="1">INDEX($DU$5:$DU$36,$DT$3+ 1)-(INDEX($DS$5:$DS$36,$DT$3+ 1) * '3.Vehicles'!$E$2)- IF(INDIRECT("$DT$3") &gt; 1, INDIRECT("'3.Vehicles'!$D$2"), 0)</f>
        <v>-1004.76</v>
      </c>
      <c r="EA3" s="12" t="s">
        <v>117</v>
      </c>
      <c r="EB3" s="12" t="s">
        <v>130</v>
      </c>
      <c r="EF3" s="12" t="s">
        <v>119</v>
      </c>
      <c r="EG3" s="49">
        <f>COUNTA($EB$6:$EB$36)</f>
        <v>0</v>
      </c>
      <c r="EI3" s="12" t="s">
        <v>120</v>
      </c>
      <c r="EJ3" s="50">
        <f ca="1">INDEX($EH$5:$EH$36,$EG$3+ 1)-(INDEX($EF$5:$EF$36,$EG$3+ 1) * '3.Vehicles'!$E$2)- IF(INDIRECT("$EG$3") &gt; 1, INDIRECT("'3.Vehicles'!$D$2"), 0)</f>
        <v>0</v>
      </c>
      <c r="EN3" s="12" t="s">
        <v>117</v>
      </c>
      <c r="EO3" s="12" t="s">
        <v>131</v>
      </c>
      <c r="ES3" s="12" t="s">
        <v>119</v>
      </c>
      <c r="ET3" s="49">
        <f>COUNTA($EO$6:$EO$36)</f>
        <v>0</v>
      </c>
      <c r="EV3" s="12" t="s">
        <v>120</v>
      </c>
      <c r="EW3" s="50">
        <f ca="1">INDEX($EU$5:$EU$36,$ET$3+ 1)-(INDEX($ES$5:$ES$36,$ET$3+ 1) * '3.Vehicles'!$E$2)- IF(INDIRECT("$ET$3") &gt; 1, INDIRECT("'3.Vehicles'!$D$2"), 0)</f>
        <v>0</v>
      </c>
    </row>
    <row r="4" spans="1:155" s="12" customFormat="1" x14ac:dyDescent="0.2">
      <c r="A4" s="12" t="s">
        <v>110</v>
      </c>
      <c r="B4" s="12" t="s">
        <v>111</v>
      </c>
      <c r="C4" s="12" t="s">
        <v>53</v>
      </c>
      <c r="D4" s="12" t="s">
        <v>56</v>
      </c>
      <c r="E4" s="12" t="s">
        <v>57</v>
      </c>
      <c r="F4" s="12" t="s">
        <v>99</v>
      </c>
      <c r="G4" s="12" t="s">
        <v>112</v>
      </c>
      <c r="H4" s="12" t="s">
        <v>63</v>
      </c>
      <c r="I4" s="12" t="s">
        <v>113</v>
      </c>
      <c r="J4" s="12" t="s">
        <v>114</v>
      </c>
      <c r="K4" s="12" t="s">
        <v>115</v>
      </c>
      <c r="L4" s="12" t="s">
        <v>116</v>
      </c>
      <c r="N4" s="12" t="s">
        <v>110</v>
      </c>
      <c r="O4" s="12" t="s">
        <v>111</v>
      </c>
      <c r="P4" s="12" t="s">
        <v>53</v>
      </c>
      <c r="Q4" s="12" t="s">
        <v>56</v>
      </c>
      <c r="R4" s="12" t="s">
        <v>57</v>
      </c>
      <c r="S4" s="12" t="s">
        <v>99</v>
      </c>
      <c r="T4" s="12" t="s">
        <v>112</v>
      </c>
      <c r="U4" s="12" t="s">
        <v>63</v>
      </c>
      <c r="V4" s="12" t="s">
        <v>113</v>
      </c>
      <c r="W4" s="12" t="s">
        <v>114</v>
      </c>
      <c r="X4" s="12" t="s">
        <v>115</v>
      </c>
      <c r="Y4" s="12" t="s">
        <v>116</v>
      </c>
      <c r="AA4" s="12" t="s">
        <v>110</v>
      </c>
      <c r="AB4" s="12" t="s">
        <v>111</v>
      </c>
      <c r="AC4" s="12" t="s">
        <v>53</v>
      </c>
      <c r="AD4" s="12" t="s">
        <v>56</v>
      </c>
      <c r="AE4" s="12" t="s">
        <v>57</v>
      </c>
      <c r="AF4" s="12" t="s">
        <v>99</v>
      </c>
      <c r="AG4" s="12" t="s">
        <v>112</v>
      </c>
      <c r="AH4" s="12" t="s">
        <v>63</v>
      </c>
      <c r="AI4" s="12" t="s">
        <v>113</v>
      </c>
      <c r="AJ4" s="12" t="s">
        <v>114</v>
      </c>
      <c r="AK4" s="12" t="s">
        <v>115</v>
      </c>
      <c r="AL4" s="12" t="s">
        <v>116</v>
      </c>
      <c r="AN4" s="12" t="s">
        <v>110</v>
      </c>
      <c r="AO4" s="12" t="s">
        <v>111</v>
      </c>
      <c r="AP4" s="12" t="s">
        <v>53</v>
      </c>
      <c r="AQ4" s="12" t="s">
        <v>56</v>
      </c>
      <c r="AR4" s="12" t="s">
        <v>57</v>
      </c>
      <c r="AS4" s="12" t="s">
        <v>99</v>
      </c>
      <c r="AT4" s="12" t="s">
        <v>112</v>
      </c>
      <c r="AU4" s="12" t="s">
        <v>63</v>
      </c>
      <c r="AV4" s="12" t="s">
        <v>113</v>
      </c>
      <c r="AW4" s="12" t="s">
        <v>114</v>
      </c>
      <c r="AX4" s="12" t="s">
        <v>115</v>
      </c>
      <c r="AY4" s="12" t="s">
        <v>116</v>
      </c>
      <c r="BA4" s="12" t="s">
        <v>110</v>
      </c>
      <c r="BB4" s="12" t="s">
        <v>111</v>
      </c>
      <c r="BC4" s="12" t="s">
        <v>53</v>
      </c>
      <c r="BD4" s="12" t="s">
        <v>56</v>
      </c>
      <c r="BE4" s="12" t="s">
        <v>57</v>
      </c>
      <c r="BF4" s="12" t="s">
        <v>99</v>
      </c>
      <c r="BG4" s="12" t="s">
        <v>112</v>
      </c>
      <c r="BH4" s="12" t="s">
        <v>63</v>
      </c>
      <c r="BI4" s="12" t="s">
        <v>113</v>
      </c>
      <c r="BJ4" s="12" t="s">
        <v>114</v>
      </c>
      <c r="BK4" s="12" t="s">
        <v>115</v>
      </c>
      <c r="BL4" s="12" t="s">
        <v>116</v>
      </c>
      <c r="BN4" s="12" t="s">
        <v>110</v>
      </c>
      <c r="BO4" s="12" t="s">
        <v>111</v>
      </c>
      <c r="BP4" s="12" t="s">
        <v>53</v>
      </c>
      <c r="BQ4" s="12" t="s">
        <v>56</v>
      </c>
      <c r="BR4" s="12" t="s">
        <v>57</v>
      </c>
      <c r="BS4" s="12" t="s">
        <v>99</v>
      </c>
      <c r="BT4" s="12" t="s">
        <v>112</v>
      </c>
      <c r="BU4" s="12" t="s">
        <v>63</v>
      </c>
      <c r="BV4" s="12" t="s">
        <v>113</v>
      </c>
      <c r="BW4" s="12" t="s">
        <v>114</v>
      </c>
      <c r="BX4" s="12" t="s">
        <v>115</v>
      </c>
      <c r="BY4" s="12" t="s">
        <v>116</v>
      </c>
      <c r="CA4" s="12" t="s">
        <v>110</v>
      </c>
      <c r="CB4" s="12" t="s">
        <v>111</v>
      </c>
      <c r="CC4" s="12" t="s">
        <v>53</v>
      </c>
      <c r="CD4" s="12" t="s">
        <v>56</v>
      </c>
      <c r="CE4" s="12" t="s">
        <v>57</v>
      </c>
      <c r="CF4" s="12" t="s">
        <v>99</v>
      </c>
      <c r="CG4" s="12" t="s">
        <v>112</v>
      </c>
      <c r="CH4" s="12" t="s">
        <v>63</v>
      </c>
      <c r="CI4" s="12" t="s">
        <v>113</v>
      </c>
      <c r="CJ4" s="12" t="s">
        <v>114</v>
      </c>
      <c r="CK4" s="12" t="s">
        <v>115</v>
      </c>
      <c r="CL4" s="12" t="s">
        <v>116</v>
      </c>
      <c r="CN4" s="12" t="s">
        <v>110</v>
      </c>
      <c r="CO4" s="12" t="s">
        <v>111</v>
      </c>
      <c r="CP4" s="12" t="s">
        <v>53</v>
      </c>
      <c r="CQ4" s="12" t="s">
        <v>56</v>
      </c>
      <c r="CR4" s="12" t="s">
        <v>57</v>
      </c>
      <c r="CS4" s="12" t="s">
        <v>99</v>
      </c>
      <c r="CT4" s="12" t="s">
        <v>112</v>
      </c>
      <c r="CU4" s="12" t="s">
        <v>63</v>
      </c>
      <c r="CV4" s="12" t="s">
        <v>113</v>
      </c>
      <c r="CW4" s="12" t="s">
        <v>114</v>
      </c>
      <c r="CX4" s="12" t="s">
        <v>115</v>
      </c>
      <c r="CY4" s="12" t="s">
        <v>116</v>
      </c>
      <c r="DA4" s="12" t="s">
        <v>110</v>
      </c>
      <c r="DB4" s="12" t="s">
        <v>111</v>
      </c>
      <c r="DC4" s="12" t="s">
        <v>53</v>
      </c>
      <c r="DD4" s="12" t="s">
        <v>56</v>
      </c>
      <c r="DE4" s="12" t="s">
        <v>57</v>
      </c>
      <c r="DF4" s="12" t="s">
        <v>99</v>
      </c>
      <c r="DG4" s="12" t="s">
        <v>112</v>
      </c>
      <c r="DH4" s="12" t="s">
        <v>63</v>
      </c>
      <c r="DI4" s="12" t="s">
        <v>113</v>
      </c>
      <c r="DJ4" s="12" t="s">
        <v>114</v>
      </c>
      <c r="DK4" s="12" t="s">
        <v>115</v>
      </c>
      <c r="DL4" s="12" t="s">
        <v>116</v>
      </c>
      <c r="DN4" s="12" t="s">
        <v>110</v>
      </c>
      <c r="DO4" s="12" t="s">
        <v>111</v>
      </c>
      <c r="DP4" s="12" t="s">
        <v>53</v>
      </c>
      <c r="DQ4" s="12" t="s">
        <v>56</v>
      </c>
      <c r="DR4" s="12" t="s">
        <v>57</v>
      </c>
      <c r="DS4" s="12" t="s">
        <v>99</v>
      </c>
      <c r="DT4" s="12" t="s">
        <v>112</v>
      </c>
      <c r="DU4" s="12" t="s">
        <v>63</v>
      </c>
      <c r="DV4" s="12" t="s">
        <v>113</v>
      </c>
      <c r="DW4" s="12" t="s">
        <v>114</v>
      </c>
      <c r="DX4" s="12" t="s">
        <v>115</v>
      </c>
      <c r="DY4" s="12" t="s">
        <v>116</v>
      </c>
      <c r="EA4" s="12" t="s">
        <v>110</v>
      </c>
      <c r="EB4" s="12" t="s">
        <v>111</v>
      </c>
      <c r="EC4" s="12" t="s">
        <v>53</v>
      </c>
      <c r="ED4" s="12" t="s">
        <v>56</v>
      </c>
      <c r="EE4" s="12" t="s">
        <v>57</v>
      </c>
      <c r="EF4" s="12" t="s">
        <v>99</v>
      </c>
      <c r="EG4" s="12" t="s">
        <v>112</v>
      </c>
      <c r="EH4" s="12" t="s">
        <v>63</v>
      </c>
      <c r="EI4" s="12" t="s">
        <v>113</v>
      </c>
      <c r="EJ4" s="12" t="s">
        <v>114</v>
      </c>
      <c r="EK4" s="12" t="s">
        <v>115</v>
      </c>
      <c r="EL4" s="12" t="s">
        <v>116</v>
      </c>
      <c r="EN4" s="12" t="s">
        <v>110</v>
      </c>
      <c r="EO4" s="12" t="s">
        <v>111</v>
      </c>
      <c r="EP4" s="12" t="s">
        <v>53</v>
      </c>
      <c r="EQ4" s="12" t="s">
        <v>56</v>
      </c>
      <c r="ER4" s="12" t="s">
        <v>57</v>
      </c>
      <c r="ES4" s="12" t="s">
        <v>99</v>
      </c>
      <c r="ET4" s="12" t="s">
        <v>112</v>
      </c>
      <c r="EU4" s="12" t="s">
        <v>63</v>
      </c>
      <c r="EV4" s="12" t="s">
        <v>113</v>
      </c>
      <c r="EW4" s="12" t="s">
        <v>114</v>
      </c>
      <c r="EX4" s="12" t="s">
        <v>115</v>
      </c>
      <c r="EY4" s="12" t="s">
        <v>116</v>
      </c>
    </row>
    <row r="5" spans="1:155" x14ac:dyDescent="0.2">
      <c r="A5" s="13">
        <v>0</v>
      </c>
      <c r="B5" s="13" t="str">
        <f>'1.Locations'!$B$2</f>
        <v>Depot</v>
      </c>
      <c r="C5" s="13">
        <f ca="1">IFERROR(MATCH(INDIRECT("$B$5"),'1.Locations'!$B$2:$B$32, 0) - 1," ")</f>
        <v>0</v>
      </c>
      <c r="D5" s="36">
        <f ca="1">IFERROR(IF(ISNUMBER($C$5),INDEX('1.Locations'!$D$2:$D$32,$C$5 + 1),NA()),NA())</f>
        <v>13.626301</v>
      </c>
      <c r="E5" s="36">
        <f ca="1">IFERROR(IF(ISNUMBER($C$5),INDEX('1.Locations'!$E$2:$E$32,$C$5 + 1),NA()),NA())</f>
        <v>100.416859</v>
      </c>
      <c r="F5" s="37">
        <v>0</v>
      </c>
      <c r="G5" s="36">
        <v>0</v>
      </c>
      <c r="H5" s="36">
        <v>0</v>
      </c>
      <c r="I5" s="38">
        <v>0</v>
      </c>
      <c r="J5" s="39">
        <f>'VRP Solver Console'!$C$16</f>
        <v>0.54166666666666663</v>
      </c>
      <c r="K5" s="39">
        <f>'VRP Solver Console'!$C$16</f>
        <v>0.54166666666666663</v>
      </c>
      <c r="L5" s="38">
        <v>0</v>
      </c>
      <c r="N5" s="13">
        <v>0</v>
      </c>
      <c r="O5" s="13" t="str">
        <f>'1.Locations'!$B$2</f>
        <v>Depot</v>
      </c>
      <c r="P5" s="13">
        <f ca="1">IFERROR(MATCH(INDIRECT("$O$5"),'1.Locations'!$B$2:$B$32, 0) - 1," ")</f>
        <v>0</v>
      </c>
      <c r="Q5" s="36">
        <f ca="1">IFERROR(IF(ISNUMBER($P$5),INDEX('1.Locations'!$D$2:$D$32,$P$5 + 1),NA()),NA())</f>
        <v>13.626301</v>
      </c>
      <c r="R5" s="36">
        <f ca="1">IFERROR(IF(ISNUMBER($P$5),INDEX('1.Locations'!$E$2:$E$32,$P$5 + 1),NA()),NA())</f>
        <v>100.416859</v>
      </c>
      <c r="S5" s="37">
        <v>0</v>
      </c>
      <c r="T5" s="36">
        <v>0</v>
      </c>
      <c r="U5" s="36">
        <v>0</v>
      </c>
      <c r="V5" s="38">
        <v>0</v>
      </c>
      <c r="W5" s="39">
        <f>'VRP Solver Console'!$C$16</f>
        <v>0.54166666666666663</v>
      </c>
      <c r="X5" s="39">
        <f>'VRP Solver Console'!$C$16</f>
        <v>0.54166666666666663</v>
      </c>
      <c r="Y5" s="38">
        <v>0</v>
      </c>
      <c r="AA5" s="13">
        <v>0</v>
      </c>
      <c r="AB5" s="13" t="str">
        <f>'1.Locations'!$B$2</f>
        <v>Depot</v>
      </c>
      <c r="AC5" s="13">
        <f ca="1">IFERROR(MATCH(INDIRECT("$AB$5"),'1.Locations'!$B$2:$B$32, 0) - 1," ")</f>
        <v>0</v>
      </c>
      <c r="AD5" s="36">
        <f ca="1">IFERROR(IF(ISNUMBER($AC$5),INDEX('1.Locations'!$D$2:$D$32,$AC$5 + 1),NA()),NA())</f>
        <v>13.626301</v>
      </c>
      <c r="AE5" s="36">
        <f ca="1">IFERROR(IF(ISNUMBER($AC$5),INDEX('1.Locations'!$E$2:$E$32,$AC$5 + 1),NA()),NA())</f>
        <v>100.416859</v>
      </c>
      <c r="AF5" s="37">
        <v>0</v>
      </c>
      <c r="AG5" s="36">
        <v>0</v>
      </c>
      <c r="AH5" s="36">
        <v>0</v>
      </c>
      <c r="AI5" s="38">
        <v>0</v>
      </c>
      <c r="AJ5" s="39">
        <f>'VRP Solver Console'!$C$16</f>
        <v>0.54166666666666663</v>
      </c>
      <c r="AK5" s="39">
        <f>'VRP Solver Console'!$C$16</f>
        <v>0.54166666666666663</v>
      </c>
      <c r="AL5" s="38">
        <v>0</v>
      </c>
      <c r="AN5" s="13">
        <v>0</v>
      </c>
      <c r="AO5" s="13" t="str">
        <f>'1.Locations'!$B$2</f>
        <v>Depot</v>
      </c>
      <c r="AP5" s="13">
        <f ca="1">IFERROR(MATCH(INDIRECT("$AO$5"),'1.Locations'!$B$2:$B$32, 0) - 1," ")</f>
        <v>0</v>
      </c>
      <c r="AQ5" s="36">
        <f ca="1">IFERROR(IF(ISNUMBER($AP$5),INDEX('1.Locations'!$D$2:$D$32,$AP$5 + 1),NA()),NA())</f>
        <v>13.626301</v>
      </c>
      <c r="AR5" s="36">
        <f ca="1">IFERROR(IF(ISNUMBER($AP$5),INDEX('1.Locations'!$E$2:$E$32,$AP$5 + 1),NA()),NA())</f>
        <v>100.416859</v>
      </c>
      <c r="AS5" s="37">
        <v>0</v>
      </c>
      <c r="AT5" s="36">
        <v>0</v>
      </c>
      <c r="AU5" s="36">
        <v>0</v>
      </c>
      <c r="AV5" s="38">
        <v>0</v>
      </c>
      <c r="AW5" s="39">
        <f>'VRP Solver Console'!$C$16</f>
        <v>0.54166666666666663</v>
      </c>
      <c r="AX5" s="39">
        <f>'VRP Solver Console'!$C$16</f>
        <v>0.54166666666666663</v>
      </c>
      <c r="AY5" s="38">
        <v>0</v>
      </c>
      <c r="BA5" s="13">
        <v>0</v>
      </c>
      <c r="BB5" s="13" t="str">
        <f>'1.Locations'!$B$2</f>
        <v>Depot</v>
      </c>
      <c r="BC5" s="13">
        <f ca="1">IFERROR(MATCH(INDIRECT("$BB$5"),'1.Locations'!$B$2:$B$32, 0) - 1," ")</f>
        <v>0</v>
      </c>
      <c r="BD5" s="36">
        <f ca="1">IFERROR(IF(ISNUMBER($BC$5),INDEX('1.Locations'!$D$2:$D$32,$BC$5 + 1),NA()),NA())</f>
        <v>13.626301</v>
      </c>
      <c r="BE5" s="36">
        <f ca="1">IFERROR(IF(ISNUMBER($BC$5),INDEX('1.Locations'!$E$2:$E$32,$BC$5 + 1),NA()),NA())</f>
        <v>100.416859</v>
      </c>
      <c r="BF5" s="37">
        <v>0</v>
      </c>
      <c r="BG5" s="36">
        <v>0</v>
      </c>
      <c r="BH5" s="36">
        <v>0</v>
      </c>
      <c r="BI5" s="38">
        <v>0</v>
      </c>
      <c r="BJ5" s="39">
        <f>'VRP Solver Console'!$C$16</f>
        <v>0.54166666666666663</v>
      </c>
      <c r="BK5" s="39">
        <f>'VRP Solver Console'!$C$16</f>
        <v>0.54166666666666663</v>
      </c>
      <c r="BL5" s="38">
        <v>0</v>
      </c>
      <c r="BN5" s="13">
        <v>0</v>
      </c>
      <c r="BO5" s="13" t="str">
        <f>'1.Locations'!$B$2</f>
        <v>Depot</v>
      </c>
      <c r="BP5" s="13">
        <f ca="1">IFERROR(MATCH(INDIRECT("$BO$5"),'1.Locations'!$B$2:$B$32, 0) - 1," ")</f>
        <v>0</v>
      </c>
      <c r="BQ5" s="36">
        <f ca="1">IFERROR(IF(ISNUMBER($BP$5),INDEX('1.Locations'!$D$2:$D$32,$BP$5 + 1),NA()),NA())</f>
        <v>13.626301</v>
      </c>
      <c r="BR5" s="36">
        <f ca="1">IFERROR(IF(ISNUMBER($BP$5),INDEX('1.Locations'!$E$2:$E$32,$BP$5 + 1),NA()),NA())</f>
        <v>100.416859</v>
      </c>
      <c r="BS5" s="37">
        <v>0</v>
      </c>
      <c r="BT5" s="36">
        <v>0</v>
      </c>
      <c r="BU5" s="36">
        <v>0</v>
      </c>
      <c r="BV5" s="38">
        <v>0</v>
      </c>
      <c r="BW5" s="39">
        <f>'VRP Solver Console'!$C$16</f>
        <v>0.54166666666666663</v>
      </c>
      <c r="BX5" s="39">
        <f>'VRP Solver Console'!$C$16</f>
        <v>0.54166666666666663</v>
      </c>
      <c r="BY5" s="38">
        <v>0</v>
      </c>
      <c r="CA5" s="13">
        <v>0</v>
      </c>
      <c r="CB5" s="13" t="str">
        <f>'1.Locations'!$B$2</f>
        <v>Depot</v>
      </c>
      <c r="CC5" s="13">
        <f ca="1">IFERROR(MATCH(INDIRECT("$CB$5"),'1.Locations'!$B$2:$B$32, 0) - 1," ")</f>
        <v>0</v>
      </c>
      <c r="CD5" s="36">
        <f ca="1">IFERROR(IF(ISNUMBER($CC$5),INDEX('1.Locations'!$D$2:$D$32,$CC$5 + 1),NA()),NA())</f>
        <v>13.626301</v>
      </c>
      <c r="CE5" s="36">
        <f ca="1">IFERROR(IF(ISNUMBER($CC$5),INDEX('1.Locations'!$E$2:$E$32,$CC$5 + 1),NA()),NA())</f>
        <v>100.416859</v>
      </c>
      <c r="CF5" s="37">
        <v>0</v>
      </c>
      <c r="CG5" s="36">
        <v>0</v>
      </c>
      <c r="CH5" s="36">
        <v>0</v>
      </c>
      <c r="CI5" s="38">
        <v>0</v>
      </c>
      <c r="CJ5" s="39">
        <f>'VRP Solver Console'!$C$16</f>
        <v>0.54166666666666663</v>
      </c>
      <c r="CK5" s="39">
        <f>'VRP Solver Console'!$C$16</f>
        <v>0.54166666666666663</v>
      </c>
      <c r="CL5" s="38">
        <v>0</v>
      </c>
      <c r="CN5" s="13">
        <v>0</v>
      </c>
      <c r="CO5" s="13" t="str">
        <f>'1.Locations'!$B$2</f>
        <v>Depot</v>
      </c>
      <c r="CP5" s="13">
        <f ca="1">IFERROR(MATCH(INDIRECT("$CO$5"),'1.Locations'!$B$2:$B$32, 0) - 1," ")</f>
        <v>0</v>
      </c>
      <c r="CQ5" s="36">
        <f ca="1">IFERROR(IF(ISNUMBER($CP$5),INDEX('1.Locations'!$D$2:$D$32,$CP$5 + 1),NA()),NA())</f>
        <v>13.626301</v>
      </c>
      <c r="CR5" s="36">
        <f ca="1">IFERROR(IF(ISNUMBER($CP$5),INDEX('1.Locations'!$E$2:$E$32,$CP$5 + 1),NA()),NA())</f>
        <v>100.416859</v>
      </c>
      <c r="CS5" s="37">
        <v>0</v>
      </c>
      <c r="CT5" s="36">
        <v>0</v>
      </c>
      <c r="CU5" s="36">
        <v>0</v>
      </c>
      <c r="CV5" s="38">
        <v>0</v>
      </c>
      <c r="CW5" s="39">
        <f>'VRP Solver Console'!$C$16</f>
        <v>0.54166666666666663</v>
      </c>
      <c r="CX5" s="39">
        <f>'VRP Solver Console'!$C$16</f>
        <v>0.54166666666666663</v>
      </c>
      <c r="CY5" s="38">
        <v>0</v>
      </c>
      <c r="DA5" s="13">
        <v>0</v>
      </c>
      <c r="DB5" s="13" t="str">
        <f>'1.Locations'!$B$2</f>
        <v>Depot</v>
      </c>
      <c r="DC5" s="13">
        <f ca="1">IFERROR(MATCH(INDIRECT("$DB$5"),'1.Locations'!$B$2:$B$32, 0) - 1," ")</f>
        <v>0</v>
      </c>
      <c r="DD5" s="36">
        <f ca="1">IFERROR(IF(ISNUMBER($DC$5),INDEX('1.Locations'!$D$2:$D$32,$DC$5 + 1),NA()),NA())</f>
        <v>13.626301</v>
      </c>
      <c r="DE5" s="36">
        <f ca="1">IFERROR(IF(ISNUMBER($DC$5),INDEX('1.Locations'!$E$2:$E$32,$DC$5 + 1),NA()),NA())</f>
        <v>100.416859</v>
      </c>
      <c r="DF5" s="37">
        <v>0</v>
      </c>
      <c r="DG5" s="36">
        <v>0</v>
      </c>
      <c r="DH5" s="36">
        <v>0</v>
      </c>
      <c r="DI5" s="38">
        <v>0</v>
      </c>
      <c r="DJ5" s="39">
        <f>'VRP Solver Console'!$C$16</f>
        <v>0.54166666666666663</v>
      </c>
      <c r="DK5" s="39">
        <f>'VRP Solver Console'!$C$16</f>
        <v>0.54166666666666663</v>
      </c>
      <c r="DL5" s="38">
        <v>0</v>
      </c>
      <c r="DN5" s="13">
        <v>0</v>
      </c>
      <c r="DO5" s="13" t="str">
        <f>'1.Locations'!$B$2</f>
        <v>Depot</v>
      </c>
      <c r="DP5" s="13">
        <f ca="1">IFERROR(MATCH(INDIRECT("$DO$5"),'1.Locations'!$B$2:$B$32, 0) - 1," ")</f>
        <v>0</v>
      </c>
      <c r="DQ5" s="36">
        <f ca="1">IFERROR(IF(ISNUMBER($DP$5),INDEX('1.Locations'!$D$2:$D$32,$DP$5 + 1),NA()),NA())</f>
        <v>13.626301</v>
      </c>
      <c r="DR5" s="36">
        <f ca="1">IFERROR(IF(ISNUMBER($DP$5),INDEX('1.Locations'!$E$2:$E$32,$DP$5 + 1),NA()),NA())</f>
        <v>100.416859</v>
      </c>
      <c r="DS5" s="37">
        <v>0</v>
      </c>
      <c r="DT5" s="36">
        <v>0</v>
      </c>
      <c r="DU5" s="36">
        <v>0</v>
      </c>
      <c r="DV5" s="38">
        <v>0</v>
      </c>
      <c r="DW5" s="39">
        <f>'VRP Solver Console'!$C$16</f>
        <v>0.54166666666666663</v>
      </c>
      <c r="DX5" s="39">
        <f>'VRP Solver Console'!$C$16</f>
        <v>0.54166666666666663</v>
      </c>
      <c r="DY5" s="38">
        <v>0</v>
      </c>
      <c r="EA5" s="13">
        <v>0</v>
      </c>
      <c r="EB5" s="13" t="str">
        <f>'1.Locations'!$B$2</f>
        <v>Depot</v>
      </c>
      <c r="EC5" s="13">
        <f ca="1">IFERROR(MATCH(INDIRECT("$EB$5"),'1.Locations'!$B$2:$B$32, 0) - 1," ")</f>
        <v>0</v>
      </c>
      <c r="ED5" s="36">
        <f ca="1">IFERROR(IF(ISNUMBER($EC$5),INDEX('1.Locations'!$D$2:$D$32,$EC$5 + 1),NA()),NA())</f>
        <v>13.626301</v>
      </c>
      <c r="EE5" s="36">
        <f ca="1">IFERROR(IF(ISNUMBER($EC$5),INDEX('1.Locations'!$E$2:$E$32,$EC$5 + 1),NA()),NA())</f>
        <v>100.416859</v>
      </c>
      <c r="EF5" s="37">
        <v>0</v>
      </c>
      <c r="EG5" s="36">
        <v>0</v>
      </c>
      <c r="EH5" s="36">
        <v>0</v>
      </c>
      <c r="EI5" s="38">
        <v>0</v>
      </c>
      <c r="EJ5" s="39">
        <f>'VRP Solver Console'!$C$16</f>
        <v>0.54166666666666663</v>
      </c>
      <c r="EK5" s="39">
        <f>'VRP Solver Console'!$C$16</f>
        <v>0.54166666666666663</v>
      </c>
      <c r="EL5" s="38">
        <v>0</v>
      </c>
      <c r="EN5" s="13">
        <v>0</v>
      </c>
      <c r="EO5" s="13" t="str">
        <f>'1.Locations'!$B$2</f>
        <v>Depot</v>
      </c>
      <c r="EP5" s="13">
        <f ca="1">IFERROR(MATCH(INDIRECT("$EO$5"),'1.Locations'!$B$2:$B$32, 0) - 1," ")</f>
        <v>0</v>
      </c>
      <c r="EQ5" s="36">
        <f ca="1">IFERROR(IF(ISNUMBER($EP$5),INDEX('1.Locations'!$D$2:$D$32,$EP$5 + 1),NA()),NA())</f>
        <v>13.626301</v>
      </c>
      <c r="ER5" s="36">
        <f ca="1">IFERROR(IF(ISNUMBER($EP$5),INDEX('1.Locations'!$E$2:$E$32,$EP$5 + 1),NA()),NA())</f>
        <v>100.416859</v>
      </c>
      <c r="ES5" s="37">
        <v>0</v>
      </c>
      <c r="ET5" s="36">
        <v>0</v>
      </c>
      <c r="EU5" s="36">
        <v>0</v>
      </c>
      <c r="EV5" s="38">
        <v>0</v>
      </c>
      <c r="EW5" s="39">
        <f>'VRP Solver Console'!$C$16</f>
        <v>0.54166666666666663</v>
      </c>
      <c r="EX5" s="39">
        <f>'VRP Solver Console'!$C$16</f>
        <v>0.54166666666666663</v>
      </c>
      <c r="EY5" s="38">
        <v>0</v>
      </c>
    </row>
    <row r="6" spans="1:155" x14ac:dyDescent="0.2">
      <c r="A6" s="19">
        <v>1</v>
      </c>
      <c r="B6" s="20" t="s">
        <v>69</v>
      </c>
      <c r="C6" s="44">
        <f ca="1">IFERROR(MATCH(INDIRECT("$B$6"),'1.Locations'!$B$2:$B$32, 0) - 1," ")</f>
        <v>4</v>
      </c>
      <c r="D6" s="44">
        <f ca="1">IFERROR(IF(ISNUMBER($C$6),INDEX('1.Locations'!$D$2:$D$32,$C$6 + 1),NA()),NA())</f>
        <v>13.784387000000001</v>
      </c>
      <c r="E6" s="44">
        <f ca="1">IFERROR(IF(ISNUMBER($C$6),INDEX('1.Locations'!$E$2:$E$32,$C$6 + 1),NA()),NA())</f>
        <v>100.52074500000001</v>
      </c>
      <c r="F6" s="45">
        <f ca="1">IFERROR(IF(AND(ISNUMBER($C$6),$C$6&lt;=30),INDEX('2.Distances'!$C$2:$C$963,$C$5*31+$C$6+ 1) +$F$5," ")," ")</f>
        <v>32.576000000000001</v>
      </c>
      <c r="G6" s="44">
        <f ca="1">IFERROR(IF(ISNUMBER($C$6),INDEX('1.Locations'!$J$2:$J$32,$C$6 + 1) +$G$5," ")," ")</f>
        <v>2</v>
      </c>
      <c r="H6" s="44">
        <f ca="1">IFERROR(IF(ISNUMBER($C$6),INDEX('1.Locations'!$K$2:$K$32,$C$6 + 1) +$H$5," ")," ")</f>
        <v>0</v>
      </c>
      <c r="I6" s="46">
        <f ca="1">IFERROR(IF(AND(ISNUMBER($C$6),$C$6&lt;=30),INDEX('2.Distances'!$D$2:$D$963,$C$5*31+$C$6+ 1) +$I$5," ")," ")</f>
        <v>2.1527777777777781E-2</v>
      </c>
      <c r="J6" s="47">
        <f ca="1">IFERROR(IF(AND(ISNUMBER($C$6),$C$6&lt;=30),INDEX('2.Distances'!$D$2:$D$963,$C$5*31+$C$6+ 1) +$K$5," ")," ")</f>
        <v>0.56319444444444444</v>
      </c>
      <c r="K6" s="47">
        <f ca="1">IFERROR(IF(ISNUMBER($J$6),INDEX('1.Locations'!$I$2:$I$32,$C$6 + 1) + MAX($J$6,INDEX('1.Locations'!$F$2:$F$32,$C$6 + 1))," ")," ")</f>
        <v>0.59375</v>
      </c>
      <c r="L6" s="46">
        <f ca="1">IFERROR($L$5 + INDEX('2.Distances'!$D$2:$D$963,$C$5*31+$C$6+ 1) + INDEX('1.Locations'!$I$2:$I$32,$C$6 + 1)," ")</f>
        <v>3.1944444444444449E-2</v>
      </c>
      <c r="N6" s="19">
        <v>1</v>
      </c>
      <c r="O6" s="20" t="s">
        <v>74</v>
      </c>
      <c r="P6" s="44">
        <f ca="1">IFERROR(MATCH(INDIRECT("$O$6"),'1.Locations'!$B$2:$B$32, 0) - 1," ")</f>
        <v>10</v>
      </c>
      <c r="Q6" s="44">
        <f ca="1">IFERROR(IF(ISNUMBER($P$6),INDEX('1.Locations'!$D$2:$D$32,$P$6 + 1),NA()),NA())</f>
        <v>13.8162495</v>
      </c>
      <c r="R6" s="44">
        <f ca="1">IFERROR(IF(ISNUMBER($P$6),INDEX('1.Locations'!$E$2:$E$32,$P$6 + 1),NA()),NA())</f>
        <v>100.52995209999899</v>
      </c>
      <c r="S6" s="45">
        <f ca="1">IFERROR(IF(AND(ISNUMBER($P$6),$P$6&lt;=30),INDEX('2.Distances'!$C$2:$C$963,$P$5*31+$P$6+ 1) +$S$5," ")," ")</f>
        <v>36.341000000000001</v>
      </c>
      <c r="T6" s="44">
        <f ca="1">IFERROR(IF(ISNUMBER($P$6),INDEX('1.Locations'!$J$2:$J$32,$P$6 + 1) +$T$5," ")," ")</f>
        <v>1</v>
      </c>
      <c r="U6" s="44">
        <f ca="1">IFERROR(IF(ISNUMBER($P$6),INDEX('1.Locations'!$K$2:$K$32,$P$6 + 1) +$U$5," ")," ")</f>
        <v>0</v>
      </c>
      <c r="V6" s="46">
        <f ca="1">IFERROR(IF(AND(ISNUMBER($P$6),$P$6&lt;=30),INDEX('2.Distances'!$D$2:$D$963,$P$5*31+$P$6+ 1) +$V$5," ")," ")</f>
        <v>2.6388888888888889E-2</v>
      </c>
      <c r="W6" s="47">
        <f ca="1">IFERROR(IF(AND(ISNUMBER($P$6),$P$6&lt;=30),INDEX('2.Distances'!$D$2:$D$963,$P$5*31+$P$6+ 1) +$X$5," ")," ")</f>
        <v>0.56805555555555554</v>
      </c>
      <c r="X6" s="47">
        <f ca="1">IFERROR(IF(ISNUMBER($W$6),INDEX('1.Locations'!$I$2:$I$32,$P$6 + 1) + MAX($W$6,INDEX('1.Locations'!$F$2:$F$32,$P$6 + 1))," ")," ")</f>
        <v>0.59375</v>
      </c>
      <c r="Y6" s="46">
        <f ca="1">IFERROR($Y$5 + INDEX('2.Distances'!$D$2:$D$963,$P$5*31+$P$6+ 1) + INDEX('1.Locations'!$I$2:$I$32,$P$6 + 1)," ")</f>
        <v>3.6805555555555557E-2</v>
      </c>
      <c r="AA6" s="19">
        <v>1</v>
      </c>
      <c r="AB6" s="20" t="s">
        <v>92</v>
      </c>
      <c r="AC6" s="44">
        <f ca="1">IFERROR(MATCH(INDIRECT("$AB$6"),'1.Locations'!$B$2:$B$32, 0) - 1," ")</f>
        <v>28</v>
      </c>
      <c r="AD6" s="44">
        <f ca="1">IFERROR(IF(ISNUMBER($AC$6),INDEX('1.Locations'!$D$2:$D$32,$AC$6 + 1),NA()),NA())</f>
        <v>13.9225738</v>
      </c>
      <c r="AE6" s="44">
        <f ca="1">IFERROR(IF(ISNUMBER($AC$6),INDEX('1.Locations'!$E$2:$E$32,$AC$6 + 1),NA()),NA())</f>
        <v>100.60126700000001</v>
      </c>
      <c r="AF6" s="45">
        <f ca="1">IFERROR(IF(AND(ISNUMBER($AC$6),$AC$6&lt;=30),INDEX('2.Distances'!$C$2:$C$963,$AC$5*31+$AC$6+ 1) +$AF$5," ")," ")</f>
        <v>51.533999999999999</v>
      </c>
      <c r="AG6" s="44">
        <f ca="1">IFERROR(IF(ISNUMBER($AC$6),INDEX('1.Locations'!$J$2:$J$32,$AC$6 + 1) +$AG$5," ")," ")</f>
        <v>2</v>
      </c>
      <c r="AH6" s="44">
        <f ca="1">IFERROR(IF(ISNUMBER($AC$6),INDEX('1.Locations'!$K$2:$K$32,$AC$6 + 1) +$AH$5," ")," ")</f>
        <v>0</v>
      </c>
      <c r="AI6" s="46">
        <f ca="1">IFERROR(IF(AND(ISNUMBER($AC$6),$AC$6&lt;=30),INDEX('2.Distances'!$D$2:$D$963,$AC$5*31+$AC$6+ 1) +$AI$5," ")," ")</f>
        <v>3.1944444444444449E-2</v>
      </c>
      <c r="AJ6" s="47">
        <f ca="1">IFERROR(IF(AND(ISNUMBER($AC$6),$AC$6&lt;=30),INDEX('2.Distances'!$D$2:$D$963,$AC$5*31+$AC$6+ 1) +$AK$5," ")," ")</f>
        <v>0.57361111111111107</v>
      </c>
      <c r="AK6" s="47">
        <f ca="1">IFERROR(IF(ISNUMBER($AJ$6),INDEX('1.Locations'!$I$2:$I$32,$AC$6 + 1) + MAX($AJ$6,INDEX('1.Locations'!$F$2:$F$32,$AC$6 + 1))," ")," ")</f>
        <v>0.59375</v>
      </c>
      <c r="AL6" s="46">
        <f ca="1">IFERROR($AL$5 + INDEX('2.Distances'!$D$2:$D$963,$AC$5*31+$AC$6+ 1) + INDEX('1.Locations'!$I$2:$I$32,$AC$6 + 1)," ")</f>
        <v>4.2361111111111113E-2</v>
      </c>
      <c r="AN6" s="19">
        <v>1</v>
      </c>
      <c r="AO6" s="20" t="s">
        <v>86</v>
      </c>
      <c r="AP6" s="44">
        <f ca="1">IFERROR(MATCH(INDIRECT("$AO$6"),'1.Locations'!$B$2:$B$32, 0) - 1," ")</f>
        <v>22</v>
      </c>
      <c r="AQ6" s="44">
        <f ca="1">IFERROR(IF(ISNUMBER($AP$6),INDEX('1.Locations'!$D$2:$D$32,$AP$6 + 1),NA()),NA())</f>
        <v>13.905555</v>
      </c>
      <c r="AR6" s="44">
        <f ca="1">IFERROR(IF(ISNUMBER($AP$6),INDEX('1.Locations'!$E$2:$E$32,$AP$6 + 1),NA()),NA())</f>
        <v>100.66510700000001</v>
      </c>
      <c r="AS6" s="45">
        <f ca="1">IFERROR(IF(AND(ISNUMBER($AP$6),$AP$6&lt;=30),INDEX('2.Distances'!$C$2:$C$963,$AP$5*31+$AP$6+ 1) +$AS$5," ")," ")</f>
        <v>59.073</v>
      </c>
      <c r="AT6" s="44">
        <f ca="1">IFERROR(IF(ISNUMBER($AP$6),INDEX('1.Locations'!$J$2:$J$32,$AP$6 + 1) +$AT$5," ")," ")</f>
        <v>1</v>
      </c>
      <c r="AU6" s="44">
        <f ca="1">IFERROR(IF(ISNUMBER($AP$6),INDEX('1.Locations'!$K$2:$K$32,$AP$6 + 1) +$AU$5," ")," ")</f>
        <v>0</v>
      </c>
      <c r="AV6" s="46">
        <f ca="1">IFERROR(IF(AND(ISNUMBER($AP$6),$AP$6&lt;=30),INDEX('2.Distances'!$D$2:$D$963,$AP$5*31+$AP$6+ 1) +$AV$5," ")," ")</f>
        <v>3.888888888888889E-2</v>
      </c>
      <c r="AW6" s="47">
        <f ca="1">IFERROR(IF(AND(ISNUMBER($AP$6),$AP$6&lt;=30),INDEX('2.Distances'!$D$2:$D$963,$AP$5*31+$AP$6+ 1) +$AX$5," ")," ")</f>
        <v>0.58055555555555549</v>
      </c>
      <c r="AX6" s="47">
        <f ca="1">IFERROR(IF(ISNUMBER($AW$6),INDEX('1.Locations'!$I$2:$I$32,$AP$6 + 1) + MAX($AW$6,INDEX('1.Locations'!$F$2:$F$32,$AP$6 + 1))," ")," ")</f>
        <v>0.59375</v>
      </c>
      <c r="AY6" s="46">
        <f ca="1">IFERROR($AY$5 + INDEX('2.Distances'!$D$2:$D$963,$AP$5*31+$AP$6+ 1) + INDEX('1.Locations'!$I$2:$I$32,$AP$6 + 1)," ")</f>
        <v>4.9305555555555554E-2</v>
      </c>
      <c r="BA6" s="19">
        <v>1</v>
      </c>
      <c r="BB6" s="20" t="s">
        <v>78</v>
      </c>
      <c r="BC6" s="44">
        <f ca="1">IFERROR(MATCH(INDIRECT("$BB$6"),'1.Locations'!$B$2:$B$32, 0) - 1," ")</f>
        <v>14</v>
      </c>
      <c r="BD6" s="44">
        <f ca="1">IFERROR(IF(ISNUMBER($BC$6),INDEX('1.Locations'!$D$2:$D$32,$BC$6 + 1),NA()),NA())</f>
        <v>13.8338299</v>
      </c>
      <c r="BE6" s="44">
        <f ca="1">IFERROR(IF(ISNUMBER($BC$6),INDEX('1.Locations'!$E$2:$E$32,$BC$6 + 1),NA()),NA())</f>
        <v>100.52975079999899</v>
      </c>
      <c r="BF6" s="45">
        <f ca="1">IFERROR(IF(AND(ISNUMBER($BC$6),$BC$6&lt;=30),INDEX('2.Distances'!$C$2:$C$963,$BC$5*31+$BC$6+ 1) +$BF$5," ")," ")</f>
        <v>37.988</v>
      </c>
      <c r="BG6" s="44">
        <f ca="1">IFERROR(IF(ISNUMBER($BC$6),INDEX('1.Locations'!$J$2:$J$32,$BC$6 + 1) +$BG$5," ")," ")</f>
        <v>2</v>
      </c>
      <c r="BH6" s="44">
        <f ca="1">IFERROR(IF(ISNUMBER($BC$6),INDEX('1.Locations'!$K$2:$K$32,$BC$6 + 1) +$BH$5," ")," ")</f>
        <v>0</v>
      </c>
      <c r="BI6" s="46">
        <f ca="1">IFERROR(IF(AND(ISNUMBER($BC$6),$BC$6&lt;=30),INDEX('2.Distances'!$D$2:$D$963,$BC$5*31+$BC$6+ 1) +$BI$5," ")," ")</f>
        <v>2.4999999999999998E-2</v>
      </c>
      <c r="BJ6" s="47">
        <f ca="1">IFERROR(IF(AND(ISNUMBER($BC$6),$BC$6&lt;=30),INDEX('2.Distances'!$D$2:$D$963,$BC$5*31+$BC$6+ 1) +$BK$5," ")," ")</f>
        <v>0.56666666666666665</v>
      </c>
      <c r="BK6" s="47">
        <f ca="1">IFERROR(IF(ISNUMBER($BJ$6),INDEX('1.Locations'!$I$2:$I$32,$BC$6 + 1) + MAX($BJ$6,INDEX('1.Locations'!$F$2:$F$32,$BC$6 + 1))," ")," ")</f>
        <v>0.59375</v>
      </c>
      <c r="BL6" s="46">
        <f ca="1">IFERROR($BL$5 + INDEX('2.Distances'!$D$2:$D$963,$BC$5*31+$BC$6+ 1) + INDEX('1.Locations'!$I$2:$I$32,$BC$6 + 1)," ")</f>
        <v>3.5416666666666666E-2</v>
      </c>
      <c r="BN6" s="19">
        <v>1</v>
      </c>
      <c r="BO6" s="20" t="s">
        <v>95</v>
      </c>
      <c r="BP6" s="44">
        <f ca="1">IFERROR(MATCH(INDIRECT("$BO$6"),'1.Locations'!$B$2:$B$32, 0) - 1," ")</f>
        <v>7</v>
      </c>
      <c r="BQ6" s="44">
        <f ca="1">IFERROR(IF(ISNUMBER($BP$6),INDEX('1.Locations'!$D$2:$D$32,$BP$6 + 1),NA()),NA())</f>
        <v>13.619595</v>
      </c>
      <c r="BR6" s="44">
        <f ca="1">IFERROR(IF(ISNUMBER($BP$6),INDEX('1.Locations'!$E$2:$E$32,$BP$6 + 1),NA()),NA())</f>
        <v>100.449296</v>
      </c>
      <c r="BS6" s="45">
        <f ca="1">IFERROR(IF(AND(ISNUMBER($BP$6),$BP$6&lt;=30),INDEX('2.Distances'!$C$2:$C$963,$BP$5*31+$BP$6+ 1) +$BS$5," ")," ")</f>
        <v>6.8940000000000001</v>
      </c>
      <c r="BT6" s="44">
        <f ca="1">IFERROR(IF(ISNUMBER($BP$6),INDEX('1.Locations'!$J$2:$J$32,$BP$6 + 1) +$BT$5," ")," ")</f>
        <v>1</v>
      </c>
      <c r="BU6" s="44">
        <f ca="1">IFERROR(IF(ISNUMBER($BP$6),INDEX('1.Locations'!$K$2:$K$32,$BP$6 + 1) +$BU$5," ")," ")</f>
        <v>0</v>
      </c>
      <c r="BV6" s="46">
        <f ca="1">IFERROR(IF(AND(ISNUMBER($BP$6),$BP$6&lt;=30),INDEX('2.Distances'!$D$2:$D$963,$BP$5*31+$BP$6+ 1) +$BV$5," ")," ")</f>
        <v>9.0277777777777787E-3</v>
      </c>
      <c r="BW6" s="47">
        <f ca="1">IFERROR(IF(AND(ISNUMBER($BP$6),$BP$6&lt;=30),INDEX('2.Distances'!$D$2:$D$963,$BP$5*31+$BP$6+ 1) +$BX$5," ")," ")</f>
        <v>0.55069444444444438</v>
      </c>
      <c r="BX6" s="47">
        <f ca="1">IFERROR(IF(ISNUMBER($BW$6),INDEX('1.Locations'!$I$2:$I$32,$BP$6 + 1) + MAX($BW$6,INDEX('1.Locations'!$F$2:$F$32,$BP$6 + 1))," ")," ")</f>
        <v>0.59375</v>
      </c>
      <c r="BY6" s="46">
        <f ca="1">IFERROR($BY$5 + INDEX('2.Distances'!$D$2:$D$963,$BP$5*31+$BP$6+ 1) + INDEX('1.Locations'!$I$2:$I$32,$BP$6 + 1)," ")</f>
        <v>1.9444444444444445E-2</v>
      </c>
      <c r="CA6" s="19">
        <v>1</v>
      </c>
      <c r="CB6" s="20" t="s">
        <v>81</v>
      </c>
      <c r="CC6" s="44">
        <f ca="1">IFERROR(MATCH(INDIRECT("$CB$6"),'1.Locations'!$B$2:$B$32, 0) - 1," ")</f>
        <v>17</v>
      </c>
      <c r="CD6" s="44">
        <f ca="1">IFERROR(IF(ISNUMBER($CC$6),INDEX('1.Locations'!$D$2:$D$32,$CC$6 + 1),NA()),NA())</f>
        <v>13.8529418</v>
      </c>
      <c r="CE6" s="44">
        <f ca="1">IFERROR(IF(ISNUMBER($CC$6),INDEX('1.Locations'!$E$2:$E$32,$CC$6 + 1),NA()),NA())</f>
        <v>100.621873199999</v>
      </c>
      <c r="CF6" s="45">
        <f ca="1">IFERROR(IF(AND(ISNUMBER($CC$6),$CC$6&lt;=30),INDEX('2.Distances'!$C$2:$C$963,$CC$5*31+$CC$6+ 1) +$CF$5," ")," ")</f>
        <v>50.197000000000003</v>
      </c>
      <c r="CG6" s="44">
        <f ca="1">IFERROR(IF(ISNUMBER($CC$6),INDEX('1.Locations'!$J$2:$J$32,$CC$6 + 1) +$CG$5," ")," ")</f>
        <v>1</v>
      </c>
      <c r="CH6" s="44">
        <f ca="1">IFERROR(IF(ISNUMBER($CC$6),INDEX('1.Locations'!$K$2:$K$32,$CC$6 + 1) +$CH$5," ")," ")</f>
        <v>0</v>
      </c>
      <c r="CI6" s="46">
        <f ca="1">IFERROR(IF(AND(ISNUMBER($CC$6),$CC$6&lt;=30),INDEX('2.Distances'!$D$2:$D$963,$CC$5*31+$CC$6+ 1) +$CI$5," ")," ")</f>
        <v>3.3333333333333333E-2</v>
      </c>
      <c r="CJ6" s="47">
        <f ca="1">IFERROR(IF(AND(ISNUMBER($CC$6),$CC$6&lt;=30),INDEX('2.Distances'!$D$2:$D$963,$CC$5*31+$CC$6+ 1) +$CK$5," ")," ")</f>
        <v>0.57499999999999996</v>
      </c>
      <c r="CK6" s="47">
        <f ca="1">IFERROR(IF(ISNUMBER($CJ$6),INDEX('1.Locations'!$I$2:$I$32,$CC$6 + 1) + MAX($CJ$6,INDEX('1.Locations'!$F$2:$F$32,$CC$6 + 1))," ")," ")</f>
        <v>0.59375</v>
      </c>
      <c r="CL6" s="46">
        <f ca="1">IFERROR($CL$5 + INDEX('2.Distances'!$D$2:$D$963,$CC$5*31+$CC$6+ 1) + INDEX('1.Locations'!$I$2:$I$32,$CC$6 + 1)," ")</f>
        <v>4.3749999999999997E-2</v>
      </c>
      <c r="CN6" s="19">
        <v>1</v>
      </c>
      <c r="CO6" s="20" t="s">
        <v>76</v>
      </c>
      <c r="CP6" s="44">
        <f ca="1">IFERROR(MATCH(INDIRECT("$CO$6"),'1.Locations'!$B$2:$B$32, 0) - 1," ")</f>
        <v>12</v>
      </c>
      <c r="CQ6" s="44">
        <f ca="1">IFERROR(IF(ISNUMBER($CP$6),INDEX('1.Locations'!$D$2:$D$32,$CP$6 + 1),NA()),NA())</f>
        <v>13.809201</v>
      </c>
      <c r="CR6" s="44">
        <f ca="1">IFERROR(IF(ISNUMBER($CP$6),INDEX('1.Locations'!$E$2:$E$32,$CP$6 + 1),NA()),NA())</f>
        <v>100.519665</v>
      </c>
      <c r="CS6" s="45">
        <f ca="1">IFERROR(IF(AND(ISNUMBER($CP$6),$CP$6&lt;=30),INDEX('2.Distances'!$C$2:$C$963,$CP$5*31+$CP$6+ 1) +$CS$5," ")," ")</f>
        <v>34.548000000000002</v>
      </c>
      <c r="CT6" s="44">
        <f ca="1">IFERROR(IF(ISNUMBER($CP$6),INDEX('1.Locations'!$J$2:$J$32,$CP$6 + 1) +$CT$5," ")," ")</f>
        <v>1</v>
      </c>
      <c r="CU6" s="44">
        <f ca="1">IFERROR(IF(ISNUMBER($CP$6),INDEX('1.Locations'!$K$2:$K$32,$CP$6 + 1) +$CU$5," ")," ")</f>
        <v>0</v>
      </c>
      <c r="CV6" s="46">
        <f ca="1">IFERROR(IF(AND(ISNUMBER($CP$6),$CP$6&lt;=30),INDEX('2.Distances'!$D$2:$D$963,$CP$5*31+$CP$6+ 1) +$CV$5," ")," ")</f>
        <v>2.361111111111111E-2</v>
      </c>
      <c r="CW6" s="47">
        <f ca="1">IFERROR(IF(AND(ISNUMBER($CP$6),$CP$6&lt;=30),INDEX('2.Distances'!$D$2:$D$963,$CP$5*31+$CP$6+ 1) +$CX$5," ")," ")</f>
        <v>0.56527777777777777</v>
      </c>
      <c r="CX6" s="47">
        <f ca="1">IFERROR(IF(ISNUMBER($CW$6),INDEX('1.Locations'!$I$2:$I$32,$CP$6 + 1) + MAX($CW$6,INDEX('1.Locations'!$F$2:$F$32,$CP$6 + 1))," ")," ")</f>
        <v>0.59375</v>
      </c>
      <c r="CY6" s="46">
        <f ca="1">IFERROR($CY$5 + INDEX('2.Distances'!$D$2:$D$963,$CP$5*31+$CP$6+ 1) + INDEX('1.Locations'!$I$2:$I$32,$CP$6 + 1)," ")</f>
        <v>3.4027777777777775E-2</v>
      </c>
      <c r="DA6" s="19">
        <v>1</v>
      </c>
      <c r="DB6" s="20" t="s">
        <v>84</v>
      </c>
      <c r="DC6" s="44">
        <f ca="1">IFERROR(MATCH(INDIRECT("$DB$6"),'1.Locations'!$B$2:$B$32, 0) - 1," ")</f>
        <v>20</v>
      </c>
      <c r="DD6" s="44">
        <f ca="1">IFERROR(IF(ISNUMBER($DC$6),INDEX('1.Locations'!$D$2:$D$32,$DC$6 + 1),NA()),NA())</f>
        <v>13.892532900000001</v>
      </c>
      <c r="DE6" s="44">
        <f ca="1">IFERROR(IF(ISNUMBER($DC$6),INDEX('1.Locations'!$E$2:$E$32,$DC$6 + 1),NA()),NA())</f>
        <v>100.6823091</v>
      </c>
      <c r="DF6" s="45">
        <f ca="1">IFERROR(IF(AND(ISNUMBER($DC$6),$DC$6&lt;=30),INDEX('2.Distances'!$C$2:$C$963,$DC$5*31+$DC$6+ 1) +$DF$5," ")," ")</f>
        <v>62.673999999999999</v>
      </c>
      <c r="DG6" s="44">
        <f ca="1">IFERROR(IF(ISNUMBER($DC$6),INDEX('1.Locations'!$J$2:$J$32,$DC$6 + 1) +$DG$5," ")," ")</f>
        <v>1</v>
      </c>
      <c r="DH6" s="44">
        <f ca="1">IFERROR(IF(ISNUMBER($DC$6),INDEX('1.Locations'!$K$2:$K$32,$DC$6 + 1) +$DH$5," ")," ")</f>
        <v>0</v>
      </c>
      <c r="DI6" s="46">
        <f ca="1">IFERROR(IF(AND(ISNUMBER($DC$6),$DC$6&lt;=30),INDEX('2.Distances'!$D$2:$D$963,$DC$5*31+$DC$6+ 1) +$DI$5," ")," ")</f>
        <v>4.2361111111111106E-2</v>
      </c>
      <c r="DJ6" s="47">
        <f ca="1">IFERROR(IF(AND(ISNUMBER($DC$6),$DC$6&lt;=30),INDEX('2.Distances'!$D$2:$D$963,$DC$5*31+$DC$6+ 1) +$DK$5," ")," ")</f>
        <v>0.5840277777777777</v>
      </c>
      <c r="DK6" s="47">
        <f ca="1">IFERROR(IF(ISNUMBER($DJ$6),INDEX('1.Locations'!$I$2:$I$32,$DC$6 + 1) + MAX($DJ$6,INDEX('1.Locations'!$F$2:$F$32,$DC$6 + 1))," ")," ")</f>
        <v>0.59444444444444433</v>
      </c>
      <c r="DL6" s="46">
        <f ca="1">IFERROR($DL$5 + INDEX('2.Distances'!$D$2:$D$963,$DC$5*31+$DC$6+ 1) + INDEX('1.Locations'!$I$2:$I$32,$DC$6 + 1)," ")</f>
        <v>5.2777777777777771E-2</v>
      </c>
      <c r="DN6" s="19">
        <v>1</v>
      </c>
      <c r="DO6" s="20" t="s">
        <v>96</v>
      </c>
      <c r="DP6" s="44">
        <f ca="1">IFERROR(MATCH(INDIRECT("$DO$6"),'1.Locations'!$B$2:$B$32, 0) - 1," ")</f>
        <v>11</v>
      </c>
      <c r="DQ6" s="44">
        <f ca="1">IFERROR(IF(ISNUMBER($DP$6),INDEX('1.Locations'!$D$2:$D$32,$DP$6 + 1),NA()),NA())</f>
        <v>13.512544</v>
      </c>
      <c r="DR6" s="44">
        <f ca="1">IFERROR(IF(ISNUMBER($DP$6),INDEX('1.Locations'!$E$2:$E$32,$DP$6 + 1),NA()),NA())</f>
        <v>100.15096800000001</v>
      </c>
      <c r="DS6" s="45">
        <f ca="1">IFERROR(IF(AND(ISNUMBER($DP$6),$DP$6&lt;=30),INDEX('2.Distances'!$C$2:$C$963,$DP$5*31+$DP$6+ 1) +$DS$5," ")," ")</f>
        <v>34.533999999999999</v>
      </c>
      <c r="DT6" s="44">
        <f ca="1">IFERROR(IF(ISNUMBER($DP$6),INDEX('1.Locations'!$J$2:$J$32,$DP$6 + 1) +$DT$5," ")," ")</f>
        <v>1</v>
      </c>
      <c r="DU6" s="44">
        <f ca="1">IFERROR(IF(ISNUMBER($DP$6),INDEX('1.Locations'!$K$2:$K$32,$DP$6 + 1) +$DU$5," ")," ")</f>
        <v>0</v>
      </c>
      <c r="DV6" s="46">
        <f ca="1">IFERROR(IF(AND(ISNUMBER($DP$6),$DP$6&lt;=30),INDEX('2.Distances'!$D$2:$D$963,$DP$5*31+$DP$6+ 1) +$DV$5," ")," ")</f>
        <v>2.1527777777777781E-2</v>
      </c>
      <c r="DW6" s="47">
        <f ca="1">IFERROR(IF(AND(ISNUMBER($DP$6),$DP$6&lt;=30),INDEX('2.Distances'!$D$2:$D$963,$DP$5*31+$DP$6+ 1) +$DX$5," ")," ")</f>
        <v>0.56319444444444444</v>
      </c>
      <c r="DX6" s="47">
        <f ca="1">IFERROR(IF(ISNUMBER($DW$6),INDEX('1.Locations'!$I$2:$I$32,$DP$6 + 1) + MAX($DW$6,INDEX('1.Locations'!$F$2:$F$32,$DP$6 + 1))," ")," ")</f>
        <v>0.59375</v>
      </c>
      <c r="DY6" s="46">
        <f ca="1">IFERROR($DY$5 + INDEX('2.Distances'!$D$2:$D$963,$DP$5*31+$DP$6+ 1) + INDEX('1.Locations'!$I$2:$I$32,$DP$6 + 1)," ")</f>
        <v>3.1944444444444449E-2</v>
      </c>
      <c r="EA6" s="19">
        <v>1</v>
      </c>
      <c r="EB6" s="20"/>
      <c r="EC6" s="44" t="str">
        <f ca="1">IFERROR(MATCH(INDIRECT("$EB$6"),'1.Locations'!$B$2:$B$32, 0) - 1," ")</f>
        <v xml:space="preserve"> </v>
      </c>
      <c r="ED6" s="44" t="e">
        <f ca="1">IFERROR(IF(ISNUMBER($EC$6),INDEX('1.Locations'!$D$2:$D$32,$EC$6 + 1),NA()),NA())</f>
        <v>#N/A</v>
      </c>
      <c r="EE6" s="44" t="e">
        <f ca="1">IFERROR(IF(ISNUMBER($EC$6),INDEX('1.Locations'!$E$2:$E$32,$EC$6 + 1),NA()),NA())</f>
        <v>#N/A</v>
      </c>
      <c r="EF6" s="45" t="str">
        <f ca="1">IFERROR(IF(AND(ISNUMBER($EC$6),$EC$6&lt;=30),INDEX('2.Distances'!$C$2:$C$963,$EC$5*31+$EC$6+ 1) +$EF$5," ")," ")</f>
        <v xml:space="preserve"> </v>
      </c>
      <c r="EG6" s="44" t="str">
        <f ca="1">IFERROR(IF(ISNUMBER($EC$6),INDEX('1.Locations'!$J$2:$J$32,$EC$6 + 1) +$EG$5," ")," ")</f>
        <v xml:space="preserve"> </v>
      </c>
      <c r="EH6" s="44" t="str">
        <f ca="1">IFERROR(IF(ISNUMBER($EC$6),INDEX('1.Locations'!$K$2:$K$32,$EC$6 + 1) +$EH$5," ")," ")</f>
        <v xml:space="preserve"> </v>
      </c>
      <c r="EI6" s="46" t="str">
        <f ca="1">IFERROR(IF(AND(ISNUMBER($EC$6),$EC$6&lt;=30),INDEX('2.Distances'!$D$2:$D$963,$EC$5*31+$EC$6+ 1) +$EI$5," ")," ")</f>
        <v xml:space="preserve"> </v>
      </c>
      <c r="EJ6" s="47" t="str">
        <f ca="1">IFERROR(IF(AND(ISNUMBER($EC$6),$EC$6&lt;=30),INDEX('2.Distances'!$D$2:$D$963,$EC$5*31+$EC$6+ 1) +$EK$5," ")," ")</f>
        <v xml:space="preserve"> </v>
      </c>
      <c r="EK6" s="47" t="str">
        <f ca="1">IFERROR(IF(ISNUMBER($EJ$6),INDEX('1.Locations'!$I$2:$I$32,$EC$6 + 1) + MAX($EJ$6,INDEX('1.Locations'!$F$2:$F$32,$EC$6 + 1))," ")," ")</f>
        <v xml:space="preserve"> </v>
      </c>
      <c r="EL6" s="46" t="str">
        <f ca="1">IFERROR($EL$5 + INDEX('2.Distances'!$D$2:$D$963,$EC$5*31+$EC$6+ 1) + INDEX('1.Locations'!$I$2:$I$32,$EC$6 + 1)," ")</f>
        <v xml:space="preserve"> </v>
      </c>
      <c r="EN6" s="19">
        <v>1</v>
      </c>
      <c r="EO6" s="20"/>
      <c r="EP6" s="44" t="str">
        <f ca="1">IFERROR(MATCH(INDIRECT("$EO$6"),'1.Locations'!$B$2:$B$32, 0) - 1," ")</f>
        <v xml:space="preserve"> </v>
      </c>
      <c r="EQ6" s="44" t="e">
        <f ca="1">IFERROR(IF(ISNUMBER($EP$6),INDEX('1.Locations'!$D$2:$D$32,$EP$6 + 1),NA()),NA())</f>
        <v>#N/A</v>
      </c>
      <c r="ER6" s="44" t="e">
        <f ca="1">IFERROR(IF(ISNUMBER($EP$6),INDEX('1.Locations'!$E$2:$E$32,$EP$6 + 1),NA()),NA())</f>
        <v>#N/A</v>
      </c>
      <c r="ES6" s="45" t="str">
        <f ca="1">IFERROR(IF(AND(ISNUMBER($EP$6),$EP$6&lt;=30),INDEX('2.Distances'!$C$2:$C$963,$EP$5*31+$EP$6+ 1) +$ES$5," ")," ")</f>
        <v xml:space="preserve"> </v>
      </c>
      <c r="ET6" s="44" t="str">
        <f ca="1">IFERROR(IF(ISNUMBER($EP$6),INDEX('1.Locations'!$J$2:$J$32,$EP$6 + 1) +$ET$5," ")," ")</f>
        <v xml:space="preserve"> </v>
      </c>
      <c r="EU6" s="44" t="str">
        <f ca="1">IFERROR(IF(ISNUMBER($EP$6),INDEX('1.Locations'!$K$2:$K$32,$EP$6 + 1) +$EU$5," ")," ")</f>
        <v xml:space="preserve"> </v>
      </c>
      <c r="EV6" s="46" t="str">
        <f ca="1">IFERROR(IF(AND(ISNUMBER($EP$6),$EP$6&lt;=30),INDEX('2.Distances'!$D$2:$D$963,$EP$5*31+$EP$6+ 1) +$EV$5," ")," ")</f>
        <v xml:space="preserve"> </v>
      </c>
      <c r="EW6" s="47" t="str">
        <f ca="1">IFERROR(IF(AND(ISNUMBER($EP$6),$EP$6&lt;=30),INDEX('2.Distances'!$D$2:$D$963,$EP$5*31+$EP$6+ 1) +$EX$5," ")," ")</f>
        <v xml:space="preserve"> </v>
      </c>
      <c r="EX6" s="47" t="str">
        <f ca="1">IFERROR(IF(ISNUMBER($EW$6),INDEX('1.Locations'!$I$2:$I$32,$EP$6 + 1) + MAX($EW$6,INDEX('1.Locations'!$F$2:$F$32,$EP$6 + 1))," ")," ")</f>
        <v xml:space="preserve"> </v>
      </c>
      <c r="EY6" s="46" t="str">
        <f ca="1">IFERROR($EY$5 + INDEX('2.Distances'!$D$2:$D$963,$EP$5*31+$EP$6+ 1) + INDEX('1.Locations'!$I$2:$I$32,$EP$6 + 1)," ")</f>
        <v xml:space="preserve"> </v>
      </c>
    </row>
    <row r="7" spans="1:155" x14ac:dyDescent="0.2">
      <c r="A7" s="19">
        <v>2</v>
      </c>
      <c r="B7" s="20" t="s">
        <v>90</v>
      </c>
      <c r="C7" s="44">
        <f ca="1">IFERROR(MATCH(INDIRECT("$B$7"),'1.Locations'!$B$2:$B$32, 0) - 1," ")</f>
        <v>26</v>
      </c>
      <c r="D7" s="44">
        <f ca="1">IFERROR(IF(ISNUMBER($C$7),INDEX('1.Locations'!$D$2:$D$32,$C$7 + 1),NA()),NA())</f>
        <v>13.769646</v>
      </c>
      <c r="E7" s="44">
        <f ca="1">IFERROR(IF(ISNUMBER($C$7),INDEX('1.Locations'!$E$2:$E$32,$C$7 + 1),NA()),NA())</f>
        <v>100.50288399999999</v>
      </c>
      <c r="F7" s="45">
        <f ca="1">IFERROR(IF(AND(ISNUMBER($C$7),$C$7&lt;=30),INDEX('2.Distances'!$C$2:$C$963,$C$6*31+$C$7+ 1) +$F$6," ")," ")</f>
        <v>35.944000000000003</v>
      </c>
      <c r="G7" s="44">
        <f ca="1">IFERROR(IF(ISNUMBER($C$7),INDEX('1.Locations'!$J$2:$J$32,$C$7 + 1) +$G$6," ")," ")</f>
        <v>4</v>
      </c>
      <c r="H7" s="44">
        <f ca="1">IFERROR(IF(ISNUMBER($C$7),INDEX('1.Locations'!$K$2:$K$32,$C$7 + 1) +$H$6," ")," ")</f>
        <v>0</v>
      </c>
      <c r="I7" s="46">
        <f ca="1">IFERROR(IF(AND(ISNUMBER($C$7),$C$7&lt;=30),INDEX('2.Distances'!$D$2:$D$963,$C$6*31+$C$7+ 1) +$I$6," ")," ")</f>
        <v>2.5694444444444447E-2</v>
      </c>
      <c r="J7" s="47">
        <f ca="1">IFERROR(IF(AND(ISNUMBER($C$7),$C$7&lt;=30),INDEX('2.Distances'!$D$2:$D$963,$C$6*31+$C$7+ 1) +$K$6," ")," ")</f>
        <v>0.59791666666666665</v>
      </c>
      <c r="K7" s="47">
        <f ca="1">IFERROR(IF(ISNUMBER($J$7),INDEX('1.Locations'!$I$2:$I$32,$C$7 + 1) + MAX($J$7,INDEX('1.Locations'!$F$2:$F$32,$C$7 + 1))," ")," ")</f>
        <v>0.60833333333333328</v>
      </c>
      <c r="L7" s="46">
        <f ca="1">IFERROR($L$6 + INDEX('2.Distances'!$D$2:$D$963,$C$6*31+$C$7+ 1) + INDEX('1.Locations'!$I$2:$I$32,$C$7 + 1)," ")</f>
        <v>4.6527777777777779E-2</v>
      </c>
      <c r="N7" s="19">
        <v>2</v>
      </c>
      <c r="O7" s="20" t="s">
        <v>91</v>
      </c>
      <c r="P7" s="44">
        <f ca="1">IFERROR(MATCH(INDIRECT("$O$7"),'1.Locations'!$B$2:$B$32, 0) - 1," ")</f>
        <v>27</v>
      </c>
      <c r="Q7" s="44">
        <f ca="1">IFERROR(IF(ISNUMBER($P$7),INDEX('1.Locations'!$D$2:$D$32,$P$7 + 1),NA()),NA())</f>
        <v>13.839822399999999</v>
      </c>
      <c r="R7" s="44">
        <f ca="1">IFERROR(IF(ISNUMBER($P$7),INDEX('1.Locations'!$E$2:$E$32,$P$7 + 1),NA()),NA())</f>
        <v>100.555982999999</v>
      </c>
      <c r="S7" s="45">
        <f ca="1">IFERROR(IF(AND(ISNUMBER($P$7),$P$7&lt;=30),INDEX('2.Distances'!$C$2:$C$963,$P$6*31+$P$7+ 1) +$S$6," ")," ")</f>
        <v>42.06</v>
      </c>
      <c r="T7" s="44">
        <f ca="1">IFERROR(IF(ISNUMBER($P$7),INDEX('1.Locations'!$J$2:$J$32,$P$7 + 1) +$T$6," ")," ")</f>
        <v>3</v>
      </c>
      <c r="U7" s="44">
        <f ca="1">IFERROR(IF(ISNUMBER($P$7),INDEX('1.Locations'!$K$2:$K$32,$P$7 + 1) +$U$6," ")," ")</f>
        <v>0</v>
      </c>
      <c r="V7" s="46">
        <f ca="1">IFERROR(IF(AND(ISNUMBER($P$7),$P$7&lt;=30),INDEX('2.Distances'!$D$2:$D$963,$P$6*31+$P$7+ 1) +$V$6," ")," ")</f>
        <v>3.3333333333333333E-2</v>
      </c>
      <c r="W7" s="47">
        <f ca="1">IFERROR(IF(AND(ISNUMBER($P$7),$P$7&lt;=30),INDEX('2.Distances'!$D$2:$D$963,$P$6*31+$P$7+ 1) +$X$6," ")," ")</f>
        <v>0.60069444444444442</v>
      </c>
      <c r="X7" s="47">
        <f ca="1">IFERROR(IF(ISNUMBER($W$7),INDEX('1.Locations'!$I$2:$I$32,$P$7 + 1) + MAX($W$7,INDEX('1.Locations'!$F$2:$F$32,$P$7 + 1))," ")," ")</f>
        <v>0.61111111111111105</v>
      </c>
      <c r="Y7" s="46">
        <f ca="1">IFERROR($Y$6 + INDEX('2.Distances'!$D$2:$D$963,$P$6*31+$P$7+ 1) + INDEX('1.Locations'!$I$2:$I$32,$P$7 + 1)," ")</f>
        <v>5.4166666666666662E-2</v>
      </c>
      <c r="AA7" s="19">
        <v>2</v>
      </c>
      <c r="AB7" s="20" t="s">
        <v>94</v>
      </c>
      <c r="AC7" s="44">
        <f ca="1">IFERROR(MATCH(INDIRECT("$AB$7"),'1.Locations'!$B$2:$B$32, 0) - 1," ")</f>
        <v>30</v>
      </c>
      <c r="AD7" s="44">
        <f ca="1">IFERROR(IF(ISNUMBER($AC$7),INDEX('1.Locations'!$D$2:$D$32,$AC$7 + 1),NA()),NA())</f>
        <v>13.932459700000001</v>
      </c>
      <c r="AE7" s="44">
        <f ca="1">IFERROR(IF(ISNUMBER($AC$7),INDEX('1.Locations'!$E$2:$E$32,$AC$7 + 1),NA()),NA())</f>
        <v>100.567295</v>
      </c>
      <c r="AF7" s="45">
        <f ca="1">IFERROR(IF(AND(ISNUMBER($AC$7),$AC$7&lt;=30),INDEX('2.Distances'!$C$2:$C$963,$AC$6*31+$AC$7+ 1) +$AF$6," ")," ")</f>
        <v>55.458999999999996</v>
      </c>
      <c r="AG7" s="44">
        <f ca="1">IFERROR(IF(ISNUMBER($AC$7),INDEX('1.Locations'!$J$2:$J$32,$AC$7 + 1) +$AG$6," ")," ")</f>
        <v>3</v>
      </c>
      <c r="AH7" s="44">
        <f ca="1">IFERROR(IF(ISNUMBER($AC$7),INDEX('1.Locations'!$K$2:$K$32,$AC$7 + 1) +$AH$6," ")," ")</f>
        <v>0</v>
      </c>
      <c r="AI7" s="46">
        <f ca="1">IFERROR(IF(AND(ISNUMBER($AC$7),$AC$7&lt;=30),INDEX('2.Distances'!$D$2:$D$963,$AC$6*31+$AC$7+ 1) +$AI$6," ")," ")</f>
        <v>3.5416666666666673E-2</v>
      </c>
      <c r="AJ7" s="47">
        <f ca="1">IFERROR(IF(AND(ISNUMBER($AC$7),$AC$7&lt;=30),INDEX('2.Distances'!$D$2:$D$963,$AC$6*31+$AC$7+ 1) +$AK$6," ")," ")</f>
        <v>0.59722222222222221</v>
      </c>
      <c r="AK7" s="47">
        <f ca="1">IFERROR(IF(ISNUMBER($AJ$7),INDEX('1.Locations'!$I$2:$I$32,$AC$7 + 1) + MAX($AJ$7,INDEX('1.Locations'!$F$2:$F$32,$AC$7 + 1))," ")," ")</f>
        <v>0.60763888888888884</v>
      </c>
      <c r="AL7" s="46">
        <f ca="1">IFERROR($AL$6 + INDEX('2.Distances'!$D$2:$D$963,$AC$6*31+$AC$7+ 1) + INDEX('1.Locations'!$I$2:$I$32,$AC$7 + 1)," ")</f>
        <v>5.6250000000000001E-2</v>
      </c>
      <c r="AN7" s="19">
        <v>2</v>
      </c>
      <c r="AO7" s="20" t="s">
        <v>85</v>
      </c>
      <c r="AP7" s="44">
        <f ca="1">IFERROR(MATCH(INDIRECT("$AO$7"),'1.Locations'!$B$2:$B$32, 0) - 1," ")</f>
        <v>21</v>
      </c>
      <c r="AQ7" s="44">
        <f ca="1">IFERROR(IF(ISNUMBER($AP$7),INDEX('1.Locations'!$D$2:$D$32,$AP$7 + 1),NA()),NA())</f>
        <v>13.919617199999999</v>
      </c>
      <c r="AR7" s="44">
        <f ca="1">IFERROR(IF(ISNUMBER($AP$7),INDEX('1.Locations'!$E$2:$E$32,$AP$7 + 1),NA()),NA())</f>
        <v>100.68647989999999</v>
      </c>
      <c r="AS7" s="45">
        <f ca="1">IFERROR(IF(AND(ISNUMBER($AP$7),$AP$7&lt;=30),INDEX('2.Distances'!$C$2:$C$963,$AP$6*31+$AP$7+ 1) +$AS$6," ")," ")</f>
        <v>62.652999999999999</v>
      </c>
      <c r="AT7" s="44">
        <f ca="1">IFERROR(IF(ISNUMBER($AP$7),INDEX('1.Locations'!$J$2:$J$32,$AP$7 + 1) +$AT$6," ")," ")</f>
        <v>3</v>
      </c>
      <c r="AU7" s="44">
        <f ca="1">IFERROR(IF(ISNUMBER($AP$7),INDEX('1.Locations'!$K$2:$K$32,$AP$7 + 1) +$AU$6," ")," ")</f>
        <v>0</v>
      </c>
      <c r="AV7" s="46">
        <f ca="1">IFERROR(IF(AND(ISNUMBER($AP$7),$AP$7&lt;=30),INDEX('2.Distances'!$D$2:$D$963,$AP$6*31+$AP$7+ 1) +$AV$6," ")," ")</f>
        <v>4.2361111111111113E-2</v>
      </c>
      <c r="AW7" s="47">
        <f ca="1">IFERROR(IF(AND(ISNUMBER($AP$7),$AP$7&lt;=30),INDEX('2.Distances'!$D$2:$D$963,$AP$6*31+$AP$7+ 1) +$AX$6," ")," ")</f>
        <v>0.59722222222222221</v>
      </c>
      <c r="AX7" s="47">
        <f ca="1">IFERROR(IF(ISNUMBER($AW$7),INDEX('1.Locations'!$I$2:$I$32,$AP$7 + 1) + MAX($AW$7,INDEX('1.Locations'!$F$2:$F$32,$AP$7 + 1))," ")," ")</f>
        <v>0.60763888888888884</v>
      </c>
      <c r="AY7" s="46">
        <f ca="1">IFERROR($AY$6 + INDEX('2.Distances'!$D$2:$D$963,$AP$6*31+$AP$7+ 1) + INDEX('1.Locations'!$I$2:$I$32,$AP$7 + 1)," ")</f>
        <v>6.3194444444444442E-2</v>
      </c>
      <c r="BA7" s="19">
        <v>2</v>
      </c>
      <c r="BB7" s="20" t="s">
        <v>79</v>
      </c>
      <c r="BC7" s="44">
        <f ca="1">IFERROR(MATCH(INDIRECT("$BB$7"),'1.Locations'!$B$2:$B$32, 0) - 1," ")</f>
        <v>15</v>
      </c>
      <c r="BD7" s="44">
        <f ca="1">IFERROR(IF(ISNUMBER($BC$7),INDEX('1.Locations'!$D$2:$D$32,$BC$7 + 1),NA()),NA())</f>
        <v>13.818503</v>
      </c>
      <c r="BE7" s="44">
        <f ca="1">IFERROR(IF(ISNUMBER($BC$7),INDEX('1.Locations'!$E$2:$E$32,$BC$7 + 1),NA()),NA())</f>
        <v>100.51931500000001</v>
      </c>
      <c r="BF7" s="45">
        <f ca="1">IFERROR(IF(AND(ISNUMBER($BC$7),$BC$7&lt;=30),INDEX('2.Distances'!$C$2:$C$963,$BC$6*31+$BC$7+ 1) +$BF$6," ")," ")</f>
        <v>40.817</v>
      </c>
      <c r="BG7" s="44">
        <f ca="1">IFERROR(IF(ISNUMBER($BC$7),INDEX('1.Locations'!$J$2:$J$32,$BC$7 + 1) +$BG$6," ")," ")</f>
        <v>4</v>
      </c>
      <c r="BH7" s="44">
        <f ca="1">IFERROR(IF(ISNUMBER($BC$7),INDEX('1.Locations'!$K$2:$K$32,$BC$7 + 1) +$BH$6," ")," ")</f>
        <v>0</v>
      </c>
      <c r="BI7" s="46">
        <f ca="1">IFERROR(IF(AND(ISNUMBER($BC$7),$BC$7&lt;=30),INDEX('2.Distances'!$D$2:$D$963,$BC$6*31+$BC$7+ 1) +$BI$6," ")," ")</f>
        <v>2.9861111111111109E-2</v>
      </c>
      <c r="BJ7" s="47">
        <f ca="1">IFERROR(IF(AND(ISNUMBER($BC$7),$BC$7&lt;=30),INDEX('2.Distances'!$D$2:$D$963,$BC$6*31+$BC$7+ 1) +$BK$6," ")," ")</f>
        <v>0.59861111111111109</v>
      </c>
      <c r="BK7" s="47">
        <f ca="1">IFERROR(IF(ISNUMBER($BJ$7),INDEX('1.Locations'!$I$2:$I$32,$BC$7 + 1) + MAX($BJ$7,INDEX('1.Locations'!$F$2:$F$32,$BC$7 + 1))," ")," ")</f>
        <v>0.60902777777777772</v>
      </c>
      <c r="BL7" s="46">
        <f ca="1">IFERROR($BL$6 + INDEX('2.Distances'!$D$2:$D$963,$BC$6*31+$BC$7+ 1) + INDEX('1.Locations'!$I$2:$I$32,$BC$7 + 1)," ")</f>
        <v>5.0694444444444438E-2</v>
      </c>
      <c r="BN7" s="19">
        <v>2</v>
      </c>
      <c r="BO7" s="20" t="s">
        <v>72</v>
      </c>
      <c r="BP7" s="44">
        <f ca="1">IFERROR(MATCH(INDIRECT("$BO$7"),'1.Locations'!$B$2:$B$32, 0) - 1," ")</f>
        <v>8</v>
      </c>
      <c r="BQ7" s="44">
        <f ca="1">IFERROR(IF(ISNUMBER($BP$7),INDEX('1.Locations'!$D$2:$D$32,$BP$7 + 1),NA()),NA())</f>
        <v>13.7897821</v>
      </c>
      <c r="BR7" s="44">
        <f ca="1">IFERROR(IF(ISNUMBER($BP$7),INDEX('1.Locations'!$E$2:$E$32,$BP$7 + 1),NA()),NA())</f>
        <v>100.523811499999</v>
      </c>
      <c r="BS7" s="45">
        <f ca="1">IFERROR(IF(AND(ISNUMBER($BP$7),$BP$7&lt;=30),INDEX('2.Distances'!$C$2:$C$963,$BP$6*31+$BP$7+ 1) +$BS$6," ")," ")</f>
        <v>33.686</v>
      </c>
      <c r="BT7" s="44">
        <f ca="1">IFERROR(IF(ISNUMBER($BP$7),INDEX('1.Locations'!$J$2:$J$32,$BP$7 + 1) +$BT$6," ")," ")</f>
        <v>3</v>
      </c>
      <c r="BU7" s="44">
        <f ca="1">IFERROR(IF(ISNUMBER($BP$7),INDEX('1.Locations'!$K$2:$K$32,$BP$7 + 1) +$BU$6," ")," ")</f>
        <v>0</v>
      </c>
      <c r="BV7" s="46">
        <f ca="1">IFERROR(IF(AND(ISNUMBER($BP$7),$BP$7&lt;=30),INDEX('2.Distances'!$D$2:$D$963,$BP$6*31+$BP$7+ 1) +$BV$6," ")," ")</f>
        <v>3.4722222222222224E-2</v>
      </c>
      <c r="BW7" s="47">
        <f ca="1">IFERROR(IF(AND(ISNUMBER($BP$7),$BP$7&lt;=30),INDEX('2.Distances'!$D$2:$D$963,$BP$6*31+$BP$7+ 1) +$BX$6," ")," ")</f>
        <v>0.61944444444444446</v>
      </c>
      <c r="BX7" s="47">
        <f ca="1">IFERROR(IF(ISNUMBER($BW$7),INDEX('1.Locations'!$I$2:$I$32,$BP$7 + 1) + MAX($BW$7,INDEX('1.Locations'!$F$2:$F$32,$BP$7 + 1))," ")," ")</f>
        <v>0.62986111111111109</v>
      </c>
      <c r="BY7" s="46">
        <f ca="1">IFERROR($BY$6 + INDEX('2.Distances'!$D$2:$D$963,$BP$6*31+$BP$7+ 1) + INDEX('1.Locations'!$I$2:$I$32,$BP$7 + 1)," ")</f>
        <v>5.5555555555555559E-2</v>
      </c>
      <c r="CA7" s="19">
        <v>2</v>
      </c>
      <c r="CB7" s="20" t="s">
        <v>89</v>
      </c>
      <c r="CC7" s="44">
        <f ca="1">IFERROR(MATCH(INDIRECT("$CB$7"),'1.Locations'!$B$2:$B$32, 0) - 1," ")</f>
        <v>25</v>
      </c>
      <c r="CD7" s="44">
        <f ca="1">IFERROR(IF(ISNUMBER($CC$7),INDEX('1.Locations'!$D$2:$D$32,$CC$7 + 1),NA()),NA())</f>
        <v>13.8839574</v>
      </c>
      <c r="CE7" s="44">
        <f ca="1">IFERROR(IF(ISNUMBER($CC$7),INDEX('1.Locations'!$E$2:$E$32,$CC$7 + 1),NA()),NA())</f>
        <v>100.6251494</v>
      </c>
      <c r="CF7" s="45">
        <f ca="1">IFERROR(IF(AND(ISNUMBER($CC$7),$CC$7&lt;=30),INDEX('2.Distances'!$C$2:$C$963,$CC$6*31+$CC$7+ 1) +$CF$6," ")," ")</f>
        <v>59.412000000000006</v>
      </c>
      <c r="CG7" s="44">
        <f ca="1">IFERROR(IF(ISNUMBER($CC$7),INDEX('1.Locations'!$J$2:$J$32,$CC$7 + 1) +$CG$6," ")," ")</f>
        <v>2</v>
      </c>
      <c r="CH7" s="44">
        <f ca="1">IFERROR(IF(ISNUMBER($CC$7),INDEX('1.Locations'!$K$2:$K$32,$CC$7 + 1) +$CH$6," ")," ")</f>
        <v>0</v>
      </c>
      <c r="CI7" s="46">
        <f ca="1">IFERROR(IF(AND(ISNUMBER($CC$7),$CC$7&lt;=30),INDEX('2.Distances'!$D$2:$D$963,$CC$6*31+$CC$7+ 1) +$CI$6," ")," ")</f>
        <v>4.1666666666666664E-2</v>
      </c>
      <c r="CJ7" s="47">
        <f ca="1">IFERROR(IF(AND(ISNUMBER($CC$7),$CC$7&lt;=30),INDEX('2.Distances'!$D$2:$D$963,$CC$6*31+$CC$7+ 1) +$CK$6," ")," ")</f>
        <v>0.6020833333333333</v>
      </c>
      <c r="CK7" s="47">
        <f ca="1">IFERROR(IF(ISNUMBER($CJ$7),INDEX('1.Locations'!$I$2:$I$32,$CC$7 + 1) + MAX($CJ$7,INDEX('1.Locations'!$F$2:$F$32,$CC$7 + 1))," ")," ")</f>
        <v>0.61249999999999993</v>
      </c>
      <c r="CL7" s="46">
        <f ca="1">IFERROR($CL$6 + INDEX('2.Distances'!$D$2:$D$963,$CC$6*31+$CC$7+ 1) + INDEX('1.Locations'!$I$2:$I$32,$CC$7 + 1)," ")</f>
        <v>6.2499999999999993E-2</v>
      </c>
      <c r="CN7" s="19">
        <v>2</v>
      </c>
      <c r="CO7" s="20" t="s">
        <v>77</v>
      </c>
      <c r="CP7" s="44">
        <f ca="1">IFERROR(MATCH(INDIRECT("$CO$7"),'1.Locations'!$B$2:$B$32, 0) - 1," ")</f>
        <v>13</v>
      </c>
      <c r="CQ7" s="44">
        <f ca="1">IFERROR(IF(ISNUMBER($CP$7),INDEX('1.Locations'!$D$2:$D$32,$CP$7 + 1),NA()),NA())</f>
        <v>13.801686500000001</v>
      </c>
      <c r="CR7" s="44">
        <f ca="1">IFERROR(IF(ISNUMBER($CP$7),INDEX('1.Locations'!$E$2:$E$32,$CP$7 + 1),NA()),NA())</f>
        <v>100.523582</v>
      </c>
      <c r="CS7" s="45">
        <f ca="1">IFERROR(IF(AND(ISNUMBER($CP$7),$CP$7&lt;=30),INDEX('2.Distances'!$C$2:$C$963,$CP$6*31+$CP$7+ 1) +$CS$6," ")," ")</f>
        <v>35.891000000000005</v>
      </c>
      <c r="CT7" s="44">
        <f ca="1">IFERROR(IF(ISNUMBER($CP$7),INDEX('1.Locations'!$J$2:$J$32,$CP$7 + 1) +$CT$6," ")," ")</f>
        <v>3</v>
      </c>
      <c r="CU7" s="44">
        <f ca="1">IFERROR(IF(ISNUMBER($CP$7),INDEX('1.Locations'!$K$2:$K$32,$CP$7 + 1) +$CU$6," ")," ")</f>
        <v>0</v>
      </c>
      <c r="CV7" s="46">
        <f ca="1">IFERROR(IF(AND(ISNUMBER($CP$7),$CP$7&lt;=30),INDEX('2.Distances'!$D$2:$D$963,$CP$6*31+$CP$7+ 1) +$CV$6," ")," ")</f>
        <v>2.6388888888888889E-2</v>
      </c>
      <c r="CW7" s="47">
        <f ca="1">IFERROR(IF(AND(ISNUMBER($CP$7),$CP$7&lt;=30),INDEX('2.Distances'!$D$2:$D$963,$CP$6*31+$CP$7+ 1) +$CX$6," ")," ")</f>
        <v>0.59652777777777777</v>
      </c>
      <c r="CX7" s="47">
        <f ca="1">IFERROR(IF(ISNUMBER($CW$7),INDEX('1.Locations'!$I$2:$I$32,$CP$7 + 1) + MAX($CW$7,INDEX('1.Locations'!$F$2:$F$32,$CP$7 + 1))," ")," ")</f>
        <v>0.6069444444444444</v>
      </c>
      <c r="CY7" s="46">
        <f ca="1">IFERROR($CY$6 + INDEX('2.Distances'!$D$2:$D$963,$CP$6*31+$CP$7+ 1) + INDEX('1.Locations'!$I$2:$I$32,$CP$7 + 1)," ")</f>
        <v>4.7222222222222214E-2</v>
      </c>
      <c r="DA7" s="19">
        <v>2</v>
      </c>
      <c r="DB7" s="20" t="s">
        <v>87</v>
      </c>
      <c r="DC7" s="44">
        <f ca="1">IFERROR(MATCH(INDIRECT("$DB$7"),'1.Locations'!$B$2:$B$32, 0) - 1," ")</f>
        <v>23</v>
      </c>
      <c r="DD7" s="44">
        <f ca="1">IFERROR(IF(ISNUMBER($DC$7),INDEX('1.Locations'!$D$2:$D$32,$DC$7 + 1),NA()),NA())</f>
        <v>13.8845206</v>
      </c>
      <c r="DE7" s="44">
        <f ca="1">IFERROR(IF(ISNUMBER($DC$7),INDEX('1.Locations'!$E$2:$E$32,$DC$7 + 1),NA()),NA())</f>
        <v>100.65940689999999</v>
      </c>
      <c r="DF7" s="45">
        <f ca="1">IFERROR(IF(AND(ISNUMBER($DC$7),$DC$7&lt;=30),INDEX('2.Distances'!$C$2:$C$963,$DC$6*31+$DC$7+ 1) +$DF$6," ")," ")</f>
        <v>68.715000000000003</v>
      </c>
      <c r="DG7" s="44">
        <f ca="1">IFERROR(IF(ISNUMBER($DC$7),INDEX('1.Locations'!$J$2:$J$32,$DC$7 + 1) +$DG$6," ")," ")</f>
        <v>3</v>
      </c>
      <c r="DH7" s="44">
        <f ca="1">IFERROR(IF(ISNUMBER($DC$7),INDEX('1.Locations'!$K$2:$K$32,$DC$7 + 1) +$DH$6," ")," ")</f>
        <v>0</v>
      </c>
      <c r="DI7" s="46">
        <f ca="1">IFERROR(IF(AND(ISNUMBER($DC$7),$DC$7&lt;=30),INDEX('2.Distances'!$D$2:$D$963,$DC$6*31+$DC$7+ 1) +$DI$6," ")," ")</f>
        <v>4.9305555555555547E-2</v>
      </c>
      <c r="DJ7" s="47">
        <f ca="1">IFERROR(IF(AND(ISNUMBER($DC$7),$DC$7&lt;=30),INDEX('2.Distances'!$D$2:$D$963,$DC$6*31+$DC$7+ 1) +$DK$6," ")," ")</f>
        <v>0.60138888888888875</v>
      </c>
      <c r="DK7" s="47">
        <f ca="1">IFERROR(IF(ISNUMBER($DJ$7),INDEX('1.Locations'!$I$2:$I$32,$DC$7 + 1) + MAX($DJ$7,INDEX('1.Locations'!$F$2:$F$32,$DC$7 + 1))," ")," ")</f>
        <v>0.61180555555555538</v>
      </c>
      <c r="DL7" s="46">
        <f ca="1">IFERROR($DL$6 + INDEX('2.Distances'!$D$2:$D$963,$DC$6*31+$DC$7+ 1) + INDEX('1.Locations'!$I$2:$I$32,$DC$7 + 1)," ")</f>
        <v>7.013888888888889E-2</v>
      </c>
      <c r="DN7" s="19">
        <v>2</v>
      </c>
      <c r="DO7" s="20" t="s">
        <v>71</v>
      </c>
      <c r="DP7" s="44">
        <f ca="1">IFERROR(MATCH(INDIRECT("$DO$7"),'1.Locations'!$B$2:$B$32, 0) - 1," ")</f>
        <v>6</v>
      </c>
      <c r="DQ7" s="44">
        <f ca="1">IFERROR(IF(ISNUMBER($DP$7),INDEX('1.Locations'!$D$2:$D$32,$DP$7 + 1),NA()),NA())</f>
        <v>13.775555199999999</v>
      </c>
      <c r="DR7" s="44">
        <f ca="1">IFERROR(IF(ISNUMBER($DP$7),INDEX('1.Locations'!$E$2:$E$32,$DP$7 + 1),NA()),NA())</f>
        <v>100.5272976</v>
      </c>
      <c r="DS7" s="45">
        <f ca="1">IFERROR(IF(AND(ISNUMBER($DP$7),$DP$7&lt;=30),INDEX('2.Distances'!$C$2:$C$963,$DP$6*31+$DP$7+ 1) +$DS$6," ")," ")</f>
        <v>93.326999999999998</v>
      </c>
      <c r="DT7" s="44">
        <f ca="1">IFERROR(IF(ISNUMBER($DP$7),INDEX('1.Locations'!$J$2:$J$32,$DP$7 + 1) +$DT$6," ")," ")</f>
        <v>2</v>
      </c>
      <c r="DU7" s="44">
        <f ca="1">IFERROR(IF(ISNUMBER($DP$7),INDEX('1.Locations'!$K$2:$K$32,$DP$7 + 1) +$DU$6," ")," ")</f>
        <v>0</v>
      </c>
      <c r="DV7" s="46">
        <f ca="1">IFERROR(IF(AND(ISNUMBER($DP$7),$DP$7&lt;=30),INDEX('2.Distances'!$D$2:$D$963,$DP$6*31+$DP$7+ 1) +$DV$6," ")," ")</f>
        <v>5.8333333333333334E-2</v>
      </c>
      <c r="DW7" s="47">
        <f ca="1">IFERROR(IF(AND(ISNUMBER($DP$7),$DP$7&lt;=30),INDEX('2.Distances'!$D$2:$D$963,$DP$6*31+$DP$7+ 1) +$DX$6," ")," ")</f>
        <v>0.63055555555555554</v>
      </c>
      <c r="DX7" s="47">
        <f ca="1">IFERROR(IF(ISNUMBER($DW$7),INDEX('1.Locations'!$I$2:$I$32,$DP$7 + 1) + MAX($DW$7,INDEX('1.Locations'!$F$2:$F$32,$DP$7 + 1))," ")," ")</f>
        <v>0.64097222222222217</v>
      </c>
      <c r="DY7" s="46">
        <f ca="1">IFERROR($DY$6 + INDEX('2.Distances'!$D$2:$D$963,$DP$6*31+$DP$7+ 1) + INDEX('1.Locations'!$I$2:$I$32,$DP$7 + 1)," ")</f>
        <v>7.9166666666666677E-2</v>
      </c>
      <c r="EA7" s="19">
        <v>2</v>
      </c>
      <c r="EB7" s="20"/>
      <c r="EC7" s="44" t="str">
        <f ca="1">IFERROR(MATCH(INDIRECT("$EB$7"),'1.Locations'!$B$2:$B$32, 0) - 1," ")</f>
        <v xml:space="preserve"> </v>
      </c>
      <c r="ED7" s="44" t="e">
        <f ca="1">IFERROR(IF(ISNUMBER($EC$7),INDEX('1.Locations'!$D$2:$D$32,$EC$7 + 1),NA()),NA())</f>
        <v>#N/A</v>
      </c>
      <c r="EE7" s="44" t="e">
        <f ca="1">IFERROR(IF(ISNUMBER($EC$7),INDEX('1.Locations'!$E$2:$E$32,$EC$7 + 1),NA()),NA())</f>
        <v>#N/A</v>
      </c>
      <c r="EF7" s="45" t="str">
        <f ca="1">IFERROR(IF(AND(ISNUMBER($EC$7),$EC$7&lt;=30),INDEX('2.Distances'!$C$2:$C$963,$EC$6*31+$EC$7+ 1) +$EF$6," ")," ")</f>
        <v xml:space="preserve"> </v>
      </c>
      <c r="EG7" s="44" t="str">
        <f ca="1">IFERROR(IF(ISNUMBER($EC$7),INDEX('1.Locations'!$J$2:$J$32,$EC$7 + 1) +$EG$6," ")," ")</f>
        <v xml:space="preserve"> </v>
      </c>
      <c r="EH7" s="44" t="str">
        <f ca="1">IFERROR(IF(ISNUMBER($EC$7),INDEX('1.Locations'!$K$2:$K$32,$EC$7 + 1) +$EH$6," ")," ")</f>
        <v xml:space="preserve"> </v>
      </c>
      <c r="EI7" s="46" t="str">
        <f ca="1">IFERROR(IF(AND(ISNUMBER($EC$7),$EC$7&lt;=30),INDEX('2.Distances'!$D$2:$D$963,$EC$6*31+$EC$7+ 1) +$EI$6," ")," ")</f>
        <v xml:space="preserve"> </v>
      </c>
      <c r="EJ7" s="47" t="str">
        <f ca="1">IFERROR(IF(AND(ISNUMBER($EC$7),$EC$7&lt;=30),INDEX('2.Distances'!$D$2:$D$963,$EC$6*31+$EC$7+ 1) +$EK$6," ")," ")</f>
        <v xml:space="preserve"> </v>
      </c>
      <c r="EK7" s="47" t="str">
        <f ca="1">IFERROR(IF(ISNUMBER($EJ$7),INDEX('1.Locations'!$I$2:$I$32,$EC$7 + 1) + MAX($EJ$7,INDEX('1.Locations'!$F$2:$F$32,$EC$7 + 1))," ")," ")</f>
        <v xml:space="preserve"> </v>
      </c>
      <c r="EL7" s="46" t="str">
        <f ca="1">IFERROR($EL$6 + INDEX('2.Distances'!$D$2:$D$963,$EC$6*31+$EC$7+ 1) + INDEX('1.Locations'!$I$2:$I$32,$EC$7 + 1)," ")</f>
        <v xml:space="preserve"> </v>
      </c>
      <c r="EN7" s="19">
        <v>2</v>
      </c>
      <c r="EO7" s="20"/>
      <c r="EP7" s="44" t="str">
        <f ca="1">IFERROR(MATCH(INDIRECT("$EO$7"),'1.Locations'!$B$2:$B$32, 0) - 1," ")</f>
        <v xml:space="preserve"> </v>
      </c>
      <c r="EQ7" s="44" t="e">
        <f ca="1">IFERROR(IF(ISNUMBER($EP$7),INDEX('1.Locations'!$D$2:$D$32,$EP$7 + 1),NA()),NA())</f>
        <v>#N/A</v>
      </c>
      <c r="ER7" s="44" t="e">
        <f ca="1">IFERROR(IF(ISNUMBER($EP$7),INDEX('1.Locations'!$E$2:$E$32,$EP$7 + 1),NA()),NA())</f>
        <v>#N/A</v>
      </c>
      <c r="ES7" s="45" t="str">
        <f ca="1">IFERROR(IF(AND(ISNUMBER($EP$7),$EP$7&lt;=30),INDEX('2.Distances'!$C$2:$C$963,$EP$6*31+$EP$7+ 1) +$ES$6," ")," ")</f>
        <v xml:space="preserve"> </v>
      </c>
      <c r="ET7" s="44" t="str">
        <f ca="1">IFERROR(IF(ISNUMBER($EP$7),INDEX('1.Locations'!$J$2:$J$32,$EP$7 + 1) +$ET$6," ")," ")</f>
        <v xml:space="preserve"> </v>
      </c>
      <c r="EU7" s="44" t="str">
        <f ca="1">IFERROR(IF(ISNUMBER($EP$7),INDEX('1.Locations'!$K$2:$K$32,$EP$7 + 1) +$EU$6," ")," ")</f>
        <v xml:space="preserve"> </v>
      </c>
      <c r="EV7" s="46" t="str">
        <f ca="1">IFERROR(IF(AND(ISNUMBER($EP$7),$EP$7&lt;=30),INDEX('2.Distances'!$D$2:$D$963,$EP$6*31+$EP$7+ 1) +$EV$6," ")," ")</f>
        <v xml:space="preserve"> </v>
      </c>
      <c r="EW7" s="47" t="str">
        <f ca="1">IFERROR(IF(AND(ISNUMBER($EP$7),$EP$7&lt;=30),INDEX('2.Distances'!$D$2:$D$963,$EP$6*31+$EP$7+ 1) +$EX$6," ")," ")</f>
        <v xml:space="preserve"> </v>
      </c>
      <c r="EX7" s="47" t="str">
        <f ca="1">IFERROR(IF(ISNUMBER($EW$7),INDEX('1.Locations'!$I$2:$I$32,$EP$7 + 1) + MAX($EW$7,INDEX('1.Locations'!$F$2:$F$32,$EP$7 + 1))," ")," ")</f>
        <v xml:space="preserve"> </v>
      </c>
      <c r="EY7" s="46" t="str">
        <f ca="1">IFERROR($EY$6 + INDEX('2.Distances'!$D$2:$D$963,$EP$6*31+$EP$7+ 1) + INDEX('1.Locations'!$I$2:$I$32,$EP$7 + 1)," ")</f>
        <v xml:space="preserve"> </v>
      </c>
    </row>
    <row r="8" spans="1:155" x14ac:dyDescent="0.2">
      <c r="A8" s="19">
        <v>3</v>
      </c>
      <c r="B8" s="20" t="s">
        <v>66</v>
      </c>
      <c r="C8" s="44">
        <f ca="1">IFERROR(MATCH(INDIRECT("$B$8"),'1.Locations'!$B$2:$B$32, 0) - 1," ")</f>
        <v>0</v>
      </c>
      <c r="D8" s="44">
        <f ca="1">IFERROR(IF(ISNUMBER($C$8),INDEX('1.Locations'!$D$2:$D$32,$C$8 + 1),NA()),NA())</f>
        <v>13.626301</v>
      </c>
      <c r="E8" s="44">
        <f ca="1">IFERROR(IF(ISNUMBER($C$8),INDEX('1.Locations'!$E$2:$E$32,$C$8 + 1),NA()),NA())</f>
        <v>100.416859</v>
      </c>
      <c r="F8" s="45">
        <f ca="1">IFERROR(IF(AND(ISNUMBER($C$8),$C$8&lt;=30),INDEX('2.Distances'!$C$2:$C$963,$C$7*31+$C$8+ 1) +$F$7," ")," ")</f>
        <v>58.631</v>
      </c>
      <c r="G8" s="44">
        <f ca="1">IFERROR(IF(ISNUMBER($C$8),INDEX('1.Locations'!$J$2:$J$32,$C$8 + 1) +$G$7," ")," ")</f>
        <v>4</v>
      </c>
      <c r="H8" s="44">
        <f ca="1">IFERROR(IF(ISNUMBER($C$8),INDEX('1.Locations'!$K$2:$K$32,$C$8 + 1) +$H$7," ")," ")</f>
        <v>0</v>
      </c>
      <c r="I8" s="46">
        <f ca="1">IFERROR(IF(AND(ISNUMBER($C$8),$C$8&lt;=30),INDEX('2.Distances'!$D$2:$D$963,$C$7*31+$C$8+ 1) +$I$7," ")," ")</f>
        <v>4.5833333333333337E-2</v>
      </c>
      <c r="J8" s="47">
        <f ca="1">IFERROR(IF(AND(ISNUMBER($C$8),$C$8&lt;=30),INDEX('2.Distances'!$D$2:$D$963,$C$7*31+$C$8+ 1) +$K$7," ")," ")</f>
        <v>0.62847222222222221</v>
      </c>
      <c r="K8" s="47">
        <f ca="1">IFERROR(IF(ISNUMBER($J$8),INDEX('1.Locations'!$I$2:$I$32,$C$8 + 1) + MAX($J$8,INDEX('1.Locations'!$F$2:$F$32,$C$8 + 1))," ")," ")</f>
        <v>0.62847222222222221</v>
      </c>
      <c r="L8" s="46">
        <f ca="1">IFERROR($L$7 + INDEX('2.Distances'!$D$2:$D$963,$C$7*31+$C$8+ 1) + INDEX('1.Locations'!$I$2:$I$32,$C$8 + 1)," ")</f>
        <v>6.6666666666666666E-2</v>
      </c>
      <c r="N8" s="19">
        <v>3</v>
      </c>
      <c r="O8" s="20" t="s">
        <v>73</v>
      </c>
      <c r="P8" s="44">
        <f ca="1">IFERROR(MATCH(INDIRECT("$O$8"),'1.Locations'!$B$2:$B$32, 0) - 1," ")</f>
        <v>9</v>
      </c>
      <c r="Q8" s="44">
        <f ca="1">IFERROR(IF(ISNUMBER($P$8),INDEX('1.Locations'!$D$2:$D$32,$P$8 + 1),NA()),NA())</f>
        <v>13.829655199999999</v>
      </c>
      <c r="R8" s="44">
        <f ca="1">IFERROR(IF(ISNUMBER($P$8),INDEX('1.Locations'!$E$2:$E$32,$P$8 + 1),NA()),NA())</f>
        <v>100.521715299999</v>
      </c>
      <c r="S8" s="45">
        <f ca="1">IFERROR(IF(AND(ISNUMBER($P$8),$P$8&lt;=30),INDEX('2.Distances'!$C$2:$C$963,$P$7*31+$P$8+ 1) +$S$7," ")," ")</f>
        <v>47.649000000000001</v>
      </c>
      <c r="T8" s="44">
        <f ca="1">IFERROR(IF(ISNUMBER($P$8),INDEX('1.Locations'!$J$2:$J$32,$P$8 + 1) +$T$7," ")," ")</f>
        <v>4</v>
      </c>
      <c r="U8" s="44">
        <f ca="1">IFERROR(IF(ISNUMBER($P$8),INDEX('1.Locations'!$K$2:$K$32,$P$8 + 1) +$U$7," ")," ")</f>
        <v>0</v>
      </c>
      <c r="V8" s="46">
        <f ca="1">IFERROR(IF(AND(ISNUMBER($P$8),$P$8&lt;=30),INDEX('2.Distances'!$D$2:$D$963,$P$7*31+$P$8+ 1) +$V$7," ")," ")</f>
        <v>4.0972222222222222E-2</v>
      </c>
      <c r="W8" s="47">
        <f ca="1">IFERROR(IF(AND(ISNUMBER($P$8),$P$8&lt;=30),INDEX('2.Distances'!$D$2:$D$963,$P$7*31+$P$8+ 1) +$X$7," ")," ")</f>
        <v>0.61874999999999991</v>
      </c>
      <c r="X8" s="47">
        <f ca="1">IFERROR(IF(ISNUMBER($W$8),INDEX('1.Locations'!$I$2:$I$32,$P$8 + 1) + MAX($W$8,INDEX('1.Locations'!$F$2:$F$32,$P$8 + 1))," ")," ")</f>
        <v>0.62916666666666654</v>
      </c>
      <c r="Y8" s="46">
        <f ca="1">IFERROR($Y$7 + INDEX('2.Distances'!$D$2:$D$963,$P$7*31+$P$8+ 1) + INDEX('1.Locations'!$I$2:$I$32,$P$8 + 1)," ")</f>
        <v>7.2222222222222215E-2</v>
      </c>
      <c r="AA8" s="19">
        <v>3</v>
      </c>
      <c r="AB8" s="20" t="s">
        <v>93</v>
      </c>
      <c r="AC8" s="44">
        <f ca="1">IFERROR(MATCH(INDIRECT("$AB$8"),'1.Locations'!$B$2:$B$32, 0) - 1," ")</f>
        <v>29</v>
      </c>
      <c r="AD8" s="44">
        <f ca="1">IFERROR(IF(ISNUMBER($AC$8),INDEX('1.Locations'!$D$2:$D$32,$AC$8 + 1),NA()),NA())</f>
        <v>13.9479513</v>
      </c>
      <c r="AE8" s="44">
        <f ca="1">IFERROR(IF(ISNUMBER($AC$8),INDEX('1.Locations'!$E$2:$E$32,$AC$8 + 1),NA()),NA())</f>
        <v>100.5730034</v>
      </c>
      <c r="AF8" s="45">
        <f ca="1">IFERROR(IF(AND(ISNUMBER($AC$8),$AC$8&lt;=30),INDEX('2.Distances'!$C$2:$C$963,$AC$7*31+$AC$8+ 1) +$AF$7," ")," ")</f>
        <v>57.585999999999999</v>
      </c>
      <c r="AG8" s="44">
        <f ca="1">IFERROR(IF(ISNUMBER($AC$8),INDEX('1.Locations'!$J$2:$J$32,$AC$8 + 1) +$AG$7," ")," ")</f>
        <v>4</v>
      </c>
      <c r="AH8" s="44">
        <f ca="1">IFERROR(IF(ISNUMBER($AC$8),INDEX('1.Locations'!$K$2:$K$32,$AC$8 + 1) +$AH$7," ")," ")</f>
        <v>0</v>
      </c>
      <c r="AI8" s="46">
        <f ca="1">IFERROR(IF(AND(ISNUMBER($AC$8),$AC$8&lt;=30),INDEX('2.Distances'!$D$2:$D$963,$AC$7*31+$AC$8+ 1) +$AI$7," ")," ")</f>
        <v>3.8194444444444448E-2</v>
      </c>
      <c r="AJ8" s="47">
        <f ca="1">IFERROR(IF(AND(ISNUMBER($AC$8),$AC$8&lt;=30),INDEX('2.Distances'!$D$2:$D$963,$AC$7*31+$AC$8+ 1) +$AK$7," ")," ")</f>
        <v>0.61041666666666661</v>
      </c>
      <c r="AK8" s="47">
        <f ca="1">IFERROR(IF(ISNUMBER($AJ$8),INDEX('1.Locations'!$I$2:$I$32,$AC$8 + 1) + MAX($AJ$8,INDEX('1.Locations'!$F$2:$F$32,$AC$8 + 1))," ")," ")</f>
        <v>0.62083333333333324</v>
      </c>
      <c r="AL8" s="46">
        <f ca="1">IFERROR($AL$7 + INDEX('2.Distances'!$D$2:$D$963,$AC$7*31+$AC$8+ 1) + INDEX('1.Locations'!$I$2:$I$32,$AC$8 + 1)," ")</f>
        <v>6.9444444444444448E-2</v>
      </c>
      <c r="AN8" s="19">
        <v>3</v>
      </c>
      <c r="AO8" s="20" t="s">
        <v>88</v>
      </c>
      <c r="AP8" s="44">
        <f ca="1">IFERROR(MATCH(INDIRECT("$AO$8"),'1.Locations'!$B$2:$B$32, 0) - 1," ")</f>
        <v>24</v>
      </c>
      <c r="AQ8" s="44">
        <f ca="1">IFERROR(IF(ISNUMBER($AP$8),INDEX('1.Locations'!$D$2:$D$32,$AP$8 + 1),NA()),NA())</f>
        <v>13.926033</v>
      </c>
      <c r="AR8" s="44">
        <f ca="1">IFERROR(IF(ISNUMBER($AP$8),INDEX('1.Locations'!$E$2:$E$32,$AP$8 + 1),NA()),NA())</f>
        <v>100.63790299999999</v>
      </c>
      <c r="AS8" s="45">
        <f ca="1">IFERROR(IF(AND(ISNUMBER($AP$8),$AP$8&lt;=30),INDEX('2.Distances'!$C$2:$C$963,$AP$7*31+$AP$8+ 1) +$AS$7," ")," ")</f>
        <v>70.102999999999994</v>
      </c>
      <c r="AT8" s="44">
        <f ca="1">IFERROR(IF(ISNUMBER($AP$8),INDEX('1.Locations'!$J$2:$J$32,$AP$8 + 1) +$AT$7," ")," ")</f>
        <v>4</v>
      </c>
      <c r="AU8" s="44">
        <f ca="1">IFERROR(IF(ISNUMBER($AP$8),INDEX('1.Locations'!$K$2:$K$32,$AP$8 + 1) +$AU$7," ")," ")</f>
        <v>0</v>
      </c>
      <c r="AV8" s="46">
        <f ca="1">IFERROR(IF(AND(ISNUMBER($AP$8),$AP$8&lt;=30),INDEX('2.Distances'!$D$2:$D$963,$AP$7*31+$AP$8+ 1) +$AV$7," ")," ")</f>
        <v>5.0694444444444445E-2</v>
      </c>
      <c r="AW8" s="47">
        <f ca="1">IFERROR(IF(AND(ISNUMBER($AP$8),$AP$8&lt;=30),INDEX('2.Distances'!$D$2:$D$963,$AP$7*31+$AP$8+ 1) +$AX$7," ")," ")</f>
        <v>0.61597222222222214</v>
      </c>
      <c r="AX8" s="47">
        <f ca="1">IFERROR(IF(ISNUMBER($AW$8),INDEX('1.Locations'!$I$2:$I$32,$AP$8 + 1) + MAX($AW$8,INDEX('1.Locations'!$F$2:$F$32,$AP$8 + 1))," ")," ")</f>
        <v>0.62638888888888877</v>
      </c>
      <c r="AY8" s="46">
        <f ca="1">IFERROR($AY$7 + INDEX('2.Distances'!$D$2:$D$963,$AP$7*31+$AP$8+ 1) + INDEX('1.Locations'!$I$2:$I$32,$AP$8 + 1)," ")</f>
        <v>8.1944444444444445E-2</v>
      </c>
      <c r="BA8" s="19">
        <v>3</v>
      </c>
      <c r="BB8" s="20" t="s">
        <v>66</v>
      </c>
      <c r="BC8" s="44">
        <f ca="1">IFERROR(MATCH(INDIRECT("$BB$8"),'1.Locations'!$B$2:$B$32, 0) - 1," ")</f>
        <v>0</v>
      </c>
      <c r="BD8" s="44">
        <f ca="1">IFERROR(IF(ISNUMBER($BC$8),INDEX('1.Locations'!$D$2:$D$32,$BC$8 + 1),NA()),NA())</f>
        <v>13.626301</v>
      </c>
      <c r="BE8" s="44">
        <f ca="1">IFERROR(IF(ISNUMBER($BC$8),INDEX('1.Locations'!$E$2:$E$32,$BC$8 + 1),NA()),NA())</f>
        <v>100.416859</v>
      </c>
      <c r="BF8" s="45">
        <f ca="1">IFERROR(IF(AND(ISNUMBER($BC$8),$BC$8&lt;=30),INDEX('2.Distances'!$C$2:$C$963,$BC$7*31+$BC$8+ 1) +$BF$7," ")," ")</f>
        <v>76.646999999999991</v>
      </c>
      <c r="BG8" s="44">
        <f ca="1">IFERROR(IF(ISNUMBER($BC$8),INDEX('1.Locations'!$J$2:$J$32,$BC$8 + 1) +$BG$7," ")," ")</f>
        <v>4</v>
      </c>
      <c r="BH8" s="44">
        <f ca="1">IFERROR(IF(ISNUMBER($BC$8),INDEX('1.Locations'!$K$2:$K$32,$BC$8 + 1) +$BH$7," ")," ")</f>
        <v>0</v>
      </c>
      <c r="BI8" s="46">
        <f ca="1">IFERROR(IF(AND(ISNUMBER($BC$8),$BC$8&lt;=30),INDEX('2.Distances'!$D$2:$D$963,$BC$7*31+$BC$8+ 1) +$BI$7," ")," ")</f>
        <v>5.2777777777777778E-2</v>
      </c>
      <c r="BJ8" s="47">
        <f ca="1">IFERROR(IF(AND(ISNUMBER($BC$8),$BC$8&lt;=30),INDEX('2.Distances'!$D$2:$D$963,$BC$7*31+$BC$8+ 1) +$BK$7," ")," ")</f>
        <v>0.63194444444444442</v>
      </c>
      <c r="BK8" s="47">
        <f ca="1">IFERROR(IF(ISNUMBER($BJ$8),INDEX('1.Locations'!$I$2:$I$32,$BC$8 + 1) + MAX($BJ$8,INDEX('1.Locations'!$F$2:$F$32,$BC$8 + 1))," ")," ")</f>
        <v>0.63194444444444442</v>
      </c>
      <c r="BL8" s="46">
        <f ca="1">IFERROR($BL$7 + INDEX('2.Distances'!$D$2:$D$963,$BC$7*31+$BC$8+ 1) + INDEX('1.Locations'!$I$2:$I$32,$BC$8 + 1)," ")</f>
        <v>7.3611111111111099E-2</v>
      </c>
      <c r="BN8" s="19">
        <v>3</v>
      </c>
      <c r="BO8" s="20" t="s">
        <v>70</v>
      </c>
      <c r="BP8" s="44">
        <f ca="1">IFERROR(MATCH(INDIRECT("$BO$8"),'1.Locations'!$B$2:$B$32, 0) - 1," ")</f>
        <v>5</v>
      </c>
      <c r="BQ8" s="44">
        <f ca="1">IFERROR(IF(ISNUMBER($BP$8),INDEX('1.Locations'!$D$2:$D$32,$BP$8 + 1),NA()),NA())</f>
        <v>13.7941681</v>
      </c>
      <c r="BR8" s="44">
        <f ca="1">IFERROR(IF(ISNUMBER($BP$8),INDEX('1.Locations'!$E$2:$E$32,$BP$8 + 1),NA()),NA())</f>
        <v>100.5217181</v>
      </c>
      <c r="BS8" s="45">
        <f ca="1">IFERROR(IF(AND(ISNUMBER($BP$8),$BP$8&lt;=30),INDEX('2.Distances'!$C$2:$C$963,$BP$7*31+$BP$8+ 1) +$BS$7," ")," ")</f>
        <v>35.953000000000003</v>
      </c>
      <c r="BT8" s="44">
        <f ca="1">IFERROR(IF(ISNUMBER($BP$8),INDEX('1.Locations'!$J$2:$J$32,$BP$8 + 1) +$BT$7," ")," ")</f>
        <v>4</v>
      </c>
      <c r="BU8" s="44">
        <f ca="1">IFERROR(IF(ISNUMBER($BP$8),INDEX('1.Locations'!$K$2:$K$32,$BP$8 + 1) +$BU$7," ")," ")</f>
        <v>0</v>
      </c>
      <c r="BV8" s="46">
        <f ca="1">IFERROR(IF(AND(ISNUMBER($BP$8),$BP$8&lt;=30),INDEX('2.Distances'!$D$2:$D$963,$BP$7*31+$BP$8+ 1) +$BV$7," ")," ")</f>
        <v>3.7499999999999999E-2</v>
      </c>
      <c r="BW8" s="47">
        <f ca="1">IFERROR(IF(AND(ISNUMBER($BP$8),$BP$8&lt;=30),INDEX('2.Distances'!$D$2:$D$963,$BP$7*31+$BP$8+ 1) +$BX$7," ")," ")</f>
        <v>0.63263888888888886</v>
      </c>
      <c r="BX8" s="47">
        <f ca="1">IFERROR(IF(ISNUMBER($BW$8),INDEX('1.Locations'!$I$2:$I$32,$BP$8 + 1) + MAX($BW$8,INDEX('1.Locations'!$F$2:$F$32,$BP$8 + 1))," ")," ")</f>
        <v>0.64305555555555549</v>
      </c>
      <c r="BY8" s="46">
        <f ca="1">IFERROR($BY$7 + INDEX('2.Distances'!$D$2:$D$963,$BP$7*31+$BP$8+ 1) + INDEX('1.Locations'!$I$2:$I$32,$BP$8 + 1)," ")</f>
        <v>6.8750000000000006E-2</v>
      </c>
      <c r="CA8" s="19">
        <v>3</v>
      </c>
      <c r="CB8" s="20" t="s">
        <v>83</v>
      </c>
      <c r="CC8" s="44">
        <f ca="1">IFERROR(MATCH(INDIRECT("$CB$8"),'1.Locations'!$B$2:$B$32, 0) - 1," ")</f>
        <v>19</v>
      </c>
      <c r="CD8" s="44">
        <f ca="1">IFERROR(IF(ISNUMBER($CC$8),INDEX('1.Locations'!$D$2:$D$32,$CC$8 + 1),NA()),NA())</f>
        <v>13.8931919</v>
      </c>
      <c r="CE8" s="44">
        <f ca="1">IFERROR(IF(ISNUMBER($CC$8),INDEX('1.Locations'!$E$2:$E$32,$CC$8 + 1),NA()),NA())</f>
        <v>100.62130089999999</v>
      </c>
      <c r="CF8" s="45">
        <f ca="1">IFERROR(IF(AND(ISNUMBER($CC$8),$CC$8&lt;=30),INDEX('2.Distances'!$C$2:$C$963,$CC$7*31+$CC$8+ 1) +$CF$7," ")," ")</f>
        <v>61.356000000000009</v>
      </c>
      <c r="CG8" s="44">
        <f ca="1">IFERROR(IF(ISNUMBER($CC$8),INDEX('1.Locations'!$J$2:$J$32,$CC$8 + 1) +$CG$7," ")," ")</f>
        <v>3</v>
      </c>
      <c r="CH8" s="44">
        <f ca="1">IFERROR(IF(ISNUMBER($CC$8),INDEX('1.Locations'!$K$2:$K$32,$CC$8 + 1) +$CH$7," ")," ")</f>
        <v>0</v>
      </c>
      <c r="CI8" s="46">
        <f ca="1">IFERROR(IF(AND(ISNUMBER($CC$8),$CC$8&lt;=30),INDEX('2.Distances'!$D$2:$D$963,$CC$7*31+$CC$8+ 1) +$CI$7," ")," ")</f>
        <v>4.5138888888888888E-2</v>
      </c>
      <c r="CJ8" s="47">
        <f ca="1">IFERROR(IF(AND(ISNUMBER($CC$8),$CC$8&lt;=30),INDEX('2.Distances'!$D$2:$D$963,$CC$7*31+$CC$8+ 1) +$CK$7," ")," ")</f>
        <v>0.61597222222222214</v>
      </c>
      <c r="CK8" s="47">
        <f ca="1">IFERROR(IF(ISNUMBER($CJ$8),INDEX('1.Locations'!$I$2:$I$32,$CC$8 + 1) + MAX($CJ$8,INDEX('1.Locations'!$F$2:$F$32,$CC$8 + 1))," ")," ")</f>
        <v>0.62638888888888877</v>
      </c>
      <c r="CL8" s="46">
        <f ca="1">IFERROR($CL$7 + INDEX('2.Distances'!$D$2:$D$963,$CC$7*31+$CC$8+ 1) + INDEX('1.Locations'!$I$2:$I$32,$CC$8 + 1)," ")</f>
        <v>7.6388888888888881E-2</v>
      </c>
      <c r="CN8" s="19">
        <v>3</v>
      </c>
      <c r="CO8" s="20" t="s">
        <v>75</v>
      </c>
      <c r="CP8" s="44">
        <f ca="1">IFERROR(MATCH(INDIRECT("$CO$8"),'1.Locations'!$B$2:$B$32, 0) - 1," ")</f>
        <v>1</v>
      </c>
      <c r="CQ8" s="44">
        <f ca="1">IFERROR(IF(ISNUMBER($CP$8),INDEX('1.Locations'!$D$2:$D$32,$CP$8 + 1),NA()),NA())</f>
        <v>13.7994261</v>
      </c>
      <c r="CR8" s="44">
        <f ca="1">IFERROR(IF(ISNUMBER($CP$8),INDEX('1.Locations'!$E$2:$E$32,$CP$8 + 1),NA()),NA())</f>
        <v>100.5185609</v>
      </c>
      <c r="CS8" s="45">
        <f ca="1">IFERROR(IF(AND(ISNUMBER($CP$8),$CP$8&lt;=30),INDEX('2.Distances'!$C$2:$C$963,$CP$7*31+$CP$8+ 1) +$CS$7," ")," ")</f>
        <v>37.164000000000009</v>
      </c>
      <c r="CT8" s="44">
        <f ca="1">IFERROR(IF(ISNUMBER($CP$8),INDEX('1.Locations'!$J$2:$J$32,$CP$8 + 1) +$CT$7," ")," ")</f>
        <v>4</v>
      </c>
      <c r="CU8" s="44">
        <f ca="1">IFERROR(IF(ISNUMBER($CP$8),INDEX('1.Locations'!$K$2:$K$32,$CP$8 + 1) +$CU$7," ")," ")</f>
        <v>0</v>
      </c>
      <c r="CV8" s="46">
        <f ca="1">IFERROR(IF(AND(ISNUMBER($CP$8),$CP$8&lt;=30),INDEX('2.Distances'!$D$2:$D$963,$CP$7*31+$CP$8+ 1) +$CV$7," ")," ")</f>
        <v>2.9166666666666667E-2</v>
      </c>
      <c r="CW8" s="47">
        <f ca="1">IFERROR(IF(AND(ISNUMBER($CP$8),$CP$8&lt;=30),INDEX('2.Distances'!$D$2:$D$963,$CP$7*31+$CP$8+ 1) +$CX$7," ")," ")</f>
        <v>0.60972222222222217</v>
      </c>
      <c r="CX8" s="47">
        <f ca="1">IFERROR(IF(ISNUMBER($CW$8),INDEX('1.Locations'!$I$2:$I$32,$CP$8 + 1) + MAX($CW$8,INDEX('1.Locations'!$F$2:$F$32,$CP$8 + 1))," ")," ")</f>
        <v>0.6201388888888888</v>
      </c>
      <c r="CY8" s="46">
        <f ca="1">IFERROR($CY$7 + INDEX('2.Distances'!$D$2:$D$963,$CP$7*31+$CP$8+ 1) + INDEX('1.Locations'!$I$2:$I$32,$CP$8 + 1)," ")</f>
        <v>6.0416666666666653E-2</v>
      </c>
      <c r="DA8" s="19">
        <v>3</v>
      </c>
      <c r="DB8" s="20" t="s">
        <v>82</v>
      </c>
      <c r="DC8" s="44">
        <f ca="1">IFERROR(MATCH(INDIRECT("$DB$8"),'1.Locations'!$B$2:$B$32, 0) - 1," ")</f>
        <v>18</v>
      </c>
      <c r="DD8" s="44">
        <f ca="1">IFERROR(IF(ISNUMBER($DC$8),INDEX('1.Locations'!$D$2:$D$32,$DC$8 + 1),NA()),NA())</f>
        <v>13.860783700000001</v>
      </c>
      <c r="DE8" s="44">
        <f ca="1">IFERROR(IF(ISNUMBER($DC$8),INDEX('1.Locations'!$E$2:$E$32,$DC$8 + 1),NA()),NA())</f>
        <v>100.645380199999</v>
      </c>
      <c r="DF8" s="45">
        <f ca="1">IFERROR(IF(AND(ISNUMBER($DC$8),$DC$8&lt;=30),INDEX('2.Distances'!$C$2:$C$963,$DC$7*31+$DC$8+ 1) +$DF$7," ")," ")</f>
        <v>72.50800000000001</v>
      </c>
      <c r="DG8" s="44">
        <f ca="1">IFERROR(IF(ISNUMBER($DC$8),INDEX('1.Locations'!$J$2:$J$32,$DC$8 + 1) +$DG$7," ")," ")</f>
        <v>4</v>
      </c>
      <c r="DH8" s="44">
        <f ca="1">IFERROR(IF(ISNUMBER($DC$8),INDEX('1.Locations'!$K$2:$K$32,$DC$8 + 1) +$DH$7," ")," ")</f>
        <v>0</v>
      </c>
      <c r="DI8" s="46">
        <f ca="1">IFERROR(IF(AND(ISNUMBER($DC$8),$DC$8&lt;=30),INDEX('2.Distances'!$D$2:$D$963,$DC$7*31+$DC$8+ 1) +$DI$7," ")," ")</f>
        <v>5.3472222222222213E-2</v>
      </c>
      <c r="DJ8" s="47">
        <f ca="1">IFERROR(IF(AND(ISNUMBER($DC$8),$DC$8&lt;=30),INDEX('2.Distances'!$D$2:$D$963,$DC$7*31+$DC$8+ 1) +$DK$7," ")," ")</f>
        <v>0.61597222222222203</v>
      </c>
      <c r="DK8" s="47">
        <f ca="1">IFERROR(IF(ISNUMBER($DJ$8),INDEX('1.Locations'!$I$2:$I$32,$DC$8 + 1) + MAX($DJ$8,INDEX('1.Locations'!$F$2:$F$32,$DC$8 + 1))," ")," ")</f>
        <v>0.62638888888888866</v>
      </c>
      <c r="DL8" s="46">
        <f ca="1">IFERROR($DL$7 + INDEX('2.Distances'!$D$2:$D$963,$DC$7*31+$DC$8+ 1) + INDEX('1.Locations'!$I$2:$I$32,$DC$8 + 1)," ")</f>
        <v>8.4722222222222227E-2</v>
      </c>
      <c r="DN8" s="19">
        <v>3</v>
      </c>
      <c r="DO8" s="20" t="s">
        <v>68</v>
      </c>
      <c r="DP8" s="44">
        <f ca="1">IFERROR(MATCH(INDIRECT("$DO$8"),'1.Locations'!$B$2:$B$32, 0) - 1," ")</f>
        <v>3</v>
      </c>
      <c r="DQ8" s="44">
        <f ca="1">IFERROR(IF(ISNUMBER($DP$8),INDEX('1.Locations'!$D$2:$D$32,$DP$8 + 1),NA()),NA())</f>
        <v>13.779468</v>
      </c>
      <c r="DR8" s="44">
        <f ca="1">IFERROR(IF(ISNUMBER($DP$8),INDEX('1.Locations'!$E$2:$E$32,$DP$8 + 1),NA()),NA())</f>
        <v>100.520204499999</v>
      </c>
      <c r="DS8" s="45">
        <f ca="1">IFERROR(IF(AND(ISNUMBER($DP$8),$DP$8&lt;=30),INDEX('2.Distances'!$C$2:$C$963,$DP$7*31+$DP$8+ 1) +$DS$7," ")," ")</f>
        <v>94.454999999999998</v>
      </c>
      <c r="DT8" s="44">
        <f ca="1">IFERROR(IF(ISNUMBER($DP$8),INDEX('1.Locations'!$J$2:$J$32,$DP$8 + 1) +$DT$7," ")," ")</f>
        <v>3</v>
      </c>
      <c r="DU8" s="44">
        <f ca="1">IFERROR(IF(ISNUMBER($DP$8),INDEX('1.Locations'!$K$2:$K$32,$DP$8 + 1) +$DU$7," ")," ")</f>
        <v>0</v>
      </c>
      <c r="DV8" s="46">
        <f ca="1">IFERROR(IF(AND(ISNUMBER($DP$8),$DP$8&lt;=30),INDEX('2.Distances'!$D$2:$D$963,$DP$7*31+$DP$8+ 1) +$DV$7," ")," ")</f>
        <v>5.9722222222222225E-2</v>
      </c>
      <c r="DW8" s="47">
        <f ca="1">IFERROR(IF(AND(ISNUMBER($DP$8),$DP$8&lt;=30),INDEX('2.Distances'!$D$2:$D$963,$DP$7*31+$DP$8+ 1) +$DX$7," ")," ")</f>
        <v>0.64236111111111105</v>
      </c>
      <c r="DX8" s="47">
        <f ca="1">IFERROR(IF(ISNUMBER($DW$8),INDEX('1.Locations'!$I$2:$I$32,$DP$8 + 1) + MAX($DW$8,INDEX('1.Locations'!$F$2:$F$32,$DP$8 + 1))," ")," ")</f>
        <v>0.65277777777777768</v>
      </c>
      <c r="DY8" s="46">
        <f ca="1">IFERROR($DY$7 + INDEX('2.Distances'!$D$2:$D$963,$DP$7*31+$DP$8+ 1) + INDEX('1.Locations'!$I$2:$I$32,$DP$8 + 1)," ")</f>
        <v>9.0972222222222232E-2</v>
      </c>
      <c r="EA8" s="19">
        <v>3</v>
      </c>
      <c r="EB8" s="20"/>
      <c r="EC8" s="44" t="str">
        <f ca="1">IFERROR(MATCH(INDIRECT("$EB$8"),'1.Locations'!$B$2:$B$32, 0) - 1," ")</f>
        <v xml:space="preserve"> </v>
      </c>
      <c r="ED8" s="44" t="e">
        <f ca="1">IFERROR(IF(ISNUMBER($EC$8),INDEX('1.Locations'!$D$2:$D$32,$EC$8 + 1),NA()),NA())</f>
        <v>#N/A</v>
      </c>
      <c r="EE8" s="44" t="e">
        <f ca="1">IFERROR(IF(ISNUMBER($EC$8),INDEX('1.Locations'!$E$2:$E$32,$EC$8 + 1),NA()),NA())</f>
        <v>#N/A</v>
      </c>
      <c r="EF8" s="45" t="str">
        <f ca="1">IFERROR(IF(AND(ISNUMBER($EC$8),$EC$8&lt;=30),INDEX('2.Distances'!$C$2:$C$963,$EC$7*31+$EC$8+ 1) +$EF$7," ")," ")</f>
        <v xml:space="preserve"> </v>
      </c>
      <c r="EG8" s="44" t="str">
        <f ca="1">IFERROR(IF(ISNUMBER($EC$8),INDEX('1.Locations'!$J$2:$J$32,$EC$8 + 1) +$EG$7," ")," ")</f>
        <v xml:space="preserve"> </v>
      </c>
      <c r="EH8" s="44" t="str">
        <f ca="1">IFERROR(IF(ISNUMBER($EC$8),INDEX('1.Locations'!$K$2:$K$32,$EC$8 + 1) +$EH$7," ")," ")</f>
        <v xml:space="preserve"> </v>
      </c>
      <c r="EI8" s="46" t="str">
        <f ca="1">IFERROR(IF(AND(ISNUMBER($EC$8),$EC$8&lt;=30),INDEX('2.Distances'!$D$2:$D$963,$EC$7*31+$EC$8+ 1) +$EI$7," ")," ")</f>
        <v xml:space="preserve"> </v>
      </c>
      <c r="EJ8" s="47" t="str">
        <f ca="1">IFERROR(IF(AND(ISNUMBER($EC$8),$EC$8&lt;=30),INDEX('2.Distances'!$D$2:$D$963,$EC$7*31+$EC$8+ 1) +$EK$7," ")," ")</f>
        <v xml:space="preserve"> </v>
      </c>
      <c r="EK8" s="47" t="str">
        <f ca="1">IFERROR(IF(ISNUMBER($EJ$8),INDEX('1.Locations'!$I$2:$I$32,$EC$8 + 1) + MAX($EJ$8,INDEX('1.Locations'!$F$2:$F$32,$EC$8 + 1))," ")," ")</f>
        <v xml:space="preserve"> </v>
      </c>
      <c r="EL8" s="46" t="str">
        <f ca="1">IFERROR($EL$7 + INDEX('2.Distances'!$D$2:$D$963,$EC$7*31+$EC$8+ 1) + INDEX('1.Locations'!$I$2:$I$32,$EC$8 + 1)," ")</f>
        <v xml:space="preserve"> </v>
      </c>
      <c r="EN8" s="19">
        <v>3</v>
      </c>
      <c r="EO8" s="20"/>
      <c r="EP8" s="44" t="str">
        <f ca="1">IFERROR(MATCH(INDIRECT("$EO$8"),'1.Locations'!$B$2:$B$32, 0) - 1," ")</f>
        <v xml:space="preserve"> </v>
      </c>
      <c r="EQ8" s="44" t="e">
        <f ca="1">IFERROR(IF(ISNUMBER($EP$8),INDEX('1.Locations'!$D$2:$D$32,$EP$8 + 1),NA()),NA())</f>
        <v>#N/A</v>
      </c>
      <c r="ER8" s="44" t="e">
        <f ca="1">IFERROR(IF(ISNUMBER($EP$8),INDEX('1.Locations'!$E$2:$E$32,$EP$8 + 1),NA()),NA())</f>
        <v>#N/A</v>
      </c>
      <c r="ES8" s="45" t="str">
        <f ca="1">IFERROR(IF(AND(ISNUMBER($EP$8),$EP$8&lt;=30),INDEX('2.Distances'!$C$2:$C$963,$EP$7*31+$EP$8+ 1) +$ES$7," ")," ")</f>
        <v xml:space="preserve"> </v>
      </c>
      <c r="ET8" s="44" t="str">
        <f ca="1">IFERROR(IF(ISNUMBER($EP$8),INDEX('1.Locations'!$J$2:$J$32,$EP$8 + 1) +$ET$7," ")," ")</f>
        <v xml:space="preserve"> </v>
      </c>
      <c r="EU8" s="44" t="str">
        <f ca="1">IFERROR(IF(ISNUMBER($EP$8),INDEX('1.Locations'!$K$2:$K$32,$EP$8 + 1) +$EU$7," ")," ")</f>
        <v xml:space="preserve"> </v>
      </c>
      <c r="EV8" s="46" t="str">
        <f ca="1">IFERROR(IF(AND(ISNUMBER($EP$8),$EP$8&lt;=30),INDEX('2.Distances'!$D$2:$D$963,$EP$7*31+$EP$8+ 1) +$EV$7," ")," ")</f>
        <v xml:space="preserve"> </v>
      </c>
      <c r="EW8" s="47" t="str">
        <f ca="1">IFERROR(IF(AND(ISNUMBER($EP$8),$EP$8&lt;=30),INDEX('2.Distances'!$D$2:$D$963,$EP$7*31+$EP$8+ 1) +$EX$7," ")," ")</f>
        <v xml:space="preserve"> </v>
      </c>
      <c r="EX8" s="47" t="str">
        <f ca="1">IFERROR(IF(ISNUMBER($EW$8),INDEX('1.Locations'!$I$2:$I$32,$EP$8 + 1) + MAX($EW$8,INDEX('1.Locations'!$F$2:$F$32,$EP$8 + 1))," ")," ")</f>
        <v xml:space="preserve"> </v>
      </c>
      <c r="EY8" s="46" t="str">
        <f ca="1">IFERROR($EY$7 + INDEX('2.Distances'!$D$2:$D$963,$EP$7*31+$EP$8+ 1) + INDEX('1.Locations'!$I$2:$I$32,$EP$8 + 1)," ")</f>
        <v xml:space="preserve"> </v>
      </c>
    </row>
    <row r="9" spans="1:155" x14ac:dyDescent="0.2">
      <c r="A9" s="19">
        <v>4</v>
      </c>
      <c r="B9" s="20"/>
      <c r="C9" s="44" t="str">
        <f ca="1">IFERROR(MATCH(INDIRECT("$B$9"),'1.Locations'!$B$2:$B$32, 0) - 1," ")</f>
        <v xml:space="preserve"> </v>
      </c>
      <c r="D9" s="44" t="e">
        <f ca="1">IFERROR(IF(ISNUMBER($C$9),INDEX('1.Locations'!$D$2:$D$32,$C$9 + 1),NA()),NA())</f>
        <v>#N/A</v>
      </c>
      <c r="E9" s="44" t="e">
        <f ca="1">IFERROR(IF(ISNUMBER($C$9),INDEX('1.Locations'!$E$2:$E$32,$C$9 + 1),NA()),NA())</f>
        <v>#N/A</v>
      </c>
      <c r="F9" s="45" t="str">
        <f ca="1">IFERROR(IF(AND(ISNUMBER($C$9),$C$9&lt;=30),INDEX('2.Distances'!$C$2:$C$963,$C$8*31+$C$9+ 1) +$F$8," ")," ")</f>
        <v xml:space="preserve"> </v>
      </c>
      <c r="G9" s="44" t="str">
        <f ca="1">IFERROR(IF(ISNUMBER($C$9),INDEX('1.Locations'!$J$2:$J$32,$C$9 + 1) +$G$8," ")," ")</f>
        <v xml:space="preserve"> </v>
      </c>
      <c r="H9" s="44" t="str">
        <f ca="1">IFERROR(IF(ISNUMBER($C$9),INDEX('1.Locations'!$K$2:$K$32,$C$9 + 1) +$H$8," ")," ")</f>
        <v xml:space="preserve"> </v>
      </c>
      <c r="I9" s="46" t="str">
        <f ca="1">IFERROR(IF(AND(ISNUMBER($C$9),$C$9&lt;=30),INDEX('2.Distances'!$D$2:$D$963,$C$8*31+$C$9+ 1) +$I$8," ")," ")</f>
        <v xml:space="preserve"> </v>
      </c>
      <c r="J9" s="47" t="str">
        <f ca="1">IFERROR(IF(AND(ISNUMBER($C$9),$C$9&lt;=30),INDEX('2.Distances'!$D$2:$D$963,$C$8*31+$C$9+ 1) +$K$8," ")," ")</f>
        <v xml:space="preserve"> </v>
      </c>
      <c r="K9" s="47" t="str">
        <f ca="1">IFERROR(IF(ISNUMBER($J$9),INDEX('1.Locations'!$I$2:$I$32,$C$9 + 1) + MAX($J$9,INDEX('1.Locations'!$F$2:$F$32,$C$9 + 1))," ")," ")</f>
        <v xml:space="preserve"> </v>
      </c>
      <c r="L9" s="46" t="str">
        <f ca="1">IFERROR($L$8 + INDEX('2.Distances'!$D$2:$D$963,$C$8*31+$C$9+ 1) + INDEX('1.Locations'!$I$2:$I$32,$C$9 + 1)," ")</f>
        <v xml:space="preserve"> </v>
      </c>
      <c r="N9" s="19">
        <v>4</v>
      </c>
      <c r="O9" s="20" t="s">
        <v>66</v>
      </c>
      <c r="P9" s="44">
        <f ca="1">IFERROR(MATCH(INDIRECT("$O$9"),'1.Locations'!$B$2:$B$32, 0) - 1," ")</f>
        <v>0</v>
      </c>
      <c r="Q9" s="44">
        <f ca="1">IFERROR(IF(ISNUMBER($P$9),INDEX('1.Locations'!$D$2:$D$32,$P$9 + 1),NA()),NA())</f>
        <v>13.626301</v>
      </c>
      <c r="R9" s="44">
        <f ca="1">IFERROR(IF(ISNUMBER($P$9),INDEX('1.Locations'!$E$2:$E$32,$P$9 + 1),NA()),NA())</f>
        <v>100.416859</v>
      </c>
      <c r="S9" s="45">
        <f ca="1">IFERROR(IF(AND(ISNUMBER($P$9),$P$9&lt;=30),INDEX('2.Distances'!$C$2:$C$963,$P$8*31+$P$9+ 1) +$S$8," ")," ")</f>
        <v>83.41</v>
      </c>
      <c r="T9" s="44">
        <f ca="1">IFERROR(IF(ISNUMBER($P$9),INDEX('1.Locations'!$J$2:$J$32,$P$9 + 1) +$T$8," ")," ")</f>
        <v>4</v>
      </c>
      <c r="U9" s="44">
        <f ca="1">IFERROR(IF(ISNUMBER($P$9),INDEX('1.Locations'!$K$2:$K$32,$P$9 + 1) +$U$8," ")," ")</f>
        <v>0</v>
      </c>
      <c r="V9" s="46">
        <f ca="1">IFERROR(IF(AND(ISNUMBER($P$9),$P$9&lt;=30),INDEX('2.Distances'!$D$2:$D$963,$P$8*31+$P$9+ 1) +$V$8," ")," ")</f>
        <v>6.3194444444444442E-2</v>
      </c>
      <c r="W9" s="47">
        <f ca="1">IFERROR(IF(AND(ISNUMBER($P$9),$P$9&lt;=30),INDEX('2.Distances'!$D$2:$D$963,$P$8*31+$P$9+ 1) +$X$8," ")," ")</f>
        <v>0.6513888888888888</v>
      </c>
      <c r="X9" s="47">
        <f ca="1">IFERROR(IF(ISNUMBER($W$9),INDEX('1.Locations'!$I$2:$I$32,$P$9 + 1) + MAX($W$9,INDEX('1.Locations'!$F$2:$F$32,$P$9 + 1))," ")," ")</f>
        <v>0.6513888888888888</v>
      </c>
      <c r="Y9" s="46">
        <f ca="1">IFERROR($Y$8 + INDEX('2.Distances'!$D$2:$D$963,$P$8*31+$P$9+ 1) + INDEX('1.Locations'!$I$2:$I$32,$P$9 + 1)," ")</f>
        <v>9.4444444444444442E-2</v>
      </c>
      <c r="AA9" s="19">
        <v>4</v>
      </c>
      <c r="AB9" s="20" t="s">
        <v>66</v>
      </c>
      <c r="AC9" s="44">
        <f ca="1">IFERROR(MATCH(INDIRECT("$AB$9"),'1.Locations'!$B$2:$B$32, 0) - 1," ")</f>
        <v>0</v>
      </c>
      <c r="AD9" s="44">
        <f ca="1">IFERROR(IF(ISNUMBER($AC$9),INDEX('1.Locations'!$D$2:$D$32,$AC$9 + 1),NA()),NA())</f>
        <v>13.626301</v>
      </c>
      <c r="AE9" s="44">
        <f ca="1">IFERROR(IF(ISNUMBER($AC$9),INDEX('1.Locations'!$E$2:$E$32,$AC$9 + 1),NA()),NA())</f>
        <v>100.416859</v>
      </c>
      <c r="AF9" s="45">
        <f ca="1">IFERROR(IF(AND(ISNUMBER($AC$9),$AC$9&lt;=30),INDEX('2.Distances'!$C$2:$C$963,$AC$8*31+$AC$9+ 1) +$AF$8," ")," ")</f>
        <v>112.36</v>
      </c>
      <c r="AG9" s="44">
        <f ca="1">IFERROR(IF(ISNUMBER($AC$9),INDEX('1.Locations'!$J$2:$J$32,$AC$9 + 1) +$AG$8," ")," ")</f>
        <v>4</v>
      </c>
      <c r="AH9" s="44">
        <f ca="1">IFERROR(IF(ISNUMBER($AC$9),INDEX('1.Locations'!$K$2:$K$32,$AC$9 + 1) +$AH$8," ")," ")</f>
        <v>0</v>
      </c>
      <c r="AI9" s="46">
        <f ca="1">IFERROR(IF(AND(ISNUMBER($AC$9),$AC$9&lt;=30),INDEX('2.Distances'!$D$2:$D$963,$AC$8*31+$AC$9+ 1) +$AI$8," ")," ")</f>
        <v>6.9444444444444448E-2</v>
      </c>
      <c r="AJ9" s="47">
        <f ca="1">IFERROR(IF(AND(ISNUMBER($AC$9),$AC$9&lt;=30),INDEX('2.Distances'!$D$2:$D$963,$AC$8*31+$AC$9+ 1) +$AK$8," ")," ")</f>
        <v>0.65208333333333324</v>
      </c>
      <c r="AK9" s="47">
        <f ca="1">IFERROR(IF(ISNUMBER($AJ$9),INDEX('1.Locations'!$I$2:$I$32,$AC$9 + 1) + MAX($AJ$9,INDEX('1.Locations'!$F$2:$F$32,$AC$9 + 1))," ")," ")</f>
        <v>0.65208333333333324</v>
      </c>
      <c r="AL9" s="46">
        <f ca="1">IFERROR($AL$8 + INDEX('2.Distances'!$D$2:$D$963,$AC$8*31+$AC$9+ 1) + INDEX('1.Locations'!$I$2:$I$32,$AC$9 + 1)," ")</f>
        <v>0.10069444444444445</v>
      </c>
      <c r="AN9" s="19">
        <v>4</v>
      </c>
      <c r="AO9" s="20" t="s">
        <v>66</v>
      </c>
      <c r="AP9" s="44">
        <f ca="1">IFERROR(MATCH(INDIRECT("$AO$9"),'1.Locations'!$B$2:$B$32, 0) - 1," ")</f>
        <v>0</v>
      </c>
      <c r="AQ9" s="44">
        <f ca="1">IFERROR(IF(ISNUMBER($AP$9),INDEX('1.Locations'!$D$2:$D$32,$AP$9 + 1),NA()),NA())</f>
        <v>13.626301</v>
      </c>
      <c r="AR9" s="44">
        <f ca="1">IFERROR(IF(ISNUMBER($AP$9),INDEX('1.Locations'!$E$2:$E$32,$AP$9 + 1),NA()),NA())</f>
        <v>100.416859</v>
      </c>
      <c r="AS9" s="45">
        <f ca="1">IFERROR(IF(AND(ISNUMBER($AP$9),$AP$9&lt;=30),INDEX('2.Distances'!$C$2:$C$963,$AP$8*31+$AP$9+ 1) +$AS$8," ")," ")</f>
        <v>125.376</v>
      </c>
      <c r="AT9" s="44">
        <f ca="1">IFERROR(IF(ISNUMBER($AP$9),INDEX('1.Locations'!$J$2:$J$32,$AP$9 + 1) +$AT$8," ")," ")</f>
        <v>4</v>
      </c>
      <c r="AU9" s="44">
        <f ca="1">IFERROR(IF(ISNUMBER($AP$9),INDEX('1.Locations'!$K$2:$K$32,$AP$9 + 1) +$AU$8," ")," ")</f>
        <v>0</v>
      </c>
      <c r="AV9" s="46">
        <f ca="1">IFERROR(IF(AND(ISNUMBER($AP$9),$AP$9&lt;=30),INDEX('2.Distances'!$D$2:$D$963,$AP$8*31+$AP$9+ 1) +$AV$8," ")," ")</f>
        <v>8.6805555555555552E-2</v>
      </c>
      <c r="AW9" s="47">
        <f ca="1">IFERROR(IF(AND(ISNUMBER($AP$9),$AP$9&lt;=30),INDEX('2.Distances'!$D$2:$D$963,$AP$8*31+$AP$9+ 1) +$AX$8," ")," ")</f>
        <v>0.66249999999999987</v>
      </c>
      <c r="AX9" s="47">
        <f ca="1">IFERROR(IF(ISNUMBER($AW$9),INDEX('1.Locations'!$I$2:$I$32,$AP$9 + 1) + MAX($AW$9,INDEX('1.Locations'!$F$2:$F$32,$AP$9 + 1))," ")," ")</f>
        <v>0.66249999999999987</v>
      </c>
      <c r="AY9" s="46">
        <f ca="1">IFERROR($AY$8 + INDEX('2.Distances'!$D$2:$D$963,$AP$8*31+$AP$9+ 1) + INDEX('1.Locations'!$I$2:$I$32,$AP$9 + 1)," ")</f>
        <v>0.11805555555555555</v>
      </c>
      <c r="BA9" s="19">
        <v>4</v>
      </c>
      <c r="BB9" s="20"/>
      <c r="BC9" s="44" t="str">
        <f ca="1">IFERROR(MATCH(INDIRECT("$BB$9"),'1.Locations'!$B$2:$B$32, 0) - 1," ")</f>
        <v xml:space="preserve"> </v>
      </c>
      <c r="BD9" s="44" t="e">
        <f ca="1">IFERROR(IF(ISNUMBER($BC$9),INDEX('1.Locations'!$D$2:$D$32,$BC$9 + 1),NA()),NA())</f>
        <v>#N/A</v>
      </c>
      <c r="BE9" s="44" t="e">
        <f ca="1">IFERROR(IF(ISNUMBER($BC$9),INDEX('1.Locations'!$E$2:$E$32,$BC$9 + 1),NA()),NA())</f>
        <v>#N/A</v>
      </c>
      <c r="BF9" s="45" t="str">
        <f ca="1">IFERROR(IF(AND(ISNUMBER($BC$9),$BC$9&lt;=30),INDEX('2.Distances'!$C$2:$C$963,$BC$8*31+$BC$9+ 1) +$BF$8," ")," ")</f>
        <v xml:space="preserve"> </v>
      </c>
      <c r="BG9" s="44" t="str">
        <f ca="1">IFERROR(IF(ISNUMBER($BC$9),INDEX('1.Locations'!$J$2:$J$32,$BC$9 + 1) +$BG$8," ")," ")</f>
        <v xml:space="preserve"> </v>
      </c>
      <c r="BH9" s="44" t="str">
        <f ca="1">IFERROR(IF(ISNUMBER($BC$9),INDEX('1.Locations'!$K$2:$K$32,$BC$9 + 1) +$BH$8," ")," ")</f>
        <v xml:space="preserve"> </v>
      </c>
      <c r="BI9" s="46" t="str">
        <f ca="1">IFERROR(IF(AND(ISNUMBER($BC$9),$BC$9&lt;=30),INDEX('2.Distances'!$D$2:$D$963,$BC$8*31+$BC$9+ 1) +$BI$8," ")," ")</f>
        <v xml:space="preserve"> </v>
      </c>
      <c r="BJ9" s="47" t="str">
        <f ca="1">IFERROR(IF(AND(ISNUMBER($BC$9),$BC$9&lt;=30),INDEX('2.Distances'!$D$2:$D$963,$BC$8*31+$BC$9+ 1) +$BK$8," ")," ")</f>
        <v xml:space="preserve"> </v>
      </c>
      <c r="BK9" s="47" t="str">
        <f ca="1">IFERROR(IF(ISNUMBER($BJ$9),INDEX('1.Locations'!$I$2:$I$32,$BC$9 + 1) + MAX($BJ$9,INDEX('1.Locations'!$F$2:$F$32,$BC$9 + 1))," ")," ")</f>
        <v xml:space="preserve"> </v>
      </c>
      <c r="BL9" s="46" t="str">
        <f ca="1">IFERROR($BL$8 + INDEX('2.Distances'!$D$2:$D$963,$BC$8*31+$BC$9+ 1) + INDEX('1.Locations'!$I$2:$I$32,$BC$9 + 1)," ")</f>
        <v xml:space="preserve"> </v>
      </c>
      <c r="BN9" s="19">
        <v>4</v>
      </c>
      <c r="BO9" s="20" t="s">
        <v>66</v>
      </c>
      <c r="BP9" s="44">
        <f ca="1">IFERROR(MATCH(INDIRECT("$BO$9"),'1.Locations'!$B$2:$B$32, 0) - 1," ")</f>
        <v>0</v>
      </c>
      <c r="BQ9" s="44">
        <f ca="1">IFERROR(IF(ISNUMBER($BP$9),INDEX('1.Locations'!$D$2:$D$32,$BP$9 + 1),NA()),NA())</f>
        <v>13.626301</v>
      </c>
      <c r="BR9" s="44">
        <f ca="1">IFERROR(IF(ISNUMBER($BP$9),INDEX('1.Locations'!$E$2:$E$32,$BP$9 + 1),NA()),NA())</f>
        <v>100.416859</v>
      </c>
      <c r="BS9" s="45">
        <f ca="1">IFERROR(IF(AND(ISNUMBER($BP$9),$BP$9&lt;=30),INDEX('2.Distances'!$C$2:$C$963,$BP$8*31+$BP$9+ 1) +$BS$8," ")," ")</f>
        <v>67.768000000000001</v>
      </c>
      <c r="BT9" s="44">
        <f ca="1">IFERROR(IF(ISNUMBER($BP$9),INDEX('1.Locations'!$J$2:$J$32,$BP$9 + 1) +$BT$8," ")," ")</f>
        <v>4</v>
      </c>
      <c r="BU9" s="44">
        <f ca="1">IFERROR(IF(ISNUMBER($BP$9),INDEX('1.Locations'!$K$2:$K$32,$BP$9 + 1) +$BU$8," ")," ")</f>
        <v>0</v>
      </c>
      <c r="BV9" s="46">
        <f ca="1">IFERROR(IF(AND(ISNUMBER($BP$9),$BP$9&lt;=30),INDEX('2.Distances'!$D$2:$D$963,$BP$8*31+$BP$9+ 1) +$BV$8," ")," ")</f>
        <v>5.9027777777777776E-2</v>
      </c>
      <c r="BW9" s="47">
        <f ca="1">IFERROR(IF(AND(ISNUMBER($BP$9),$BP$9&lt;=30),INDEX('2.Distances'!$D$2:$D$963,$BP$8*31+$BP$9+ 1) +$BX$8," ")," ")</f>
        <v>0.6645833333333333</v>
      </c>
      <c r="BX9" s="47">
        <f ca="1">IFERROR(IF(ISNUMBER($BW$9),INDEX('1.Locations'!$I$2:$I$32,$BP$9 + 1) + MAX($BW$9,INDEX('1.Locations'!$F$2:$F$32,$BP$9 + 1))," ")," ")</f>
        <v>0.6645833333333333</v>
      </c>
      <c r="BY9" s="46">
        <f ca="1">IFERROR($BY$8 + INDEX('2.Distances'!$D$2:$D$963,$BP$8*31+$BP$9+ 1) + INDEX('1.Locations'!$I$2:$I$32,$BP$9 + 1)," ")</f>
        <v>9.027777777777779E-2</v>
      </c>
      <c r="CA9" s="19">
        <v>4</v>
      </c>
      <c r="CB9" s="20" t="s">
        <v>80</v>
      </c>
      <c r="CC9" s="44">
        <f ca="1">IFERROR(MATCH(INDIRECT("$CB$9"),'1.Locations'!$B$2:$B$32, 0) - 1," ")</f>
        <v>16</v>
      </c>
      <c r="CD9" s="44">
        <f ca="1">IFERROR(IF(ISNUMBER($CC$9),INDEX('1.Locations'!$D$2:$D$32,$CC$9 + 1),NA()),NA())</f>
        <v>13.8543667</v>
      </c>
      <c r="CE9" s="44">
        <f ca="1">IFERROR(IF(ISNUMBER($CC$9),INDEX('1.Locations'!$E$2:$E$32,$CC$9 + 1),NA()),NA())</f>
        <v>100.58801080000001</v>
      </c>
      <c r="CF9" s="45">
        <f ca="1">IFERROR(IF(AND(ISNUMBER($CC$9),$CC$9&lt;=30),INDEX('2.Distances'!$C$2:$C$963,$CC$8*31+$CC$9+ 1) +$CF$8," ")," ")</f>
        <v>68.624000000000009</v>
      </c>
      <c r="CG9" s="44">
        <f ca="1">IFERROR(IF(ISNUMBER($CC$9),INDEX('1.Locations'!$J$2:$J$32,$CC$9 + 1) +$CG$8," ")," ")</f>
        <v>4</v>
      </c>
      <c r="CH9" s="44">
        <f ca="1">IFERROR(IF(ISNUMBER($CC$9),INDEX('1.Locations'!$K$2:$K$32,$CC$9 + 1) +$CH$8," ")," ")</f>
        <v>0</v>
      </c>
      <c r="CI9" s="46">
        <f ca="1">IFERROR(IF(AND(ISNUMBER($CC$9),$CC$9&lt;=30),INDEX('2.Distances'!$D$2:$D$963,$CC$8*31+$CC$9+ 1) +$CI$8," ")," ")</f>
        <v>5.2083333333333329E-2</v>
      </c>
      <c r="CJ9" s="47">
        <f ca="1">IFERROR(IF(AND(ISNUMBER($CC$9),$CC$9&lt;=30),INDEX('2.Distances'!$D$2:$D$963,$CC$8*31+$CC$9+ 1) +$CK$8," ")," ")</f>
        <v>0.63333333333333319</v>
      </c>
      <c r="CK9" s="47">
        <f ca="1">IFERROR(IF(ISNUMBER($CJ$9),INDEX('1.Locations'!$I$2:$I$32,$CC$9 + 1) + MAX($CJ$9,INDEX('1.Locations'!$F$2:$F$32,$CC$9 + 1))," ")," ")</f>
        <v>0.64374999999999982</v>
      </c>
      <c r="CL9" s="46">
        <f ca="1">IFERROR($CL$8 + INDEX('2.Distances'!$D$2:$D$963,$CC$8*31+$CC$9+ 1) + INDEX('1.Locations'!$I$2:$I$32,$CC$9 + 1)," ")</f>
        <v>9.375E-2</v>
      </c>
      <c r="CN9" s="19">
        <v>4</v>
      </c>
      <c r="CO9" s="20" t="s">
        <v>66</v>
      </c>
      <c r="CP9" s="44">
        <f ca="1">IFERROR(MATCH(INDIRECT("$CO$9"),'1.Locations'!$B$2:$B$32, 0) - 1," ")</f>
        <v>0</v>
      </c>
      <c r="CQ9" s="44">
        <f ca="1">IFERROR(IF(ISNUMBER($CP$9),INDEX('1.Locations'!$D$2:$D$32,$CP$9 + 1),NA()),NA())</f>
        <v>13.626301</v>
      </c>
      <c r="CR9" s="44">
        <f ca="1">IFERROR(IF(ISNUMBER($CP$9),INDEX('1.Locations'!$E$2:$E$32,$CP$9 + 1),NA()),NA())</f>
        <v>100.416859</v>
      </c>
      <c r="CS9" s="45">
        <f ca="1">IFERROR(IF(AND(ISNUMBER($CP$9),$CP$9&lt;=30),INDEX('2.Distances'!$C$2:$C$963,$CP$8*31+$CP$9+ 1) +$CS$8," ")," ")</f>
        <v>69.207000000000008</v>
      </c>
      <c r="CT9" s="44">
        <f ca="1">IFERROR(IF(ISNUMBER($CP$9),INDEX('1.Locations'!$J$2:$J$32,$CP$9 + 1) +$CT$8," ")," ")</f>
        <v>4</v>
      </c>
      <c r="CU9" s="44">
        <f ca="1">IFERROR(IF(ISNUMBER($CP$9),INDEX('1.Locations'!$K$2:$K$32,$CP$9 + 1) +$CU$8," ")," ")</f>
        <v>0</v>
      </c>
      <c r="CV9" s="46">
        <f ca="1">IFERROR(IF(AND(ISNUMBER($CP$9),$CP$9&lt;=30),INDEX('2.Distances'!$D$2:$D$963,$CP$8*31+$CP$9+ 1) +$CV$8," ")," ")</f>
        <v>5.1388888888888887E-2</v>
      </c>
      <c r="CW9" s="47">
        <f ca="1">IFERROR(IF(AND(ISNUMBER($CP$9),$CP$9&lt;=30),INDEX('2.Distances'!$D$2:$D$963,$CP$8*31+$CP$9+ 1) +$CX$8," ")," ")</f>
        <v>0.64236111111111105</v>
      </c>
      <c r="CX9" s="47">
        <f ca="1">IFERROR(IF(ISNUMBER($CW$9),INDEX('1.Locations'!$I$2:$I$32,$CP$9 + 1) + MAX($CW$9,INDEX('1.Locations'!$F$2:$F$32,$CP$9 + 1))," ")," ")</f>
        <v>0.64236111111111105</v>
      </c>
      <c r="CY9" s="46">
        <f ca="1">IFERROR($CY$8 + INDEX('2.Distances'!$D$2:$D$963,$CP$8*31+$CP$9+ 1) + INDEX('1.Locations'!$I$2:$I$32,$CP$9 + 1)," ")</f>
        <v>8.2638888888888873E-2</v>
      </c>
      <c r="DA9" s="19">
        <v>4</v>
      </c>
      <c r="DB9" s="20" t="s">
        <v>66</v>
      </c>
      <c r="DC9" s="44">
        <f ca="1">IFERROR(MATCH(INDIRECT("$DB$9"),'1.Locations'!$B$2:$B$32, 0) - 1," ")</f>
        <v>0</v>
      </c>
      <c r="DD9" s="44">
        <f ca="1">IFERROR(IF(ISNUMBER($DC$9),INDEX('1.Locations'!$D$2:$D$32,$DC$9 + 1),NA()),NA())</f>
        <v>13.626301</v>
      </c>
      <c r="DE9" s="44">
        <f ca="1">IFERROR(IF(ISNUMBER($DC$9),INDEX('1.Locations'!$E$2:$E$32,$DC$9 + 1),NA()),NA())</f>
        <v>100.416859</v>
      </c>
      <c r="DF9" s="45">
        <f ca="1">IFERROR(IF(AND(ISNUMBER($DC$9),$DC$9&lt;=30),INDEX('2.Distances'!$C$2:$C$963,$DC$8*31+$DC$9+ 1) +$DF$8," ")," ")</f>
        <v>126.73700000000001</v>
      </c>
      <c r="DG9" s="44">
        <f ca="1">IFERROR(IF(ISNUMBER($DC$9),INDEX('1.Locations'!$J$2:$J$32,$DC$9 + 1) +$DG$8," ")," ")</f>
        <v>4</v>
      </c>
      <c r="DH9" s="44">
        <f ca="1">IFERROR(IF(ISNUMBER($DC$9),INDEX('1.Locations'!$K$2:$K$32,$DC$9 + 1) +$DH$8," ")," ")</f>
        <v>0</v>
      </c>
      <c r="DI9" s="46">
        <f ca="1">IFERROR(IF(AND(ISNUMBER($DC$9),$DC$9&lt;=30),INDEX('2.Distances'!$D$2:$D$963,$DC$8*31+$DC$9+ 1) +$DI$8," ")," ")</f>
        <v>8.958333333333332E-2</v>
      </c>
      <c r="DJ9" s="47">
        <f ca="1">IFERROR(IF(AND(ISNUMBER($DC$9),$DC$9&lt;=30),INDEX('2.Distances'!$D$2:$D$963,$DC$8*31+$DC$9+ 1) +$DK$8," ")," ")</f>
        <v>0.66249999999999976</v>
      </c>
      <c r="DK9" s="47">
        <f ca="1">IFERROR(IF(ISNUMBER($DJ$9),INDEX('1.Locations'!$I$2:$I$32,$DC$9 + 1) + MAX($DJ$9,INDEX('1.Locations'!$F$2:$F$32,$DC$9 + 1))," ")," ")</f>
        <v>0.66249999999999976</v>
      </c>
      <c r="DL9" s="46">
        <f ca="1">IFERROR($DL$8 + INDEX('2.Distances'!$D$2:$D$963,$DC$8*31+$DC$9+ 1) + INDEX('1.Locations'!$I$2:$I$32,$DC$9 + 1)," ")</f>
        <v>0.12083333333333335</v>
      </c>
      <c r="DN9" s="19">
        <v>4</v>
      </c>
      <c r="DO9" s="20" t="s">
        <v>67</v>
      </c>
      <c r="DP9" s="44">
        <f ca="1">IFERROR(MATCH(INDIRECT("$DO$9"),'1.Locations'!$B$2:$B$32, 0) - 1," ")</f>
        <v>2</v>
      </c>
      <c r="DQ9" s="44">
        <f ca="1">IFERROR(IF(ISNUMBER($DP$9),INDEX('1.Locations'!$D$2:$D$32,$DP$9 + 1),NA()),NA())</f>
        <v>13.7811652</v>
      </c>
      <c r="DR9" s="44">
        <f ca="1">IFERROR(IF(ISNUMBER($DP$9),INDEX('1.Locations'!$E$2:$E$32,$DP$9 + 1),NA()),NA())</f>
        <v>100.51548769999999</v>
      </c>
      <c r="DS9" s="45">
        <f ca="1">IFERROR(IF(AND(ISNUMBER($DP$9),$DP$9&lt;=30),INDEX('2.Distances'!$C$2:$C$963,$DP$8*31+$DP$9+ 1) +$DS$8," ")," ")</f>
        <v>95.468000000000004</v>
      </c>
      <c r="DT9" s="44">
        <f ca="1">IFERROR(IF(ISNUMBER($DP$9),INDEX('1.Locations'!$J$2:$J$32,$DP$9 + 1) +$DT$8," ")," ")</f>
        <v>4</v>
      </c>
      <c r="DU9" s="44">
        <f ca="1">IFERROR(IF(ISNUMBER($DP$9),INDEX('1.Locations'!$K$2:$K$32,$DP$9 + 1) +$DU$8," ")," ")</f>
        <v>0</v>
      </c>
      <c r="DV9" s="46">
        <f ca="1">IFERROR(IF(AND(ISNUMBER($DP$9),$DP$9&lt;=30),INDEX('2.Distances'!$D$2:$D$963,$DP$8*31+$DP$9+ 1) +$DV$8," ")," ")</f>
        <v>6.1111111111111116E-2</v>
      </c>
      <c r="DW9" s="47">
        <f ca="1">IFERROR(IF(AND(ISNUMBER($DP$9),$DP$9&lt;=30),INDEX('2.Distances'!$D$2:$D$963,$DP$8*31+$DP$9+ 1) +$DX$8," ")," ")</f>
        <v>0.65416666666666656</v>
      </c>
      <c r="DX9" s="47">
        <f ca="1">IFERROR(IF(ISNUMBER($DW$9),INDEX('1.Locations'!$I$2:$I$32,$DP$9 + 1) + MAX($DW$9,INDEX('1.Locations'!$F$2:$F$32,$DP$9 + 1))," ")," ")</f>
        <v>0.66458333333333319</v>
      </c>
      <c r="DY9" s="46">
        <f ca="1">IFERROR($DY$8 + INDEX('2.Distances'!$D$2:$D$963,$DP$8*31+$DP$9+ 1) + INDEX('1.Locations'!$I$2:$I$32,$DP$9 + 1)," ")</f>
        <v>0.10277777777777779</v>
      </c>
      <c r="EA9" s="19">
        <v>4</v>
      </c>
      <c r="EB9" s="20"/>
      <c r="EC9" s="44" t="str">
        <f ca="1">IFERROR(MATCH(INDIRECT("$EB$9"),'1.Locations'!$B$2:$B$32, 0) - 1," ")</f>
        <v xml:space="preserve"> </v>
      </c>
      <c r="ED9" s="44" t="e">
        <f ca="1">IFERROR(IF(ISNUMBER($EC$9),INDEX('1.Locations'!$D$2:$D$32,$EC$9 + 1),NA()),NA())</f>
        <v>#N/A</v>
      </c>
      <c r="EE9" s="44" t="e">
        <f ca="1">IFERROR(IF(ISNUMBER($EC$9),INDEX('1.Locations'!$E$2:$E$32,$EC$9 + 1),NA()),NA())</f>
        <v>#N/A</v>
      </c>
      <c r="EF9" s="45" t="str">
        <f ca="1">IFERROR(IF(AND(ISNUMBER($EC$9),$EC$9&lt;=30),INDEX('2.Distances'!$C$2:$C$963,$EC$8*31+$EC$9+ 1) +$EF$8," ")," ")</f>
        <v xml:space="preserve"> </v>
      </c>
      <c r="EG9" s="44" t="str">
        <f ca="1">IFERROR(IF(ISNUMBER($EC$9),INDEX('1.Locations'!$J$2:$J$32,$EC$9 + 1) +$EG$8," ")," ")</f>
        <v xml:space="preserve"> </v>
      </c>
      <c r="EH9" s="44" t="str">
        <f ca="1">IFERROR(IF(ISNUMBER($EC$9),INDEX('1.Locations'!$K$2:$K$32,$EC$9 + 1) +$EH$8," ")," ")</f>
        <v xml:space="preserve"> </v>
      </c>
      <c r="EI9" s="46" t="str">
        <f ca="1">IFERROR(IF(AND(ISNUMBER($EC$9),$EC$9&lt;=30),INDEX('2.Distances'!$D$2:$D$963,$EC$8*31+$EC$9+ 1) +$EI$8," ")," ")</f>
        <v xml:space="preserve"> </v>
      </c>
      <c r="EJ9" s="47" t="str">
        <f ca="1">IFERROR(IF(AND(ISNUMBER($EC$9),$EC$9&lt;=30),INDEX('2.Distances'!$D$2:$D$963,$EC$8*31+$EC$9+ 1) +$EK$8," ")," ")</f>
        <v xml:space="preserve"> </v>
      </c>
      <c r="EK9" s="47" t="str">
        <f ca="1">IFERROR(IF(ISNUMBER($EJ$9),INDEX('1.Locations'!$I$2:$I$32,$EC$9 + 1) + MAX($EJ$9,INDEX('1.Locations'!$F$2:$F$32,$EC$9 + 1))," ")," ")</f>
        <v xml:space="preserve"> </v>
      </c>
      <c r="EL9" s="46" t="str">
        <f ca="1">IFERROR($EL$8 + INDEX('2.Distances'!$D$2:$D$963,$EC$8*31+$EC$9+ 1) + INDEX('1.Locations'!$I$2:$I$32,$EC$9 + 1)," ")</f>
        <v xml:space="preserve"> </v>
      </c>
      <c r="EN9" s="19">
        <v>4</v>
      </c>
      <c r="EO9" s="20"/>
      <c r="EP9" s="44" t="str">
        <f ca="1">IFERROR(MATCH(INDIRECT("$EO$9"),'1.Locations'!$B$2:$B$32, 0) - 1," ")</f>
        <v xml:space="preserve"> </v>
      </c>
      <c r="EQ9" s="44" t="e">
        <f ca="1">IFERROR(IF(ISNUMBER($EP$9),INDEX('1.Locations'!$D$2:$D$32,$EP$9 + 1),NA()),NA())</f>
        <v>#N/A</v>
      </c>
      <c r="ER9" s="44" t="e">
        <f ca="1">IFERROR(IF(ISNUMBER($EP$9),INDEX('1.Locations'!$E$2:$E$32,$EP$9 + 1),NA()),NA())</f>
        <v>#N/A</v>
      </c>
      <c r="ES9" s="45" t="str">
        <f ca="1">IFERROR(IF(AND(ISNUMBER($EP$9),$EP$9&lt;=30),INDEX('2.Distances'!$C$2:$C$963,$EP$8*31+$EP$9+ 1) +$ES$8," ")," ")</f>
        <v xml:space="preserve"> </v>
      </c>
      <c r="ET9" s="44" t="str">
        <f ca="1">IFERROR(IF(ISNUMBER($EP$9),INDEX('1.Locations'!$J$2:$J$32,$EP$9 + 1) +$ET$8," ")," ")</f>
        <v xml:space="preserve"> </v>
      </c>
      <c r="EU9" s="44" t="str">
        <f ca="1">IFERROR(IF(ISNUMBER($EP$9),INDEX('1.Locations'!$K$2:$K$32,$EP$9 + 1) +$EU$8," ")," ")</f>
        <v xml:space="preserve"> </v>
      </c>
      <c r="EV9" s="46" t="str">
        <f ca="1">IFERROR(IF(AND(ISNUMBER($EP$9),$EP$9&lt;=30),INDEX('2.Distances'!$D$2:$D$963,$EP$8*31+$EP$9+ 1) +$EV$8," ")," ")</f>
        <v xml:space="preserve"> </v>
      </c>
      <c r="EW9" s="47" t="str">
        <f ca="1">IFERROR(IF(AND(ISNUMBER($EP$9),$EP$9&lt;=30),INDEX('2.Distances'!$D$2:$D$963,$EP$8*31+$EP$9+ 1) +$EX$8," ")," ")</f>
        <v xml:space="preserve"> </v>
      </c>
      <c r="EX9" s="47" t="str">
        <f ca="1">IFERROR(IF(ISNUMBER($EW$9),INDEX('1.Locations'!$I$2:$I$32,$EP$9 + 1) + MAX($EW$9,INDEX('1.Locations'!$F$2:$F$32,$EP$9 + 1))," ")," ")</f>
        <v xml:space="preserve"> </v>
      </c>
      <c r="EY9" s="46" t="str">
        <f ca="1">IFERROR($EY$8 + INDEX('2.Distances'!$D$2:$D$963,$EP$8*31+$EP$9+ 1) + INDEX('1.Locations'!$I$2:$I$32,$EP$9 + 1)," ")</f>
        <v xml:space="preserve"> </v>
      </c>
    </row>
    <row r="10" spans="1:155" x14ac:dyDescent="0.2">
      <c r="A10" s="19">
        <v>5</v>
      </c>
      <c r="B10" s="20"/>
      <c r="C10" s="44" t="str">
        <f ca="1">IFERROR(MATCH(INDIRECT("$B$10"),'1.Locations'!$B$2:$B$32, 0) - 1," ")</f>
        <v xml:space="preserve"> </v>
      </c>
      <c r="D10" s="44" t="e">
        <f ca="1">IFERROR(IF(ISNUMBER($C$10),INDEX('1.Locations'!$D$2:$D$32,$C$10 + 1),NA()),NA())</f>
        <v>#N/A</v>
      </c>
      <c r="E10" s="44" t="e">
        <f ca="1">IFERROR(IF(ISNUMBER($C$10),INDEX('1.Locations'!$E$2:$E$32,$C$10 + 1),NA()),NA())</f>
        <v>#N/A</v>
      </c>
      <c r="F10" s="45" t="str">
        <f ca="1">IFERROR(IF(AND(ISNUMBER($C$10),$C$10&lt;=30),INDEX('2.Distances'!$C$2:$C$963,$C$9*31+$C$10+ 1) +$F$9," ")," ")</f>
        <v xml:space="preserve"> </v>
      </c>
      <c r="G10" s="44" t="str">
        <f ca="1">IFERROR(IF(ISNUMBER($C$10),INDEX('1.Locations'!$J$2:$J$32,$C$10 + 1) +$G$9," ")," ")</f>
        <v xml:space="preserve"> </v>
      </c>
      <c r="H10" s="44" t="str">
        <f ca="1">IFERROR(IF(ISNUMBER($C$10),INDEX('1.Locations'!$K$2:$K$32,$C$10 + 1) +$H$9," ")," ")</f>
        <v xml:space="preserve"> </v>
      </c>
      <c r="I10" s="46" t="str">
        <f ca="1">IFERROR(IF(AND(ISNUMBER($C$10),$C$10&lt;=30),INDEX('2.Distances'!$D$2:$D$963,$C$9*31+$C$10+ 1) +$I$9," ")," ")</f>
        <v xml:space="preserve"> </v>
      </c>
      <c r="J10" s="47" t="str">
        <f ca="1">IFERROR(IF(AND(ISNUMBER($C$10),$C$10&lt;=30),INDEX('2.Distances'!$D$2:$D$963,$C$9*31+$C$10+ 1) +$K$9," ")," ")</f>
        <v xml:space="preserve"> </v>
      </c>
      <c r="K10" s="47" t="str">
        <f ca="1">IFERROR(IF(ISNUMBER($J$10),INDEX('1.Locations'!$I$2:$I$32,$C$10 + 1) + MAX($J$10,INDEX('1.Locations'!$F$2:$F$32,$C$10 + 1))," ")," ")</f>
        <v xml:space="preserve"> </v>
      </c>
      <c r="L10" s="46" t="str">
        <f ca="1">IFERROR($L$9 + INDEX('2.Distances'!$D$2:$D$963,$C$9*31+$C$10+ 1) + INDEX('1.Locations'!$I$2:$I$32,$C$10 + 1)," ")</f>
        <v xml:space="preserve"> </v>
      </c>
      <c r="N10" s="19">
        <v>5</v>
      </c>
      <c r="O10" s="20"/>
      <c r="P10" s="44" t="str">
        <f ca="1">IFERROR(MATCH(INDIRECT("$O$10"),'1.Locations'!$B$2:$B$32, 0) - 1," ")</f>
        <v xml:space="preserve"> </v>
      </c>
      <c r="Q10" s="44" t="e">
        <f ca="1">IFERROR(IF(ISNUMBER($P$10),INDEX('1.Locations'!$D$2:$D$32,$P$10 + 1),NA()),NA())</f>
        <v>#N/A</v>
      </c>
      <c r="R10" s="44" t="e">
        <f ca="1">IFERROR(IF(ISNUMBER($P$10),INDEX('1.Locations'!$E$2:$E$32,$P$10 + 1),NA()),NA())</f>
        <v>#N/A</v>
      </c>
      <c r="S10" s="45" t="str">
        <f ca="1">IFERROR(IF(AND(ISNUMBER($P$10),$P$10&lt;=30),INDEX('2.Distances'!$C$2:$C$963,$P$9*31+$P$10+ 1) +$S$9," ")," ")</f>
        <v xml:space="preserve"> </v>
      </c>
      <c r="T10" s="44" t="str">
        <f ca="1">IFERROR(IF(ISNUMBER($P$10),INDEX('1.Locations'!$J$2:$J$32,$P$10 + 1) +$T$9," ")," ")</f>
        <v xml:space="preserve"> </v>
      </c>
      <c r="U10" s="44" t="str">
        <f ca="1">IFERROR(IF(ISNUMBER($P$10),INDEX('1.Locations'!$K$2:$K$32,$P$10 + 1) +$U$9," ")," ")</f>
        <v xml:space="preserve"> </v>
      </c>
      <c r="V10" s="46" t="str">
        <f ca="1">IFERROR(IF(AND(ISNUMBER($P$10),$P$10&lt;=30),INDEX('2.Distances'!$D$2:$D$963,$P$9*31+$P$10+ 1) +$V$9," ")," ")</f>
        <v xml:space="preserve"> </v>
      </c>
      <c r="W10" s="47" t="str">
        <f ca="1">IFERROR(IF(AND(ISNUMBER($P$10),$P$10&lt;=30),INDEX('2.Distances'!$D$2:$D$963,$P$9*31+$P$10+ 1) +$X$9," ")," ")</f>
        <v xml:space="preserve"> </v>
      </c>
      <c r="X10" s="47" t="str">
        <f ca="1">IFERROR(IF(ISNUMBER($W$10),INDEX('1.Locations'!$I$2:$I$32,$P$10 + 1) + MAX($W$10,INDEX('1.Locations'!$F$2:$F$32,$P$10 + 1))," ")," ")</f>
        <v xml:space="preserve"> </v>
      </c>
      <c r="Y10" s="46" t="str">
        <f ca="1">IFERROR($Y$9 + INDEX('2.Distances'!$D$2:$D$963,$P$9*31+$P$10+ 1) + INDEX('1.Locations'!$I$2:$I$32,$P$10 + 1)," ")</f>
        <v xml:space="preserve"> </v>
      </c>
      <c r="AA10" s="19">
        <v>5</v>
      </c>
      <c r="AB10" s="20"/>
      <c r="AC10" s="44" t="str">
        <f ca="1">IFERROR(MATCH(INDIRECT("$AB$10"),'1.Locations'!$B$2:$B$32, 0) - 1," ")</f>
        <v xml:space="preserve"> </v>
      </c>
      <c r="AD10" s="44" t="e">
        <f ca="1">IFERROR(IF(ISNUMBER($AC$10),INDEX('1.Locations'!$D$2:$D$32,$AC$10 + 1),NA()),NA())</f>
        <v>#N/A</v>
      </c>
      <c r="AE10" s="44" t="e">
        <f ca="1">IFERROR(IF(ISNUMBER($AC$10),INDEX('1.Locations'!$E$2:$E$32,$AC$10 + 1),NA()),NA())</f>
        <v>#N/A</v>
      </c>
      <c r="AF10" s="45" t="str">
        <f ca="1">IFERROR(IF(AND(ISNUMBER($AC$10),$AC$10&lt;=30),INDEX('2.Distances'!$C$2:$C$963,$AC$9*31+$AC$10+ 1) +$AF$9," ")," ")</f>
        <v xml:space="preserve"> </v>
      </c>
      <c r="AG10" s="44" t="str">
        <f ca="1">IFERROR(IF(ISNUMBER($AC$10),INDEX('1.Locations'!$J$2:$J$32,$AC$10 + 1) +$AG$9," ")," ")</f>
        <v xml:space="preserve"> </v>
      </c>
      <c r="AH10" s="44" t="str">
        <f ca="1">IFERROR(IF(ISNUMBER($AC$10),INDEX('1.Locations'!$K$2:$K$32,$AC$10 + 1) +$AH$9," ")," ")</f>
        <v xml:space="preserve"> </v>
      </c>
      <c r="AI10" s="46" t="str">
        <f ca="1">IFERROR(IF(AND(ISNUMBER($AC$10),$AC$10&lt;=30),INDEX('2.Distances'!$D$2:$D$963,$AC$9*31+$AC$10+ 1) +$AI$9," ")," ")</f>
        <v xml:space="preserve"> </v>
      </c>
      <c r="AJ10" s="47" t="str">
        <f ca="1">IFERROR(IF(AND(ISNUMBER($AC$10),$AC$10&lt;=30),INDEX('2.Distances'!$D$2:$D$963,$AC$9*31+$AC$10+ 1) +$AK$9," ")," ")</f>
        <v xml:space="preserve"> </v>
      </c>
      <c r="AK10" s="47" t="str">
        <f ca="1">IFERROR(IF(ISNUMBER($AJ$10),INDEX('1.Locations'!$I$2:$I$32,$AC$10 + 1) + MAX($AJ$10,INDEX('1.Locations'!$F$2:$F$32,$AC$10 + 1))," ")," ")</f>
        <v xml:space="preserve"> </v>
      </c>
      <c r="AL10" s="46" t="str">
        <f ca="1">IFERROR($AL$9 + INDEX('2.Distances'!$D$2:$D$963,$AC$9*31+$AC$10+ 1) + INDEX('1.Locations'!$I$2:$I$32,$AC$10 + 1)," ")</f>
        <v xml:space="preserve"> </v>
      </c>
      <c r="AN10" s="19">
        <v>5</v>
      </c>
      <c r="AO10" s="20"/>
      <c r="AP10" s="44" t="str">
        <f ca="1">IFERROR(MATCH(INDIRECT("$AO$10"),'1.Locations'!$B$2:$B$32, 0) - 1," ")</f>
        <v xml:space="preserve"> </v>
      </c>
      <c r="AQ10" s="44" t="e">
        <f ca="1">IFERROR(IF(ISNUMBER($AP$10),INDEX('1.Locations'!$D$2:$D$32,$AP$10 + 1),NA()),NA())</f>
        <v>#N/A</v>
      </c>
      <c r="AR10" s="44" t="e">
        <f ca="1">IFERROR(IF(ISNUMBER($AP$10),INDEX('1.Locations'!$E$2:$E$32,$AP$10 + 1),NA()),NA())</f>
        <v>#N/A</v>
      </c>
      <c r="AS10" s="45" t="str">
        <f ca="1">IFERROR(IF(AND(ISNUMBER($AP$10),$AP$10&lt;=30),INDEX('2.Distances'!$C$2:$C$963,$AP$9*31+$AP$10+ 1) +$AS$9," ")," ")</f>
        <v xml:space="preserve"> </v>
      </c>
      <c r="AT10" s="44" t="str">
        <f ca="1">IFERROR(IF(ISNUMBER($AP$10),INDEX('1.Locations'!$J$2:$J$32,$AP$10 + 1) +$AT$9," ")," ")</f>
        <v xml:space="preserve"> </v>
      </c>
      <c r="AU10" s="44" t="str">
        <f ca="1">IFERROR(IF(ISNUMBER($AP$10),INDEX('1.Locations'!$K$2:$K$32,$AP$10 + 1) +$AU$9," ")," ")</f>
        <v xml:space="preserve"> </v>
      </c>
      <c r="AV10" s="46" t="str">
        <f ca="1">IFERROR(IF(AND(ISNUMBER($AP$10),$AP$10&lt;=30),INDEX('2.Distances'!$D$2:$D$963,$AP$9*31+$AP$10+ 1) +$AV$9," ")," ")</f>
        <v xml:space="preserve"> </v>
      </c>
      <c r="AW10" s="47" t="str">
        <f ca="1">IFERROR(IF(AND(ISNUMBER($AP$10),$AP$10&lt;=30),INDEX('2.Distances'!$D$2:$D$963,$AP$9*31+$AP$10+ 1) +$AX$9," ")," ")</f>
        <v xml:space="preserve"> </v>
      </c>
      <c r="AX10" s="47" t="str">
        <f ca="1">IFERROR(IF(ISNUMBER($AW$10),INDEX('1.Locations'!$I$2:$I$32,$AP$10 + 1) + MAX($AW$10,INDEX('1.Locations'!$F$2:$F$32,$AP$10 + 1))," ")," ")</f>
        <v xml:space="preserve"> </v>
      </c>
      <c r="AY10" s="46" t="str">
        <f ca="1">IFERROR($AY$9 + INDEX('2.Distances'!$D$2:$D$963,$AP$9*31+$AP$10+ 1) + INDEX('1.Locations'!$I$2:$I$32,$AP$10 + 1)," ")</f>
        <v xml:space="preserve"> </v>
      </c>
      <c r="BA10" s="19">
        <v>5</v>
      </c>
      <c r="BB10" s="20"/>
      <c r="BC10" s="44" t="str">
        <f ca="1">IFERROR(MATCH(INDIRECT("$BB$10"),'1.Locations'!$B$2:$B$32, 0) - 1," ")</f>
        <v xml:space="preserve"> </v>
      </c>
      <c r="BD10" s="44" t="e">
        <f ca="1">IFERROR(IF(ISNUMBER($BC$10),INDEX('1.Locations'!$D$2:$D$32,$BC$10 + 1),NA()),NA())</f>
        <v>#N/A</v>
      </c>
      <c r="BE10" s="44" t="e">
        <f ca="1">IFERROR(IF(ISNUMBER($BC$10),INDEX('1.Locations'!$E$2:$E$32,$BC$10 + 1),NA()),NA())</f>
        <v>#N/A</v>
      </c>
      <c r="BF10" s="45" t="str">
        <f ca="1">IFERROR(IF(AND(ISNUMBER($BC$10),$BC$10&lt;=30),INDEX('2.Distances'!$C$2:$C$963,$BC$9*31+$BC$10+ 1) +$BF$9," ")," ")</f>
        <v xml:space="preserve"> </v>
      </c>
      <c r="BG10" s="44" t="str">
        <f ca="1">IFERROR(IF(ISNUMBER($BC$10),INDEX('1.Locations'!$J$2:$J$32,$BC$10 + 1) +$BG$9," ")," ")</f>
        <v xml:space="preserve"> </v>
      </c>
      <c r="BH10" s="44" t="str">
        <f ca="1">IFERROR(IF(ISNUMBER($BC$10),INDEX('1.Locations'!$K$2:$K$32,$BC$10 + 1) +$BH$9," ")," ")</f>
        <v xml:space="preserve"> </v>
      </c>
      <c r="BI10" s="46" t="str">
        <f ca="1">IFERROR(IF(AND(ISNUMBER($BC$10),$BC$10&lt;=30),INDEX('2.Distances'!$D$2:$D$963,$BC$9*31+$BC$10+ 1) +$BI$9," ")," ")</f>
        <v xml:space="preserve"> </v>
      </c>
      <c r="BJ10" s="47" t="str">
        <f ca="1">IFERROR(IF(AND(ISNUMBER($BC$10),$BC$10&lt;=30),INDEX('2.Distances'!$D$2:$D$963,$BC$9*31+$BC$10+ 1) +$BK$9," ")," ")</f>
        <v xml:space="preserve"> </v>
      </c>
      <c r="BK10" s="47" t="str">
        <f ca="1">IFERROR(IF(ISNUMBER($BJ$10),INDEX('1.Locations'!$I$2:$I$32,$BC$10 + 1) + MAX($BJ$10,INDEX('1.Locations'!$F$2:$F$32,$BC$10 + 1))," ")," ")</f>
        <v xml:space="preserve"> </v>
      </c>
      <c r="BL10" s="46" t="str">
        <f ca="1">IFERROR($BL$9 + INDEX('2.Distances'!$D$2:$D$963,$BC$9*31+$BC$10+ 1) + INDEX('1.Locations'!$I$2:$I$32,$BC$10 + 1)," ")</f>
        <v xml:space="preserve"> </v>
      </c>
      <c r="BN10" s="19">
        <v>5</v>
      </c>
      <c r="BO10" s="20"/>
      <c r="BP10" s="44" t="str">
        <f ca="1">IFERROR(MATCH(INDIRECT("$BO$10"),'1.Locations'!$B$2:$B$32, 0) - 1," ")</f>
        <v xml:space="preserve"> </v>
      </c>
      <c r="BQ10" s="44" t="e">
        <f ca="1">IFERROR(IF(ISNUMBER($BP$10),INDEX('1.Locations'!$D$2:$D$32,$BP$10 + 1),NA()),NA())</f>
        <v>#N/A</v>
      </c>
      <c r="BR10" s="44" t="e">
        <f ca="1">IFERROR(IF(ISNUMBER($BP$10),INDEX('1.Locations'!$E$2:$E$32,$BP$10 + 1),NA()),NA())</f>
        <v>#N/A</v>
      </c>
      <c r="BS10" s="45" t="str">
        <f ca="1">IFERROR(IF(AND(ISNUMBER($BP$10),$BP$10&lt;=30),INDEX('2.Distances'!$C$2:$C$963,$BP$9*31+$BP$10+ 1) +$BS$9," ")," ")</f>
        <v xml:space="preserve"> </v>
      </c>
      <c r="BT10" s="44" t="str">
        <f ca="1">IFERROR(IF(ISNUMBER($BP$10),INDEX('1.Locations'!$J$2:$J$32,$BP$10 + 1) +$BT$9," ")," ")</f>
        <v xml:space="preserve"> </v>
      </c>
      <c r="BU10" s="44" t="str">
        <f ca="1">IFERROR(IF(ISNUMBER($BP$10),INDEX('1.Locations'!$K$2:$K$32,$BP$10 + 1) +$BU$9," ")," ")</f>
        <v xml:space="preserve"> </v>
      </c>
      <c r="BV10" s="46" t="str">
        <f ca="1">IFERROR(IF(AND(ISNUMBER($BP$10),$BP$10&lt;=30),INDEX('2.Distances'!$D$2:$D$963,$BP$9*31+$BP$10+ 1) +$BV$9," ")," ")</f>
        <v xml:space="preserve"> </v>
      </c>
      <c r="BW10" s="47" t="str">
        <f ca="1">IFERROR(IF(AND(ISNUMBER($BP$10),$BP$10&lt;=30),INDEX('2.Distances'!$D$2:$D$963,$BP$9*31+$BP$10+ 1) +$BX$9," ")," ")</f>
        <v xml:space="preserve"> </v>
      </c>
      <c r="BX10" s="47" t="str">
        <f ca="1">IFERROR(IF(ISNUMBER($BW$10),INDEX('1.Locations'!$I$2:$I$32,$BP$10 + 1) + MAX($BW$10,INDEX('1.Locations'!$F$2:$F$32,$BP$10 + 1))," ")," ")</f>
        <v xml:space="preserve"> </v>
      </c>
      <c r="BY10" s="46" t="str">
        <f ca="1">IFERROR($BY$9 + INDEX('2.Distances'!$D$2:$D$963,$BP$9*31+$BP$10+ 1) + INDEX('1.Locations'!$I$2:$I$32,$BP$10 + 1)," ")</f>
        <v xml:space="preserve"> </v>
      </c>
      <c r="CA10" s="19">
        <v>5</v>
      </c>
      <c r="CB10" s="20" t="s">
        <v>66</v>
      </c>
      <c r="CC10" s="44">
        <f ca="1">IFERROR(MATCH(INDIRECT("$CB$10"),'1.Locations'!$B$2:$B$32, 0) - 1," ")</f>
        <v>0</v>
      </c>
      <c r="CD10" s="44">
        <f ca="1">IFERROR(IF(ISNUMBER($CC$10),INDEX('1.Locations'!$D$2:$D$32,$CC$10 + 1),NA()),NA())</f>
        <v>13.626301</v>
      </c>
      <c r="CE10" s="44">
        <f ca="1">IFERROR(IF(ISNUMBER($CC$10),INDEX('1.Locations'!$E$2:$E$32,$CC$10 + 1),NA()),NA())</f>
        <v>100.416859</v>
      </c>
      <c r="CF10" s="45">
        <f ca="1">IFERROR(IF(AND(ISNUMBER($CC$10),$CC$10&lt;=30),INDEX('2.Distances'!$C$2:$C$963,$CC$9*31+$CC$10+ 1) +$CF$9," ")," ")</f>
        <v>113.78</v>
      </c>
      <c r="CG10" s="44">
        <f ca="1">IFERROR(IF(ISNUMBER($CC$10),INDEX('1.Locations'!$J$2:$J$32,$CC$10 + 1) +$CG$9," ")," ")</f>
        <v>4</v>
      </c>
      <c r="CH10" s="44">
        <f ca="1">IFERROR(IF(ISNUMBER($CC$10),INDEX('1.Locations'!$K$2:$K$32,$CC$10 + 1) +$CH$9," ")," ")</f>
        <v>0</v>
      </c>
      <c r="CI10" s="46">
        <f ca="1">IFERROR(IF(AND(ISNUMBER($CC$10),$CC$10&lt;=30),INDEX('2.Distances'!$D$2:$D$963,$CC$9*31+$CC$10+ 1) +$CI$9," ")," ")</f>
        <v>8.1249999999999989E-2</v>
      </c>
      <c r="CJ10" s="47">
        <f ca="1">IFERROR(IF(AND(ISNUMBER($CC$10),$CC$10&lt;=30),INDEX('2.Distances'!$D$2:$D$963,$CC$9*31+$CC$10+ 1) +$CK$9," ")," ")</f>
        <v>0.6729166666666665</v>
      </c>
      <c r="CK10" s="47">
        <f ca="1">IFERROR(IF(ISNUMBER($CJ$10),INDEX('1.Locations'!$I$2:$I$32,$CC$10 + 1) + MAX($CJ$10,INDEX('1.Locations'!$F$2:$F$32,$CC$10 + 1))," ")," ")</f>
        <v>0.6729166666666665</v>
      </c>
      <c r="CL10" s="46">
        <f ca="1">IFERROR($CL$9 + INDEX('2.Distances'!$D$2:$D$963,$CC$9*31+$CC$10+ 1) + INDEX('1.Locations'!$I$2:$I$32,$CC$10 + 1)," ")</f>
        <v>0.12291666666666666</v>
      </c>
      <c r="CN10" s="19">
        <v>5</v>
      </c>
      <c r="CO10" s="20"/>
      <c r="CP10" s="44" t="str">
        <f ca="1">IFERROR(MATCH(INDIRECT("$CO$10"),'1.Locations'!$B$2:$B$32, 0) - 1," ")</f>
        <v xml:space="preserve"> </v>
      </c>
      <c r="CQ10" s="44" t="e">
        <f ca="1">IFERROR(IF(ISNUMBER($CP$10),INDEX('1.Locations'!$D$2:$D$32,$CP$10 + 1),NA()),NA())</f>
        <v>#N/A</v>
      </c>
      <c r="CR10" s="44" t="e">
        <f ca="1">IFERROR(IF(ISNUMBER($CP$10),INDEX('1.Locations'!$E$2:$E$32,$CP$10 + 1),NA()),NA())</f>
        <v>#N/A</v>
      </c>
      <c r="CS10" s="45" t="str">
        <f ca="1">IFERROR(IF(AND(ISNUMBER($CP$10),$CP$10&lt;=30),INDEX('2.Distances'!$C$2:$C$963,$CP$9*31+$CP$10+ 1) +$CS$9," ")," ")</f>
        <v xml:space="preserve"> </v>
      </c>
      <c r="CT10" s="44" t="str">
        <f ca="1">IFERROR(IF(ISNUMBER($CP$10),INDEX('1.Locations'!$J$2:$J$32,$CP$10 + 1) +$CT$9," ")," ")</f>
        <v xml:space="preserve"> </v>
      </c>
      <c r="CU10" s="44" t="str">
        <f ca="1">IFERROR(IF(ISNUMBER($CP$10),INDEX('1.Locations'!$K$2:$K$32,$CP$10 + 1) +$CU$9," ")," ")</f>
        <v xml:space="preserve"> </v>
      </c>
      <c r="CV10" s="46" t="str">
        <f ca="1">IFERROR(IF(AND(ISNUMBER($CP$10),$CP$10&lt;=30),INDEX('2.Distances'!$D$2:$D$963,$CP$9*31+$CP$10+ 1) +$CV$9," ")," ")</f>
        <v xml:space="preserve"> </v>
      </c>
      <c r="CW10" s="47" t="str">
        <f ca="1">IFERROR(IF(AND(ISNUMBER($CP$10),$CP$10&lt;=30),INDEX('2.Distances'!$D$2:$D$963,$CP$9*31+$CP$10+ 1) +$CX$9," ")," ")</f>
        <v xml:space="preserve"> </v>
      </c>
      <c r="CX10" s="47" t="str">
        <f ca="1">IFERROR(IF(ISNUMBER($CW$10),INDEX('1.Locations'!$I$2:$I$32,$CP$10 + 1) + MAX($CW$10,INDEX('1.Locations'!$F$2:$F$32,$CP$10 + 1))," ")," ")</f>
        <v xml:space="preserve"> </v>
      </c>
      <c r="CY10" s="46" t="str">
        <f ca="1">IFERROR($CY$9 + INDEX('2.Distances'!$D$2:$D$963,$CP$9*31+$CP$10+ 1) + INDEX('1.Locations'!$I$2:$I$32,$CP$10 + 1)," ")</f>
        <v xml:space="preserve"> </v>
      </c>
      <c r="DA10" s="19">
        <v>5</v>
      </c>
      <c r="DB10" s="20"/>
      <c r="DC10" s="44" t="str">
        <f ca="1">IFERROR(MATCH(INDIRECT("$DB$10"),'1.Locations'!$B$2:$B$32, 0) - 1," ")</f>
        <v xml:space="preserve"> </v>
      </c>
      <c r="DD10" s="44" t="e">
        <f ca="1">IFERROR(IF(ISNUMBER($DC$10),INDEX('1.Locations'!$D$2:$D$32,$DC$10 + 1),NA()),NA())</f>
        <v>#N/A</v>
      </c>
      <c r="DE10" s="44" t="e">
        <f ca="1">IFERROR(IF(ISNUMBER($DC$10),INDEX('1.Locations'!$E$2:$E$32,$DC$10 + 1),NA()),NA())</f>
        <v>#N/A</v>
      </c>
      <c r="DF10" s="45" t="str">
        <f ca="1">IFERROR(IF(AND(ISNUMBER($DC$10),$DC$10&lt;=30),INDEX('2.Distances'!$C$2:$C$963,$DC$9*31+$DC$10+ 1) +$DF$9," ")," ")</f>
        <v xml:space="preserve"> </v>
      </c>
      <c r="DG10" s="44" t="str">
        <f ca="1">IFERROR(IF(ISNUMBER($DC$10),INDEX('1.Locations'!$J$2:$J$32,$DC$10 + 1) +$DG$9," ")," ")</f>
        <v xml:space="preserve"> </v>
      </c>
      <c r="DH10" s="44" t="str">
        <f ca="1">IFERROR(IF(ISNUMBER($DC$10),INDEX('1.Locations'!$K$2:$K$32,$DC$10 + 1) +$DH$9," ")," ")</f>
        <v xml:space="preserve"> </v>
      </c>
      <c r="DI10" s="46" t="str">
        <f ca="1">IFERROR(IF(AND(ISNUMBER($DC$10),$DC$10&lt;=30),INDEX('2.Distances'!$D$2:$D$963,$DC$9*31+$DC$10+ 1) +$DI$9," ")," ")</f>
        <v xml:space="preserve"> </v>
      </c>
      <c r="DJ10" s="47" t="str">
        <f ca="1">IFERROR(IF(AND(ISNUMBER($DC$10),$DC$10&lt;=30),INDEX('2.Distances'!$D$2:$D$963,$DC$9*31+$DC$10+ 1) +$DK$9," ")," ")</f>
        <v xml:space="preserve"> </v>
      </c>
      <c r="DK10" s="47" t="str">
        <f ca="1">IFERROR(IF(ISNUMBER($DJ$10),INDEX('1.Locations'!$I$2:$I$32,$DC$10 + 1) + MAX($DJ$10,INDEX('1.Locations'!$F$2:$F$32,$DC$10 + 1))," ")," ")</f>
        <v xml:space="preserve"> </v>
      </c>
      <c r="DL10" s="46" t="str">
        <f ca="1">IFERROR($DL$9 + INDEX('2.Distances'!$D$2:$D$963,$DC$9*31+$DC$10+ 1) + INDEX('1.Locations'!$I$2:$I$32,$DC$10 + 1)," ")</f>
        <v xml:space="preserve"> </v>
      </c>
      <c r="DN10" s="19">
        <v>5</v>
      </c>
      <c r="DO10" s="20" t="s">
        <v>66</v>
      </c>
      <c r="DP10" s="44">
        <f ca="1">IFERROR(MATCH(INDIRECT("$DO$10"),'1.Locations'!$B$2:$B$32, 0) - 1," ")</f>
        <v>0</v>
      </c>
      <c r="DQ10" s="44">
        <f ca="1">IFERROR(IF(ISNUMBER($DP$10),INDEX('1.Locations'!$D$2:$D$32,$DP$10 + 1),NA()),NA())</f>
        <v>13.626301</v>
      </c>
      <c r="DR10" s="44">
        <f ca="1">IFERROR(IF(ISNUMBER($DP$10),INDEX('1.Locations'!$E$2:$E$32,$DP$10 + 1),NA()),NA())</f>
        <v>100.416859</v>
      </c>
      <c r="DS10" s="45">
        <f ca="1">IFERROR(IF(AND(ISNUMBER($DP$10),$DP$10&lt;=30),INDEX('2.Distances'!$C$2:$C$963,$DP$9*31+$DP$10+ 1) +$DS$9," ")," ")</f>
        <v>125.595</v>
      </c>
      <c r="DT10" s="44">
        <f ca="1">IFERROR(IF(ISNUMBER($DP$10),INDEX('1.Locations'!$J$2:$J$32,$DP$10 + 1) +$DT$9," ")," ")</f>
        <v>4</v>
      </c>
      <c r="DU10" s="44">
        <f ca="1">IFERROR(IF(ISNUMBER($DP$10),INDEX('1.Locations'!$K$2:$K$32,$DP$10 + 1) +$DU$9," ")," ")</f>
        <v>0</v>
      </c>
      <c r="DV10" s="46">
        <f ca="1">IFERROR(IF(AND(ISNUMBER($DP$10),$DP$10&lt;=30),INDEX('2.Distances'!$D$2:$D$963,$DP$9*31+$DP$10+ 1) +$DV$9," ")," ")</f>
        <v>8.1250000000000003E-2</v>
      </c>
      <c r="DW10" s="47">
        <f ca="1">IFERROR(IF(AND(ISNUMBER($DP$10),$DP$10&lt;=30),INDEX('2.Distances'!$D$2:$D$963,$DP$9*31+$DP$10+ 1) +$DX$9," ")," ")</f>
        <v>0.68472222222222212</v>
      </c>
      <c r="DX10" s="47">
        <f ca="1">IFERROR(IF(ISNUMBER($DW$10),INDEX('1.Locations'!$I$2:$I$32,$DP$10 + 1) + MAX($DW$10,INDEX('1.Locations'!$F$2:$F$32,$DP$10 + 1))," ")," ")</f>
        <v>0.68472222222222212</v>
      </c>
      <c r="DY10" s="46">
        <f ca="1">IFERROR($DY$9 + INDEX('2.Distances'!$D$2:$D$963,$DP$9*31+$DP$10+ 1) + INDEX('1.Locations'!$I$2:$I$32,$DP$10 + 1)," ")</f>
        <v>0.12291666666666667</v>
      </c>
      <c r="EA10" s="19">
        <v>5</v>
      </c>
      <c r="EB10" s="20"/>
      <c r="EC10" s="44" t="str">
        <f ca="1">IFERROR(MATCH(INDIRECT("$EB$10"),'1.Locations'!$B$2:$B$32, 0) - 1," ")</f>
        <v xml:space="preserve"> </v>
      </c>
      <c r="ED10" s="44" t="e">
        <f ca="1">IFERROR(IF(ISNUMBER($EC$10),INDEX('1.Locations'!$D$2:$D$32,$EC$10 + 1),NA()),NA())</f>
        <v>#N/A</v>
      </c>
      <c r="EE10" s="44" t="e">
        <f ca="1">IFERROR(IF(ISNUMBER($EC$10),INDEX('1.Locations'!$E$2:$E$32,$EC$10 + 1),NA()),NA())</f>
        <v>#N/A</v>
      </c>
      <c r="EF10" s="45" t="str">
        <f ca="1">IFERROR(IF(AND(ISNUMBER($EC$10),$EC$10&lt;=30),INDEX('2.Distances'!$C$2:$C$963,$EC$9*31+$EC$10+ 1) +$EF$9," ")," ")</f>
        <v xml:space="preserve"> </v>
      </c>
      <c r="EG10" s="44" t="str">
        <f ca="1">IFERROR(IF(ISNUMBER($EC$10),INDEX('1.Locations'!$J$2:$J$32,$EC$10 + 1) +$EG$9," ")," ")</f>
        <v xml:space="preserve"> </v>
      </c>
      <c r="EH10" s="44" t="str">
        <f ca="1">IFERROR(IF(ISNUMBER($EC$10),INDEX('1.Locations'!$K$2:$K$32,$EC$10 + 1) +$EH$9," ")," ")</f>
        <v xml:space="preserve"> </v>
      </c>
      <c r="EI10" s="46" t="str">
        <f ca="1">IFERROR(IF(AND(ISNUMBER($EC$10),$EC$10&lt;=30),INDEX('2.Distances'!$D$2:$D$963,$EC$9*31+$EC$10+ 1) +$EI$9," ")," ")</f>
        <v xml:space="preserve"> </v>
      </c>
      <c r="EJ10" s="47" t="str">
        <f ca="1">IFERROR(IF(AND(ISNUMBER($EC$10),$EC$10&lt;=30),INDEX('2.Distances'!$D$2:$D$963,$EC$9*31+$EC$10+ 1) +$EK$9," ")," ")</f>
        <v xml:space="preserve"> </v>
      </c>
      <c r="EK10" s="47" t="str">
        <f ca="1">IFERROR(IF(ISNUMBER($EJ$10),INDEX('1.Locations'!$I$2:$I$32,$EC$10 + 1) + MAX($EJ$10,INDEX('1.Locations'!$F$2:$F$32,$EC$10 + 1))," ")," ")</f>
        <v xml:space="preserve"> </v>
      </c>
      <c r="EL10" s="46" t="str">
        <f ca="1">IFERROR($EL$9 + INDEX('2.Distances'!$D$2:$D$963,$EC$9*31+$EC$10+ 1) + INDEX('1.Locations'!$I$2:$I$32,$EC$10 + 1)," ")</f>
        <v xml:space="preserve"> </v>
      </c>
      <c r="EN10" s="19">
        <v>5</v>
      </c>
      <c r="EO10" s="20"/>
      <c r="EP10" s="44" t="str">
        <f ca="1">IFERROR(MATCH(INDIRECT("$EO$10"),'1.Locations'!$B$2:$B$32, 0) - 1," ")</f>
        <v xml:space="preserve"> </v>
      </c>
      <c r="EQ10" s="44" t="e">
        <f ca="1">IFERROR(IF(ISNUMBER($EP$10),INDEX('1.Locations'!$D$2:$D$32,$EP$10 + 1),NA()),NA())</f>
        <v>#N/A</v>
      </c>
      <c r="ER10" s="44" t="e">
        <f ca="1">IFERROR(IF(ISNUMBER($EP$10),INDEX('1.Locations'!$E$2:$E$32,$EP$10 + 1),NA()),NA())</f>
        <v>#N/A</v>
      </c>
      <c r="ES10" s="45" t="str">
        <f ca="1">IFERROR(IF(AND(ISNUMBER($EP$10),$EP$10&lt;=30),INDEX('2.Distances'!$C$2:$C$963,$EP$9*31+$EP$10+ 1) +$ES$9," ")," ")</f>
        <v xml:space="preserve"> </v>
      </c>
      <c r="ET10" s="44" t="str">
        <f ca="1">IFERROR(IF(ISNUMBER($EP$10),INDEX('1.Locations'!$J$2:$J$32,$EP$10 + 1) +$ET$9," ")," ")</f>
        <v xml:space="preserve"> </v>
      </c>
      <c r="EU10" s="44" t="str">
        <f ca="1">IFERROR(IF(ISNUMBER($EP$10),INDEX('1.Locations'!$K$2:$K$32,$EP$10 + 1) +$EU$9," ")," ")</f>
        <v xml:space="preserve"> </v>
      </c>
      <c r="EV10" s="46" t="str">
        <f ca="1">IFERROR(IF(AND(ISNUMBER($EP$10),$EP$10&lt;=30),INDEX('2.Distances'!$D$2:$D$963,$EP$9*31+$EP$10+ 1) +$EV$9," ")," ")</f>
        <v xml:space="preserve"> </v>
      </c>
      <c r="EW10" s="47" t="str">
        <f ca="1">IFERROR(IF(AND(ISNUMBER($EP$10),$EP$10&lt;=30),INDEX('2.Distances'!$D$2:$D$963,$EP$9*31+$EP$10+ 1) +$EX$9," ")," ")</f>
        <v xml:space="preserve"> </v>
      </c>
      <c r="EX10" s="47" t="str">
        <f ca="1">IFERROR(IF(ISNUMBER($EW$10),INDEX('1.Locations'!$I$2:$I$32,$EP$10 + 1) + MAX($EW$10,INDEX('1.Locations'!$F$2:$F$32,$EP$10 + 1))," ")," ")</f>
        <v xml:space="preserve"> </v>
      </c>
      <c r="EY10" s="46" t="str">
        <f ca="1">IFERROR($EY$9 + INDEX('2.Distances'!$D$2:$D$963,$EP$9*31+$EP$10+ 1) + INDEX('1.Locations'!$I$2:$I$32,$EP$10 + 1)," ")</f>
        <v xml:space="preserve"> </v>
      </c>
    </row>
    <row r="11" spans="1:155" x14ac:dyDescent="0.2">
      <c r="A11" s="19">
        <v>6</v>
      </c>
      <c r="B11" s="20"/>
      <c r="C11" s="44" t="str">
        <f ca="1">IFERROR(MATCH(INDIRECT("$B$11"),'1.Locations'!$B$2:$B$32, 0) - 1," ")</f>
        <v xml:space="preserve"> </v>
      </c>
      <c r="D11" s="44" t="e">
        <f ca="1">IFERROR(IF(ISNUMBER($C$11),INDEX('1.Locations'!$D$2:$D$32,$C$11 + 1),NA()),NA())</f>
        <v>#N/A</v>
      </c>
      <c r="E11" s="44" t="e">
        <f ca="1">IFERROR(IF(ISNUMBER($C$11),INDEX('1.Locations'!$E$2:$E$32,$C$11 + 1),NA()),NA())</f>
        <v>#N/A</v>
      </c>
      <c r="F11" s="45" t="str">
        <f ca="1">IFERROR(IF(AND(ISNUMBER($C$11),$C$11&lt;=30),INDEX('2.Distances'!$C$2:$C$963,$C$10*31+$C$11+ 1) +$F$10," ")," ")</f>
        <v xml:space="preserve"> </v>
      </c>
      <c r="G11" s="44" t="str">
        <f ca="1">IFERROR(IF(ISNUMBER($C$11),INDEX('1.Locations'!$J$2:$J$32,$C$11 + 1) +$G$10," ")," ")</f>
        <v xml:space="preserve"> </v>
      </c>
      <c r="H11" s="44" t="str">
        <f ca="1">IFERROR(IF(ISNUMBER($C$11),INDEX('1.Locations'!$K$2:$K$32,$C$11 + 1) +$H$10," ")," ")</f>
        <v xml:space="preserve"> </v>
      </c>
      <c r="I11" s="46" t="str">
        <f ca="1">IFERROR(IF(AND(ISNUMBER($C$11),$C$11&lt;=30),INDEX('2.Distances'!$D$2:$D$963,$C$10*31+$C$11+ 1) +$I$10," ")," ")</f>
        <v xml:space="preserve"> </v>
      </c>
      <c r="J11" s="47" t="str">
        <f ca="1">IFERROR(IF(AND(ISNUMBER($C$11),$C$11&lt;=30),INDEX('2.Distances'!$D$2:$D$963,$C$10*31+$C$11+ 1) +$K$10," ")," ")</f>
        <v xml:space="preserve"> </v>
      </c>
      <c r="K11" s="47" t="str">
        <f ca="1">IFERROR(IF(ISNUMBER($J$11),INDEX('1.Locations'!$I$2:$I$32,$C$11 + 1) + MAX($J$11,INDEX('1.Locations'!$F$2:$F$32,$C$11 + 1))," ")," ")</f>
        <v xml:space="preserve"> </v>
      </c>
      <c r="L11" s="46" t="str">
        <f ca="1">IFERROR($L$10 + INDEX('2.Distances'!$D$2:$D$963,$C$10*31+$C$11+ 1) + INDEX('1.Locations'!$I$2:$I$32,$C$11 + 1)," ")</f>
        <v xml:space="preserve"> </v>
      </c>
      <c r="N11" s="19">
        <v>6</v>
      </c>
      <c r="O11" s="20"/>
      <c r="P11" s="44" t="str">
        <f ca="1">IFERROR(MATCH(INDIRECT("$O$11"),'1.Locations'!$B$2:$B$32, 0) - 1," ")</f>
        <v xml:space="preserve"> </v>
      </c>
      <c r="Q11" s="44" t="e">
        <f ca="1">IFERROR(IF(ISNUMBER($P$11),INDEX('1.Locations'!$D$2:$D$32,$P$11 + 1),NA()),NA())</f>
        <v>#N/A</v>
      </c>
      <c r="R11" s="44" t="e">
        <f ca="1">IFERROR(IF(ISNUMBER($P$11),INDEX('1.Locations'!$E$2:$E$32,$P$11 + 1),NA()),NA())</f>
        <v>#N/A</v>
      </c>
      <c r="S11" s="45" t="str">
        <f ca="1">IFERROR(IF(AND(ISNUMBER($P$11),$P$11&lt;=30),INDEX('2.Distances'!$C$2:$C$963,$P$10*31+$P$11+ 1) +$S$10," ")," ")</f>
        <v xml:space="preserve"> </v>
      </c>
      <c r="T11" s="44" t="str">
        <f ca="1">IFERROR(IF(ISNUMBER($P$11),INDEX('1.Locations'!$J$2:$J$32,$P$11 + 1) +$T$10," ")," ")</f>
        <v xml:space="preserve"> </v>
      </c>
      <c r="U11" s="44" t="str">
        <f ca="1">IFERROR(IF(ISNUMBER($P$11),INDEX('1.Locations'!$K$2:$K$32,$P$11 + 1) +$U$10," ")," ")</f>
        <v xml:space="preserve"> </v>
      </c>
      <c r="V11" s="46" t="str">
        <f ca="1">IFERROR(IF(AND(ISNUMBER($P$11),$P$11&lt;=30),INDEX('2.Distances'!$D$2:$D$963,$P$10*31+$P$11+ 1) +$V$10," ")," ")</f>
        <v xml:space="preserve"> </v>
      </c>
      <c r="W11" s="47" t="str">
        <f ca="1">IFERROR(IF(AND(ISNUMBER($P$11),$P$11&lt;=30),INDEX('2.Distances'!$D$2:$D$963,$P$10*31+$P$11+ 1) +$X$10," ")," ")</f>
        <v xml:space="preserve"> </v>
      </c>
      <c r="X11" s="47" t="str">
        <f ca="1">IFERROR(IF(ISNUMBER($W$11),INDEX('1.Locations'!$I$2:$I$32,$P$11 + 1) + MAX($W$11,INDEX('1.Locations'!$F$2:$F$32,$P$11 + 1))," ")," ")</f>
        <v xml:space="preserve"> </v>
      </c>
      <c r="Y11" s="46" t="str">
        <f ca="1">IFERROR($Y$10 + INDEX('2.Distances'!$D$2:$D$963,$P$10*31+$P$11+ 1) + INDEX('1.Locations'!$I$2:$I$32,$P$11 + 1)," ")</f>
        <v xml:space="preserve"> </v>
      </c>
      <c r="AA11" s="19">
        <v>6</v>
      </c>
      <c r="AB11" s="20"/>
      <c r="AC11" s="44" t="str">
        <f ca="1">IFERROR(MATCH(INDIRECT("$AB$11"),'1.Locations'!$B$2:$B$32, 0) - 1," ")</f>
        <v xml:space="preserve"> </v>
      </c>
      <c r="AD11" s="44" t="e">
        <f ca="1">IFERROR(IF(ISNUMBER($AC$11),INDEX('1.Locations'!$D$2:$D$32,$AC$11 + 1),NA()),NA())</f>
        <v>#N/A</v>
      </c>
      <c r="AE11" s="44" t="e">
        <f ca="1">IFERROR(IF(ISNUMBER($AC$11),INDEX('1.Locations'!$E$2:$E$32,$AC$11 + 1),NA()),NA())</f>
        <v>#N/A</v>
      </c>
      <c r="AF11" s="45" t="str">
        <f ca="1">IFERROR(IF(AND(ISNUMBER($AC$11),$AC$11&lt;=30),INDEX('2.Distances'!$C$2:$C$963,$AC$10*31+$AC$11+ 1) +$AF$10," ")," ")</f>
        <v xml:space="preserve"> </v>
      </c>
      <c r="AG11" s="44" t="str">
        <f ca="1">IFERROR(IF(ISNUMBER($AC$11),INDEX('1.Locations'!$J$2:$J$32,$AC$11 + 1) +$AG$10," ")," ")</f>
        <v xml:space="preserve"> </v>
      </c>
      <c r="AH11" s="44" t="str">
        <f ca="1">IFERROR(IF(ISNUMBER($AC$11),INDEX('1.Locations'!$K$2:$K$32,$AC$11 + 1) +$AH$10," ")," ")</f>
        <v xml:space="preserve"> </v>
      </c>
      <c r="AI11" s="46" t="str">
        <f ca="1">IFERROR(IF(AND(ISNUMBER($AC$11),$AC$11&lt;=30),INDEX('2.Distances'!$D$2:$D$963,$AC$10*31+$AC$11+ 1) +$AI$10," ")," ")</f>
        <v xml:space="preserve"> </v>
      </c>
      <c r="AJ11" s="47" t="str">
        <f ca="1">IFERROR(IF(AND(ISNUMBER($AC$11),$AC$11&lt;=30),INDEX('2.Distances'!$D$2:$D$963,$AC$10*31+$AC$11+ 1) +$AK$10," ")," ")</f>
        <v xml:space="preserve"> </v>
      </c>
      <c r="AK11" s="47" t="str">
        <f ca="1">IFERROR(IF(ISNUMBER($AJ$11),INDEX('1.Locations'!$I$2:$I$32,$AC$11 + 1) + MAX($AJ$11,INDEX('1.Locations'!$F$2:$F$32,$AC$11 + 1))," ")," ")</f>
        <v xml:space="preserve"> </v>
      </c>
      <c r="AL11" s="46" t="str">
        <f ca="1">IFERROR($AL$10 + INDEX('2.Distances'!$D$2:$D$963,$AC$10*31+$AC$11+ 1) + INDEX('1.Locations'!$I$2:$I$32,$AC$11 + 1)," ")</f>
        <v xml:space="preserve"> </v>
      </c>
      <c r="AN11" s="19">
        <v>6</v>
      </c>
      <c r="AO11" s="20"/>
      <c r="AP11" s="44" t="str">
        <f ca="1">IFERROR(MATCH(INDIRECT("$AO$11"),'1.Locations'!$B$2:$B$32, 0) - 1," ")</f>
        <v xml:space="preserve"> </v>
      </c>
      <c r="AQ11" s="44" t="e">
        <f ca="1">IFERROR(IF(ISNUMBER($AP$11),INDEX('1.Locations'!$D$2:$D$32,$AP$11 + 1),NA()),NA())</f>
        <v>#N/A</v>
      </c>
      <c r="AR11" s="44" t="e">
        <f ca="1">IFERROR(IF(ISNUMBER($AP$11),INDEX('1.Locations'!$E$2:$E$32,$AP$11 + 1),NA()),NA())</f>
        <v>#N/A</v>
      </c>
      <c r="AS11" s="45" t="str">
        <f ca="1">IFERROR(IF(AND(ISNUMBER($AP$11),$AP$11&lt;=30),INDEX('2.Distances'!$C$2:$C$963,$AP$10*31+$AP$11+ 1) +$AS$10," ")," ")</f>
        <v xml:space="preserve"> </v>
      </c>
      <c r="AT11" s="44" t="str">
        <f ca="1">IFERROR(IF(ISNUMBER($AP$11),INDEX('1.Locations'!$J$2:$J$32,$AP$11 + 1) +$AT$10," ")," ")</f>
        <v xml:space="preserve"> </v>
      </c>
      <c r="AU11" s="44" t="str">
        <f ca="1">IFERROR(IF(ISNUMBER($AP$11),INDEX('1.Locations'!$K$2:$K$32,$AP$11 + 1) +$AU$10," ")," ")</f>
        <v xml:space="preserve"> </v>
      </c>
      <c r="AV11" s="46" t="str">
        <f ca="1">IFERROR(IF(AND(ISNUMBER($AP$11),$AP$11&lt;=30),INDEX('2.Distances'!$D$2:$D$963,$AP$10*31+$AP$11+ 1) +$AV$10," ")," ")</f>
        <v xml:space="preserve"> </v>
      </c>
      <c r="AW11" s="47" t="str">
        <f ca="1">IFERROR(IF(AND(ISNUMBER($AP$11),$AP$11&lt;=30),INDEX('2.Distances'!$D$2:$D$963,$AP$10*31+$AP$11+ 1) +$AX$10," ")," ")</f>
        <v xml:space="preserve"> </v>
      </c>
      <c r="AX11" s="47" t="str">
        <f ca="1">IFERROR(IF(ISNUMBER($AW$11),INDEX('1.Locations'!$I$2:$I$32,$AP$11 + 1) + MAX($AW$11,INDEX('1.Locations'!$F$2:$F$32,$AP$11 + 1))," ")," ")</f>
        <v xml:space="preserve"> </v>
      </c>
      <c r="AY11" s="46" t="str">
        <f ca="1">IFERROR($AY$10 + INDEX('2.Distances'!$D$2:$D$963,$AP$10*31+$AP$11+ 1) + INDEX('1.Locations'!$I$2:$I$32,$AP$11 + 1)," ")</f>
        <v xml:space="preserve"> </v>
      </c>
      <c r="BA11" s="19">
        <v>6</v>
      </c>
      <c r="BB11" s="20"/>
      <c r="BC11" s="44" t="str">
        <f ca="1">IFERROR(MATCH(INDIRECT("$BB$11"),'1.Locations'!$B$2:$B$32, 0) - 1," ")</f>
        <v xml:space="preserve"> </v>
      </c>
      <c r="BD11" s="44" t="e">
        <f ca="1">IFERROR(IF(ISNUMBER($BC$11),INDEX('1.Locations'!$D$2:$D$32,$BC$11 + 1),NA()),NA())</f>
        <v>#N/A</v>
      </c>
      <c r="BE11" s="44" t="e">
        <f ca="1">IFERROR(IF(ISNUMBER($BC$11),INDEX('1.Locations'!$E$2:$E$32,$BC$11 + 1),NA()),NA())</f>
        <v>#N/A</v>
      </c>
      <c r="BF11" s="45" t="str">
        <f ca="1">IFERROR(IF(AND(ISNUMBER($BC$11),$BC$11&lt;=30),INDEX('2.Distances'!$C$2:$C$963,$BC$10*31+$BC$11+ 1) +$BF$10," ")," ")</f>
        <v xml:space="preserve"> </v>
      </c>
      <c r="BG11" s="44" t="str">
        <f ca="1">IFERROR(IF(ISNUMBER($BC$11),INDEX('1.Locations'!$J$2:$J$32,$BC$11 + 1) +$BG$10," ")," ")</f>
        <v xml:space="preserve"> </v>
      </c>
      <c r="BH11" s="44" t="str">
        <f ca="1">IFERROR(IF(ISNUMBER($BC$11),INDEX('1.Locations'!$K$2:$K$32,$BC$11 + 1) +$BH$10," ")," ")</f>
        <v xml:space="preserve"> </v>
      </c>
      <c r="BI11" s="46" t="str">
        <f ca="1">IFERROR(IF(AND(ISNUMBER($BC$11),$BC$11&lt;=30),INDEX('2.Distances'!$D$2:$D$963,$BC$10*31+$BC$11+ 1) +$BI$10," ")," ")</f>
        <v xml:space="preserve"> </v>
      </c>
      <c r="BJ11" s="47" t="str">
        <f ca="1">IFERROR(IF(AND(ISNUMBER($BC$11),$BC$11&lt;=30),INDEX('2.Distances'!$D$2:$D$963,$BC$10*31+$BC$11+ 1) +$BK$10," ")," ")</f>
        <v xml:space="preserve"> </v>
      </c>
      <c r="BK11" s="47" t="str">
        <f ca="1">IFERROR(IF(ISNUMBER($BJ$11),INDEX('1.Locations'!$I$2:$I$32,$BC$11 + 1) + MAX($BJ$11,INDEX('1.Locations'!$F$2:$F$32,$BC$11 + 1))," ")," ")</f>
        <v xml:space="preserve"> </v>
      </c>
      <c r="BL11" s="46" t="str">
        <f ca="1">IFERROR($BL$10 + INDEX('2.Distances'!$D$2:$D$963,$BC$10*31+$BC$11+ 1) + INDEX('1.Locations'!$I$2:$I$32,$BC$11 + 1)," ")</f>
        <v xml:space="preserve"> </v>
      </c>
      <c r="BN11" s="19">
        <v>6</v>
      </c>
      <c r="BO11" s="20"/>
      <c r="BP11" s="44" t="str">
        <f ca="1">IFERROR(MATCH(INDIRECT("$BO$11"),'1.Locations'!$B$2:$B$32, 0) - 1," ")</f>
        <v xml:space="preserve"> </v>
      </c>
      <c r="BQ11" s="44" t="e">
        <f ca="1">IFERROR(IF(ISNUMBER($BP$11),INDEX('1.Locations'!$D$2:$D$32,$BP$11 + 1),NA()),NA())</f>
        <v>#N/A</v>
      </c>
      <c r="BR11" s="44" t="e">
        <f ca="1">IFERROR(IF(ISNUMBER($BP$11),INDEX('1.Locations'!$E$2:$E$32,$BP$11 + 1),NA()),NA())</f>
        <v>#N/A</v>
      </c>
      <c r="BS11" s="45" t="str">
        <f ca="1">IFERROR(IF(AND(ISNUMBER($BP$11),$BP$11&lt;=30),INDEX('2.Distances'!$C$2:$C$963,$BP$10*31+$BP$11+ 1) +$BS$10," ")," ")</f>
        <v xml:space="preserve"> </v>
      </c>
      <c r="BT11" s="44" t="str">
        <f ca="1">IFERROR(IF(ISNUMBER($BP$11),INDEX('1.Locations'!$J$2:$J$32,$BP$11 + 1) +$BT$10," ")," ")</f>
        <v xml:space="preserve"> </v>
      </c>
      <c r="BU11" s="44" t="str">
        <f ca="1">IFERROR(IF(ISNUMBER($BP$11),INDEX('1.Locations'!$K$2:$K$32,$BP$11 + 1) +$BU$10," ")," ")</f>
        <v xml:space="preserve"> </v>
      </c>
      <c r="BV11" s="46" t="str">
        <f ca="1">IFERROR(IF(AND(ISNUMBER($BP$11),$BP$11&lt;=30),INDEX('2.Distances'!$D$2:$D$963,$BP$10*31+$BP$11+ 1) +$BV$10," ")," ")</f>
        <v xml:space="preserve"> </v>
      </c>
      <c r="BW11" s="47" t="str">
        <f ca="1">IFERROR(IF(AND(ISNUMBER($BP$11),$BP$11&lt;=30),INDEX('2.Distances'!$D$2:$D$963,$BP$10*31+$BP$11+ 1) +$BX$10," ")," ")</f>
        <v xml:space="preserve"> </v>
      </c>
      <c r="BX11" s="47" t="str">
        <f ca="1">IFERROR(IF(ISNUMBER($BW$11),INDEX('1.Locations'!$I$2:$I$32,$BP$11 + 1) + MAX($BW$11,INDEX('1.Locations'!$F$2:$F$32,$BP$11 + 1))," ")," ")</f>
        <v xml:space="preserve"> </v>
      </c>
      <c r="BY11" s="46" t="str">
        <f ca="1">IFERROR($BY$10 + INDEX('2.Distances'!$D$2:$D$963,$BP$10*31+$BP$11+ 1) + INDEX('1.Locations'!$I$2:$I$32,$BP$11 + 1)," ")</f>
        <v xml:space="preserve"> </v>
      </c>
      <c r="CA11" s="19">
        <v>6</v>
      </c>
      <c r="CB11" s="20"/>
      <c r="CC11" s="44" t="str">
        <f ca="1">IFERROR(MATCH(INDIRECT("$CB$11"),'1.Locations'!$B$2:$B$32, 0) - 1," ")</f>
        <v xml:space="preserve"> </v>
      </c>
      <c r="CD11" s="44" t="e">
        <f ca="1">IFERROR(IF(ISNUMBER($CC$11),INDEX('1.Locations'!$D$2:$D$32,$CC$11 + 1),NA()),NA())</f>
        <v>#N/A</v>
      </c>
      <c r="CE11" s="44" t="e">
        <f ca="1">IFERROR(IF(ISNUMBER($CC$11),INDEX('1.Locations'!$E$2:$E$32,$CC$11 + 1),NA()),NA())</f>
        <v>#N/A</v>
      </c>
      <c r="CF11" s="45" t="str">
        <f ca="1">IFERROR(IF(AND(ISNUMBER($CC$11),$CC$11&lt;=30),INDEX('2.Distances'!$C$2:$C$963,$CC$10*31+$CC$11+ 1) +$CF$10," ")," ")</f>
        <v xml:space="preserve"> </v>
      </c>
      <c r="CG11" s="44" t="str">
        <f ca="1">IFERROR(IF(ISNUMBER($CC$11),INDEX('1.Locations'!$J$2:$J$32,$CC$11 + 1) +$CG$10," ")," ")</f>
        <v xml:space="preserve"> </v>
      </c>
      <c r="CH11" s="44" t="str">
        <f ca="1">IFERROR(IF(ISNUMBER($CC$11),INDEX('1.Locations'!$K$2:$K$32,$CC$11 + 1) +$CH$10," ")," ")</f>
        <v xml:space="preserve"> </v>
      </c>
      <c r="CI11" s="46" t="str">
        <f ca="1">IFERROR(IF(AND(ISNUMBER($CC$11),$CC$11&lt;=30),INDEX('2.Distances'!$D$2:$D$963,$CC$10*31+$CC$11+ 1) +$CI$10," ")," ")</f>
        <v xml:space="preserve"> </v>
      </c>
      <c r="CJ11" s="47" t="str">
        <f ca="1">IFERROR(IF(AND(ISNUMBER($CC$11),$CC$11&lt;=30),INDEX('2.Distances'!$D$2:$D$963,$CC$10*31+$CC$11+ 1) +$CK$10," ")," ")</f>
        <v xml:space="preserve"> </v>
      </c>
      <c r="CK11" s="47" t="str">
        <f ca="1">IFERROR(IF(ISNUMBER($CJ$11),INDEX('1.Locations'!$I$2:$I$32,$CC$11 + 1) + MAX($CJ$11,INDEX('1.Locations'!$F$2:$F$32,$CC$11 + 1))," ")," ")</f>
        <v xml:space="preserve"> </v>
      </c>
      <c r="CL11" s="46" t="str">
        <f ca="1">IFERROR($CL$10 + INDEX('2.Distances'!$D$2:$D$963,$CC$10*31+$CC$11+ 1) + INDEX('1.Locations'!$I$2:$I$32,$CC$11 + 1)," ")</f>
        <v xml:space="preserve"> </v>
      </c>
      <c r="CN11" s="19">
        <v>6</v>
      </c>
      <c r="CO11" s="20"/>
      <c r="CP11" s="44" t="str">
        <f ca="1">IFERROR(MATCH(INDIRECT("$CO$11"),'1.Locations'!$B$2:$B$32, 0) - 1," ")</f>
        <v xml:space="preserve"> </v>
      </c>
      <c r="CQ11" s="44" t="e">
        <f ca="1">IFERROR(IF(ISNUMBER($CP$11),INDEX('1.Locations'!$D$2:$D$32,$CP$11 + 1),NA()),NA())</f>
        <v>#N/A</v>
      </c>
      <c r="CR11" s="44" t="e">
        <f ca="1">IFERROR(IF(ISNUMBER($CP$11),INDEX('1.Locations'!$E$2:$E$32,$CP$11 + 1),NA()),NA())</f>
        <v>#N/A</v>
      </c>
      <c r="CS11" s="45" t="str">
        <f ca="1">IFERROR(IF(AND(ISNUMBER($CP$11),$CP$11&lt;=30),INDEX('2.Distances'!$C$2:$C$963,$CP$10*31+$CP$11+ 1) +$CS$10," ")," ")</f>
        <v xml:space="preserve"> </v>
      </c>
      <c r="CT11" s="44" t="str">
        <f ca="1">IFERROR(IF(ISNUMBER($CP$11),INDEX('1.Locations'!$J$2:$J$32,$CP$11 + 1) +$CT$10," ")," ")</f>
        <v xml:space="preserve"> </v>
      </c>
      <c r="CU11" s="44" t="str">
        <f ca="1">IFERROR(IF(ISNUMBER($CP$11),INDEX('1.Locations'!$K$2:$K$32,$CP$11 + 1) +$CU$10," ")," ")</f>
        <v xml:space="preserve"> </v>
      </c>
      <c r="CV11" s="46" t="str">
        <f ca="1">IFERROR(IF(AND(ISNUMBER($CP$11),$CP$11&lt;=30),INDEX('2.Distances'!$D$2:$D$963,$CP$10*31+$CP$11+ 1) +$CV$10," ")," ")</f>
        <v xml:space="preserve"> </v>
      </c>
      <c r="CW11" s="47" t="str">
        <f ca="1">IFERROR(IF(AND(ISNUMBER($CP$11),$CP$11&lt;=30),INDEX('2.Distances'!$D$2:$D$963,$CP$10*31+$CP$11+ 1) +$CX$10," ")," ")</f>
        <v xml:space="preserve"> </v>
      </c>
      <c r="CX11" s="47" t="str">
        <f ca="1">IFERROR(IF(ISNUMBER($CW$11),INDEX('1.Locations'!$I$2:$I$32,$CP$11 + 1) + MAX($CW$11,INDEX('1.Locations'!$F$2:$F$32,$CP$11 + 1))," ")," ")</f>
        <v xml:space="preserve"> </v>
      </c>
      <c r="CY11" s="46" t="str">
        <f ca="1">IFERROR($CY$10 + INDEX('2.Distances'!$D$2:$D$963,$CP$10*31+$CP$11+ 1) + INDEX('1.Locations'!$I$2:$I$32,$CP$11 + 1)," ")</f>
        <v xml:space="preserve"> </v>
      </c>
      <c r="DA11" s="19">
        <v>6</v>
      </c>
      <c r="DB11" s="20"/>
      <c r="DC11" s="44" t="str">
        <f ca="1">IFERROR(MATCH(INDIRECT("$DB$11"),'1.Locations'!$B$2:$B$32, 0) - 1," ")</f>
        <v xml:space="preserve"> </v>
      </c>
      <c r="DD11" s="44" t="e">
        <f ca="1">IFERROR(IF(ISNUMBER($DC$11),INDEX('1.Locations'!$D$2:$D$32,$DC$11 + 1),NA()),NA())</f>
        <v>#N/A</v>
      </c>
      <c r="DE11" s="44" t="e">
        <f ca="1">IFERROR(IF(ISNUMBER($DC$11),INDEX('1.Locations'!$E$2:$E$32,$DC$11 + 1),NA()),NA())</f>
        <v>#N/A</v>
      </c>
      <c r="DF11" s="45" t="str">
        <f ca="1">IFERROR(IF(AND(ISNUMBER($DC$11),$DC$11&lt;=30),INDEX('2.Distances'!$C$2:$C$963,$DC$10*31+$DC$11+ 1) +$DF$10," ")," ")</f>
        <v xml:space="preserve"> </v>
      </c>
      <c r="DG11" s="44" t="str">
        <f ca="1">IFERROR(IF(ISNUMBER($DC$11),INDEX('1.Locations'!$J$2:$J$32,$DC$11 + 1) +$DG$10," ")," ")</f>
        <v xml:space="preserve"> </v>
      </c>
      <c r="DH11" s="44" t="str">
        <f ca="1">IFERROR(IF(ISNUMBER($DC$11),INDEX('1.Locations'!$K$2:$K$32,$DC$11 + 1) +$DH$10," ")," ")</f>
        <v xml:space="preserve"> </v>
      </c>
      <c r="DI11" s="46" t="str">
        <f ca="1">IFERROR(IF(AND(ISNUMBER($DC$11),$DC$11&lt;=30),INDEX('2.Distances'!$D$2:$D$963,$DC$10*31+$DC$11+ 1) +$DI$10," ")," ")</f>
        <v xml:space="preserve"> </v>
      </c>
      <c r="DJ11" s="47" t="str">
        <f ca="1">IFERROR(IF(AND(ISNUMBER($DC$11),$DC$11&lt;=30),INDEX('2.Distances'!$D$2:$D$963,$DC$10*31+$DC$11+ 1) +$DK$10," ")," ")</f>
        <v xml:space="preserve"> </v>
      </c>
      <c r="DK11" s="47" t="str">
        <f ca="1">IFERROR(IF(ISNUMBER($DJ$11),INDEX('1.Locations'!$I$2:$I$32,$DC$11 + 1) + MAX($DJ$11,INDEX('1.Locations'!$F$2:$F$32,$DC$11 + 1))," ")," ")</f>
        <v xml:space="preserve"> </v>
      </c>
      <c r="DL11" s="46" t="str">
        <f ca="1">IFERROR($DL$10 + INDEX('2.Distances'!$D$2:$D$963,$DC$10*31+$DC$11+ 1) + INDEX('1.Locations'!$I$2:$I$32,$DC$11 + 1)," ")</f>
        <v xml:space="preserve"> </v>
      </c>
      <c r="DN11" s="19">
        <v>6</v>
      </c>
      <c r="DO11" s="20"/>
      <c r="DP11" s="44" t="str">
        <f ca="1">IFERROR(MATCH(INDIRECT("$DO$11"),'1.Locations'!$B$2:$B$32, 0) - 1," ")</f>
        <v xml:space="preserve"> </v>
      </c>
      <c r="DQ11" s="44" t="e">
        <f ca="1">IFERROR(IF(ISNUMBER($DP$11),INDEX('1.Locations'!$D$2:$D$32,$DP$11 + 1),NA()),NA())</f>
        <v>#N/A</v>
      </c>
      <c r="DR11" s="44" t="e">
        <f ca="1">IFERROR(IF(ISNUMBER($DP$11),INDEX('1.Locations'!$E$2:$E$32,$DP$11 + 1),NA()),NA())</f>
        <v>#N/A</v>
      </c>
      <c r="DS11" s="45" t="str">
        <f ca="1">IFERROR(IF(AND(ISNUMBER($DP$11),$DP$11&lt;=30),INDEX('2.Distances'!$C$2:$C$963,$DP$10*31+$DP$11+ 1) +$DS$10," ")," ")</f>
        <v xml:space="preserve"> </v>
      </c>
      <c r="DT11" s="44" t="str">
        <f ca="1">IFERROR(IF(ISNUMBER($DP$11),INDEX('1.Locations'!$J$2:$J$32,$DP$11 + 1) +$DT$10," ")," ")</f>
        <v xml:space="preserve"> </v>
      </c>
      <c r="DU11" s="44" t="str">
        <f ca="1">IFERROR(IF(ISNUMBER($DP$11),INDEX('1.Locations'!$K$2:$K$32,$DP$11 + 1) +$DU$10," ")," ")</f>
        <v xml:space="preserve"> </v>
      </c>
      <c r="DV11" s="46" t="str">
        <f ca="1">IFERROR(IF(AND(ISNUMBER($DP$11),$DP$11&lt;=30),INDEX('2.Distances'!$D$2:$D$963,$DP$10*31+$DP$11+ 1) +$DV$10," ")," ")</f>
        <v xml:space="preserve"> </v>
      </c>
      <c r="DW11" s="47" t="str">
        <f ca="1">IFERROR(IF(AND(ISNUMBER($DP$11),$DP$11&lt;=30),INDEX('2.Distances'!$D$2:$D$963,$DP$10*31+$DP$11+ 1) +$DX$10," ")," ")</f>
        <v xml:space="preserve"> </v>
      </c>
      <c r="DX11" s="47" t="str">
        <f ca="1">IFERROR(IF(ISNUMBER($DW$11),INDEX('1.Locations'!$I$2:$I$32,$DP$11 + 1) + MAX($DW$11,INDEX('1.Locations'!$F$2:$F$32,$DP$11 + 1))," ")," ")</f>
        <v xml:space="preserve"> </v>
      </c>
      <c r="DY11" s="46" t="str">
        <f ca="1">IFERROR($DY$10 + INDEX('2.Distances'!$D$2:$D$963,$DP$10*31+$DP$11+ 1) + INDEX('1.Locations'!$I$2:$I$32,$DP$11 + 1)," ")</f>
        <v xml:space="preserve"> </v>
      </c>
      <c r="EA11" s="19">
        <v>6</v>
      </c>
      <c r="EB11" s="20"/>
      <c r="EC11" s="44" t="str">
        <f ca="1">IFERROR(MATCH(INDIRECT("$EB$11"),'1.Locations'!$B$2:$B$32, 0) - 1," ")</f>
        <v xml:space="preserve"> </v>
      </c>
      <c r="ED11" s="44" t="e">
        <f ca="1">IFERROR(IF(ISNUMBER($EC$11),INDEX('1.Locations'!$D$2:$D$32,$EC$11 + 1),NA()),NA())</f>
        <v>#N/A</v>
      </c>
      <c r="EE11" s="44" t="e">
        <f ca="1">IFERROR(IF(ISNUMBER($EC$11),INDEX('1.Locations'!$E$2:$E$32,$EC$11 + 1),NA()),NA())</f>
        <v>#N/A</v>
      </c>
      <c r="EF11" s="45" t="str">
        <f ca="1">IFERROR(IF(AND(ISNUMBER($EC$11),$EC$11&lt;=30),INDEX('2.Distances'!$C$2:$C$963,$EC$10*31+$EC$11+ 1) +$EF$10," ")," ")</f>
        <v xml:space="preserve"> </v>
      </c>
      <c r="EG11" s="44" t="str">
        <f ca="1">IFERROR(IF(ISNUMBER($EC$11),INDEX('1.Locations'!$J$2:$J$32,$EC$11 + 1) +$EG$10," ")," ")</f>
        <v xml:space="preserve"> </v>
      </c>
      <c r="EH11" s="44" t="str">
        <f ca="1">IFERROR(IF(ISNUMBER($EC$11),INDEX('1.Locations'!$K$2:$K$32,$EC$11 + 1) +$EH$10," ")," ")</f>
        <v xml:space="preserve"> </v>
      </c>
      <c r="EI11" s="46" t="str">
        <f ca="1">IFERROR(IF(AND(ISNUMBER($EC$11),$EC$11&lt;=30),INDEX('2.Distances'!$D$2:$D$963,$EC$10*31+$EC$11+ 1) +$EI$10," ")," ")</f>
        <v xml:space="preserve"> </v>
      </c>
      <c r="EJ11" s="47" t="str">
        <f ca="1">IFERROR(IF(AND(ISNUMBER($EC$11),$EC$11&lt;=30),INDEX('2.Distances'!$D$2:$D$963,$EC$10*31+$EC$11+ 1) +$EK$10," ")," ")</f>
        <v xml:space="preserve"> </v>
      </c>
      <c r="EK11" s="47" t="str">
        <f ca="1">IFERROR(IF(ISNUMBER($EJ$11),INDEX('1.Locations'!$I$2:$I$32,$EC$11 + 1) + MAX($EJ$11,INDEX('1.Locations'!$F$2:$F$32,$EC$11 + 1))," ")," ")</f>
        <v xml:space="preserve"> </v>
      </c>
      <c r="EL11" s="46" t="str">
        <f ca="1">IFERROR($EL$10 + INDEX('2.Distances'!$D$2:$D$963,$EC$10*31+$EC$11+ 1) + INDEX('1.Locations'!$I$2:$I$32,$EC$11 + 1)," ")</f>
        <v xml:space="preserve"> </v>
      </c>
      <c r="EN11" s="19">
        <v>6</v>
      </c>
      <c r="EO11" s="20"/>
      <c r="EP11" s="44" t="str">
        <f ca="1">IFERROR(MATCH(INDIRECT("$EO$11"),'1.Locations'!$B$2:$B$32, 0) - 1," ")</f>
        <v xml:space="preserve"> </v>
      </c>
      <c r="EQ11" s="44" t="e">
        <f ca="1">IFERROR(IF(ISNUMBER($EP$11),INDEX('1.Locations'!$D$2:$D$32,$EP$11 + 1),NA()),NA())</f>
        <v>#N/A</v>
      </c>
      <c r="ER11" s="44" t="e">
        <f ca="1">IFERROR(IF(ISNUMBER($EP$11),INDEX('1.Locations'!$E$2:$E$32,$EP$11 + 1),NA()),NA())</f>
        <v>#N/A</v>
      </c>
      <c r="ES11" s="45" t="str">
        <f ca="1">IFERROR(IF(AND(ISNUMBER($EP$11),$EP$11&lt;=30),INDEX('2.Distances'!$C$2:$C$963,$EP$10*31+$EP$11+ 1) +$ES$10," ")," ")</f>
        <v xml:space="preserve"> </v>
      </c>
      <c r="ET11" s="44" t="str">
        <f ca="1">IFERROR(IF(ISNUMBER($EP$11),INDEX('1.Locations'!$J$2:$J$32,$EP$11 + 1) +$ET$10," ")," ")</f>
        <v xml:space="preserve"> </v>
      </c>
      <c r="EU11" s="44" t="str">
        <f ca="1">IFERROR(IF(ISNUMBER($EP$11),INDEX('1.Locations'!$K$2:$K$32,$EP$11 + 1) +$EU$10," ")," ")</f>
        <v xml:space="preserve"> </v>
      </c>
      <c r="EV11" s="46" t="str">
        <f ca="1">IFERROR(IF(AND(ISNUMBER($EP$11),$EP$11&lt;=30),INDEX('2.Distances'!$D$2:$D$963,$EP$10*31+$EP$11+ 1) +$EV$10," ")," ")</f>
        <v xml:space="preserve"> </v>
      </c>
      <c r="EW11" s="47" t="str">
        <f ca="1">IFERROR(IF(AND(ISNUMBER($EP$11),$EP$11&lt;=30),INDEX('2.Distances'!$D$2:$D$963,$EP$10*31+$EP$11+ 1) +$EX$10," ")," ")</f>
        <v xml:space="preserve"> </v>
      </c>
      <c r="EX11" s="47" t="str">
        <f ca="1">IFERROR(IF(ISNUMBER($EW$11),INDEX('1.Locations'!$I$2:$I$32,$EP$11 + 1) + MAX($EW$11,INDEX('1.Locations'!$F$2:$F$32,$EP$11 + 1))," ")," ")</f>
        <v xml:space="preserve"> </v>
      </c>
      <c r="EY11" s="46" t="str">
        <f ca="1">IFERROR($EY$10 + INDEX('2.Distances'!$D$2:$D$963,$EP$10*31+$EP$11+ 1) + INDEX('1.Locations'!$I$2:$I$32,$EP$11 + 1)," ")</f>
        <v xml:space="preserve"> </v>
      </c>
    </row>
    <row r="12" spans="1:155" x14ac:dyDescent="0.2">
      <c r="A12" s="19">
        <v>7</v>
      </c>
      <c r="B12" s="20"/>
      <c r="C12" s="44" t="str">
        <f ca="1">IFERROR(MATCH(INDIRECT("$B$12"),'1.Locations'!$B$2:$B$32, 0) - 1," ")</f>
        <v xml:space="preserve"> </v>
      </c>
      <c r="D12" s="44" t="e">
        <f ca="1">IFERROR(IF(ISNUMBER($C$12),INDEX('1.Locations'!$D$2:$D$32,$C$12 + 1),NA()),NA())</f>
        <v>#N/A</v>
      </c>
      <c r="E12" s="44" t="e">
        <f ca="1">IFERROR(IF(ISNUMBER($C$12),INDEX('1.Locations'!$E$2:$E$32,$C$12 + 1),NA()),NA())</f>
        <v>#N/A</v>
      </c>
      <c r="F12" s="45" t="str">
        <f ca="1">IFERROR(IF(AND(ISNUMBER($C$12),$C$12&lt;=30),INDEX('2.Distances'!$C$2:$C$963,$C$11*31+$C$12+ 1) +$F$11," ")," ")</f>
        <v xml:space="preserve"> </v>
      </c>
      <c r="G12" s="44" t="str">
        <f ca="1">IFERROR(IF(ISNUMBER($C$12),INDEX('1.Locations'!$J$2:$J$32,$C$12 + 1) +$G$11," ")," ")</f>
        <v xml:space="preserve"> </v>
      </c>
      <c r="H12" s="44" t="str">
        <f ca="1">IFERROR(IF(ISNUMBER($C$12),INDEX('1.Locations'!$K$2:$K$32,$C$12 + 1) +$H$11," ")," ")</f>
        <v xml:space="preserve"> </v>
      </c>
      <c r="I12" s="46" t="str">
        <f ca="1">IFERROR(IF(AND(ISNUMBER($C$12),$C$12&lt;=30),INDEX('2.Distances'!$D$2:$D$963,$C$11*31+$C$12+ 1) +$I$11," ")," ")</f>
        <v xml:space="preserve"> </v>
      </c>
      <c r="J12" s="47" t="str">
        <f ca="1">IFERROR(IF(AND(ISNUMBER($C$12),$C$12&lt;=30),INDEX('2.Distances'!$D$2:$D$963,$C$11*31+$C$12+ 1) +$K$11," ")," ")</f>
        <v xml:space="preserve"> </v>
      </c>
      <c r="K12" s="47" t="str">
        <f ca="1">IFERROR(IF(ISNUMBER($J$12),INDEX('1.Locations'!$I$2:$I$32,$C$12 + 1) + MAX($J$12,INDEX('1.Locations'!$F$2:$F$32,$C$12 + 1))," ")," ")</f>
        <v xml:space="preserve"> </v>
      </c>
      <c r="L12" s="46" t="str">
        <f ca="1">IFERROR($L$11 + INDEX('2.Distances'!$D$2:$D$963,$C$11*31+$C$12+ 1) + INDEX('1.Locations'!$I$2:$I$32,$C$12 + 1)," ")</f>
        <v xml:space="preserve"> </v>
      </c>
      <c r="N12" s="19">
        <v>7</v>
      </c>
      <c r="O12" s="20"/>
      <c r="P12" s="44" t="str">
        <f ca="1">IFERROR(MATCH(INDIRECT("$O$12"),'1.Locations'!$B$2:$B$32, 0) - 1," ")</f>
        <v xml:space="preserve"> </v>
      </c>
      <c r="Q12" s="44" t="e">
        <f ca="1">IFERROR(IF(ISNUMBER($P$12),INDEX('1.Locations'!$D$2:$D$32,$P$12 + 1),NA()),NA())</f>
        <v>#N/A</v>
      </c>
      <c r="R12" s="44" t="e">
        <f ca="1">IFERROR(IF(ISNUMBER($P$12),INDEX('1.Locations'!$E$2:$E$32,$P$12 + 1),NA()),NA())</f>
        <v>#N/A</v>
      </c>
      <c r="S12" s="45" t="str">
        <f ca="1">IFERROR(IF(AND(ISNUMBER($P$12),$P$12&lt;=30),INDEX('2.Distances'!$C$2:$C$963,$P$11*31+$P$12+ 1) +$S$11," ")," ")</f>
        <v xml:space="preserve"> </v>
      </c>
      <c r="T12" s="44" t="str">
        <f ca="1">IFERROR(IF(ISNUMBER($P$12),INDEX('1.Locations'!$J$2:$J$32,$P$12 + 1) +$T$11," ")," ")</f>
        <v xml:space="preserve"> </v>
      </c>
      <c r="U12" s="44" t="str">
        <f ca="1">IFERROR(IF(ISNUMBER($P$12),INDEX('1.Locations'!$K$2:$K$32,$P$12 + 1) +$U$11," ")," ")</f>
        <v xml:space="preserve"> </v>
      </c>
      <c r="V12" s="46" t="str">
        <f ca="1">IFERROR(IF(AND(ISNUMBER($P$12),$P$12&lt;=30),INDEX('2.Distances'!$D$2:$D$963,$P$11*31+$P$12+ 1) +$V$11," ")," ")</f>
        <v xml:space="preserve"> </v>
      </c>
      <c r="W12" s="47" t="str">
        <f ca="1">IFERROR(IF(AND(ISNUMBER($P$12),$P$12&lt;=30),INDEX('2.Distances'!$D$2:$D$963,$P$11*31+$P$12+ 1) +$X$11," ")," ")</f>
        <v xml:space="preserve"> </v>
      </c>
      <c r="X12" s="47" t="str">
        <f ca="1">IFERROR(IF(ISNUMBER($W$12),INDEX('1.Locations'!$I$2:$I$32,$P$12 + 1) + MAX($W$12,INDEX('1.Locations'!$F$2:$F$32,$P$12 + 1))," ")," ")</f>
        <v xml:space="preserve"> </v>
      </c>
      <c r="Y12" s="46" t="str">
        <f ca="1">IFERROR($Y$11 + INDEX('2.Distances'!$D$2:$D$963,$P$11*31+$P$12+ 1) + INDEX('1.Locations'!$I$2:$I$32,$P$12 + 1)," ")</f>
        <v xml:space="preserve"> </v>
      </c>
      <c r="AA12" s="19">
        <v>7</v>
      </c>
      <c r="AB12" s="20"/>
      <c r="AC12" s="44" t="str">
        <f ca="1">IFERROR(MATCH(INDIRECT("$AB$12"),'1.Locations'!$B$2:$B$32, 0) - 1," ")</f>
        <v xml:space="preserve"> </v>
      </c>
      <c r="AD12" s="44" t="e">
        <f ca="1">IFERROR(IF(ISNUMBER($AC$12),INDEX('1.Locations'!$D$2:$D$32,$AC$12 + 1),NA()),NA())</f>
        <v>#N/A</v>
      </c>
      <c r="AE12" s="44" t="e">
        <f ca="1">IFERROR(IF(ISNUMBER($AC$12),INDEX('1.Locations'!$E$2:$E$32,$AC$12 + 1),NA()),NA())</f>
        <v>#N/A</v>
      </c>
      <c r="AF12" s="45" t="str">
        <f ca="1">IFERROR(IF(AND(ISNUMBER($AC$12),$AC$12&lt;=30),INDEX('2.Distances'!$C$2:$C$963,$AC$11*31+$AC$12+ 1) +$AF$11," ")," ")</f>
        <v xml:space="preserve"> </v>
      </c>
      <c r="AG12" s="44" t="str">
        <f ca="1">IFERROR(IF(ISNUMBER($AC$12),INDEX('1.Locations'!$J$2:$J$32,$AC$12 + 1) +$AG$11," ")," ")</f>
        <v xml:space="preserve"> </v>
      </c>
      <c r="AH12" s="44" t="str">
        <f ca="1">IFERROR(IF(ISNUMBER($AC$12),INDEX('1.Locations'!$K$2:$K$32,$AC$12 + 1) +$AH$11," ")," ")</f>
        <v xml:space="preserve"> </v>
      </c>
      <c r="AI12" s="46" t="str">
        <f ca="1">IFERROR(IF(AND(ISNUMBER($AC$12),$AC$12&lt;=30),INDEX('2.Distances'!$D$2:$D$963,$AC$11*31+$AC$12+ 1) +$AI$11," ")," ")</f>
        <v xml:space="preserve"> </v>
      </c>
      <c r="AJ12" s="47" t="str">
        <f ca="1">IFERROR(IF(AND(ISNUMBER($AC$12),$AC$12&lt;=30),INDEX('2.Distances'!$D$2:$D$963,$AC$11*31+$AC$12+ 1) +$AK$11," ")," ")</f>
        <v xml:space="preserve"> </v>
      </c>
      <c r="AK12" s="47" t="str">
        <f ca="1">IFERROR(IF(ISNUMBER($AJ$12),INDEX('1.Locations'!$I$2:$I$32,$AC$12 + 1) + MAX($AJ$12,INDEX('1.Locations'!$F$2:$F$32,$AC$12 + 1))," ")," ")</f>
        <v xml:space="preserve"> </v>
      </c>
      <c r="AL12" s="46" t="str">
        <f ca="1">IFERROR($AL$11 + INDEX('2.Distances'!$D$2:$D$963,$AC$11*31+$AC$12+ 1) + INDEX('1.Locations'!$I$2:$I$32,$AC$12 + 1)," ")</f>
        <v xml:space="preserve"> </v>
      </c>
      <c r="AN12" s="19">
        <v>7</v>
      </c>
      <c r="AO12" s="20"/>
      <c r="AP12" s="44" t="str">
        <f ca="1">IFERROR(MATCH(INDIRECT("$AO$12"),'1.Locations'!$B$2:$B$32, 0) - 1," ")</f>
        <v xml:space="preserve"> </v>
      </c>
      <c r="AQ12" s="44" t="e">
        <f ca="1">IFERROR(IF(ISNUMBER($AP$12),INDEX('1.Locations'!$D$2:$D$32,$AP$12 + 1),NA()),NA())</f>
        <v>#N/A</v>
      </c>
      <c r="AR12" s="44" t="e">
        <f ca="1">IFERROR(IF(ISNUMBER($AP$12),INDEX('1.Locations'!$E$2:$E$32,$AP$12 + 1),NA()),NA())</f>
        <v>#N/A</v>
      </c>
      <c r="AS12" s="45" t="str">
        <f ca="1">IFERROR(IF(AND(ISNUMBER($AP$12),$AP$12&lt;=30),INDEX('2.Distances'!$C$2:$C$963,$AP$11*31+$AP$12+ 1) +$AS$11," ")," ")</f>
        <v xml:space="preserve"> </v>
      </c>
      <c r="AT12" s="44" t="str">
        <f ca="1">IFERROR(IF(ISNUMBER($AP$12),INDEX('1.Locations'!$J$2:$J$32,$AP$12 + 1) +$AT$11," ")," ")</f>
        <v xml:space="preserve"> </v>
      </c>
      <c r="AU12" s="44" t="str">
        <f ca="1">IFERROR(IF(ISNUMBER($AP$12),INDEX('1.Locations'!$K$2:$K$32,$AP$12 + 1) +$AU$11," ")," ")</f>
        <v xml:space="preserve"> </v>
      </c>
      <c r="AV12" s="46" t="str">
        <f ca="1">IFERROR(IF(AND(ISNUMBER($AP$12),$AP$12&lt;=30),INDEX('2.Distances'!$D$2:$D$963,$AP$11*31+$AP$12+ 1) +$AV$11," ")," ")</f>
        <v xml:space="preserve"> </v>
      </c>
      <c r="AW12" s="47" t="str">
        <f ca="1">IFERROR(IF(AND(ISNUMBER($AP$12),$AP$12&lt;=30),INDEX('2.Distances'!$D$2:$D$963,$AP$11*31+$AP$12+ 1) +$AX$11," ")," ")</f>
        <v xml:space="preserve"> </v>
      </c>
      <c r="AX12" s="47" t="str">
        <f ca="1">IFERROR(IF(ISNUMBER($AW$12),INDEX('1.Locations'!$I$2:$I$32,$AP$12 + 1) + MAX($AW$12,INDEX('1.Locations'!$F$2:$F$32,$AP$12 + 1))," ")," ")</f>
        <v xml:space="preserve"> </v>
      </c>
      <c r="AY12" s="46" t="str">
        <f ca="1">IFERROR($AY$11 + INDEX('2.Distances'!$D$2:$D$963,$AP$11*31+$AP$12+ 1) + INDEX('1.Locations'!$I$2:$I$32,$AP$12 + 1)," ")</f>
        <v xml:space="preserve"> </v>
      </c>
      <c r="BA12" s="19">
        <v>7</v>
      </c>
      <c r="BB12" s="20"/>
      <c r="BC12" s="44" t="str">
        <f ca="1">IFERROR(MATCH(INDIRECT("$BB$12"),'1.Locations'!$B$2:$B$32, 0) - 1," ")</f>
        <v xml:space="preserve"> </v>
      </c>
      <c r="BD12" s="44" t="e">
        <f ca="1">IFERROR(IF(ISNUMBER($BC$12),INDEX('1.Locations'!$D$2:$D$32,$BC$12 + 1),NA()),NA())</f>
        <v>#N/A</v>
      </c>
      <c r="BE12" s="44" t="e">
        <f ca="1">IFERROR(IF(ISNUMBER($BC$12),INDEX('1.Locations'!$E$2:$E$32,$BC$12 + 1),NA()),NA())</f>
        <v>#N/A</v>
      </c>
      <c r="BF12" s="45" t="str">
        <f ca="1">IFERROR(IF(AND(ISNUMBER($BC$12),$BC$12&lt;=30),INDEX('2.Distances'!$C$2:$C$963,$BC$11*31+$BC$12+ 1) +$BF$11," ")," ")</f>
        <v xml:space="preserve"> </v>
      </c>
      <c r="BG12" s="44" t="str">
        <f ca="1">IFERROR(IF(ISNUMBER($BC$12),INDEX('1.Locations'!$J$2:$J$32,$BC$12 + 1) +$BG$11," ")," ")</f>
        <v xml:space="preserve"> </v>
      </c>
      <c r="BH12" s="44" t="str">
        <f ca="1">IFERROR(IF(ISNUMBER($BC$12),INDEX('1.Locations'!$K$2:$K$32,$BC$12 + 1) +$BH$11," ")," ")</f>
        <v xml:space="preserve"> </v>
      </c>
      <c r="BI12" s="46" t="str">
        <f ca="1">IFERROR(IF(AND(ISNUMBER($BC$12),$BC$12&lt;=30),INDEX('2.Distances'!$D$2:$D$963,$BC$11*31+$BC$12+ 1) +$BI$11," ")," ")</f>
        <v xml:space="preserve"> </v>
      </c>
      <c r="BJ12" s="47" t="str">
        <f ca="1">IFERROR(IF(AND(ISNUMBER($BC$12),$BC$12&lt;=30),INDEX('2.Distances'!$D$2:$D$963,$BC$11*31+$BC$12+ 1) +$BK$11," ")," ")</f>
        <v xml:space="preserve"> </v>
      </c>
      <c r="BK12" s="47" t="str">
        <f ca="1">IFERROR(IF(ISNUMBER($BJ$12),INDEX('1.Locations'!$I$2:$I$32,$BC$12 + 1) + MAX($BJ$12,INDEX('1.Locations'!$F$2:$F$32,$BC$12 + 1))," ")," ")</f>
        <v xml:space="preserve"> </v>
      </c>
      <c r="BL12" s="46" t="str">
        <f ca="1">IFERROR($BL$11 + INDEX('2.Distances'!$D$2:$D$963,$BC$11*31+$BC$12+ 1) + INDEX('1.Locations'!$I$2:$I$32,$BC$12 + 1)," ")</f>
        <v xml:space="preserve"> </v>
      </c>
      <c r="BN12" s="19">
        <v>7</v>
      </c>
      <c r="BO12" s="20"/>
      <c r="BP12" s="44" t="str">
        <f ca="1">IFERROR(MATCH(INDIRECT("$BO$12"),'1.Locations'!$B$2:$B$32, 0) - 1," ")</f>
        <v xml:space="preserve"> </v>
      </c>
      <c r="BQ12" s="44" t="e">
        <f ca="1">IFERROR(IF(ISNUMBER($BP$12),INDEX('1.Locations'!$D$2:$D$32,$BP$12 + 1),NA()),NA())</f>
        <v>#N/A</v>
      </c>
      <c r="BR12" s="44" t="e">
        <f ca="1">IFERROR(IF(ISNUMBER($BP$12),INDEX('1.Locations'!$E$2:$E$32,$BP$12 + 1),NA()),NA())</f>
        <v>#N/A</v>
      </c>
      <c r="BS12" s="45" t="str">
        <f ca="1">IFERROR(IF(AND(ISNUMBER($BP$12),$BP$12&lt;=30),INDEX('2.Distances'!$C$2:$C$963,$BP$11*31+$BP$12+ 1) +$BS$11," ")," ")</f>
        <v xml:space="preserve"> </v>
      </c>
      <c r="BT12" s="44" t="str">
        <f ca="1">IFERROR(IF(ISNUMBER($BP$12),INDEX('1.Locations'!$J$2:$J$32,$BP$12 + 1) +$BT$11," ")," ")</f>
        <v xml:space="preserve"> </v>
      </c>
      <c r="BU12" s="44" t="str">
        <f ca="1">IFERROR(IF(ISNUMBER($BP$12),INDEX('1.Locations'!$K$2:$K$32,$BP$12 + 1) +$BU$11," ")," ")</f>
        <v xml:space="preserve"> </v>
      </c>
      <c r="BV12" s="46" t="str">
        <f ca="1">IFERROR(IF(AND(ISNUMBER($BP$12),$BP$12&lt;=30),INDEX('2.Distances'!$D$2:$D$963,$BP$11*31+$BP$12+ 1) +$BV$11," ")," ")</f>
        <v xml:space="preserve"> </v>
      </c>
      <c r="BW12" s="47" t="str">
        <f ca="1">IFERROR(IF(AND(ISNUMBER($BP$12),$BP$12&lt;=30),INDEX('2.Distances'!$D$2:$D$963,$BP$11*31+$BP$12+ 1) +$BX$11," ")," ")</f>
        <v xml:space="preserve"> </v>
      </c>
      <c r="BX12" s="47" t="str">
        <f ca="1">IFERROR(IF(ISNUMBER($BW$12),INDEX('1.Locations'!$I$2:$I$32,$BP$12 + 1) + MAX($BW$12,INDEX('1.Locations'!$F$2:$F$32,$BP$12 + 1))," ")," ")</f>
        <v xml:space="preserve"> </v>
      </c>
      <c r="BY12" s="46" t="str">
        <f ca="1">IFERROR($BY$11 + INDEX('2.Distances'!$D$2:$D$963,$BP$11*31+$BP$12+ 1) + INDEX('1.Locations'!$I$2:$I$32,$BP$12 + 1)," ")</f>
        <v xml:space="preserve"> </v>
      </c>
      <c r="CA12" s="19">
        <v>7</v>
      </c>
      <c r="CB12" s="20"/>
      <c r="CC12" s="44" t="str">
        <f ca="1">IFERROR(MATCH(INDIRECT("$CB$12"),'1.Locations'!$B$2:$B$32, 0) - 1," ")</f>
        <v xml:space="preserve"> </v>
      </c>
      <c r="CD12" s="44" t="e">
        <f ca="1">IFERROR(IF(ISNUMBER($CC$12),INDEX('1.Locations'!$D$2:$D$32,$CC$12 + 1),NA()),NA())</f>
        <v>#N/A</v>
      </c>
      <c r="CE12" s="44" t="e">
        <f ca="1">IFERROR(IF(ISNUMBER($CC$12),INDEX('1.Locations'!$E$2:$E$32,$CC$12 + 1),NA()),NA())</f>
        <v>#N/A</v>
      </c>
      <c r="CF12" s="45" t="str">
        <f ca="1">IFERROR(IF(AND(ISNUMBER($CC$12),$CC$12&lt;=30),INDEX('2.Distances'!$C$2:$C$963,$CC$11*31+$CC$12+ 1) +$CF$11," ")," ")</f>
        <v xml:space="preserve"> </v>
      </c>
      <c r="CG12" s="44" t="str">
        <f ca="1">IFERROR(IF(ISNUMBER($CC$12),INDEX('1.Locations'!$J$2:$J$32,$CC$12 + 1) +$CG$11," ")," ")</f>
        <v xml:space="preserve"> </v>
      </c>
      <c r="CH12" s="44" t="str">
        <f ca="1">IFERROR(IF(ISNUMBER($CC$12),INDEX('1.Locations'!$K$2:$K$32,$CC$12 + 1) +$CH$11," ")," ")</f>
        <v xml:space="preserve"> </v>
      </c>
      <c r="CI12" s="46" t="str">
        <f ca="1">IFERROR(IF(AND(ISNUMBER($CC$12),$CC$12&lt;=30),INDEX('2.Distances'!$D$2:$D$963,$CC$11*31+$CC$12+ 1) +$CI$11," ")," ")</f>
        <v xml:space="preserve"> </v>
      </c>
      <c r="CJ12" s="47" t="str">
        <f ca="1">IFERROR(IF(AND(ISNUMBER($CC$12),$CC$12&lt;=30),INDEX('2.Distances'!$D$2:$D$963,$CC$11*31+$CC$12+ 1) +$CK$11," ")," ")</f>
        <v xml:space="preserve"> </v>
      </c>
      <c r="CK12" s="47" t="str">
        <f ca="1">IFERROR(IF(ISNUMBER($CJ$12),INDEX('1.Locations'!$I$2:$I$32,$CC$12 + 1) + MAX($CJ$12,INDEX('1.Locations'!$F$2:$F$32,$CC$12 + 1))," ")," ")</f>
        <v xml:space="preserve"> </v>
      </c>
      <c r="CL12" s="46" t="str">
        <f ca="1">IFERROR($CL$11 + INDEX('2.Distances'!$D$2:$D$963,$CC$11*31+$CC$12+ 1) + INDEX('1.Locations'!$I$2:$I$32,$CC$12 + 1)," ")</f>
        <v xml:space="preserve"> </v>
      </c>
      <c r="CN12" s="19">
        <v>7</v>
      </c>
      <c r="CO12" s="20"/>
      <c r="CP12" s="44" t="str">
        <f ca="1">IFERROR(MATCH(INDIRECT("$CO$12"),'1.Locations'!$B$2:$B$32, 0) - 1," ")</f>
        <v xml:space="preserve"> </v>
      </c>
      <c r="CQ12" s="44" t="e">
        <f ca="1">IFERROR(IF(ISNUMBER($CP$12),INDEX('1.Locations'!$D$2:$D$32,$CP$12 + 1),NA()),NA())</f>
        <v>#N/A</v>
      </c>
      <c r="CR12" s="44" t="e">
        <f ca="1">IFERROR(IF(ISNUMBER($CP$12),INDEX('1.Locations'!$E$2:$E$32,$CP$12 + 1),NA()),NA())</f>
        <v>#N/A</v>
      </c>
      <c r="CS12" s="45" t="str">
        <f ca="1">IFERROR(IF(AND(ISNUMBER($CP$12),$CP$12&lt;=30),INDEX('2.Distances'!$C$2:$C$963,$CP$11*31+$CP$12+ 1) +$CS$11," ")," ")</f>
        <v xml:space="preserve"> </v>
      </c>
      <c r="CT12" s="44" t="str">
        <f ca="1">IFERROR(IF(ISNUMBER($CP$12),INDEX('1.Locations'!$J$2:$J$32,$CP$12 + 1) +$CT$11," ")," ")</f>
        <v xml:space="preserve"> </v>
      </c>
      <c r="CU12" s="44" t="str">
        <f ca="1">IFERROR(IF(ISNUMBER($CP$12),INDEX('1.Locations'!$K$2:$K$32,$CP$12 + 1) +$CU$11," ")," ")</f>
        <v xml:space="preserve"> </v>
      </c>
      <c r="CV12" s="46" t="str">
        <f ca="1">IFERROR(IF(AND(ISNUMBER($CP$12),$CP$12&lt;=30),INDEX('2.Distances'!$D$2:$D$963,$CP$11*31+$CP$12+ 1) +$CV$11," ")," ")</f>
        <v xml:space="preserve"> </v>
      </c>
      <c r="CW12" s="47" t="str">
        <f ca="1">IFERROR(IF(AND(ISNUMBER($CP$12),$CP$12&lt;=30),INDEX('2.Distances'!$D$2:$D$963,$CP$11*31+$CP$12+ 1) +$CX$11," ")," ")</f>
        <v xml:space="preserve"> </v>
      </c>
      <c r="CX12" s="47" t="str">
        <f ca="1">IFERROR(IF(ISNUMBER($CW$12),INDEX('1.Locations'!$I$2:$I$32,$CP$12 + 1) + MAX($CW$12,INDEX('1.Locations'!$F$2:$F$32,$CP$12 + 1))," ")," ")</f>
        <v xml:space="preserve"> </v>
      </c>
      <c r="CY12" s="46" t="str">
        <f ca="1">IFERROR($CY$11 + INDEX('2.Distances'!$D$2:$D$963,$CP$11*31+$CP$12+ 1) + INDEX('1.Locations'!$I$2:$I$32,$CP$12 + 1)," ")</f>
        <v xml:space="preserve"> </v>
      </c>
      <c r="DA12" s="19">
        <v>7</v>
      </c>
      <c r="DB12" s="20"/>
      <c r="DC12" s="44" t="str">
        <f ca="1">IFERROR(MATCH(INDIRECT("$DB$12"),'1.Locations'!$B$2:$B$32, 0) - 1," ")</f>
        <v xml:space="preserve"> </v>
      </c>
      <c r="DD12" s="44" t="e">
        <f ca="1">IFERROR(IF(ISNUMBER($DC$12),INDEX('1.Locations'!$D$2:$D$32,$DC$12 + 1),NA()),NA())</f>
        <v>#N/A</v>
      </c>
      <c r="DE12" s="44" t="e">
        <f ca="1">IFERROR(IF(ISNUMBER($DC$12),INDEX('1.Locations'!$E$2:$E$32,$DC$12 + 1),NA()),NA())</f>
        <v>#N/A</v>
      </c>
      <c r="DF12" s="45" t="str">
        <f ca="1">IFERROR(IF(AND(ISNUMBER($DC$12),$DC$12&lt;=30),INDEX('2.Distances'!$C$2:$C$963,$DC$11*31+$DC$12+ 1) +$DF$11," ")," ")</f>
        <v xml:space="preserve"> </v>
      </c>
      <c r="DG12" s="44" t="str">
        <f ca="1">IFERROR(IF(ISNUMBER($DC$12),INDEX('1.Locations'!$J$2:$J$32,$DC$12 + 1) +$DG$11," ")," ")</f>
        <v xml:space="preserve"> </v>
      </c>
      <c r="DH12" s="44" t="str">
        <f ca="1">IFERROR(IF(ISNUMBER($DC$12),INDEX('1.Locations'!$K$2:$K$32,$DC$12 + 1) +$DH$11," ")," ")</f>
        <v xml:space="preserve"> </v>
      </c>
      <c r="DI12" s="46" t="str">
        <f ca="1">IFERROR(IF(AND(ISNUMBER($DC$12),$DC$12&lt;=30),INDEX('2.Distances'!$D$2:$D$963,$DC$11*31+$DC$12+ 1) +$DI$11," ")," ")</f>
        <v xml:space="preserve"> </v>
      </c>
      <c r="DJ12" s="47" t="str">
        <f ca="1">IFERROR(IF(AND(ISNUMBER($DC$12),$DC$12&lt;=30),INDEX('2.Distances'!$D$2:$D$963,$DC$11*31+$DC$12+ 1) +$DK$11," ")," ")</f>
        <v xml:space="preserve"> </v>
      </c>
      <c r="DK12" s="47" t="str">
        <f ca="1">IFERROR(IF(ISNUMBER($DJ$12),INDEX('1.Locations'!$I$2:$I$32,$DC$12 + 1) + MAX($DJ$12,INDEX('1.Locations'!$F$2:$F$32,$DC$12 + 1))," ")," ")</f>
        <v xml:space="preserve"> </v>
      </c>
      <c r="DL12" s="46" t="str">
        <f ca="1">IFERROR($DL$11 + INDEX('2.Distances'!$D$2:$D$963,$DC$11*31+$DC$12+ 1) + INDEX('1.Locations'!$I$2:$I$32,$DC$12 + 1)," ")</f>
        <v xml:space="preserve"> </v>
      </c>
      <c r="DN12" s="19">
        <v>7</v>
      </c>
      <c r="DO12" s="20"/>
      <c r="DP12" s="44" t="str">
        <f ca="1">IFERROR(MATCH(INDIRECT("$DO$12"),'1.Locations'!$B$2:$B$32, 0) - 1," ")</f>
        <v xml:space="preserve"> </v>
      </c>
      <c r="DQ12" s="44" t="e">
        <f ca="1">IFERROR(IF(ISNUMBER($DP$12),INDEX('1.Locations'!$D$2:$D$32,$DP$12 + 1),NA()),NA())</f>
        <v>#N/A</v>
      </c>
      <c r="DR12" s="44" t="e">
        <f ca="1">IFERROR(IF(ISNUMBER($DP$12),INDEX('1.Locations'!$E$2:$E$32,$DP$12 + 1),NA()),NA())</f>
        <v>#N/A</v>
      </c>
      <c r="DS12" s="45" t="str">
        <f ca="1">IFERROR(IF(AND(ISNUMBER($DP$12),$DP$12&lt;=30),INDEX('2.Distances'!$C$2:$C$963,$DP$11*31+$DP$12+ 1) +$DS$11," ")," ")</f>
        <v xml:space="preserve"> </v>
      </c>
      <c r="DT12" s="44" t="str">
        <f ca="1">IFERROR(IF(ISNUMBER($DP$12),INDEX('1.Locations'!$J$2:$J$32,$DP$12 + 1) +$DT$11," ")," ")</f>
        <v xml:space="preserve"> </v>
      </c>
      <c r="DU12" s="44" t="str">
        <f ca="1">IFERROR(IF(ISNUMBER($DP$12),INDEX('1.Locations'!$K$2:$K$32,$DP$12 + 1) +$DU$11," ")," ")</f>
        <v xml:space="preserve"> </v>
      </c>
      <c r="DV12" s="46" t="str">
        <f ca="1">IFERROR(IF(AND(ISNUMBER($DP$12),$DP$12&lt;=30),INDEX('2.Distances'!$D$2:$D$963,$DP$11*31+$DP$12+ 1) +$DV$11," ")," ")</f>
        <v xml:space="preserve"> </v>
      </c>
      <c r="DW12" s="47" t="str">
        <f ca="1">IFERROR(IF(AND(ISNUMBER($DP$12),$DP$12&lt;=30),INDEX('2.Distances'!$D$2:$D$963,$DP$11*31+$DP$12+ 1) +$DX$11," ")," ")</f>
        <v xml:space="preserve"> </v>
      </c>
      <c r="DX12" s="47" t="str">
        <f ca="1">IFERROR(IF(ISNUMBER($DW$12),INDEX('1.Locations'!$I$2:$I$32,$DP$12 + 1) + MAX($DW$12,INDEX('1.Locations'!$F$2:$F$32,$DP$12 + 1))," ")," ")</f>
        <v xml:space="preserve"> </v>
      </c>
      <c r="DY12" s="46" t="str">
        <f ca="1">IFERROR($DY$11 + INDEX('2.Distances'!$D$2:$D$963,$DP$11*31+$DP$12+ 1) + INDEX('1.Locations'!$I$2:$I$32,$DP$12 + 1)," ")</f>
        <v xml:space="preserve"> </v>
      </c>
      <c r="EA12" s="19">
        <v>7</v>
      </c>
      <c r="EB12" s="20"/>
      <c r="EC12" s="44" t="str">
        <f ca="1">IFERROR(MATCH(INDIRECT("$EB$12"),'1.Locations'!$B$2:$B$32, 0) - 1," ")</f>
        <v xml:space="preserve"> </v>
      </c>
      <c r="ED12" s="44" t="e">
        <f ca="1">IFERROR(IF(ISNUMBER($EC$12),INDEX('1.Locations'!$D$2:$D$32,$EC$12 + 1),NA()),NA())</f>
        <v>#N/A</v>
      </c>
      <c r="EE12" s="44" t="e">
        <f ca="1">IFERROR(IF(ISNUMBER($EC$12),INDEX('1.Locations'!$E$2:$E$32,$EC$12 + 1),NA()),NA())</f>
        <v>#N/A</v>
      </c>
      <c r="EF12" s="45" t="str">
        <f ca="1">IFERROR(IF(AND(ISNUMBER($EC$12),$EC$12&lt;=30),INDEX('2.Distances'!$C$2:$C$963,$EC$11*31+$EC$12+ 1) +$EF$11," ")," ")</f>
        <v xml:space="preserve"> </v>
      </c>
      <c r="EG12" s="44" t="str">
        <f ca="1">IFERROR(IF(ISNUMBER($EC$12),INDEX('1.Locations'!$J$2:$J$32,$EC$12 + 1) +$EG$11," ")," ")</f>
        <v xml:space="preserve"> </v>
      </c>
      <c r="EH12" s="44" t="str">
        <f ca="1">IFERROR(IF(ISNUMBER($EC$12),INDEX('1.Locations'!$K$2:$K$32,$EC$12 + 1) +$EH$11," ")," ")</f>
        <v xml:space="preserve"> </v>
      </c>
      <c r="EI12" s="46" t="str">
        <f ca="1">IFERROR(IF(AND(ISNUMBER($EC$12),$EC$12&lt;=30),INDEX('2.Distances'!$D$2:$D$963,$EC$11*31+$EC$12+ 1) +$EI$11," ")," ")</f>
        <v xml:space="preserve"> </v>
      </c>
      <c r="EJ12" s="47" t="str">
        <f ca="1">IFERROR(IF(AND(ISNUMBER($EC$12),$EC$12&lt;=30),INDEX('2.Distances'!$D$2:$D$963,$EC$11*31+$EC$12+ 1) +$EK$11," ")," ")</f>
        <v xml:space="preserve"> </v>
      </c>
      <c r="EK12" s="47" t="str">
        <f ca="1">IFERROR(IF(ISNUMBER($EJ$12),INDEX('1.Locations'!$I$2:$I$32,$EC$12 + 1) + MAX($EJ$12,INDEX('1.Locations'!$F$2:$F$32,$EC$12 + 1))," ")," ")</f>
        <v xml:space="preserve"> </v>
      </c>
      <c r="EL12" s="46" t="str">
        <f ca="1">IFERROR($EL$11 + INDEX('2.Distances'!$D$2:$D$963,$EC$11*31+$EC$12+ 1) + INDEX('1.Locations'!$I$2:$I$32,$EC$12 + 1)," ")</f>
        <v xml:space="preserve"> </v>
      </c>
      <c r="EN12" s="19">
        <v>7</v>
      </c>
      <c r="EO12" s="20"/>
      <c r="EP12" s="44" t="str">
        <f ca="1">IFERROR(MATCH(INDIRECT("$EO$12"),'1.Locations'!$B$2:$B$32, 0) - 1," ")</f>
        <v xml:space="preserve"> </v>
      </c>
      <c r="EQ12" s="44" t="e">
        <f ca="1">IFERROR(IF(ISNUMBER($EP$12),INDEX('1.Locations'!$D$2:$D$32,$EP$12 + 1),NA()),NA())</f>
        <v>#N/A</v>
      </c>
      <c r="ER12" s="44" t="e">
        <f ca="1">IFERROR(IF(ISNUMBER($EP$12),INDEX('1.Locations'!$E$2:$E$32,$EP$12 + 1),NA()),NA())</f>
        <v>#N/A</v>
      </c>
      <c r="ES12" s="45" t="str">
        <f ca="1">IFERROR(IF(AND(ISNUMBER($EP$12),$EP$12&lt;=30),INDEX('2.Distances'!$C$2:$C$963,$EP$11*31+$EP$12+ 1) +$ES$11," ")," ")</f>
        <v xml:space="preserve"> </v>
      </c>
      <c r="ET12" s="44" t="str">
        <f ca="1">IFERROR(IF(ISNUMBER($EP$12),INDEX('1.Locations'!$J$2:$J$32,$EP$12 + 1) +$ET$11," ")," ")</f>
        <v xml:space="preserve"> </v>
      </c>
      <c r="EU12" s="44" t="str">
        <f ca="1">IFERROR(IF(ISNUMBER($EP$12),INDEX('1.Locations'!$K$2:$K$32,$EP$12 + 1) +$EU$11," ")," ")</f>
        <v xml:space="preserve"> </v>
      </c>
      <c r="EV12" s="46" t="str">
        <f ca="1">IFERROR(IF(AND(ISNUMBER($EP$12),$EP$12&lt;=30),INDEX('2.Distances'!$D$2:$D$963,$EP$11*31+$EP$12+ 1) +$EV$11," ")," ")</f>
        <v xml:space="preserve"> </v>
      </c>
      <c r="EW12" s="47" t="str">
        <f ca="1">IFERROR(IF(AND(ISNUMBER($EP$12),$EP$12&lt;=30),INDEX('2.Distances'!$D$2:$D$963,$EP$11*31+$EP$12+ 1) +$EX$11," ")," ")</f>
        <v xml:space="preserve"> </v>
      </c>
      <c r="EX12" s="47" t="str">
        <f ca="1">IFERROR(IF(ISNUMBER($EW$12),INDEX('1.Locations'!$I$2:$I$32,$EP$12 + 1) + MAX($EW$12,INDEX('1.Locations'!$F$2:$F$32,$EP$12 + 1))," ")," ")</f>
        <v xml:space="preserve"> </v>
      </c>
      <c r="EY12" s="46" t="str">
        <f ca="1">IFERROR($EY$11 + INDEX('2.Distances'!$D$2:$D$963,$EP$11*31+$EP$12+ 1) + INDEX('1.Locations'!$I$2:$I$32,$EP$12 + 1)," ")</f>
        <v xml:space="preserve"> </v>
      </c>
    </row>
    <row r="13" spans="1:155" x14ac:dyDescent="0.2">
      <c r="A13" s="19">
        <v>8</v>
      </c>
      <c r="B13" s="20"/>
      <c r="C13" s="44" t="str">
        <f ca="1">IFERROR(MATCH(INDIRECT("$B$13"),'1.Locations'!$B$2:$B$32, 0) - 1," ")</f>
        <v xml:space="preserve"> </v>
      </c>
      <c r="D13" s="44" t="e">
        <f ca="1">IFERROR(IF(ISNUMBER($C$13),INDEX('1.Locations'!$D$2:$D$32,$C$13 + 1),NA()),NA())</f>
        <v>#N/A</v>
      </c>
      <c r="E13" s="44" t="e">
        <f ca="1">IFERROR(IF(ISNUMBER($C$13),INDEX('1.Locations'!$E$2:$E$32,$C$13 + 1),NA()),NA())</f>
        <v>#N/A</v>
      </c>
      <c r="F13" s="45" t="str">
        <f ca="1">IFERROR(IF(AND(ISNUMBER($C$13),$C$13&lt;=30),INDEX('2.Distances'!$C$2:$C$963,$C$12*31+$C$13+ 1) +$F$12," ")," ")</f>
        <v xml:space="preserve"> </v>
      </c>
      <c r="G13" s="44" t="str">
        <f ca="1">IFERROR(IF(ISNUMBER($C$13),INDEX('1.Locations'!$J$2:$J$32,$C$13 + 1) +$G$12," ")," ")</f>
        <v xml:space="preserve"> </v>
      </c>
      <c r="H13" s="44" t="str">
        <f ca="1">IFERROR(IF(ISNUMBER($C$13),INDEX('1.Locations'!$K$2:$K$32,$C$13 + 1) +$H$12," ")," ")</f>
        <v xml:space="preserve"> </v>
      </c>
      <c r="I13" s="46" t="str">
        <f ca="1">IFERROR(IF(AND(ISNUMBER($C$13),$C$13&lt;=30),INDEX('2.Distances'!$D$2:$D$963,$C$12*31+$C$13+ 1) +$I$12," ")," ")</f>
        <v xml:space="preserve"> </v>
      </c>
      <c r="J13" s="47" t="str">
        <f ca="1">IFERROR(IF(AND(ISNUMBER($C$13),$C$13&lt;=30),INDEX('2.Distances'!$D$2:$D$963,$C$12*31+$C$13+ 1) +$K$12," ")," ")</f>
        <v xml:space="preserve"> </v>
      </c>
      <c r="K13" s="47" t="str">
        <f ca="1">IFERROR(IF(ISNUMBER($J$13),INDEX('1.Locations'!$I$2:$I$32,$C$13 + 1) + MAX($J$13,INDEX('1.Locations'!$F$2:$F$32,$C$13 + 1))," ")," ")</f>
        <v xml:space="preserve"> </v>
      </c>
      <c r="L13" s="46" t="str">
        <f ca="1">IFERROR($L$12 + INDEX('2.Distances'!$D$2:$D$963,$C$12*31+$C$13+ 1) + INDEX('1.Locations'!$I$2:$I$32,$C$13 + 1)," ")</f>
        <v xml:space="preserve"> </v>
      </c>
      <c r="N13" s="19">
        <v>8</v>
      </c>
      <c r="O13" s="20"/>
      <c r="P13" s="44" t="str">
        <f ca="1">IFERROR(MATCH(INDIRECT("$O$13"),'1.Locations'!$B$2:$B$32, 0) - 1," ")</f>
        <v xml:space="preserve"> </v>
      </c>
      <c r="Q13" s="44" t="e">
        <f ca="1">IFERROR(IF(ISNUMBER($P$13),INDEX('1.Locations'!$D$2:$D$32,$P$13 + 1),NA()),NA())</f>
        <v>#N/A</v>
      </c>
      <c r="R13" s="44" t="e">
        <f ca="1">IFERROR(IF(ISNUMBER($P$13),INDEX('1.Locations'!$E$2:$E$32,$P$13 + 1),NA()),NA())</f>
        <v>#N/A</v>
      </c>
      <c r="S13" s="45" t="str">
        <f ca="1">IFERROR(IF(AND(ISNUMBER($P$13),$P$13&lt;=30),INDEX('2.Distances'!$C$2:$C$963,$P$12*31+$P$13+ 1) +$S$12," ")," ")</f>
        <v xml:space="preserve"> </v>
      </c>
      <c r="T13" s="44" t="str">
        <f ca="1">IFERROR(IF(ISNUMBER($P$13),INDEX('1.Locations'!$J$2:$J$32,$P$13 + 1) +$T$12," ")," ")</f>
        <v xml:space="preserve"> </v>
      </c>
      <c r="U13" s="44" t="str">
        <f ca="1">IFERROR(IF(ISNUMBER($P$13),INDEX('1.Locations'!$K$2:$K$32,$P$13 + 1) +$U$12," ")," ")</f>
        <v xml:space="preserve"> </v>
      </c>
      <c r="V13" s="46" t="str">
        <f ca="1">IFERROR(IF(AND(ISNUMBER($P$13),$P$13&lt;=30),INDEX('2.Distances'!$D$2:$D$963,$P$12*31+$P$13+ 1) +$V$12," ")," ")</f>
        <v xml:space="preserve"> </v>
      </c>
      <c r="W13" s="47" t="str">
        <f ca="1">IFERROR(IF(AND(ISNUMBER($P$13),$P$13&lt;=30),INDEX('2.Distances'!$D$2:$D$963,$P$12*31+$P$13+ 1) +$X$12," ")," ")</f>
        <v xml:space="preserve"> </v>
      </c>
      <c r="X13" s="47" t="str">
        <f ca="1">IFERROR(IF(ISNUMBER($W$13),INDEX('1.Locations'!$I$2:$I$32,$P$13 + 1) + MAX($W$13,INDEX('1.Locations'!$F$2:$F$32,$P$13 + 1))," ")," ")</f>
        <v xml:space="preserve"> </v>
      </c>
      <c r="Y13" s="46" t="str">
        <f ca="1">IFERROR($Y$12 + INDEX('2.Distances'!$D$2:$D$963,$P$12*31+$P$13+ 1) + INDEX('1.Locations'!$I$2:$I$32,$P$13 + 1)," ")</f>
        <v xml:space="preserve"> </v>
      </c>
      <c r="AA13" s="19">
        <v>8</v>
      </c>
      <c r="AB13" s="20"/>
      <c r="AC13" s="44" t="str">
        <f ca="1">IFERROR(MATCH(INDIRECT("$AB$13"),'1.Locations'!$B$2:$B$32, 0) - 1," ")</f>
        <v xml:space="preserve"> </v>
      </c>
      <c r="AD13" s="44" t="e">
        <f ca="1">IFERROR(IF(ISNUMBER($AC$13),INDEX('1.Locations'!$D$2:$D$32,$AC$13 + 1),NA()),NA())</f>
        <v>#N/A</v>
      </c>
      <c r="AE13" s="44" t="e">
        <f ca="1">IFERROR(IF(ISNUMBER($AC$13),INDEX('1.Locations'!$E$2:$E$32,$AC$13 + 1),NA()),NA())</f>
        <v>#N/A</v>
      </c>
      <c r="AF13" s="45" t="str">
        <f ca="1">IFERROR(IF(AND(ISNUMBER($AC$13),$AC$13&lt;=30),INDEX('2.Distances'!$C$2:$C$963,$AC$12*31+$AC$13+ 1) +$AF$12," ")," ")</f>
        <v xml:space="preserve"> </v>
      </c>
      <c r="AG13" s="44" t="str">
        <f ca="1">IFERROR(IF(ISNUMBER($AC$13),INDEX('1.Locations'!$J$2:$J$32,$AC$13 + 1) +$AG$12," ")," ")</f>
        <v xml:space="preserve"> </v>
      </c>
      <c r="AH13" s="44" t="str">
        <f ca="1">IFERROR(IF(ISNUMBER($AC$13),INDEX('1.Locations'!$K$2:$K$32,$AC$13 + 1) +$AH$12," ")," ")</f>
        <v xml:space="preserve"> </v>
      </c>
      <c r="AI13" s="46" t="str">
        <f ca="1">IFERROR(IF(AND(ISNUMBER($AC$13),$AC$13&lt;=30),INDEX('2.Distances'!$D$2:$D$963,$AC$12*31+$AC$13+ 1) +$AI$12," ")," ")</f>
        <v xml:space="preserve"> </v>
      </c>
      <c r="AJ13" s="47" t="str">
        <f ca="1">IFERROR(IF(AND(ISNUMBER($AC$13),$AC$13&lt;=30),INDEX('2.Distances'!$D$2:$D$963,$AC$12*31+$AC$13+ 1) +$AK$12," ")," ")</f>
        <v xml:space="preserve"> </v>
      </c>
      <c r="AK13" s="47" t="str">
        <f ca="1">IFERROR(IF(ISNUMBER($AJ$13),INDEX('1.Locations'!$I$2:$I$32,$AC$13 + 1) + MAX($AJ$13,INDEX('1.Locations'!$F$2:$F$32,$AC$13 + 1))," ")," ")</f>
        <v xml:space="preserve"> </v>
      </c>
      <c r="AL13" s="46" t="str">
        <f ca="1">IFERROR($AL$12 + INDEX('2.Distances'!$D$2:$D$963,$AC$12*31+$AC$13+ 1) + INDEX('1.Locations'!$I$2:$I$32,$AC$13 + 1)," ")</f>
        <v xml:space="preserve"> </v>
      </c>
      <c r="AN13" s="19">
        <v>8</v>
      </c>
      <c r="AO13" s="20"/>
      <c r="AP13" s="44" t="str">
        <f ca="1">IFERROR(MATCH(INDIRECT("$AO$13"),'1.Locations'!$B$2:$B$32, 0) - 1," ")</f>
        <v xml:space="preserve"> </v>
      </c>
      <c r="AQ13" s="44" t="e">
        <f ca="1">IFERROR(IF(ISNUMBER($AP$13),INDEX('1.Locations'!$D$2:$D$32,$AP$13 + 1),NA()),NA())</f>
        <v>#N/A</v>
      </c>
      <c r="AR13" s="44" t="e">
        <f ca="1">IFERROR(IF(ISNUMBER($AP$13),INDEX('1.Locations'!$E$2:$E$32,$AP$13 + 1),NA()),NA())</f>
        <v>#N/A</v>
      </c>
      <c r="AS13" s="45" t="str">
        <f ca="1">IFERROR(IF(AND(ISNUMBER($AP$13),$AP$13&lt;=30),INDEX('2.Distances'!$C$2:$C$963,$AP$12*31+$AP$13+ 1) +$AS$12," ")," ")</f>
        <v xml:space="preserve"> </v>
      </c>
      <c r="AT13" s="44" t="str">
        <f ca="1">IFERROR(IF(ISNUMBER($AP$13),INDEX('1.Locations'!$J$2:$J$32,$AP$13 + 1) +$AT$12," ")," ")</f>
        <v xml:space="preserve"> </v>
      </c>
      <c r="AU13" s="44" t="str">
        <f ca="1">IFERROR(IF(ISNUMBER($AP$13),INDEX('1.Locations'!$K$2:$K$32,$AP$13 + 1) +$AU$12," ")," ")</f>
        <v xml:space="preserve"> </v>
      </c>
      <c r="AV13" s="46" t="str">
        <f ca="1">IFERROR(IF(AND(ISNUMBER($AP$13),$AP$13&lt;=30),INDEX('2.Distances'!$D$2:$D$963,$AP$12*31+$AP$13+ 1) +$AV$12," ")," ")</f>
        <v xml:space="preserve"> </v>
      </c>
      <c r="AW13" s="47" t="str">
        <f ca="1">IFERROR(IF(AND(ISNUMBER($AP$13),$AP$13&lt;=30),INDEX('2.Distances'!$D$2:$D$963,$AP$12*31+$AP$13+ 1) +$AX$12," ")," ")</f>
        <v xml:space="preserve"> </v>
      </c>
      <c r="AX13" s="47" t="str">
        <f ca="1">IFERROR(IF(ISNUMBER($AW$13),INDEX('1.Locations'!$I$2:$I$32,$AP$13 + 1) + MAX($AW$13,INDEX('1.Locations'!$F$2:$F$32,$AP$13 + 1))," ")," ")</f>
        <v xml:space="preserve"> </v>
      </c>
      <c r="AY13" s="46" t="str">
        <f ca="1">IFERROR($AY$12 + INDEX('2.Distances'!$D$2:$D$963,$AP$12*31+$AP$13+ 1) + INDEX('1.Locations'!$I$2:$I$32,$AP$13 + 1)," ")</f>
        <v xml:space="preserve"> </v>
      </c>
      <c r="BA13" s="19">
        <v>8</v>
      </c>
      <c r="BB13" s="20"/>
      <c r="BC13" s="44" t="str">
        <f ca="1">IFERROR(MATCH(INDIRECT("$BB$13"),'1.Locations'!$B$2:$B$32, 0) - 1," ")</f>
        <v xml:space="preserve"> </v>
      </c>
      <c r="BD13" s="44" t="e">
        <f ca="1">IFERROR(IF(ISNUMBER($BC$13),INDEX('1.Locations'!$D$2:$D$32,$BC$13 + 1),NA()),NA())</f>
        <v>#N/A</v>
      </c>
      <c r="BE13" s="44" t="e">
        <f ca="1">IFERROR(IF(ISNUMBER($BC$13),INDEX('1.Locations'!$E$2:$E$32,$BC$13 + 1),NA()),NA())</f>
        <v>#N/A</v>
      </c>
      <c r="BF13" s="45" t="str">
        <f ca="1">IFERROR(IF(AND(ISNUMBER($BC$13),$BC$13&lt;=30),INDEX('2.Distances'!$C$2:$C$963,$BC$12*31+$BC$13+ 1) +$BF$12," ")," ")</f>
        <v xml:space="preserve"> </v>
      </c>
      <c r="BG13" s="44" t="str">
        <f ca="1">IFERROR(IF(ISNUMBER($BC$13),INDEX('1.Locations'!$J$2:$J$32,$BC$13 + 1) +$BG$12," ")," ")</f>
        <v xml:space="preserve"> </v>
      </c>
      <c r="BH13" s="44" t="str">
        <f ca="1">IFERROR(IF(ISNUMBER($BC$13),INDEX('1.Locations'!$K$2:$K$32,$BC$13 + 1) +$BH$12," ")," ")</f>
        <v xml:space="preserve"> </v>
      </c>
      <c r="BI13" s="46" t="str">
        <f ca="1">IFERROR(IF(AND(ISNUMBER($BC$13),$BC$13&lt;=30),INDEX('2.Distances'!$D$2:$D$963,$BC$12*31+$BC$13+ 1) +$BI$12," ")," ")</f>
        <v xml:space="preserve"> </v>
      </c>
      <c r="BJ13" s="47" t="str">
        <f ca="1">IFERROR(IF(AND(ISNUMBER($BC$13),$BC$13&lt;=30),INDEX('2.Distances'!$D$2:$D$963,$BC$12*31+$BC$13+ 1) +$BK$12," ")," ")</f>
        <v xml:space="preserve"> </v>
      </c>
      <c r="BK13" s="47" t="str">
        <f ca="1">IFERROR(IF(ISNUMBER($BJ$13),INDEX('1.Locations'!$I$2:$I$32,$BC$13 + 1) + MAX($BJ$13,INDEX('1.Locations'!$F$2:$F$32,$BC$13 + 1))," ")," ")</f>
        <v xml:space="preserve"> </v>
      </c>
      <c r="BL13" s="46" t="str">
        <f ca="1">IFERROR($BL$12 + INDEX('2.Distances'!$D$2:$D$963,$BC$12*31+$BC$13+ 1) + INDEX('1.Locations'!$I$2:$I$32,$BC$13 + 1)," ")</f>
        <v xml:space="preserve"> </v>
      </c>
      <c r="BN13" s="19">
        <v>8</v>
      </c>
      <c r="BO13" s="20"/>
      <c r="BP13" s="44" t="str">
        <f ca="1">IFERROR(MATCH(INDIRECT("$BO$13"),'1.Locations'!$B$2:$B$32, 0) - 1," ")</f>
        <v xml:space="preserve"> </v>
      </c>
      <c r="BQ13" s="44" t="e">
        <f ca="1">IFERROR(IF(ISNUMBER($BP$13),INDEX('1.Locations'!$D$2:$D$32,$BP$13 + 1),NA()),NA())</f>
        <v>#N/A</v>
      </c>
      <c r="BR13" s="44" t="e">
        <f ca="1">IFERROR(IF(ISNUMBER($BP$13),INDEX('1.Locations'!$E$2:$E$32,$BP$13 + 1),NA()),NA())</f>
        <v>#N/A</v>
      </c>
      <c r="BS13" s="45" t="str">
        <f ca="1">IFERROR(IF(AND(ISNUMBER($BP$13),$BP$13&lt;=30),INDEX('2.Distances'!$C$2:$C$963,$BP$12*31+$BP$13+ 1) +$BS$12," ")," ")</f>
        <v xml:space="preserve"> </v>
      </c>
      <c r="BT13" s="44" t="str">
        <f ca="1">IFERROR(IF(ISNUMBER($BP$13),INDEX('1.Locations'!$J$2:$J$32,$BP$13 + 1) +$BT$12," ")," ")</f>
        <v xml:space="preserve"> </v>
      </c>
      <c r="BU13" s="44" t="str">
        <f ca="1">IFERROR(IF(ISNUMBER($BP$13),INDEX('1.Locations'!$K$2:$K$32,$BP$13 + 1) +$BU$12," ")," ")</f>
        <v xml:space="preserve"> </v>
      </c>
      <c r="BV13" s="46" t="str">
        <f ca="1">IFERROR(IF(AND(ISNUMBER($BP$13),$BP$13&lt;=30),INDEX('2.Distances'!$D$2:$D$963,$BP$12*31+$BP$13+ 1) +$BV$12," ")," ")</f>
        <v xml:space="preserve"> </v>
      </c>
      <c r="BW13" s="47" t="str">
        <f ca="1">IFERROR(IF(AND(ISNUMBER($BP$13),$BP$13&lt;=30),INDEX('2.Distances'!$D$2:$D$963,$BP$12*31+$BP$13+ 1) +$BX$12," ")," ")</f>
        <v xml:space="preserve"> </v>
      </c>
      <c r="BX13" s="47" t="str">
        <f ca="1">IFERROR(IF(ISNUMBER($BW$13),INDEX('1.Locations'!$I$2:$I$32,$BP$13 + 1) + MAX($BW$13,INDEX('1.Locations'!$F$2:$F$32,$BP$13 + 1))," ")," ")</f>
        <v xml:space="preserve"> </v>
      </c>
      <c r="BY13" s="46" t="str">
        <f ca="1">IFERROR($BY$12 + INDEX('2.Distances'!$D$2:$D$963,$BP$12*31+$BP$13+ 1) + INDEX('1.Locations'!$I$2:$I$32,$BP$13 + 1)," ")</f>
        <v xml:space="preserve"> </v>
      </c>
      <c r="CA13" s="19">
        <v>8</v>
      </c>
      <c r="CB13" s="20"/>
      <c r="CC13" s="44" t="str">
        <f ca="1">IFERROR(MATCH(INDIRECT("$CB$13"),'1.Locations'!$B$2:$B$32, 0) - 1," ")</f>
        <v xml:space="preserve"> </v>
      </c>
      <c r="CD13" s="44" t="e">
        <f ca="1">IFERROR(IF(ISNUMBER($CC$13),INDEX('1.Locations'!$D$2:$D$32,$CC$13 + 1),NA()),NA())</f>
        <v>#N/A</v>
      </c>
      <c r="CE13" s="44" t="e">
        <f ca="1">IFERROR(IF(ISNUMBER($CC$13),INDEX('1.Locations'!$E$2:$E$32,$CC$13 + 1),NA()),NA())</f>
        <v>#N/A</v>
      </c>
      <c r="CF13" s="45" t="str">
        <f ca="1">IFERROR(IF(AND(ISNUMBER($CC$13),$CC$13&lt;=30),INDEX('2.Distances'!$C$2:$C$963,$CC$12*31+$CC$13+ 1) +$CF$12," ")," ")</f>
        <v xml:space="preserve"> </v>
      </c>
      <c r="CG13" s="44" t="str">
        <f ca="1">IFERROR(IF(ISNUMBER($CC$13),INDEX('1.Locations'!$J$2:$J$32,$CC$13 + 1) +$CG$12," ")," ")</f>
        <v xml:space="preserve"> </v>
      </c>
      <c r="CH13" s="44" t="str">
        <f ca="1">IFERROR(IF(ISNUMBER($CC$13),INDEX('1.Locations'!$K$2:$K$32,$CC$13 + 1) +$CH$12," ")," ")</f>
        <v xml:space="preserve"> </v>
      </c>
      <c r="CI13" s="46" t="str">
        <f ca="1">IFERROR(IF(AND(ISNUMBER($CC$13),$CC$13&lt;=30),INDEX('2.Distances'!$D$2:$D$963,$CC$12*31+$CC$13+ 1) +$CI$12," ")," ")</f>
        <v xml:space="preserve"> </v>
      </c>
      <c r="CJ13" s="47" t="str">
        <f ca="1">IFERROR(IF(AND(ISNUMBER($CC$13),$CC$13&lt;=30),INDEX('2.Distances'!$D$2:$D$963,$CC$12*31+$CC$13+ 1) +$CK$12," ")," ")</f>
        <v xml:space="preserve"> </v>
      </c>
      <c r="CK13" s="47" t="str">
        <f ca="1">IFERROR(IF(ISNUMBER($CJ$13),INDEX('1.Locations'!$I$2:$I$32,$CC$13 + 1) + MAX($CJ$13,INDEX('1.Locations'!$F$2:$F$32,$CC$13 + 1))," ")," ")</f>
        <v xml:space="preserve"> </v>
      </c>
      <c r="CL13" s="46" t="str">
        <f ca="1">IFERROR($CL$12 + INDEX('2.Distances'!$D$2:$D$963,$CC$12*31+$CC$13+ 1) + INDEX('1.Locations'!$I$2:$I$32,$CC$13 + 1)," ")</f>
        <v xml:space="preserve"> </v>
      </c>
      <c r="CN13" s="19">
        <v>8</v>
      </c>
      <c r="CO13" s="20"/>
      <c r="CP13" s="44" t="str">
        <f ca="1">IFERROR(MATCH(INDIRECT("$CO$13"),'1.Locations'!$B$2:$B$32, 0) - 1," ")</f>
        <v xml:space="preserve"> </v>
      </c>
      <c r="CQ13" s="44" t="e">
        <f ca="1">IFERROR(IF(ISNUMBER($CP$13),INDEX('1.Locations'!$D$2:$D$32,$CP$13 + 1),NA()),NA())</f>
        <v>#N/A</v>
      </c>
      <c r="CR13" s="44" t="e">
        <f ca="1">IFERROR(IF(ISNUMBER($CP$13),INDEX('1.Locations'!$E$2:$E$32,$CP$13 + 1),NA()),NA())</f>
        <v>#N/A</v>
      </c>
      <c r="CS13" s="45" t="str">
        <f ca="1">IFERROR(IF(AND(ISNUMBER($CP$13),$CP$13&lt;=30),INDEX('2.Distances'!$C$2:$C$963,$CP$12*31+$CP$13+ 1) +$CS$12," ")," ")</f>
        <v xml:space="preserve"> </v>
      </c>
      <c r="CT13" s="44" t="str">
        <f ca="1">IFERROR(IF(ISNUMBER($CP$13),INDEX('1.Locations'!$J$2:$J$32,$CP$13 + 1) +$CT$12," ")," ")</f>
        <v xml:space="preserve"> </v>
      </c>
      <c r="CU13" s="44" t="str">
        <f ca="1">IFERROR(IF(ISNUMBER($CP$13),INDEX('1.Locations'!$K$2:$K$32,$CP$13 + 1) +$CU$12," ")," ")</f>
        <v xml:space="preserve"> </v>
      </c>
      <c r="CV13" s="46" t="str">
        <f ca="1">IFERROR(IF(AND(ISNUMBER($CP$13),$CP$13&lt;=30),INDEX('2.Distances'!$D$2:$D$963,$CP$12*31+$CP$13+ 1) +$CV$12," ")," ")</f>
        <v xml:space="preserve"> </v>
      </c>
      <c r="CW13" s="47" t="str">
        <f ca="1">IFERROR(IF(AND(ISNUMBER($CP$13),$CP$13&lt;=30),INDEX('2.Distances'!$D$2:$D$963,$CP$12*31+$CP$13+ 1) +$CX$12," ")," ")</f>
        <v xml:space="preserve"> </v>
      </c>
      <c r="CX13" s="47" t="str">
        <f ca="1">IFERROR(IF(ISNUMBER($CW$13),INDEX('1.Locations'!$I$2:$I$32,$CP$13 + 1) + MAX($CW$13,INDEX('1.Locations'!$F$2:$F$32,$CP$13 + 1))," ")," ")</f>
        <v xml:space="preserve"> </v>
      </c>
      <c r="CY13" s="46" t="str">
        <f ca="1">IFERROR($CY$12 + INDEX('2.Distances'!$D$2:$D$963,$CP$12*31+$CP$13+ 1) + INDEX('1.Locations'!$I$2:$I$32,$CP$13 + 1)," ")</f>
        <v xml:space="preserve"> </v>
      </c>
      <c r="DA13" s="19">
        <v>8</v>
      </c>
      <c r="DB13" s="20"/>
      <c r="DC13" s="44" t="str">
        <f ca="1">IFERROR(MATCH(INDIRECT("$DB$13"),'1.Locations'!$B$2:$B$32, 0) - 1," ")</f>
        <v xml:space="preserve"> </v>
      </c>
      <c r="DD13" s="44" t="e">
        <f ca="1">IFERROR(IF(ISNUMBER($DC$13),INDEX('1.Locations'!$D$2:$D$32,$DC$13 + 1),NA()),NA())</f>
        <v>#N/A</v>
      </c>
      <c r="DE13" s="44" t="e">
        <f ca="1">IFERROR(IF(ISNUMBER($DC$13),INDEX('1.Locations'!$E$2:$E$32,$DC$13 + 1),NA()),NA())</f>
        <v>#N/A</v>
      </c>
      <c r="DF13" s="45" t="str">
        <f ca="1">IFERROR(IF(AND(ISNUMBER($DC$13),$DC$13&lt;=30),INDEX('2.Distances'!$C$2:$C$963,$DC$12*31+$DC$13+ 1) +$DF$12," ")," ")</f>
        <v xml:space="preserve"> </v>
      </c>
      <c r="DG13" s="44" t="str">
        <f ca="1">IFERROR(IF(ISNUMBER($DC$13),INDEX('1.Locations'!$J$2:$J$32,$DC$13 + 1) +$DG$12," ")," ")</f>
        <v xml:space="preserve"> </v>
      </c>
      <c r="DH13" s="44" t="str">
        <f ca="1">IFERROR(IF(ISNUMBER($DC$13),INDEX('1.Locations'!$K$2:$K$32,$DC$13 + 1) +$DH$12," ")," ")</f>
        <v xml:space="preserve"> </v>
      </c>
      <c r="DI13" s="46" t="str">
        <f ca="1">IFERROR(IF(AND(ISNUMBER($DC$13),$DC$13&lt;=30),INDEX('2.Distances'!$D$2:$D$963,$DC$12*31+$DC$13+ 1) +$DI$12," ")," ")</f>
        <v xml:space="preserve"> </v>
      </c>
      <c r="DJ13" s="47" t="str">
        <f ca="1">IFERROR(IF(AND(ISNUMBER($DC$13),$DC$13&lt;=30),INDEX('2.Distances'!$D$2:$D$963,$DC$12*31+$DC$13+ 1) +$DK$12," ")," ")</f>
        <v xml:space="preserve"> </v>
      </c>
      <c r="DK13" s="47" t="str">
        <f ca="1">IFERROR(IF(ISNUMBER($DJ$13),INDEX('1.Locations'!$I$2:$I$32,$DC$13 + 1) + MAX($DJ$13,INDEX('1.Locations'!$F$2:$F$32,$DC$13 + 1))," ")," ")</f>
        <v xml:space="preserve"> </v>
      </c>
      <c r="DL13" s="46" t="str">
        <f ca="1">IFERROR($DL$12 + INDEX('2.Distances'!$D$2:$D$963,$DC$12*31+$DC$13+ 1) + INDEX('1.Locations'!$I$2:$I$32,$DC$13 + 1)," ")</f>
        <v xml:space="preserve"> </v>
      </c>
      <c r="DN13" s="19">
        <v>8</v>
      </c>
      <c r="DO13" s="20"/>
      <c r="DP13" s="44" t="str">
        <f ca="1">IFERROR(MATCH(INDIRECT("$DO$13"),'1.Locations'!$B$2:$B$32, 0) - 1," ")</f>
        <v xml:space="preserve"> </v>
      </c>
      <c r="DQ13" s="44" t="e">
        <f ca="1">IFERROR(IF(ISNUMBER($DP$13),INDEX('1.Locations'!$D$2:$D$32,$DP$13 + 1),NA()),NA())</f>
        <v>#N/A</v>
      </c>
      <c r="DR13" s="44" t="e">
        <f ca="1">IFERROR(IF(ISNUMBER($DP$13),INDEX('1.Locations'!$E$2:$E$32,$DP$13 + 1),NA()),NA())</f>
        <v>#N/A</v>
      </c>
      <c r="DS13" s="45" t="str">
        <f ca="1">IFERROR(IF(AND(ISNUMBER($DP$13),$DP$13&lt;=30),INDEX('2.Distances'!$C$2:$C$963,$DP$12*31+$DP$13+ 1) +$DS$12," ")," ")</f>
        <v xml:space="preserve"> </v>
      </c>
      <c r="DT13" s="44" t="str">
        <f ca="1">IFERROR(IF(ISNUMBER($DP$13),INDEX('1.Locations'!$J$2:$J$32,$DP$13 + 1) +$DT$12," ")," ")</f>
        <v xml:space="preserve"> </v>
      </c>
      <c r="DU13" s="44" t="str">
        <f ca="1">IFERROR(IF(ISNUMBER($DP$13),INDEX('1.Locations'!$K$2:$K$32,$DP$13 + 1) +$DU$12," ")," ")</f>
        <v xml:space="preserve"> </v>
      </c>
      <c r="DV13" s="46" t="str">
        <f ca="1">IFERROR(IF(AND(ISNUMBER($DP$13),$DP$13&lt;=30),INDEX('2.Distances'!$D$2:$D$963,$DP$12*31+$DP$13+ 1) +$DV$12," ")," ")</f>
        <v xml:space="preserve"> </v>
      </c>
      <c r="DW13" s="47" t="str">
        <f ca="1">IFERROR(IF(AND(ISNUMBER($DP$13),$DP$13&lt;=30),INDEX('2.Distances'!$D$2:$D$963,$DP$12*31+$DP$13+ 1) +$DX$12," ")," ")</f>
        <v xml:space="preserve"> </v>
      </c>
      <c r="DX13" s="47" t="str">
        <f ca="1">IFERROR(IF(ISNUMBER($DW$13),INDEX('1.Locations'!$I$2:$I$32,$DP$13 + 1) + MAX($DW$13,INDEX('1.Locations'!$F$2:$F$32,$DP$13 + 1))," ")," ")</f>
        <v xml:space="preserve"> </v>
      </c>
      <c r="DY13" s="46" t="str">
        <f ca="1">IFERROR($DY$12 + INDEX('2.Distances'!$D$2:$D$963,$DP$12*31+$DP$13+ 1) + INDEX('1.Locations'!$I$2:$I$32,$DP$13 + 1)," ")</f>
        <v xml:space="preserve"> </v>
      </c>
      <c r="EA13" s="19">
        <v>8</v>
      </c>
      <c r="EB13" s="20"/>
      <c r="EC13" s="44" t="str">
        <f ca="1">IFERROR(MATCH(INDIRECT("$EB$13"),'1.Locations'!$B$2:$B$32, 0) - 1," ")</f>
        <v xml:space="preserve"> </v>
      </c>
      <c r="ED13" s="44" t="e">
        <f ca="1">IFERROR(IF(ISNUMBER($EC$13),INDEX('1.Locations'!$D$2:$D$32,$EC$13 + 1),NA()),NA())</f>
        <v>#N/A</v>
      </c>
      <c r="EE13" s="44" t="e">
        <f ca="1">IFERROR(IF(ISNUMBER($EC$13),INDEX('1.Locations'!$E$2:$E$32,$EC$13 + 1),NA()),NA())</f>
        <v>#N/A</v>
      </c>
      <c r="EF13" s="45" t="str">
        <f ca="1">IFERROR(IF(AND(ISNUMBER($EC$13),$EC$13&lt;=30),INDEX('2.Distances'!$C$2:$C$963,$EC$12*31+$EC$13+ 1) +$EF$12," ")," ")</f>
        <v xml:space="preserve"> </v>
      </c>
      <c r="EG13" s="44" t="str">
        <f ca="1">IFERROR(IF(ISNUMBER($EC$13),INDEX('1.Locations'!$J$2:$J$32,$EC$13 + 1) +$EG$12," ")," ")</f>
        <v xml:space="preserve"> </v>
      </c>
      <c r="EH13" s="44" t="str">
        <f ca="1">IFERROR(IF(ISNUMBER($EC$13),INDEX('1.Locations'!$K$2:$K$32,$EC$13 + 1) +$EH$12," ")," ")</f>
        <v xml:space="preserve"> </v>
      </c>
      <c r="EI13" s="46" t="str">
        <f ca="1">IFERROR(IF(AND(ISNUMBER($EC$13),$EC$13&lt;=30),INDEX('2.Distances'!$D$2:$D$963,$EC$12*31+$EC$13+ 1) +$EI$12," ")," ")</f>
        <v xml:space="preserve"> </v>
      </c>
      <c r="EJ13" s="47" t="str">
        <f ca="1">IFERROR(IF(AND(ISNUMBER($EC$13),$EC$13&lt;=30),INDEX('2.Distances'!$D$2:$D$963,$EC$12*31+$EC$13+ 1) +$EK$12," ")," ")</f>
        <v xml:space="preserve"> </v>
      </c>
      <c r="EK13" s="47" t="str">
        <f ca="1">IFERROR(IF(ISNUMBER($EJ$13),INDEX('1.Locations'!$I$2:$I$32,$EC$13 + 1) + MAX($EJ$13,INDEX('1.Locations'!$F$2:$F$32,$EC$13 + 1))," ")," ")</f>
        <v xml:space="preserve"> </v>
      </c>
      <c r="EL13" s="46" t="str">
        <f ca="1">IFERROR($EL$12 + INDEX('2.Distances'!$D$2:$D$963,$EC$12*31+$EC$13+ 1) + INDEX('1.Locations'!$I$2:$I$32,$EC$13 + 1)," ")</f>
        <v xml:space="preserve"> </v>
      </c>
      <c r="EN13" s="19">
        <v>8</v>
      </c>
      <c r="EO13" s="20"/>
      <c r="EP13" s="44" t="str">
        <f ca="1">IFERROR(MATCH(INDIRECT("$EO$13"),'1.Locations'!$B$2:$B$32, 0) - 1," ")</f>
        <v xml:space="preserve"> </v>
      </c>
      <c r="EQ13" s="44" t="e">
        <f ca="1">IFERROR(IF(ISNUMBER($EP$13),INDEX('1.Locations'!$D$2:$D$32,$EP$13 + 1),NA()),NA())</f>
        <v>#N/A</v>
      </c>
      <c r="ER13" s="44" t="e">
        <f ca="1">IFERROR(IF(ISNUMBER($EP$13),INDEX('1.Locations'!$E$2:$E$32,$EP$13 + 1),NA()),NA())</f>
        <v>#N/A</v>
      </c>
      <c r="ES13" s="45" t="str">
        <f ca="1">IFERROR(IF(AND(ISNUMBER($EP$13),$EP$13&lt;=30),INDEX('2.Distances'!$C$2:$C$963,$EP$12*31+$EP$13+ 1) +$ES$12," ")," ")</f>
        <v xml:space="preserve"> </v>
      </c>
      <c r="ET13" s="44" t="str">
        <f ca="1">IFERROR(IF(ISNUMBER($EP$13),INDEX('1.Locations'!$J$2:$J$32,$EP$13 + 1) +$ET$12," ")," ")</f>
        <v xml:space="preserve"> </v>
      </c>
      <c r="EU13" s="44" t="str">
        <f ca="1">IFERROR(IF(ISNUMBER($EP$13),INDEX('1.Locations'!$K$2:$K$32,$EP$13 + 1) +$EU$12," ")," ")</f>
        <v xml:space="preserve"> </v>
      </c>
      <c r="EV13" s="46" t="str">
        <f ca="1">IFERROR(IF(AND(ISNUMBER($EP$13),$EP$13&lt;=30),INDEX('2.Distances'!$D$2:$D$963,$EP$12*31+$EP$13+ 1) +$EV$12," ")," ")</f>
        <v xml:space="preserve"> </v>
      </c>
      <c r="EW13" s="47" t="str">
        <f ca="1">IFERROR(IF(AND(ISNUMBER($EP$13),$EP$13&lt;=30),INDEX('2.Distances'!$D$2:$D$963,$EP$12*31+$EP$13+ 1) +$EX$12," ")," ")</f>
        <v xml:space="preserve"> </v>
      </c>
      <c r="EX13" s="47" t="str">
        <f ca="1">IFERROR(IF(ISNUMBER($EW$13),INDEX('1.Locations'!$I$2:$I$32,$EP$13 + 1) + MAX($EW$13,INDEX('1.Locations'!$F$2:$F$32,$EP$13 + 1))," ")," ")</f>
        <v xml:space="preserve"> </v>
      </c>
      <c r="EY13" s="46" t="str">
        <f ca="1">IFERROR($EY$12 + INDEX('2.Distances'!$D$2:$D$963,$EP$12*31+$EP$13+ 1) + INDEX('1.Locations'!$I$2:$I$32,$EP$13 + 1)," ")</f>
        <v xml:space="preserve"> </v>
      </c>
    </row>
    <row r="14" spans="1:155" x14ac:dyDescent="0.2">
      <c r="A14" s="19">
        <v>9</v>
      </c>
      <c r="B14" s="20"/>
      <c r="C14" s="44" t="str">
        <f ca="1">IFERROR(MATCH(INDIRECT("$B$14"),'1.Locations'!$B$2:$B$32, 0) - 1," ")</f>
        <v xml:space="preserve"> </v>
      </c>
      <c r="D14" s="44" t="e">
        <f ca="1">IFERROR(IF(ISNUMBER($C$14),INDEX('1.Locations'!$D$2:$D$32,$C$14 + 1),NA()),NA())</f>
        <v>#N/A</v>
      </c>
      <c r="E14" s="44" t="e">
        <f ca="1">IFERROR(IF(ISNUMBER($C$14),INDEX('1.Locations'!$E$2:$E$32,$C$14 + 1),NA()),NA())</f>
        <v>#N/A</v>
      </c>
      <c r="F14" s="45" t="str">
        <f ca="1">IFERROR(IF(AND(ISNUMBER($C$14),$C$14&lt;=30),INDEX('2.Distances'!$C$2:$C$963,$C$13*31+$C$14+ 1) +$F$13," ")," ")</f>
        <v xml:space="preserve"> </v>
      </c>
      <c r="G14" s="44" t="str">
        <f ca="1">IFERROR(IF(ISNUMBER($C$14),INDEX('1.Locations'!$J$2:$J$32,$C$14 + 1) +$G$13," ")," ")</f>
        <v xml:space="preserve"> </v>
      </c>
      <c r="H14" s="44" t="str">
        <f ca="1">IFERROR(IF(ISNUMBER($C$14),INDEX('1.Locations'!$K$2:$K$32,$C$14 + 1) +$H$13," ")," ")</f>
        <v xml:space="preserve"> </v>
      </c>
      <c r="I14" s="46" t="str">
        <f ca="1">IFERROR(IF(AND(ISNUMBER($C$14),$C$14&lt;=30),INDEX('2.Distances'!$D$2:$D$963,$C$13*31+$C$14+ 1) +$I$13," ")," ")</f>
        <v xml:space="preserve"> </v>
      </c>
      <c r="J14" s="47" t="str">
        <f ca="1">IFERROR(IF(AND(ISNUMBER($C$14),$C$14&lt;=30),INDEX('2.Distances'!$D$2:$D$963,$C$13*31+$C$14+ 1) +$K$13," ")," ")</f>
        <v xml:space="preserve"> </v>
      </c>
      <c r="K14" s="47" t="str">
        <f ca="1">IFERROR(IF(ISNUMBER($J$14),INDEX('1.Locations'!$I$2:$I$32,$C$14 + 1) + MAX($J$14,INDEX('1.Locations'!$F$2:$F$32,$C$14 + 1))," ")," ")</f>
        <v xml:space="preserve"> </v>
      </c>
      <c r="L14" s="46" t="str">
        <f ca="1">IFERROR($L$13 + INDEX('2.Distances'!$D$2:$D$963,$C$13*31+$C$14+ 1) + INDEX('1.Locations'!$I$2:$I$32,$C$14 + 1)," ")</f>
        <v xml:space="preserve"> </v>
      </c>
      <c r="N14" s="19">
        <v>9</v>
      </c>
      <c r="O14" s="20"/>
      <c r="P14" s="44" t="str">
        <f ca="1">IFERROR(MATCH(INDIRECT("$O$14"),'1.Locations'!$B$2:$B$32, 0) - 1," ")</f>
        <v xml:space="preserve"> </v>
      </c>
      <c r="Q14" s="44" t="e">
        <f ca="1">IFERROR(IF(ISNUMBER($P$14),INDEX('1.Locations'!$D$2:$D$32,$P$14 + 1),NA()),NA())</f>
        <v>#N/A</v>
      </c>
      <c r="R14" s="44" t="e">
        <f ca="1">IFERROR(IF(ISNUMBER($P$14),INDEX('1.Locations'!$E$2:$E$32,$P$14 + 1),NA()),NA())</f>
        <v>#N/A</v>
      </c>
      <c r="S14" s="45" t="str">
        <f ca="1">IFERROR(IF(AND(ISNUMBER($P$14),$P$14&lt;=30),INDEX('2.Distances'!$C$2:$C$963,$P$13*31+$P$14+ 1) +$S$13," ")," ")</f>
        <v xml:space="preserve"> </v>
      </c>
      <c r="T14" s="44" t="str">
        <f ca="1">IFERROR(IF(ISNUMBER($P$14),INDEX('1.Locations'!$J$2:$J$32,$P$14 + 1) +$T$13," ")," ")</f>
        <v xml:space="preserve"> </v>
      </c>
      <c r="U14" s="44" t="str">
        <f ca="1">IFERROR(IF(ISNUMBER($P$14),INDEX('1.Locations'!$K$2:$K$32,$P$14 + 1) +$U$13," ")," ")</f>
        <v xml:space="preserve"> </v>
      </c>
      <c r="V14" s="46" t="str">
        <f ca="1">IFERROR(IF(AND(ISNUMBER($P$14),$P$14&lt;=30),INDEX('2.Distances'!$D$2:$D$963,$P$13*31+$P$14+ 1) +$V$13," ")," ")</f>
        <v xml:space="preserve"> </v>
      </c>
      <c r="W14" s="47" t="str">
        <f ca="1">IFERROR(IF(AND(ISNUMBER($P$14),$P$14&lt;=30),INDEX('2.Distances'!$D$2:$D$963,$P$13*31+$P$14+ 1) +$X$13," ")," ")</f>
        <v xml:space="preserve"> </v>
      </c>
      <c r="X14" s="47" t="str">
        <f ca="1">IFERROR(IF(ISNUMBER($W$14),INDEX('1.Locations'!$I$2:$I$32,$P$14 + 1) + MAX($W$14,INDEX('1.Locations'!$F$2:$F$32,$P$14 + 1))," ")," ")</f>
        <v xml:space="preserve"> </v>
      </c>
      <c r="Y14" s="46" t="str">
        <f ca="1">IFERROR($Y$13 + INDEX('2.Distances'!$D$2:$D$963,$P$13*31+$P$14+ 1) + INDEX('1.Locations'!$I$2:$I$32,$P$14 + 1)," ")</f>
        <v xml:space="preserve"> </v>
      </c>
      <c r="AA14" s="19">
        <v>9</v>
      </c>
      <c r="AB14" s="20"/>
      <c r="AC14" s="44" t="str">
        <f ca="1">IFERROR(MATCH(INDIRECT("$AB$14"),'1.Locations'!$B$2:$B$32, 0) - 1," ")</f>
        <v xml:space="preserve"> </v>
      </c>
      <c r="AD14" s="44" t="e">
        <f ca="1">IFERROR(IF(ISNUMBER($AC$14),INDEX('1.Locations'!$D$2:$D$32,$AC$14 + 1),NA()),NA())</f>
        <v>#N/A</v>
      </c>
      <c r="AE14" s="44" t="e">
        <f ca="1">IFERROR(IF(ISNUMBER($AC$14),INDEX('1.Locations'!$E$2:$E$32,$AC$14 + 1),NA()),NA())</f>
        <v>#N/A</v>
      </c>
      <c r="AF14" s="45" t="str">
        <f ca="1">IFERROR(IF(AND(ISNUMBER($AC$14),$AC$14&lt;=30),INDEX('2.Distances'!$C$2:$C$963,$AC$13*31+$AC$14+ 1) +$AF$13," ")," ")</f>
        <v xml:space="preserve"> </v>
      </c>
      <c r="AG14" s="44" t="str">
        <f ca="1">IFERROR(IF(ISNUMBER($AC$14),INDEX('1.Locations'!$J$2:$J$32,$AC$14 + 1) +$AG$13," ")," ")</f>
        <v xml:space="preserve"> </v>
      </c>
      <c r="AH14" s="44" t="str">
        <f ca="1">IFERROR(IF(ISNUMBER($AC$14),INDEX('1.Locations'!$K$2:$K$32,$AC$14 + 1) +$AH$13," ")," ")</f>
        <v xml:space="preserve"> </v>
      </c>
      <c r="AI14" s="46" t="str">
        <f ca="1">IFERROR(IF(AND(ISNUMBER($AC$14),$AC$14&lt;=30),INDEX('2.Distances'!$D$2:$D$963,$AC$13*31+$AC$14+ 1) +$AI$13," ")," ")</f>
        <v xml:space="preserve"> </v>
      </c>
      <c r="AJ14" s="47" t="str">
        <f ca="1">IFERROR(IF(AND(ISNUMBER($AC$14),$AC$14&lt;=30),INDEX('2.Distances'!$D$2:$D$963,$AC$13*31+$AC$14+ 1) +$AK$13," ")," ")</f>
        <v xml:space="preserve"> </v>
      </c>
      <c r="AK14" s="47" t="str">
        <f ca="1">IFERROR(IF(ISNUMBER($AJ$14),INDEX('1.Locations'!$I$2:$I$32,$AC$14 + 1) + MAX($AJ$14,INDEX('1.Locations'!$F$2:$F$32,$AC$14 + 1))," ")," ")</f>
        <v xml:space="preserve"> </v>
      </c>
      <c r="AL14" s="46" t="str">
        <f ca="1">IFERROR($AL$13 + INDEX('2.Distances'!$D$2:$D$963,$AC$13*31+$AC$14+ 1) + INDEX('1.Locations'!$I$2:$I$32,$AC$14 + 1)," ")</f>
        <v xml:space="preserve"> </v>
      </c>
      <c r="AN14" s="19">
        <v>9</v>
      </c>
      <c r="AO14" s="20"/>
      <c r="AP14" s="44" t="str">
        <f ca="1">IFERROR(MATCH(INDIRECT("$AO$14"),'1.Locations'!$B$2:$B$32, 0) - 1," ")</f>
        <v xml:space="preserve"> </v>
      </c>
      <c r="AQ14" s="44" t="e">
        <f ca="1">IFERROR(IF(ISNUMBER($AP$14),INDEX('1.Locations'!$D$2:$D$32,$AP$14 + 1),NA()),NA())</f>
        <v>#N/A</v>
      </c>
      <c r="AR14" s="44" t="e">
        <f ca="1">IFERROR(IF(ISNUMBER($AP$14),INDEX('1.Locations'!$E$2:$E$32,$AP$14 + 1),NA()),NA())</f>
        <v>#N/A</v>
      </c>
      <c r="AS14" s="45" t="str">
        <f ca="1">IFERROR(IF(AND(ISNUMBER($AP$14),$AP$14&lt;=30),INDEX('2.Distances'!$C$2:$C$963,$AP$13*31+$AP$14+ 1) +$AS$13," ")," ")</f>
        <v xml:space="preserve"> </v>
      </c>
      <c r="AT14" s="44" t="str">
        <f ca="1">IFERROR(IF(ISNUMBER($AP$14),INDEX('1.Locations'!$J$2:$J$32,$AP$14 + 1) +$AT$13," ")," ")</f>
        <v xml:space="preserve"> </v>
      </c>
      <c r="AU14" s="44" t="str">
        <f ca="1">IFERROR(IF(ISNUMBER($AP$14),INDEX('1.Locations'!$K$2:$K$32,$AP$14 + 1) +$AU$13," ")," ")</f>
        <v xml:space="preserve"> </v>
      </c>
      <c r="AV14" s="46" t="str">
        <f ca="1">IFERROR(IF(AND(ISNUMBER($AP$14),$AP$14&lt;=30),INDEX('2.Distances'!$D$2:$D$963,$AP$13*31+$AP$14+ 1) +$AV$13," ")," ")</f>
        <v xml:space="preserve"> </v>
      </c>
      <c r="AW14" s="47" t="str">
        <f ca="1">IFERROR(IF(AND(ISNUMBER($AP$14),$AP$14&lt;=30),INDEX('2.Distances'!$D$2:$D$963,$AP$13*31+$AP$14+ 1) +$AX$13," ")," ")</f>
        <v xml:space="preserve"> </v>
      </c>
      <c r="AX14" s="47" t="str">
        <f ca="1">IFERROR(IF(ISNUMBER($AW$14),INDEX('1.Locations'!$I$2:$I$32,$AP$14 + 1) + MAX($AW$14,INDEX('1.Locations'!$F$2:$F$32,$AP$14 + 1))," ")," ")</f>
        <v xml:space="preserve"> </v>
      </c>
      <c r="AY14" s="46" t="str">
        <f ca="1">IFERROR($AY$13 + INDEX('2.Distances'!$D$2:$D$963,$AP$13*31+$AP$14+ 1) + INDEX('1.Locations'!$I$2:$I$32,$AP$14 + 1)," ")</f>
        <v xml:space="preserve"> </v>
      </c>
      <c r="BA14" s="19">
        <v>9</v>
      </c>
      <c r="BB14" s="20"/>
      <c r="BC14" s="44" t="str">
        <f ca="1">IFERROR(MATCH(INDIRECT("$BB$14"),'1.Locations'!$B$2:$B$32, 0) - 1," ")</f>
        <v xml:space="preserve"> </v>
      </c>
      <c r="BD14" s="44" t="e">
        <f ca="1">IFERROR(IF(ISNUMBER($BC$14),INDEX('1.Locations'!$D$2:$D$32,$BC$14 + 1),NA()),NA())</f>
        <v>#N/A</v>
      </c>
      <c r="BE14" s="44" t="e">
        <f ca="1">IFERROR(IF(ISNUMBER($BC$14),INDEX('1.Locations'!$E$2:$E$32,$BC$14 + 1),NA()),NA())</f>
        <v>#N/A</v>
      </c>
      <c r="BF14" s="45" t="str">
        <f ca="1">IFERROR(IF(AND(ISNUMBER($BC$14),$BC$14&lt;=30),INDEX('2.Distances'!$C$2:$C$963,$BC$13*31+$BC$14+ 1) +$BF$13," ")," ")</f>
        <v xml:space="preserve"> </v>
      </c>
      <c r="BG14" s="44" t="str">
        <f ca="1">IFERROR(IF(ISNUMBER($BC$14),INDEX('1.Locations'!$J$2:$J$32,$BC$14 + 1) +$BG$13," ")," ")</f>
        <v xml:space="preserve"> </v>
      </c>
      <c r="BH14" s="44" t="str">
        <f ca="1">IFERROR(IF(ISNUMBER($BC$14),INDEX('1.Locations'!$K$2:$K$32,$BC$14 + 1) +$BH$13," ")," ")</f>
        <v xml:space="preserve"> </v>
      </c>
      <c r="BI14" s="46" t="str">
        <f ca="1">IFERROR(IF(AND(ISNUMBER($BC$14),$BC$14&lt;=30),INDEX('2.Distances'!$D$2:$D$963,$BC$13*31+$BC$14+ 1) +$BI$13," ")," ")</f>
        <v xml:space="preserve"> </v>
      </c>
      <c r="BJ14" s="47" t="str">
        <f ca="1">IFERROR(IF(AND(ISNUMBER($BC$14),$BC$14&lt;=30),INDEX('2.Distances'!$D$2:$D$963,$BC$13*31+$BC$14+ 1) +$BK$13," ")," ")</f>
        <v xml:space="preserve"> </v>
      </c>
      <c r="BK14" s="47" t="str">
        <f ca="1">IFERROR(IF(ISNUMBER($BJ$14),INDEX('1.Locations'!$I$2:$I$32,$BC$14 + 1) + MAX($BJ$14,INDEX('1.Locations'!$F$2:$F$32,$BC$14 + 1))," ")," ")</f>
        <v xml:space="preserve"> </v>
      </c>
      <c r="BL14" s="46" t="str">
        <f ca="1">IFERROR($BL$13 + INDEX('2.Distances'!$D$2:$D$963,$BC$13*31+$BC$14+ 1) + INDEX('1.Locations'!$I$2:$I$32,$BC$14 + 1)," ")</f>
        <v xml:space="preserve"> </v>
      </c>
      <c r="BN14" s="19">
        <v>9</v>
      </c>
      <c r="BO14" s="20"/>
      <c r="BP14" s="44" t="str">
        <f ca="1">IFERROR(MATCH(INDIRECT("$BO$14"),'1.Locations'!$B$2:$B$32, 0) - 1," ")</f>
        <v xml:space="preserve"> </v>
      </c>
      <c r="BQ14" s="44" t="e">
        <f ca="1">IFERROR(IF(ISNUMBER($BP$14),INDEX('1.Locations'!$D$2:$D$32,$BP$14 + 1),NA()),NA())</f>
        <v>#N/A</v>
      </c>
      <c r="BR14" s="44" t="e">
        <f ca="1">IFERROR(IF(ISNUMBER($BP$14),INDEX('1.Locations'!$E$2:$E$32,$BP$14 + 1),NA()),NA())</f>
        <v>#N/A</v>
      </c>
      <c r="BS14" s="45" t="str">
        <f ca="1">IFERROR(IF(AND(ISNUMBER($BP$14),$BP$14&lt;=30),INDEX('2.Distances'!$C$2:$C$963,$BP$13*31+$BP$14+ 1) +$BS$13," ")," ")</f>
        <v xml:space="preserve"> </v>
      </c>
      <c r="BT14" s="44" t="str">
        <f ca="1">IFERROR(IF(ISNUMBER($BP$14),INDEX('1.Locations'!$J$2:$J$32,$BP$14 + 1) +$BT$13," ")," ")</f>
        <v xml:space="preserve"> </v>
      </c>
      <c r="BU14" s="44" t="str">
        <f ca="1">IFERROR(IF(ISNUMBER($BP$14),INDEX('1.Locations'!$K$2:$K$32,$BP$14 + 1) +$BU$13," ")," ")</f>
        <v xml:space="preserve"> </v>
      </c>
      <c r="BV14" s="46" t="str">
        <f ca="1">IFERROR(IF(AND(ISNUMBER($BP$14),$BP$14&lt;=30),INDEX('2.Distances'!$D$2:$D$963,$BP$13*31+$BP$14+ 1) +$BV$13," ")," ")</f>
        <v xml:space="preserve"> </v>
      </c>
      <c r="BW14" s="47" t="str">
        <f ca="1">IFERROR(IF(AND(ISNUMBER($BP$14),$BP$14&lt;=30),INDEX('2.Distances'!$D$2:$D$963,$BP$13*31+$BP$14+ 1) +$BX$13," ")," ")</f>
        <v xml:space="preserve"> </v>
      </c>
      <c r="BX14" s="47" t="str">
        <f ca="1">IFERROR(IF(ISNUMBER($BW$14),INDEX('1.Locations'!$I$2:$I$32,$BP$14 + 1) + MAX($BW$14,INDEX('1.Locations'!$F$2:$F$32,$BP$14 + 1))," ")," ")</f>
        <v xml:space="preserve"> </v>
      </c>
      <c r="BY14" s="46" t="str">
        <f ca="1">IFERROR($BY$13 + INDEX('2.Distances'!$D$2:$D$963,$BP$13*31+$BP$14+ 1) + INDEX('1.Locations'!$I$2:$I$32,$BP$14 + 1)," ")</f>
        <v xml:space="preserve"> </v>
      </c>
      <c r="CA14" s="19">
        <v>9</v>
      </c>
      <c r="CB14" s="20"/>
      <c r="CC14" s="44" t="str">
        <f ca="1">IFERROR(MATCH(INDIRECT("$CB$14"),'1.Locations'!$B$2:$B$32, 0) - 1," ")</f>
        <v xml:space="preserve"> </v>
      </c>
      <c r="CD14" s="44" t="e">
        <f ca="1">IFERROR(IF(ISNUMBER($CC$14),INDEX('1.Locations'!$D$2:$D$32,$CC$14 + 1),NA()),NA())</f>
        <v>#N/A</v>
      </c>
      <c r="CE14" s="44" t="e">
        <f ca="1">IFERROR(IF(ISNUMBER($CC$14),INDEX('1.Locations'!$E$2:$E$32,$CC$14 + 1),NA()),NA())</f>
        <v>#N/A</v>
      </c>
      <c r="CF14" s="45" t="str">
        <f ca="1">IFERROR(IF(AND(ISNUMBER($CC$14),$CC$14&lt;=30),INDEX('2.Distances'!$C$2:$C$963,$CC$13*31+$CC$14+ 1) +$CF$13," ")," ")</f>
        <v xml:space="preserve"> </v>
      </c>
      <c r="CG14" s="44" t="str">
        <f ca="1">IFERROR(IF(ISNUMBER($CC$14),INDEX('1.Locations'!$J$2:$J$32,$CC$14 + 1) +$CG$13," ")," ")</f>
        <v xml:space="preserve"> </v>
      </c>
      <c r="CH14" s="44" t="str">
        <f ca="1">IFERROR(IF(ISNUMBER($CC$14),INDEX('1.Locations'!$K$2:$K$32,$CC$14 + 1) +$CH$13," ")," ")</f>
        <v xml:space="preserve"> </v>
      </c>
      <c r="CI14" s="46" t="str">
        <f ca="1">IFERROR(IF(AND(ISNUMBER($CC$14),$CC$14&lt;=30),INDEX('2.Distances'!$D$2:$D$963,$CC$13*31+$CC$14+ 1) +$CI$13," ")," ")</f>
        <v xml:space="preserve"> </v>
      </c>
      <c r="CJ14" s="47" t="str">
        <f ca="1">IFERROR(IF(AND(ISNUMBER($CC$14),$CC$14&lt;=30),INDEX('2.Distances'!$D$2:$D$963,$CC$13*31+$CC$14+ 1) +$CK$13," ")," ")</f>
        <v xml:space="preserve"> </v>
      </c>
      <c r="CK14" s="47" t="str">
        <f ca="1">IFERROR(IF(ISNUMBER($CJ$14),INDEX('1.Locations'!$I$2:$I$32,$CC$14 + 1) + MAX($CJ$14,INDEX('1.Locations'!$F$2:$F$32,$CC$14 + 1))," ")," ")</f>
        <v xml:space="preserve"> </v>
      </c>
      <c r="CL14" s="46" t="str">
        <f ca="1">IFERROR($CL$13 + INDEX('2.Distances'!$D$2:$D$963,$CC$13*31+$CC$14+ 1) + INDEX('1.Locations'!$I$2:$I$32,$CC$14 + 1)," ")</f>
        <v xml:space="preserve"> </v>
      </c>
      <c r="CN14" s="19">
        <v>9</v>
      </c>
      <c r="CO14" s="20"/>
      <c r="CP14" s="44" t="str">
        <f ca="1">IFERROR(MATCH(INDIRECT("$CO$14"),'1.Locations'!$B$2:$B$32, 0) - 1," ")</f>
        <v xml:space="preserve"> </v>
      </c>
      <c r="CQ14" s="44" t="e">
        <f ca="1">IFERROR(IF(ISNUMBER($CP$14),INDEX('1.Locations'!$D$2:$D$32,$CP$14 + 1),NA()),NA())</f>
        <v>#N/A</v>
      </c>
      <c r="CR14" s="44" t="e">
        <f ca="1">IFERROR(IF(ISNUMBER($CP$14),INDEX('1.Locations'!$E$2:$E$32,$CP$14 + 1),NA()),NA())</f>
        <v>#N/A</v>
      </c>
      <c r="CS14" s="45" t="str">
        <f ca="1">IFERROR(IF(AND(ISNUMBER($CP$14),$CP$14&lt;=30),INDEX('2.Distances'!$C$2:$C$963,$CP$13*31+$CP$14+ 1) +$CS$13," ")," ")</f>
        <v xml:space="preserve"> </v>
      </c>
      <c r="CT14" s="44" t="str">
        <f ca="1">IFERROR(IF(ISNUMBER($CP$14),INDEX('1.Locations'!$J$2:$J$32,$CP$14 + 1) +$CT$13," ")," ")</f>
        <v xml:space="preserve"> </v>
      </c>
      <c r="CU14" s="44" t="str">
        <f ca="1">IFERROR(IF(ISNUMBER($CP$14),INDEX('1.Locations'!$K$2:$K$32,$CP$14 + 1) +$CU$13," ")," ")</f>
        <v xml:space="preserve"> </v>
      </c>
      <c r="CV14" s="46" t="str">
        <f ca="1">IFERROR(IF(AND(ISNUMBER($CP$14),$CP$14&lt;=30),INDEX('2.Distances'!$D$2:$D$963,$CP$13*31+$CP$14+ 1) +$CV$13," ")," ")</f>
        <v xml:space="preserve"> </v>
      </c>
      <c r="CW14" s="47" t="str">
        <f ca="1">IFERROR(IF(AND(ISNUMBER($CP$14),$CP$14&lt;=30),INDEX('2.Distances'!$D$2:$D$963,$CP$13*31+$CP$14+ 1) +$CX$13," ")," ")</f>
        <v xml:space="preserve"> </v>
      </c>
      <c r="CX14" s="47" t="str">
        <f ca="1">IFERROR(IF(ISNUMBER($CW$14),INDEX('1.Locations'!$I$2:$I$32,$CP$14 + 1) + MAX($CW$14,INDEX('1.Locations'!$F$2:$F$32,$CP$14 + 1))," ")," ")</f>
        <v xml:space="preserve"> </v>
      </c>
      <c r="CY14" s="46" t="str">
        <f ca="1">IFERROR($CY$13 + INDEX('2.Distances'!$D$2:$D$963,$CP$13*31+$CP$14+ 1) + INDEX('1.Locations'!$I$2:$I$32,$CP$14 + 1)," ")</f>
        <v xml:space="preserve"> </v>
      </c>
      <c r="DA14" s="19">
        <v>9</v>
      </c>
      <c r="DB14" s="20"/>
      <c r="DC14" s="44" t="str">
        <f ca="1">IFERROR(MATCH(INDIRECT("$DB$14"),'1.Locations'!$B$2:$B$32, 0) - 1," ")</f>
        <v xml:space="preserve"> </v>
      </c>
      <c r="DD14" s="44" t="e">
        <f ca="1">IFERROR(IF(ISNUMBER($DC$14),INDEX('1.Locations'!$D$2:$D$32,$DC$14 + 1),NA()),NA())</f>
        <v>#N/A</v>
      </c>
      <c r="DE14" s="44" t="e">
        <f ca="1">IFERROR(IF(ISNUMBER($DC$14),INDEX('1.Locations'!$E$2:$E$32,$DC$14 + 1),NA()),NA())</f>
        <v>#N/A</v>
      </c>
      <c r="DF14" s="45" t="str">
        <f ca="1">IFERROR(IF(AND(ISNUMBER($DC$14),$DC$14&lt;=30),INDEX('2.Distances'!$C$2:$C$963,$DC$13*31+$DC$14+ 1) +$DF$13," ")," ")</f>
        <v xml:space="preserve"> </v>
      </c>
      <c r="DG14" s="44" t="str">
        <f ca="1">IFERROR(IF(ISNUMBER($DC$14),INDEX('1.Locations'!$J$2:$J$32,$DC$14 + 1) +$DG$13," ")," ")</f>
        <v xml:space="preserve"> </v>
      </c>
      <c r="DH14" s="44" t="str">
        <f ca="1">IFERROR(IF(ISNUMBER($DC$14),INDEX('1.Locations'!$K$2:$K$32,$DC$14 + 1) +$DH$13," ")," ")</f>
        <v xml:space="preserve"> </v>
      </c>
      <c r="DI14" s="46" t="str">
        <f ca="1">IFERROR(IF(AND(ISNUMBER($DC$14),$DC$14&lt;=30),INDEX('2.Distances'!$D$2:$D$963,$DC$13*31+$DC$14+ 1) +$DI$13," ")," ")</f>
        <v xml:space="preserve"> </v>
      </c>
      <c r="DJ14" s="47" t="str">
        <f ca="1">IFERROR(IF(AND(ISNUMBER($DC$14),$DC$14&lt;=30),INDEX('2.Distances'!$D$2:$D$963,$DC$13*31+$DC$14+ 1) +$DK$13," ")," ")</f>
        <v xml:space="preserve"> </v>
      </c>
      <c r="DK14" s="47" t="str">
        <f ca="1">IFERROR(IF(ISNUMBER($DJ$14),INDEX('1.Locations'!$I$2:$I$32,$DC$14 + 1) + MAX($DJ$14,INDEX('1.Locations'!$F$2:$F$32,$DC$14 + 1))," ")," ")</f>
        <v xml:space="preserve"> </v>
      </c>
      <c r="DL14" s="46" t="str">
        <f ca="1">IFERROR($DL$13 + INDEX('2.Distances'!$D$2:$D$963,$DC$13*31+$DC$14+ 1) + INDEX('1.Locations'!$I$2:$I$32,$DC$14 + 1)," ")</f>
        <v xml:space="preserve"> </v>
      </c>
      <c r="DN14" s="19">
        <v>9</v>
      </c>
      <c r="DO14" s="20"/>
      <c r="DP14" s="44" t="str">
        <f ca="1">IFERROR(MATCH(INDIRECT("$DO$14"),'1.Locations'!$B$2:$B$32, 0) - 1," ")</f>
        <v xml:space="preserve"> </v>
      </c>
      <c r="DQ14" s="44" t="e">
        <f ca="1">IFERROR(IF(ISNUMBER($DP$14),INDEX('1.Locations'!$D$2:$D$32,$DP$14 + 1),NA()),NA())</f>
        <v>#N/A</v>
      </c>
      <c r="DR14" s="44" t="e">
        <f ca="1">IFERROR(IF(ISNUMBER($DP$14),INDEX('1.Locations'!$E$2:$E$32,$DP$14 + 1),NA()),NA())</f>
        <v>#N/A</v>
      </c>
      <c r="DS14" s="45" t="str">
        <f ca="1">IFERROR(IF(AND(ISNUMBER($DP$14),$DP$14&lt;=30),INDEX('2.Distances'!$C$2:$C$963,$DP$13*31+$DP$14+ 1) +$DS$13," ")," ")</f>
        <v xml:space="preserve"> </v>
      </c>
      <c r="DT14" s="44" t="str">
        <f ca="1">IFERROR(IF(ISNUMBER($DP$14),INDEX('1.Locations'!$J$2:$J$32,$DP$14 + 1) +$DT$13," ")," ")</f>
        <v xml:space="preserve"> </v>
      </c>
      <c r="DU14" s="44" t="str">
        <f ca="1">IFERROR(IF(ISNUMBER($DP$14),INDEX('1.Locations'!$K$2:$K$32,$DP$14 + 1) +$DU$13," ")," ")</f>
        <v xml:space="preserve"> </v>
      </c>
      <c r="DV14" s="46" t="str">
        <f ca="1">IFERROR(IF(AND(ISNUMBER($DP$14),$DP$14&lt;=30),INDEX('2.Distances'!$D$2:$D$963,$DP$13*31+$DP$14+ 1) +$DV$13," ")," ")</f>
        <v xml:space="preserve"> </v>
      </c>
      <c r="DW14" s="47" t="str">
        <f ca="1">IFERROR(IF(AND(ISNUMBER($DP$14),$DP$14&lt;=30),INDEX('2.Distances'!$D$2:$D$963,$DP$13*31+$DP$14+ 1) +$DX$13," ")," ")</f>
        <v xml:space="preserve"> </v>
      </c>
      <c r="DX14" s="47" t="str">
        <f ca="1">IFERROR(IF(ISNUMBER($DW$14),INDEX('1.Locations'!$I$2:$I$32,$DP$14 + 1) + MAX($DW$14,INDEX('1.Locations'!$F$2:$F$32,$DP$14 + 1))," ")," ")</f>
        <v xml:space="preserve"> </v>
      </c>
      <c r="DY14" s="46" t="str">
        <f ca="1">IFERROR($DY$13 + INDEX('2.Distances'!$D$2:$D$963,$DP$13*31+$DP$14+ 1) + INDEX('1.Locations'!$I$2:$I$32,$DP$14 + 1)," ")</f>
        <v xml:space="preserve"> </v>
      </c>
      <c r="EA14" s="19">
        <v>9</v>
      </c>
      <c r="EB14" s="20"/>
      <c r="EC14" s="44" t="str">
        <f ca="1">IFERROR(MATCH(INDIRECT("$EB$14"),'1.Locations'!$B$2:$B$32, 0) - 1," ")</f>
        <v xml:space="preserve"> </v>
      </c>
      <c r="ED14" s="44" t="e">
        <f ca="1">IFERROR(IF(ISNUMBER($EC$14),INDEX('1.Locations'!$D$2:$D$32,$EC$14 + 1),NA()),NA())</f>
        <v>#N/A</v>
      </c>
      <c r="EE14" s="44" t="e">
        <f ca="1">IFERROR(IF(ISNUMBER($EC$14),INDEX('1.Locations'!$E$2:$E$32,$EC$14 + 1),NA()),NA())</f>
        <v>#N/A</v>
      </c>
      <c r="EF14" s="45" t="str">
        <f ca="1">IFERROR(IF(AND(ISNUMBER($EC$14),$EC$14&lt;=30),INDEX('2.Distances'!$C$2:$C$963,$EC$13*31+$EC$14+ 1) +$EF$13," ")," ")</f>
        <v xml:space="preserve"> </v>
      </c>
      <c r="EG14" s="44" t="str">
        <f ca="1">IFERROR(IF(ISNUMBER($EC$14),INDEX('1.Locations'!$J$2:$J$32,$EC$14 + 1) +$EG$13," ")," ")</f>
        <v xml:space="preserve"> </v>
      </c>
      <c r="EH14" s="44" t="str">
        <f ca="1">IFERROR(IF(ISNUMBER($EC$14),INDEX('1.Locations'!$K$2:$K$32,$EC$14 + 1) +$EH$13," ")," ")</f>
        <v xml:space="preserve"> </v>
      </c>
      <c r="EI14" s="46" t="str">
        <f ca="1">IFERROR(IF(AND(ISNUMBER($EC$14),$EC$14&lt;=30),INDEX('2.Distances'!$D$2:$D$963,$EC$13*31+$EC$14+ 1) +$EI$13," ")," ")</f>
        <v xml:space="preserve"> </v>
      </c>
      <c r="EJ14" s="47" t="str">
        <f ca="1">IFERROR(IF(AND(ISNUMBER($EC$14),$EC$14&lt;=30),INDEX('2.Distances'!$D$2:$D$963,$EC$13*31+$EC$14+ 1) +$EK$13," ")," ")</f>
        <v xml:space="preserve"> </v>
      </c>
      <c r="EK14" s="47" t="str">
        <f ca="1">IFERROR(IF(ISNUMBER($EJ$14),INDEX('1.Locations'!$I$2:$I$32,$EC$14 + 1) + MAX($EJ$14,INDEX('1.Locations'!$F$2:$F$32,$EC$14 + 1))," ")," ")</f>
        <v xml:space="preserve"> </v>
      </c>
      <c r="EL14" s="46" t="str">
        <f ca="1">IFERROR($EL$13 + INDEX('2.Distances'!$D$2:$D$963,$EC$13*31+$EC$14+ 1) + INDEX('1.Locations'!$I$2:$I$32,$EC$14 + 1)," ")</f>
        <v xml:space="preserve"> </v>
      </c>
      <c r="EN14" s="19">
        <v>9</v>
      </c>
      <c r="EO14" s="20"/>
      <c r="EP14" s="44" t="str">
        <f ca="1">IFERROR(MATCH(INDIRECT("$EO$14"),'1.Locations'!$B$2:$B$32, 0) - 1," ")</f>
        <v xml:space="preserve"> </v>
      </c>
      <c r="EQ14" s="44" t="e">
        <f ca="1">IFERROR(IF(ISNUMBER($EP$14),INDEX('1.Locations'!$D$2:$D$32,$EP$14 + 1),NA()),NA())</f>
        <v>#N/A</v>
      </c>
      <c r="ER14" s="44" t="e">
        <f ca="1">IFERROR(IF(ISNUMBER($EP$14),INDEX('1.Locations'!$E$2:$E$32,$EP$14 + 1),NA()),NA())</f>
        <v>#N/A</v>
      </c>
      <c r="ES14" s="45" t="str">
        <f ca="1">IFERROR(IF(AND(ISNUMBER($EP$14),$EP$14&lt;=30),INDEX('2.Distances'!$C$2:$C$963,$EP$13*31+$EP$14+ 1) +$ES$13," ")," ")</f>
        <v xml:space="preserve"> </v>
      </c>
      <c r="ET14" s="44" t="str">
        <f ca="1">IFERROR(IF(ISNUMBER($EP$14),INDEX('1.Locations'!$J$2:$J$32,$EP$14 + 1) +$ET$13," ")," ")</f>
        <v xml:space="preserve"> </v>
      </c>
      <c r="EU14" s="44" t="str">
        <f ca="1">IFERROR(IF(ISNUMBER($EP$14),INDEX('1.Locations'!$K$2:$K$32,$EP$14 + 1) +$EU$13," ")," ")</f>
        <v xml:space="preserve"> </v>
      </c>
      <c r="EV14" s="46" t="str">
        <f ca="1">IFERROR(IF(AND(ISNUMBER($EP$14),$EP$14&lt;=30),INDEX('2.Distances'!$D$2:$D$963,$EP$13*31+$EP$14+ 1) +$EV$13," ")," ")</f>
        <v xml:space="preserve"> </v>
      </c>
      <c r="EW14" s="47" t="str">
        <f ca="1">IFERROR(IF(AND(ISNUMBER($EP$14),$EP$14&lt;=30),INDEX('2.Distances'!$D$2:$D$963,$EP$13*31+$EP$14+ 1) +$EX$13," ")," ")</f>
        <v xml:space="preserve"> </v>
      </c>
      <c r="EX14" s="47" t="str">
        <f ca="1">IFERROR(IF(ISNUMBER($EW$14),INDEX('1.Locations'!$I$2:$I$32,$EP$14 + 1) + MAX($EW$14,INDEX('1.Locations'!$F$2:$F$32,$EP$14 + 1))," ")," ")</f>
        <v xml:space="preserve"> </v>
      </c>
      <c r="EY14" s="46" t="str">
        <f ca="1">IFERROR($EY$13 + INDEX('2.Distances'!$D$2:$D$963,$EP$13*31+$EP$14+ 1) + INDEX('1.Locations'!$I$2:$I$32,$EP$14 + 1)," ")</f>
        <v xml:space="preserve"> </v>
      </c>
    </row>
    <row r="15" spans="1:155" x14ac:dyDescent="0.2">
      <c r="A15" s="19">
        <v>10</v>
      </c>
      <c r="B15" s="20"/>
      <c r="C15" s="44" t="str">
        <f ca="1">IFERROR(MATCH(INDIRECT("$B$15"),'1.Locations'!$B$2:$B$32, 0) - 1," ")</f>
        <v xml:space="preserve"> </v>
      </c>
      <c r="D15" s="44" t="e">
        <f ca="1">IFERROR(IF(ISNUMBER($C$15),INDEX('1.Locations'!$D$2:$D$32,$C$15 + 1),NA()),NA())</f>
        <v>#N/A</v>
      </c>
      <c r="E15" s="44" t="e">
        <f ca="1">IFERROR(IF(ISNUMBER($C$15),INDEX('1.Locations'!$E$2:$E$32,$C$15 + 1),NA()),NA())</f>
        <v>#N/A</v>
      </c>
      <c r="F15" s="45" t="str">
        <f ca="1">IFERROR(IF(AND(ISNUMBER($C$15),$C$15&lt;=30),INDEX('2.Distances'!$C$2:$C$963,$C$14*31+$C$15+ 1) +$F$14," ")," ")</f>
        <v xml:space="preserve"> </v>
      </c>
      <c r="G15" s="44" t="str">
        <f ca="1">IFERROR(IF(ISNUMBER($C$15),INDEX('1.Locations'!$J$2:$J$32,$C$15 + 1) +$G$14," ")," ")</f>
        <v xml:space="preserve"> </v>
      </c>
      <c r="H15" s="44" t="str">
        <f ca="1">IFERROR(IF(ISNUMBER($C$15),INDEX('1.Locations'!$K$2:$K$32,$C$15 + 1) +$H$14," ")," ")</f>
        <v xml:space="preserve"> </v>
      </c>
      <c r="I15" s="46" t="str">
        <f ca="1">IFERROR(IF(AND(ISNUMBER($C$15),$C$15&lt;=30),INDEX('2.Distances'!$D$2:$D$963,$C$14*31+$C$15+ 1) +$I$14," ")," ")</f>
        <v xml:space="preserve"> </v>
      </c>
      <c r="J15" s="47" t="str">
        <f ca="1">IFERROR(IF(AND(ISNUMBER($C$15),$C$15&lt;=30),INDEX('2.Distances'!$D$2:$D$963,$C$14*31+$C$15+ 1) +$K$14," ")," ")</f>
        <v xml:space="preserve"> </v>
      </c>
      <c r="K15" s="47" t="str">
        <f ca="1">IFERROR(IF(ISNUMBER($J$15),INDEX('1.Locations'!$I$2:$I$32,$C$15 + 1) + MAX($J$15,INDEX('1.Locations'!$F$2:$F$32,$C$15 + 1))," ")," ")</f>
        <v xml:space="preserve"> </v>
      </c>
      <c r="L15" s="46" t="str">
        <f ca="1">IFERROR($L$14 + INDEX('2.Distances'!$D$2:$D$963,$C$14*31+$C$15+ 1) + INDEX('1.Locations'!$I$2:$I$32,$C$15 + 1)," ")</f>
        <v xml:space="preserve"> </v>
      </c>
      <c r="N15" s="19">
        <v>10</v>
      </c>
      <c r="O15" s="20"/>
      <c r="P15" s="44" t="str">
        <f ca="1">IFERROR(MATCH(INDIRECT("$O$15"),'1.Locations'!$B$2:$B$32, 0) - 1," ")</f>
        <v xml:space="preserve"> </v>
      </c>
      <c r="Q15" s="44" t="e">
        <f ca="1">IFERROR(IF(ISNUMBER($P$15),INDEX('1.Locations'!$D$2:$D$32,$P$15 + 1),NA()),NA())</f>
        <v>#N/A</v>
      </c>
      <c r="R15" s="44" t="e">
        <f ca="1">IFERROR(IF(ISNUMBER($P$15),INDEX('1.Locations'!$E$2:$E$32,$P$15 + 1),NA()),NA())</f>
        <v>#N/A</v>
      </c>
      <c r="S15" s="45" t="str">
        <f ca="1">IFERROR(IF(AND(ISNUMBER($P$15),$P$15&lt;=30),INDEX('2.Distances'!$C$2:$C$963,$P$14*31+$P$15+ 1) +$S$14," ")," ")</f>
        <v xml:space="preserve"> </v>
      </c>
      <c r="T15" s="44" t="str">
        <f ca="1">IFERROR(IF(ISNUMBER($P$15),INDEX('1.Locations'!$J$2:$J$32,$P$15 + 1) +$T$14," ")," ")</f>
        <v xml:space="preserve"> </v>
      </c>
      <c r="U15" s="44" t="str">
        <f ca="1">IFERROR(IF(ISNUMBER($P$15),INDEX('1.Locations'!$K$2:$K$32,$P$15 + 1) +$U$14," ")," ")</f>
        <v xml:space="preserve"> </v>
      </c>
      <c r="V15" s="46" t="str">
        <f ca="1">IFERROR(IF(AND(ISNUMBER($P$15),$P$15&lt;=30),INDEX('2.Distances'!$D$2:$D$963,$P$14*31+$P$15+ 1) +$V$14," ")," ")</f>
        <v xml:space="preserve"> </v>
      </c>
      <c r="W15" s="47" t="str">
        <f ca="1">IFERROR(IF(AND(ISNUMBER($P$15),$P$15&lt;=30),INDEX('2.Distances'!$D$2:$D$963,$P$14*31+$P$15+ 1) +$X$14," ")," ")</f>
        <v xml:space="preserve"> </v>
      </c>
      <c r="X15" s="47" t="str">
        <f ca="1">IFERROR(IF(ISNUMBER($W$15),INDEX('1.Locations'!$I$2:$I$32,$P$15 + 1) + MAX($W$15,INDEX('1.Locations'!$F$2:$F$32,$P$15 + 1))," ")," ")</f>
        <v xml:space="preserve"> </v>
      </c>
      <c r="Y15" s="46" t="str">
        <f ca="1">IFERROR($Y$14 + INDEX('2.Distances'!$D$2:$D$963,$P$14*31+$P$15+ 1) + INDEX('1.Locations'!$I$2:$I$32,$P$15 + 1)," ")</f>
        <v xml:space="preserve"> </v>
      </c>
      <c r="AA15" s="19">
        <v>10</v>
      </c>
      <c r="AB15" s="20"/>
      <c r="AC15" s="44" t="str">
        <f ca="1">IFERROR(MATCH(INDIRECT("$AB$15"),'1.Locations'!$B$2:$B$32, 0) - 1," ")</f>
        <v xml:space="preserve"> </v>
      </c>
      <c r="AD15" s="44" t="e">
        <f ca="1">IFERROR(IF(ISNUMBER($AC$15),INDEX('1.Locations'!$D$2:$D$32,$AC$15 + 1),NA()),NA())</f>
        <v>#N/A</v>
      </c>
      <c r="AE15" s="44" t="e">
        <f ca="1">IFERROR(IF(ISNUMBER($AC$15),INDEX('1.Locations'!$E$2:$E$32,$AC$15 + 1),NA()),NA())</f>
        <v>#N/A</v>
      </c>
      <c r="AF15" s="45" t="str">
        <f ca="1">IFERROR(IF(AND(ISNUMBER($AC$15),$AC$15&lt;=30),INDEX('2.Distances'!$C$2:$C$963,$AC$14*31+$AC$15+ 1) +$AF$14," ")," ")</f>
        <v xml:space="preserve"> </v>
      </c>
      <c r="AG15" s="44" t="str">
        <f ca="1">IFERROR(IF(ISNUMBER($AC$15),INDEX('1.Locations'!$J$2:$J$32,$AC$15 + 1) +$AG$14," ")," ")</f>
        <v xml:space="preserve"> </v>
      </c>
      <c r="AH15" s="44" t="str">
        <f ca="1">IFERROR(IF(ISNUMBER($AC$15),INDEX('1.Locations'!$K$2:$K$32,$AC$15 + 1) +$AH$14," ")," ")</f>
        <v xml:space="preserve"> </v>
      </c>
      <c r="AI15" s="46" t="str">
        <f ca="1">IFERROR(IF(AND(ISNUMBER($AC$15),$AC$15&lt;=30),INDEX('2.Distances'!$D$2:$D$963,$AC$14*31+$AC$15+ 1) +$AI$14," ")," ")</f>
        <v xml:space="preserve"> </v>
      </c>
      <c r="AJ15" s="47" t="str">
        <f ca="1">IFERROR(IF(AND(ISNUMBER($AC$15),$AC$15&lt;=30),INDEX('2.Distances'!$D$2:$D$963,$AC$14*31+$AC$15+ 1) +$AK$14," ")," ")</f>
        <v xml:space="preserve"> </v>
      </c>
      <c r="AK15" s="47" t="str">
        <f ca="1">IFERROR(IF(ISNUMBER($AJ$15),INDEX('1.Locations'!$I$2:$I$32,$AC$15 + 1) + MAX($AJ$15,INDEX('1.Locations'!$F$2:$F$32,$AC$15 + 1))," ")," ")</f>
        <v xml:space="preserve"> </v>
      </c>
      <c r="AL15" s="46" t="str">
        <f ca="1">IFERROR($AL$14 + INDEX('2.Distances'!$D$2:$D$963,$AC$14*31+$AC$15+ 1) + INDEX('1.Locations'!$I$2:$I$32,$AC$15 + 1)," ")</f>
        <v xml:space="preserve"> </v>
      </c>
      <c r="AN15" s="19">
        <v>10</v>
      </c>
      <c r="AO15" s="20"/>
      <c r="AP15" s="44" t="str">
        <f ca="1">IFERROR(MATCH(INDIRECT("$AO$15"),'1.Locations'!$B$2:$B$32, 0) - 1," ")</f>
        <v xml:space="preserve"> </v>
      </c>
      <c r="AQ15" s="44" t="e">
        <f ca="1">IFERROR(IF(ISNUMBER($AP$15),INDEX('1.Locations'!$D$2:$D$32,$AP$15 + 1),NA()),NA())</f>
        <v>#N/A</v>
      </c>
      <c r="AR15" s="44" t="e">
        <f ca="1">IFERROR(IF(ISNUMBER($AP$15),INDEX('1.Locations'!$E$2:$E$32,$AP$15 + 1),NA()),NA())</f>
        <v>#N/A</v>
      </c>
      <c r="AS15" s="45" t="str">
        <f ca="1">IFERROR(IF(AND(ISNUMBER($AP$15),$AP$15&lt;=30),INDEX('2.Distances'!$C$2:$C$963,$AP$14*31+$AP$15+ 1) +$AS$14," ")," ")</f>
        <v xml:space="preserve"> </v>
      </c>
      <c r="AT15" s="44" t="str">
        <f ca="1">IFERROR(IF(ISNUMBER($AP$15),INDEX('1.Locations'!$J$2:$J$32,$AP$15 + 1) +$AT$14," ")," ")</f>
        <v xml:space="preserve"> </v>
      </c>
      <c r="AU15" s="44" t="str">
        <f ca="1">IFERROR(IF(ISNUMBER($AP$15),INDEX('1.Locations'!$K$2:$K$32,$AP$15 + 1) +$AU$14," ")," ")</f>
        <v xml:space="preserve"> </v>
      </c>
      <c r="AV15" s="46" t="str">
        <f ca="1">IFERROR(IF(AND(ISNUMBER($AP$15),$AP$15&lt;=30),INDEX('2.Distances'!$D$2:$D$963,$AP$14*31+$AP$15+ 1) +$AV$14," ")," ")</f>
        <v xml:space="preserve"> </v>
      </c>
      <c r="AW15" s="47" t="str">
        <f ca="1">IFERROR(IF(AND(ISNUMBER($AP$15),$AP$15&lt;=30),INDEX('2.Distances'!$D$2:$D$963,$AP$14*31+$AP$15+ 1) +$AX$14," ")," ")</f>
        <v xml:space="preserve"> </v>
      </c>
      <c r="AX15" s="47" t="str">
        <f ca="1">IFERROR(IF(ISNUMBER($AW$15),INDEX('1.Locations'!$I$2:$I$32,$AP$15 + 1) + MAX($AW$15,INDEX('1.Locations'!$F$2:$F$32,$AP$15 + 1))," ")," ")</f>
        <v xml:space="preserve"> </v>
      </c>
      <c r="AY15" s="46" t="str">
        <f ca="1">IFERROR($AY$14 + INDEX('2.Distances'!$D$2:$D$963,$AP$14*31+$AP$15+ 1) + INDEX('1.Locations'!$I$2:$I$32,$AP$15 + 1)," ")</f>
        <v xml:space="preserve"> </v>
      </c>
      <c r="BA15" s="19">
        <v>10</v>
      </c>
      <c r="BB15" s="20"/>
      <c r="BC15" s="44" t="str">
        <f ca="1">IFERROR(MATCH(INDIRECT("$BB$15"),'1.Locations'!$B$2:$B$32, 0) - 1," ")</f>
        <v xml:space="preserve"> </v>
      </c>
      <c r="BD15" s="44" t="e">
        <f ca="1">IFERROR(IF(ISNUMBER($BC$15),INDEX('1.Locations'!$D$2:$D$32,$BC$15 + 1),NA()),NA())</f>
        <v>#N/A</v>
      </c>
      <c r="BE15" s="44" t="e">
        <f ca="1">IFERROR(IF(ISNUMBER($BC$15),INDEX('1.Locations'!$E$2:$E$32,$BC$15 + 1),NA()),NA())</f>
        <v>#N/A</v>
      </c>
      <c r="BF15" s="45" t="str">
        <f ca="1">IFERROR(IF(AND(ISNUMBER($BC$15),$BC$15&lt;=30),INDEX('2.Distances'!$C$2:$C$963,$BC$14*31+$BC$15+ 1) +$BF$14," ")," ")</f>
        <v xml:space="preserve"> </v>
      </c>
      <c r="BG15" s="44" t="str">
        <f ca="1">IFERROR(IF(ISNUMBER($BC$15),INDEX('1.Locations'!$J$2:$J$32,$BC$15 + 1) +$BG$14," ")," ")</f>
        <v xml:space="preserve"> </v>
      </c>
      <c r="BH15" s="44" t="str">
        <f ca="1">IFERROR(IF(ISNUMBER($BC$15),INDEX('1.Locations'!$K$2:$K$32,$BC$15 + 1) +$BH$14," ")," ")</f>
        <v xml:space="preserve"> </v>
      </c>
      <c r="BI15" s="46" t="str">
        <f ca="1">IFERROR(IF(AND(ISNUMBER($BC$15),$BC$15&lt;=30),INDEX('2.Distances'!$D$2:$D$963,$BC$14*31+$BC$15+ 1) +$BI$14," ")," ")</f>
        <v xml:space="preserve"> </v>
      </c>
      <c r="BJ15" s="47" t="str">
        <f ca="1">IFERROR(IF(AND(ISNUMBER($BC$15),$BC$15&lt;=30),INDEX('2.Distances'!$D$2:$D$963,$BC$14*31+$BC$15+ 1) +$BK$14," ")," ")</f>
        <v xml:space="preserve"> </v>
      </c>
      <c r="BK15" s="47" t="str">
        <f ca="1">IFERROR(IF(ISNUMBER($BJ$15),INDEX('1.Locations'!$I$2:$I$32,$BC$15 + 1) + MAX($BJ$15,INDEX('1.Locations'!$F$2:$F$32,$BC$15 + 1))," ")," ")</f>
        <v xml:space="preserve"> </v>
      </c>
      <c r="BL15" s="46" t="str">
        <f ca="1">IFERROR($BL$14 + INDEX('2.Distances'!$D$2:$D$963,$BC$14*31+$BC$15+ 1) + INDEX('1.Locations'!$I$2:$I$32,$BC$15 + 1)," ")</f>
        <v xml:space="preserve"> </v>
      </c>
      <c r="BN15" s="19">
        <v>10</v>
      </c>
      <c r="BO15" s="20"/>
      <c r="BP15" s="44" t="str">
        <f ca="1">IFERROR(MATCH(INDIRECT("$BO$15"),'1.Locations'!$B$2:$B$32, 0) - 1," ")</f>
        <v xml:space="preserve"> </v>
      </c>
      <c r="BQ15" s="44" t="e">
        <f ca="1">IFERROR(IF(ISNUMBER($BP$15),INDEX('1.Locations'!$D$2:$D$32,$BP$15 + 1),NA()),NA())</f>
        <v>#N/A</v>
      </c>
      <c r="BR15" s="44" t="e">
        <f ca="1">IFERROR(IF(ISNUMBER($BP$15),INDEX('1.Locations'!$E$2:$E$32,$BP$15 + 1),NA()),NA())</f>
        <v>#N/A</v>
      </c>
      <c r="BS15" s="45" t="str">
        <f ca="1">IFERROR(IF(AND(ISNUMBER($BP$15),$BP$15&lt;=30),INDEX('2.Distances'!$C$2:$C$963,$BP$14*31+$BP$15+ 1) +$BS$14," ")," ")</f>
        <v xml:space="preserve"> </v>
      </c>
      <c r="BT15" s="44" t="str">
        <f ca="1">IFERROR(IF(ISNUMBER($BP$15),INDEX('1.Locations'!$J$2:$J$32,$BP$15 + 1) +$BT$14," ")," ")</f>
        <v xml:space="preserve"> </v>
      </c>
      <c r="BU15" s="44" t="str">
        <f ca="1">IFERROR(IF(ISNUMBER($BP$15),INDEX('1.Locations'!$K$2:$K$32,$BP$15 + 1) +$BU$14," ")," ")</f>
        <v xml:space="preserve"> </v>
      </c>
      <c r="BV15" s="46" t="str">
        <f ca="1">IFERROR(IF(AND(ISNUMBER($BP$15),$BP$15&lt;=30),INDEX('2.Distances'!$D$2:$D$963,$BP$14*31+$BP$15+ 1) +$BV$14," ")," ")</f>
        <v xml:space="preserve"> </v>
      </c>
      <c r="BW15" s="47" t="str">
        <f ca="1">IFERROR(IF(AND(ISNUMBER($BP$15),$BP$15&lt;=30),INDEX('2.Distances'!$D$2:$D$963,$BP$14*31+$BP$15+ 1) +$BX$14," ")," ")</f>
        <v xml:space="preserve"> </v>
      </c>
      <c r="BX15" s="47" t="str">
        <f ca="1">IFERROR(IF(ISNUMBER($BW$15),INDEX('1.Locations'!$I$2:$I$32,$BP$15 + 1) + MAX($BW$15,INDEX('1.Locations'!$F$2:$F$32,$BP$15 + 1))," ")," ")</f>
        <v xml:space="preserve"> </v>
      </c>
      <c r="BY15" s="46" t="str">
        <f ca="1">IFERROR($BY$14 + INDEX('2.Distances'!$D$2:$D$963,$BP$14*31+$BP$15+ 1) + INDEX('1.Locations'!$I$2:$I$32,$BP$15 + 1)," ")</f>
        <v xml:space="preserve"> </v>
      </c>
      <c r="CA15" s="19">
        <v>10</v>
      </c>
      <c r="CB15" s="20"/>
      <c r="CC15" s="44" t="str">
        <f ca="1">IFERROR(MATCH(INDIRECT("$CB$15"),'1.Locations'!$B$2:$B$32, 0) - 1," ")</f>
        <v xml:space="preserve"> </v>
      </c>
      <c r="CD15" s="44" t="e">
        <f ca="1">IFERROR(IF(ISNUMBER($CC$15),INDEX('1.Locations'!$D$2:$D$32,$CC$15 + 1),NA()),NA())</f>
        <v>#N/A</v>
      </c>
      <c r="CE15" s="44" t="e">
        <f ca="1">IFERROR(IF(ISNUMBER($CC$15),INDEX('1.Locations'!$E$2:$E$32,$CC$15 + 1),NA()),NA())</f>
        <v>#N/A</v>
      </c>
      <c r="CF15" s="45" t="str">
        <f ca="1">IFERROR(IF(AND(ISNUMBER($CC$15),$CC$15&lt;=30),INDEX('2.Distances'!$C$2:$C$963,$CC$14*31+$CC$15+ 1) +$CF$14," ")," ")</f>
        <v xml:space="preserve"> </v>
      </c>
      <c r="CG15" s="44" t="str">
        <f ca="1">IFERROR(IF(ISNUMBER($CC$15),INDEX('1.Locations'!$J$2:$J$32,$CC$15 + 1) +$CG$14," ")," ")</f>
        <v xml:space="preserve"> </v>
      </c>
      <c r="CH15" s="44" t="str">
        <f ca="1">IFERROR(IF(ISNUMBER($CC$15),INDEX('1.Locations'!$K$2:$K$32,$CC$15 + 1) +$CH$14," ")," ")</f>
        <v xml:space="preserve"> </v>
      </c>
      <c r="CI15" s="46" t="str">
        <f ca="1">IFERROR(IF(AND(ISNUMBER($CC$15),$CC$15&lt;=30),INDEX('2.Distances'!$D$2:$D$963,$CC$14*31+$CC$15+ 1) +$CI$14," ")," ")</f>
        <v xml:space="preserve"> </v>
      </c>
      <c r="CJ15" s="47" t="str">
        <f ca="1">IFERROR(IF(AND(ISNUMBER($CC$15),$CC$15&lt;=30),INDEX('2.Distances'!$D$2:$D$963,$CC$14*31+$CC$15+ 1) +$CK$14," ")," ")</f>
        <v xml:space="preserve"> </v>
      </c>
      <c r="CK15" s="47" t="str">
        <f ca="1">IFERROR(IF(ISNUMBER($CJ$15),INDEX('1.Locations'!$I$2:$I$32,$CC$15 + 1) + MAX($CJ$15,INDEX('1.Locations'!$F$2:$F$32,$CC$15 + 1))," ")," ")</f>
        <v xml:space="preserve"> </v>
      </c>
      <c r="CL15" s="46" t="str">
        <f ca="1">IFERROR($CL$14 + INDEX('2.Distances'!$D$2:$D$963,$CC$14*31+$CC$15+ 1) + INDEX('1.Locations'!$I$2:$I$32,$CC$15 + 1)," ")</f>
        <v xml:space="preserve"> </v>
      </c>
      <c r="CN15" s="19">
        <v>10</v>
      </c>
      <c r="CO15" s="20"/>
      <c r="CP15" s="44" t="str">
        <f ca="1">IFERROR(MATCH(INDIRECT("$CO$15"),'1.Locations'!$B$2:$B$32, 0) - 1," ")</f>
        <v xml:space="preserve"> </v>
      </c>
      <c r="CQ15" s="44" t="e">
        <f ca="1">IFERROR(IF(ISNUMBER($CP$15),INDEX('1.Locations'!$D$2:$D$32,$CP$15 + 1),NA()),NA())</f>
        <v>#N/A</v>
      </c>
      <c r="CR15" s="44" t="e">
        <f ca="1">IFERROR(IF(ISNUMBER($CP$15),INDEX('1.Locations'!$E$2:$E$32,$CP$15 + 1),NA()),NA())</f>
        <v>#N/A</v>
      </c>
      <c r="CS15" s="45" t="str">
        <f ca="1">IFERROR(IF(AND(ISNUMBER($CP$15),$CP$15&lt;=30),INDEX('2.Distances'!$C$2:$C$963,$CP$14*31+$CP$15+ 1) +$CS$14," ")," ")</f>
        <v xml:space="preserve"> </v>
      </c>
      <c r="CT15" s="44" t="str">
        <f ca="1">IFERROR(IF(ISNUMBER($CP$15),INDEX('1.Locations'!$J$2:$J$32,$CP$15 + 1) +$CT$14," ")," ")</f>
        <v xml:space="preserve"> </v>
      </c>
      <c r="CU15" s="44" t="str">
        <f ca="1">IFERROR(IF(ISNUMBER($CP$15),INDEX('1.Locations'!$K$2:$K$32,$CP$15 + 1) +$CU$14," ")," ")</f>
        <v xml:space="preserve"> </v>
      </c>
      <c r="CV15" s="46" t="str">
        <f ca="1">IFERROR(IF(AND(ISNUMBER($CP$15),$CP$15&lt;=30),INDEX('2.Distances'!$D$2:$D$963,$CP$14*31+$CP$15+ 1) +$CV$14," ")," ")</f>
        <v xml:space="preserve"> </v>
      </c>
      <c r="CW15" s="47" t="str">
        <f ca="1">IFERROR(IF(AND(ISNUMBER($CP$15),$CP$15&lt;=30),INDEX('2.Distances'!$D$2:$D$963,$CP$14*31+$CP$15+ 1) +$CX$14," ")," ")</f>
        <v xml:space="preserve"> </v>
      </c>
      <c r="CX15" s="47" t="str">
        <f ca="1">IFERROR(IF(ISNUMBER($CW$15),INDEX('1.Locations'!$I$2:$I$32,$CP$15 + 1) + MAX($CW$15,INDEX('1.Locations'!$F$2:$F$32,$CP$15 + 1))," ")," ")</f>
        <v xml:space="preserve"> </v>
      </c>
      <c r="CY15" s="46" t="str">
        <f ca="1">IFERROR($CY$14 + INDEX('2.Distances'!$D$2:$D$963,$CP$14*31+$CP$15+ 1) + INDEX('1.Locations'!$I$2:$I$32,$CP$15 + 1)," ")</f>
        <v xml:space="preserve"> </v>
      </c>
      <c r="DA15" s="19">
        <v>10</v>
      </c>
      <c r="DB15" s="20"/>
      <c r="DC15" s="44" t="str">
        <f ca="1">IFERROR(MATCH(INDIRECT("$DB$15"),'1.Locations'!$B$2:$B$32, 0) - 1," ")</f>
        <v xml:space="preserve"> </v>
      </c>
      <c r="DD15" s="44" t="e">
        <f ca="1">IFERROR(IF(ISNUMBER($DC$15),INDEX('1.Locations'!$D$2:$D$32,$DC$15 + 1),NA()),NA())</f>
        <v>#N/A</v>
      </c>
      <c r="DE15" s="44" t="e">
        <f ca="1">IFERROR(IF(ISNUMBER($DC$15),INDEX('1.Locations'!$E$2:$E$32,$DC$15 + 1),NA()),NA())</f>
        <v>#N/A</v>
      </c>
      <c r="DF15" s="45" t="str">
        <f ca="1">IFERROR(IF(AND(ISNUMBER($DC$15),$DC$15&lt;=30),INDEX('2.Distances'!$C$2:$C$963,$DC$14*31+$DC$15+ 1) +$DF$14," ")," ")</f>
        <v xml:space="preserve"> </v>
      </c>
      <c r="DG15" s="44" t="str">
        <f ca="1">IFERROR(IF(ISNUMBER($DC$15),INDEX('1.Locations'!$J$2:$J$32,$DC$15 + 1) +$DG$14," ")," ")</f>
        <v xml:space="preserve"> </v>
      </c>
      <c r="DH15" s="44" t="str">
        <f ca="1">IFERROR(IF(ISNUMBER($DC$15),INDEX('1.Locations'!$K$2:$K$32,$DC$15 + 1) +$DH$14," ")," ")</f>
        <v xml:space="preserve"> </v>
      </c>
      <c r="DI15" s="46" t="str">
        <f ca="1">IFERROR(IF(AND(ISNUMBER($DC$15),$DC$15&lt;=30),INDEX('2.Distances'!$D$2:$D$963,$DC$14*31+$DC$15+ 1) +$DI$14," ")," ")</f>
        <v xml:space="preserve"> </v>
      </c>
      <c r="DJ15" s="47" t="str">
        <f ca="1">IFERROR(IF(AND(ISNUMBER($DC$15),$DC$15&lt;=30),INDEX('2.Distances'!$D$2:$D$963,$DC$14*31+$DC$15+ 1) +$DK$14," ")," ")</f>
        <v xml:space="preserve"> </v>
      </c>
      <c r="DK15" s="47" t="str">
        <f ca="1">IFERROR(IF(ISNUMBER($DJ$15),INDEX('1.Locations'!$I$2:$I$32,$DC$15 + 1) + MAX($DJ$15,INDEX('1.Locations'!$F$2:$F$32,$DC$15 + 1))," ")," ")</f>
        <v xml:space="preserve"> </v>
      </c>
      <c r="DL15" s="46" t="str">
        <f ca="1">IFERROR($DL$14 + INDEX('2.Distances'!$D$2:$D$963,$DC$14*31+$DC$15+ 1) + INDEX('1.Locations'!$I$2:$I$32,$DC$15 + 1)," ")</f>
        <v xml:space="preserve"> </v>
      </c>
      <c r="DN15" s="19">
        <v>10</v>
      </c>
      <c r="DO15" s="20"/>
      <c r="DP15" s="44" t="str">
        <f ca="1">IFERROR(MATCH(INDIRECT("$DO$15"),'1.Locations'!$B$2:$B$32, 0) - 1," ")</f>
        <v xml:space="preserve"> </v>
      </c>
      <c r="DQ15" s="44" t="e">
        <f ca="1">IFERROR(IF(ISNUMBER($DP$15),INDEX('1.Locations'!$D$2:$D$32,$DP$15 + 1),NA()),NA())</f>
        <v>#N/A</v>
      </c>
      <c r="DR15" s="44" t="e">
        <f ca="1">IFERROR(IF(ISNUMBER($DP$15),INDEX('1.Locations'!$E$2:$E$32,$DP$15 + 1),NA()),NA())</f>
        <v>#N/A</v>
      </c>
      <c r="DS15" s="45" t="str">
        <f ca="1">IFERROR(IF(AND(ISNUMBER($DP$15),$DP$15&lt;=30),INDEX('2.Distances'!$C$2:$C$963,$DP$14*31+$DP$15+ 1) +$DS$14," ")," ")</f>
        <v xml:space="preserve"> </v>
      </c>
      <c r="DT15" s="44" t="str">
        <f ca="1">IFERROR(IF(ISNUMBER($DP$15),INDEX('1.Locations'!$J$2:$J$32,$DP$15 + 1) +$DT$14," ")," ")</f>
        <v xml:space="preserve"> </v>
      </c>
      <c r="DU15" s="44" t="str">
        <f ca="1">IFERROR(IF(ISNUMBER($DP$15),INDEX('1.Locations'!$K$2:$K$32,$DP$15 + 1) +$DU$14," ")," ")</f>
        <v xml:space="preserve"> </v>
      </c>
      <c r="DV15" s="46" t="str">
        <f ca="1">IFERROR(IF(AND(ISNUMBER($DP$15),$DP$15&lt;=30),INDEX('2.Distances'!$D$2:$D$963,$DP$14*31+$DP$15+ 1) +$DV$14," ")," ")</f>
        <v xml:space="preserve"> </v>
      </c>
      <c r="DW15" s="47" t="str">
        <f ca="1">IFERROR(IF(AND(ISNUMBER($DP$15),$DP$15&lt;=30),INDEX('2.Distances'!$D$2:$D$963,$DP$14*31+$DP$15+ 1) +$DX$14," ")," ")</f>
        <v xml:space="preserve"> </v>
      </c>
      <c r="DX15" s="47" t="str">
        <f ca="1">IFERROR(IF(ISNUMBER($DW$15),INDEX('1.Locations'!$I$2:$I$32,$DP$15 + 1) + MAX($DW$15,INDEX('1.Locations'!$F$2:$F$32,$DP$15 + 1))," ")," ")</f>
        <v xml:space="preserve"> </v>
      </c>
      <c r="DY15" s="46" t="str">
        <f ca="1">IFERROR($DY$14 + INDEX('2.Distances'!$D$2:$D$963,$DP$14*31+$DP$15+ 1) + INDEX('1.Locations'!$I$2:$I$32,$DP$15 + 1)," ")</f>
        <v xml:space="preserve"> </v>
      </c>
      <c r="EA15" s="19">
        <v>10</v>
      </c>
      <c r="EB15" s="20"/>
      <c r="EC15" s="44" t="str">
        <f ca="1">IFERROR(MATCH(INDIRECT("$EB$15"),'1.Locations'!$B$2:$B$32, 0) - 1," ")</f>
        <v xml:space="preserve"> </v>
      </c>
      <c r="ED15" s="44" t="e">
        <f ca="1">IFERROR(IF(ISNUMBER($EC$15),INDEX('1.Locations'!$D$2:$D$32,$EC$15 + 1),NA()),NA())</f>
        <v>#N/A</v>
      </c>
      <c r="EE15" s="44" t="e">
        <f ca="1">IFERROR(IF(ISNUMBER($EC$15),INDEX('1.Locations'!$E$2:$E$32,$EC$15 + 1),NA()),NA())</f>
        <v>#N/A</v>
      </c>
      <c r="EF15" s="45" t="str">
        <f ca="1">IFERROR(IF(AND(ISNUMBER($EC$15),$EC$15&lt;=30),INDEX('2.Distances'!$C$2:$C$963,$EC$14*31+$EC$15+ 1) +$EF$14," ")," ")</f>
        <v xml:space="preserve"> </v>
      </c>
      <c r="EG15" s="44" t="str">
        <f ca="1">IFERROR(IF(ISNUMBER($EC$15),INDEX('1.Locations'!$J$2:$J$32,$EC$15 + 1) +$EG$14," ")," ")</f>
        <v xml:space="preserve"> </v>
      </c>
      <c r="EH15" s="44" t="str">
        <f ca="1">IFERROR(IF(ISNUMBER($EC$15),INDEX('1.Locations'!$K$2:$K$32,$EC$15 + 1) +$EH$14," ")," ")</f>
        <v xml:space="preserve"> </v>
      </c>
      <c r="EI15" s="46" t="str">
        <f ca="1">IFERROR(IF(AND(ISNUMBER($EC$15),$EC$15&lt;=30),INDEX('2.Distances'!$D$2:$D$963,$EC$14*31+$EC$15+ 1) +$EI$14," ")," ")</f>
        <v xml:space="preserve"> </v>
      </c>
      <c r="EJ15" s="47" t="str">
        <f ca="1">IFERROR(IF(AND(ISNUMBER($EC$15),$EC$15&lt;=30),INDEX('2.Distances'!$D$2:$D$963,$EC$14*31+$EC$15+ 1) +$EK$14," ")," ")</f>
        <v xml:space="preserve"> </v>
      </c>
      <c r="EK15" s="47" t="str">
        <f ca="1">IFERROR(IF(ISNUMBER($EJ$15),INDEX('1.Locations'!$I$2:$I$32,$EC$15 + 1) + MAX($EJ$15,INDEX('1.Locations'!$F$2:$F$32,$EC$15 + 1))," ")," ")</f>
        <v xml:space="preserve"> </v>
      </c>
      <c r="EL15" s="46" t="str">
        <f ca="1">IFERROR($EL$14 + INDEX('2.Distances'!$D$2:$D$963,$EC$14*31+$EC$15+ 1) + INDEX('1.Locations'!$I$2:$I$32,$EC$15 + 1)," ")</f>
        <v xml:space="preserve"> </v>
      </c>
      <c r="EN15" s="19">
        <v>10</v>
      </c>
      <c r="EO15" s="20"/>
      <c r="EP15" s="44" t="str">
        <f ca="1">IFERROR(MATCH(INDIRECT("$EO$15"),'1.Locations'!$B$2:$B$32, 0) - 1," ")</f>
        <v xml:space="preserve"> </v>
      </c>
      <c r="EQ15" s="44" t="e">
        <f ca="1">IFERROR(IF(ISNUMBER($EP$15),INDEX('1.Locations'!$D$2:$D$32,$EP$15 + 1),NA()),NA())</f>
        <v>#N/A</v>
      </c>
      <c r="ER15" s="44" t="e">
        <f ca="1">IFERROR(IF(ISNUMBER($EP$15),INDEX('1.Locations'!$E$2:$E$32,$EP$15 + 1),NA()),NA())</f>
        <v>#N/A</v>
      </c>
      <c r="ES15" s="45" t="str">
        <f ca="1">IFERROR(IF(AND(ISNUMBER($EP$15),$EP$15&lt;=30),INDEX('2.Distances'!$C$2:$C$963,$EP$14*31+$EP$15+ 1) +$ES$14," ")," ")</f>
        <v xml:space="preserve"> </v>
      </c>
      <c r="ET15" s="44" t="str">
        <f ca="1">IFERROR(IF(ISNUMBER($EP$15),INDEX('1.Locations'!$J$2:$J$32,$EP$15 + 1) +$ET$14," ")," ")</f>
        <v xml:space="preserve"> </v>
      </c>
      <c r="EU15" s="44" t="str">
        <f ca="1">IFERROR(IF(ISNUMBER($EP$15),INDEX('1.Locations'!$K$2:$K$32,$EP$15 + 1) +$EU$14," ")," ")</f>
        <v xml:space="preserve"> </v>
      </c>
      <c r="EV15" s="46" t="str">
        <f ca="1">IFERROR(IF(AND(ISNUMBER($EP$15),$EP$15&lt;=30),INDEX('2.Distances'!$D$2:$D$963,$EP$14*31+$EP$15+ 1) +$EV$14," ")," ")</f>
        <v xml:space="preserve"> </v>
      </c>
      <c r="EW15" s="47" t="str">
        <f ca="1">IFERROR(IF(AND(ISNUMBER($EP$15),$EP$15&lt;=30),INDEX('2.Distances'!$D$2:$D$963,$EP$14*31+$EP$15+ 1) +$EX$14," ")," ")</f>
        <v xml:space="preserve"> </v>
      </c>
      <c r="EX15" s="47" t="str">
        <f ca="1">IFERROR(IF(ISNUMBER($EW$15),INDEX('1.Locations'!$I$2:$I$32,$EP$15 + 1) + MAX($EW$15,INDEX('1.Locations'!$F$2:$F$32,$EP$15 + 1))," ")," ")</f>
        <v xml:space="preserve"> </v>
      </c>
      <c r="EY15" s="46" t="str">
        <f ca="1">IFERROR($EY$14 + INDEX('2.Distances'!$D$2:$D$963,$EP$14*31+$EP$15+ 1) + INDEX('1.Locations'!$I$2:$I$32,$EP$15 + 1)," ")</f>
        <v xml:space="preserve"> </v>
      </c>
    </row>
    <row r="16" spans="1:155" x14ac:dyDescent="0.2">
      <c r="A16" s="19">
        <v>11</v>
      </c>
      <c r="B16" s="20"/>
      <c r="C16" s="44" t="str">
        <f ca="1">IFERROR(MATCH(INDIRECT("$B$16"),'1.Locations'!$B$2:$B$32, 0) - 1," ")</f>
        <v xml:space="preserve"> </v>
      </c>
      <c r="D16" s="44" t="e">
        <f ca="1">IFERROR(IF(ISNUMBER($C$16),INDEX('1.Locations'!$D$2:$D$32,$C$16 + 1),NA()),NA())</f>
        <v>#N/A</v>
      </c>
      <c r="E16" s="44" t="e">
        <f ca="1">IFERROR(IF(ISNUMBER($C$16),INDEX('1.Locations'!$E$2:$E$32,$C$16 + 1),NA()),NA())</f>
        <v>#N/A</v>
      </c>
      <c r="F16" s="45" t="str">
        <f ca="1">IFERROR(IF(AND(ISNUMBER($C$16),$C$16&lt;=30),INDEX('2.Distances'!$C$2:$C$963,$C$15*31+$C$16+ 1) +$F$15," ")," ")</f>
        <v xml:space="preserve"> </v>
      </c>
      <c r="G16" s="44" t="str">
        <f ca="1">IFERROR(IF(ISNUMBER($C$16),INDEX('1.Locations'!$J$2:$J$32,$C$16 + 1) +$G$15," ")," ")</f>
        <v xml:space="preserve"> </v>
      </c>
      <c r="H16" s="44" t="str">
        <f ca="1">IFERROR(IF(ISNUMBER($C$16),INDEX('1.Locations'!$K$2:$K$32,$C$16 + 1) +$H$15," ")," ")</f>
        <v xml:space="preserve"> </v>
      </c>
      <c r="I16" s="46" t="str">
        <f ca="1">IFERROR(IF(AND(ISNUMBER($C$16),$C$16&lt;=30),INDEX('2.Distances'!$D$2:$D$963,$C$15*31+$C$16+ 1) +$I$15," ")," ")</f>
        <v xml:space="preserve"> </v>
      </c>
      <c r="J16" s="47" t="str">
        <f ca="1">IFERROR(IF(AND(ISNUMBER($C$16),$C$16&lt;=30),INDEX('2.Distances'!$D$2:$D$963,$C$15*31+$C$16+ 1) +$K$15," ")," ")</f>
        <v xml:space="preserve"> </v>
      </c>
      <c r="K16" s="47" t="str">
        <f ca="1">IFERROR(IF(ISNUMBER($J$16),INDEX('1.Locations'!$I$2:$I$32,$C$16 + 1) + MAX($J$16,INDEX('1.Locations'!$F$2:$F$32,$C$16 + 1))," ")," ")</f>
        <v xml:space="preserve"> </v>
      </c>
      <c r="L16" s="46" t="str">
        <f ca="1">IFERROR($L$15 + INDEX('2.Distances'!$D$2:$D$963,$C$15*31+$C$16+ 1) + INDEX('1.Locations'!$I$2:$I$32,$C$16 + 1)," ")</f>
        <v xml:space="preserve"> </v>
      </c>
      <c r="N16" s="19">
        <v>11</v>
      </c>
      <c r="O16" s="20"/>
      <c r="P16" s="44" t="str">
        <f ca="1">IFERROR(MATCH(INDIRECT("$O$16"),'1.Locations'!$B$2:$B$32, 0) - 1," ")</f>
        <v xml:space="preserve"> </v>
      </c>
      <c r="Q16" s="44" t="e">
        <f ca="1">IFERROR(IF(ISNUMBER($P$16),INDEX('1.Locations'!$D$2:$D$32,$P$16 + 1),NA()),NA())</f>
        <v>#N/A</v>
      </c>
      <c r="R16" s="44" t="e">
        <f ca="1">IFERROR(IF(ISNUMBER($P$16),INDEX('1.Locations'!$E$2:$E$32,$P$16 + 1),NA()),NA())</f>
        <v>#N/A</v>
      </c>
      <c r="S16" s="45" t="str">
        <f ca="1">IFERROR(IF(AND(ISNUMBER($P$16),$P$16&lt;=30),INDEX('2.Distances'!$C$2:$C$963,$P$15*31+$P$16+ 1) +$S$15," ")," ")</f>
        <v xml:space="preserve"> </v>
      </c>
      <c r="T16" s="44" t="str">
        <f ca="1">IFERROR(IF(ISNUMBER($P$16),INDEX('1.Locations'!$J$2:$J$32,$P$16 + 1) +$T$15," ")," ")</f>
        <v xml:space="preserve"> </v>
      </c>
      <c r="U16" s="44" t="str">
        <f ca="1">IFERROR(IF(ISNUMBER($P$16),INDEX('1.Locations'!$K$2:$K$32,$P$16 + 1) +$U$15," ")," ")</f>
        <v xml:space="preserve"> </v>
      </c>
      <c r="V16" s="46" t="str">
        <f ca="1">IFERROR(IF(AND(ISNUMBER($P$16),$P$16&lt;=30),INDEX('2.Distances'!$D$2:$D$963,$P$15*31+$P$16+ 1) +$V$15," ")," ")</f>
        <v xml:space="preserve"> </v>
      </c>
      <c r="W16" s="47" t="str">
        <f ca="1">IFERROR(IF(AND(ISNUMBER($P$16),$P$16&lt;=30),INDEX('2.Distances'!$D$2:$D$963,$P$15*31+$P$16+ 1) +$X$15," ")," ")</f>
        <v xml:space="preserve"> </v>
      </c>
      <c r="X16" s="47" t="str">
        <f ca="1">IFERROR(IF(ISNUMBER($W$16),INDEX('1.Locations'!$I$2:$I$32,$P$16 + 1) + MAX($W$16,INDEX('1.Locations'!$F$2:$F$32,$P$16 + 1))," ")," ")</f>
        <v xml:space="preserve"> </v>
      </c>
      <c r="Y16" s="46" t="str">
        <f ca="1">IFERROR($Y$15 + INDEX('2.Distances'!$D$2:$D$963,$P$15*31+$P$16+ 1) + INDEX('1.Locations'!$I$2:$I$32,$P$16 + 1)," ")</f>
        <v xml:space="preserve"> </v>
      </c>
      <c r="AA16" s="19">
        <v>11</v>
      </c>
      <c r="AB16" s="20"/>
      <c r="AC16" s="44" t="str">
        <f ca="1">IFERROR(MATCH(INDIRECT("$AB$16"),'1.Locations'!$B$2:$B$32, 0) - 1," ")</f>
        <v xml:space="preserve"> </v>
      </c>
      <c r="AD16" s="44" t="e">
        <f ca="1">IFERROR(IF(ISNUMBER($AC$16),INDEX('1.Locations'!$D$2:$D$32,$AC$16 + 1),NA()),NA())</f>
        <v>#N/A</v>
      </c>
      <c r="AE16" s="44" t="e">
        <f ca="1">IFERROR(IF(ISNUMBER($AC$16),INDEX('1.Locations'!$E$2:$E$32,$AC$16 + 1),NA()),NA())</f>
        <v>#N/A</v>
      </c>
      <c r="AF16" s="45" t="str">
        <f ca="1">IFERROR(IF(AND(ISNUMBER($AC$16),$AC$16&lt;=30),INDEX('2.Distances'!$C$2:$C$963,$AC$15*31+$AC$16+ 1) +$AF$15," ")," ")</f>
        <v xml:space="preserve"> </v>
      </c>
      <c r="AG16" s="44" t="str">
        <f ca="1">IFERROR(IF(ISNUMBER($AC$16),INDEX('1.Locations'!$J$2:$J$32,$AC$16 + 1) +$AG$15," ")," ")</f>
        <v xml:space="preserve"> </v>
      </c>
      <c r="AH16" s="44" t="str">
        <f ca="1">IFERROR(IF(ISNUMBER($AC$16),INDEX('1.Locations'!$K$2:$K$32,$AC$16 + 1) +$AH$15," ")," ")</f>
        <v xml:space="preserve"> </v>
      </c>
      <c r="AI16" s="46" t="str">
        <f ca="1">IFERROR(IF(AND(ISNUMBER($AC$16),$AC$16&lt;=30),INDEX('2.Distances'!$D$2:$D$963,$AC$15*31+$AC$16+ 1) +$AI$15," ")," ")</f>
        <v xml:space="preserve"> </v>
      </c>
      <c r="AJ16" s="47" t="str">
        <f ca="1">IFERROR(IF(AND(ISNUMBER($AC$16),$AC$16&lt;=30),INDEX('2.Distances'!$D$2:$D$963,$AC$15*31+$AC$16+ 1) +$AK$15," ")," ")</f>
        <v xml:space="preserve"> </v>
      </c>
      <c r="AK16" s="47" t="str">
        <f ca="1">IFERROR(IF(ISNUMBER($AJ$16),INDEX('1.Locations'!$I$2:$I$32,$AC$16 + 1) + MAX($AJ$16,INDEX('1.Locations'!$F$2:$F$32,$AC$16 + 1))," ")," ")</f>
        <v xml:space="preserve"> </v>
      </c>
      <c r="AL16" s="46" t="str">
        <f ca="1">IFERROR($AL$15 + INDEX('2.Distances'!$D$2:$D$963,$AC$15*31+$AC$16+ 1) + INDEX('1.Locations'!$I$2:$I$32,$AC$16 + 1)," ")</f>
        <v xml:space="preserve"> </v>
      </c>
      <c r="AN16" s="19">
        <v>11</v>
      </c>
      <c r="AO16" s="20"/>
      <c r="AP16" s="44" t="str">
        <f ca="1">IFERROR(MATCH(INDIRECT("$AO$16"),'1.Locations'!$B$2:$B$32, 0) - 1," ")</f>
        <v xml:space="preserve"> </v>
      </c>
      <c r="AQ16" s="44" t="e">
        <f ca="1">IFERROR(IF(ISNUMBER($AP$16),INDEX('1.Locations'!$D$2:$D$32,$AP$16 + 1),NA()),NA())</f>
        <v>#N/A</v>
      </c>
      <c r="AR16" s="44" t="e">
        <f ca="1">IFERROR(IF(ISNUMBER($AP$16),INDEX('1.Locations'!$E$2:$E$32,$AP$16 + 1),NA()),NA())</f>
        <v>#N/A</v>
      </c>
      <c r="AS16" s="45" t="str">
        <f ca="1">IFERROR(IF(AND(ISNUMBER($AP$16),$AP$16&lt;=30),INDEX('2.Distances'!$C$2:$C$963,$AP$15*31+$AP$16+ 1) +$AS$15," ")," ")</f>
        <v xml:space="preserve"> </v>
      </c>
      <c r="AT16" s="44" t="str">
        <f ca="1">IFERROR(IF(ISNUMBER($AP$16),INDEX('1.Locations'!$J$2:$J$32,$AP$16 + 1) +$AT$15," ")," ")</f>
        <v xml:space="preserve"> </v>
      </c>
      <c r="AU16" s="44" t="str">
        <f ca="1">IFERROR(IF(ISNUMBER($AP$16),INDEX('1.Locations'!$K$2:$K$32,$AP$16 + 1) +$AU$15," ")," ")</f>
        <v xml:space="preserve"> </v>
      </c>
      <c r="AV16" s="46" t="str">
        <f ca="1">IFERROR(IF(AND(ISNUMBER($AP$16),$AP$16&lt;=30),INDEX('2.Distances'!$D$2:$D$963,$AP$15*31+$AP$16+ 1) +$AV$15," ")," ")</f>
        <v xml:space="preserve"> </v>
      </c>
      <c r="AW16" s="47" t="str">
        <f ca="1">IFERROR(IF(AND(ISNUMBER($AP$16),$AP$16&lt;=30),INDEX('2.Distances'!$D$2:$D$963,$AP$15*31+$AP$16+ 1) +$AX$15," ")," ")</f>
        <v xml:space="preserve"> </v>
      </c>
      <c r="AX16" s="47" t="str">
        <f ca="1">IFERROR(IF(ISNUMBER($AW$16),INDEX('1.Locations'!$I$2:$I$32,$AP$16 + 1) + MAX($AW$16,INDEX('1.Locations'!$F$2:$F$32,$AP$16 + 1))," ")," ")</f>
        <v xml:space="preserve"> </v>
      </c>
      <c r="AY16" s="46" t="str">
        <f ca="1">IFERROR($AY$15 + INDEX('2.Distances'!$D$2:$D$963,$AP$15*31+$AP$16+ 1) + INDEX('1.Locations'!$I$2:$I$32,$AP$16 + 1)," ")</f>
        <v xml:space="preserve"> </v>
      </c>
      <c r="BA16" s="19">
        <v>11</v>
      </c>
      <c r="BB16" s="20"/>
      <c r="BC16" s="44" t="str">
        <f ca="1">IFERROR(MATCH(INDIRECT("$BB$16"),'1.Locations'!$B$2:$B$32, 0) - 1," ")</f>
        <v xml:space="preserve"> </v>
      </c>
      <c r="BD16" s="44" t="e">
        <f ca="1">IFERROR(IF(ISNUMBER($BC$16),INDEX('1.Locations'!$D$2:$D$32,$BC$16 + 1),NA()),NA())</f>
        <v>#N/A</v>
      </c>
      <c r="BE16" s="44" t="e">
        <f ca="1">IFERROR(IF(ISNUMBER($BC$16),INDEX('1.Locations'!$E$2:$E$32,$BC$16 + 1),NA()),NA())</f>
        <v>#N/A</v>
      </c>
      <c r="BF16" s="45" t="str">
        <f ca="1">IFERROR(IF(AND(ISNUMBER($BC$16),$BC$16&lt;=30),INDEX('2.Distances'!$C$2:$C$963,$BC$15*31+$BC$16+ 1) +$BF$15," ")," ")</f>
        <v xml:space="preserve"> </v>
      </c>
      <c r="BG16" s="44" t="str">
        <f ca="1">IFERROR(IF(ISNUMBER($BC$16),INDEX('1.Locations'!$J$2:$J$32,$BC$16 + 1) +$BG$15," ")," ")</f>
        <v xml:space="preserve"> </v>
      </c>
      <c r="BH16" s="44" t="str">
        <f ca="1">IFERROR(IF(ISNUMBER($BC$16),INDEX('1.Locations'!$K$2:$K$32,$BC$16 + 1) +$BH$15," ")," ")</f>
        <v xml:space="preserve"> </v>
      </c>
      <c r="BI16" s="46" t="str">
        <f ca="1">IFERROR(IF(AND(ISNUMBER($BC$16),$BC$16&lt;=30),INDEX('2.Distances'!$D$2:$D$963,$BC$15*31+$BC$16+ 1) +$BI$15," ")," ")</f>
        <v xml:space="preserve"> </v>
      </c>
      <c r="BJ16" s="47" t="str">
        <f ca="1">IFERROR(IF(AND(ISNUMBER($BC$16),$BC$16&lt;=30),INDEX('2.Distances'!$D$2:$D$963,$BC$15*31+$BC$16+ 1) +$BK$15," ")," ")</f>
        <v xml:space="preserve"> </v>
      </c>
      <c r="BK16" s="47" t="str">
        <f ca="1">IFERROR(IF(ISNUMBER($BJ$16),INDEX('1.Locations'!$I$2:$I$32,$BC$16 + 1) + MAX($BJ$16,INDEX('1.Locations'!$F$2:$F$32,$BC$16 + 1))," ")," ")</f>
        <v xml:space="preserve"> </v>
      </c>
      <c r="BL16" s="46" t="str">
        <f ca="1">IFERROR($BL$15 + INDEX('2.Distances'!$D$2:$D$963,$BC$15*31+$BC$16+ 1) + INDEX('1.Locations'!$I$2:$I$32,$BC$16 + 1)," ")</f>
        <v xml:space="preserve"> </v>
      </c>
      <c r="BN16" s="19">
        <v>11</v>
      </c>
      <c r="BO16" s="20"/>
      <c r="BP16" s="44" t="str">
        <f ca="1">IFERROR(MATCH(INDIRECT("$BO$16"),'1.Locations'!$B$2:$B$32, 0) - 1," ")</f>
        <v xml:space="preserve"> </v>
      </c>
      <c r="BQ16" s="44" t="e">
        <f ca="1">IFERROR(IF(ISNUMBER($BP$16),INDEX('1.Locations'!$D$2:$D$32,$BP$16 + 1),NA()),NA())</f>
        <v>#N/A</v>
      </c>
      <c r="BR16" s="44" t="e">
        <f ca="1">IFERROR(IF(ISNUMBER($BP$16),INDEX('1.Locations'!$E$2:$E$32,$BP$16 + 1),NA()),NA())</f>
        <v>#N/A</v>
      </c>
      <c r="BS16" s="45" t="str">
        <f ca="1">IFERROR(IF(AND(ISNUMBER($BP$16),$BP$16&lt;=30),INDEX('2.Distances'!$C$2:$C$963,$BP$15*31+$BP$16+ 1) +$BS$15," ")," ")</f>
        <v xml:space="preserve"> </v>
      </c>
      <c r="BT16" s="44" t="str">
        <f ca="1">IFERROR(IF(ISNUMBER($BP$16),INDEX('1.Locations'!$J$2:$J$32,$BP$16 + 1) +$BT$15," ")," ")</f>
        <v xml:space="preserve"> </v>
      </c>
      <c r="BU16" s="44" t="str">
        <f ca="1">IFERROR(IF(ISNUMBER($BP$16),INDEX('1.Locations'!$K$2:$K$32,$BP$16 + 1) +$BU$15," ")," ")</f>
        <v xml:space="preserve"> </v>
      </c>
      <c r="BV16" s="46" t="str">
        <f ca="1">IFERROR(IF(AND(ISNUMBER($BP$16),$BP$16&lt;=30),INDEX('2.Distances'!$D$2:$D$963,$BP$15*31+$BP$16+ 1) +$BV$15," ")," ")</f>
        <v xml:space="preserve"> </v>
      </c>
      <c r="BW16" s="47" t="str">
        <f ca="1">IFERROR(IF(AND(ISNUMBER($BP$16),$BP$16&lt;=30),INDEX('2.Distances'!$D$2:$D$963,$BP$15*31+$BP$16+ 1) +$BX$15," ")," ")</f>
        <v xml:space="preserve"> </v>
      </c>
      <c r="BX16" s="47" t="str">
        <f ca="1">IFERROR(IF(ISNUMBER($BW$16),INDEX('1.Locations'!$I$2:$I$32,$BP$16 + 1) + MAX($BW$16,INDEX('1.Locations'!$F$2:$F$32,$BP$16 + 1))," ")," ")</f>
        <v xml:space="preserve"> </v>
      </c>
      <c r="BY16" s="46" t="str">
        <f ca="1">IFERROR($BY$15 + INDEX('2.Distances'!$D$2:$D$963,$BP$15*31+$BP$16+ 1) + INDEX('1.Locations'!$I$2:$I$32,$BP$16 + 1)," ")</f>
        <v xml:space="preserve"> </v>
      </c>
      <c r="CA16" s="19">
        <v>11</v>
      </c>
      <c r="CB16" s="20"/>
      <c r="CC16" s="44" t="str">
        <f ca="1">IFERROR(MATCH(INDIRECT("$CB$16"),'1.Locations'!$B$2:$B$32, 0) - 1," ")</f>
        <v xml:space="preserve"> </v>
      </c>
      <c r="CD16" s="44" t="e">
        <f ca="1">IFERROR(IF(ISNUMBER($CC$16),INDEX('1.Locations'!$D$2:$D$32,$CC$16 + 1),NA()),NA())</f>
        <v>#N/A</v>
      </c>
      <c r="CE16" s="44" t="e">
        <f ca="1">IFERROR(IF(ISNUMBER($CC$16),INDEX('1.Locations'!$E$2:$E$32,$CC$16 + 1),NA()),NA())</f>
        <v>#N/A</v>
      </c>
      <c r="CF16" s="45" t="str">
        <f ca="1">IFERROR(IF(AND(ISNUMBER($CC$16),$CC$16&lt;=30),INDEX('2.Distances'!$C$2:$C$963,$CC$15*31+$CC$16+ 1) +$CF$15," ")," ")</f>
        <v xml:space="preserve"> </v>
      </c>
      <c r="CG16" s="44" t="str">
        <f ca="1">IFERROR(IF(ISNUMBER($CC$16),INDEX('1.Locations'!$J$2:$J$32,$CC$16 + 1) +$CG$15," ")," ")</f>
        <v xml:space="preserve"> </v>
      </c>
      <c r="CH16" s="44" t="str">
        <f ca="1">IFERROR(IF(ISNUMBER($CC$16),INDEX('1.Locations'!$K$2:$K$32,$CC$16 + 1) +$CH$15," ")," ")</f>
        <v xml:space="preserve"> </v>
      </c>
      <c r="CI16" s="46" t="str">
        <f ca="1">IFERROR(IF(AND(ISNUMBER($CC$16),$CC$16&lt;=30),INDEX('2.Distances'!$D$2:$D$963,$CC$15*31+$CC$16+ 1) +$CI$15," ")," ")</f>
        <v xml:space="preserve"> </v>
      </c>
      <c r="CJ16" s="47" t="str">
        <f ca="1">IFERROR(IF(AND(ISNUMBER($CC$16),$CC$16&lt;=30),INDEX('2.Distances'!$D$2:$D$963,$CC$15*31+$CC$16+ 1) +$CK$15," ")," ")</f>
        <v xml:space="preserve"> </v>
      </c>
      <c r="CK16" s="47" t="str">
        <f ca="1">IFERROR(IF(ISNUMBER($CJ$16),INDEX('1.Locations'!$I$2:$I$32,$CC$16 + 1) + MAX($CJ$16,INDEX('1.Locations'!$F$2:$F$32,$CC$16 + 1))," ")," ")</f>
        <v xml:space="preserve"> </v>
      </c>
      <c r="CL16" s="46" t="str">
        <f ca="1">IFERROR($CL$15 + INDEX('2.Distances'!$D$2:$D$963,$CC$15*31+$CC$16+ 1) + INDEX('1.Locations'!$I$2:$I$32,$CC$16 + 1)," ")</f>
        <v xml:space="preserve"> </v>
      </c>
      <c r="CN16" s="19">
        <v>11</v>
      </c>
      <c r="CO16" s="20"/>
      <c r="CP16" s="44" t="str">
        <f ca="1">IFERROR(MATCH(INDIRECT("$CO$16"),'1.Locations'!$B$2:$B$32, 0) - 1," ")</f>
        <v xml:space="preserve"> </v>
      </c>
      <c r="CQ16" s="44" t="e">
        <f ca="1">IFERROR(IF(ISNUMBER($CP$16),INDEX('1.Locations'!$D$2:$D$32,$CP$16 + 1),NA()),NA())</f>
        <v>#N/A</v>
      </c>
      <c r="CR16" s="44" t="e">
        <f ca="1">IFERROR(IF(ISNUMBER($CP$16),INDEX('1.Locations'!$E$2:$E$32,$CP$16 + 1),NA()),NA())</f>
        <v>#N/A</v>
      </c>
      <c r="CS16" s="45" t="str">
        <f ca="1">IFERROR(IF(AND(ISNUMBER($CP$16),$CP$16&lt;=30),INDEX('2.Distances'!$C$2:$C$963,$CP$15*31+$CP$16+ 1) +$CS$15," ")," ")</f>
        <v xml:space="preserve"> </v>
      </c>
      <c r="CT16" s="44" t="str">
        <f ca="1">IFERROR(IF(ISNUMBER($CP$16),INDEX('1.Locations'!$J$2:$J$32,$CP$16 + 1) +$CT$15," ")," ")</f>
        <v xml:space="preserve"> </v>
      </c>
      <c r="CU16" s="44" t="str">
        <f ca="1">IFERROR(IF(ISNUMBER($CP$16),INDEX('1.Locations'!$K$2:$K$32,$CP$16 + 1) +$CU$15," ")," ")</f>
        <v xml:space="preserve"> </v>
      </c>
      <c r="CV16" s="46" t="str">
        <f ca="1">IFERROR(IF(AND(ISNUMBER($CP$16),$CP$16&lt;=30),INDEX('2.Distances'!$D$2:$D$963,$CP$15*31+$CP$16+ 1) +$CV$15," ")," ")</f>
        <v xml:space="preserve"> </v>
      </c>
      <c r="CW16" s="47" t="str">
        <f ca="1">IFERROR(IF(AND(ISNUMBER($CP$16),$CP$16&lt;=30),INDEX('2.Distances'!$D$2:$D$963,$CP$15*31+$CP$16+ 1) +$CX$15," ")," ")</f>
        <v xml:space="preserve"> </v>
      </c>
      <c r="CX16" s="47" t="str">
        <f ca="1">IFERROR(IF(ISNUMBER($CW$16),INDEX('1.Locations'!$I$2:$I$32,$CP$16 + 1) + MAX($CW$16,INDEX('1.Locations'!$F$2:$F$32,$CP$16 + 1))," ")," ")</f>
        <v xml:space="preserve"> </v>
      </c>
      <c r="CY16" s="46" t="str">
        <f ca="1">IFERROR($CY$15 + INDEX('2.Distances'!$D$2:$D$963,$CP$15*31+$CP$16+ 1) + INDEX('1.Locations'!$I$2:$I$32,$CP$16 + 1)," ")</f>
        <v xml:space="preserve"> </v>
      </c>
      <c r="DA16" s="19">
        <v>11</v>
      </c>
      <c r="DB16" s="20"/>
      <c r="DC16" s="44" t="str">
        <f ca="1">IFERROR(MATCH(INDIRECT("$DB$16"),'1.Locations'!$B$2:$B$32, 0) - 1," ")</f>
        <v xml:space="preserve"> </v>
      </c>
      <c r="DD16" s="44" t="e">
        <f ca="1">IFERROR(IF(ISNUMBER($DC$16),INDEX('1.Locations'!$D$2:$D$32,$DC$16 + 1),NA()),NA())</f>
        <v>#N/A</v>
      </c>
      <c r="DE16" s="44" t="e">
        <f ca="1">IFERROR(IF(ISNUMBER($DC$16),INDEX('1.Locations'!$E$2:$E$32,$DC$16 + 1),NA()),NA())</f>
        <v>#N/A</v>
      </c>
      <c r="DF16" s="45" t="str">
        <f ca="1">IFERROR(IF(AND(ISNUMBER($DC$16),$DC$16&lt;=30),INDEX('2.Distances'!$C$2:$C$963,$DC$15*31+$DC$16+ 1) +$DF$15," ")," ")</f>
        <v xml:space="preserve"> </v>
      </c>
      <c r="DG16" s="44" t="str">
        <f ca="1">IFERROR(IF(ISNUMBER($DC$16),INDEX('1.Locations'!$J$2:$J$32,$DC$16 + 1) +$DG$15," ")," ")</f>
        <v xml:space="preserve"> </v>
      </c>
      <c r="DH16" s="44" t="str">
        <f ca="1">IFERROR(IF(ISNUMBER($DC$16),INDEX('1.Locations'!$K$2:$K$32,$DC$16 + 1) +$DH$15," ")," ")</f>
        <v xml:space="preserve"> </v>
      </c>
      <c r="DI16" s="46" t="str">
        <f ca="1">IFERROR(IF(AND(ISNUMBER($DC$16),$DC$16&lt;=30),INDEX('2.Distances'!$D$2:$D$963,$DC$15*31+$DC$16+ 1) +$DI$15," ")," ")</f>
        <v xml:space="preserve"> </v>
      </c>
      <c r="DJ16" s="47" t="str">
        <f ca="1">IFERROR(IF(AND(ISNUMBER($DC$16),$DC$16&lt;=30),INDEX('2.Distances'!$D$2:$D$963,$DC$15*31+$DC$16+ 1) +$DK$15," ")," ")</f>
        <v xml:space="preserve"> </v>
      </c>
      <c r="DK16" s="47" t="str">
        <f ca="1">IFERROR(IF(ISNUMBER($DJ$16),INDEX('1.Locations'!$I$2:$I$32,$DC$16 + 1) + MAX($DJ$16,INDEX('1.Locations'!$F$2:$F$32,$DC$16 + 1))," ")," ")</f>
        <v xml:space="preserve"> </v>
      </c>
      <c r="DL16" s="46" t="str">
        <f ca="1">IFERROR($DL$15 + INDEX('2.Distances'!$D$2:$D$963,$DC$15*31+$DC$16+ 1) + INDEX('1.Locations'!$I$2:$I$32,$DC$16 + 1)," ")</f>
        <v xml:space="preserve"> </v>
      </c>
      <c r="DN16" s="19">
        <v>11</v>
      </c>
      <c r="DO16" s="20"/>
      <c r="DP16" s="44" t="str">
        <f ca="1">IFERROR(MATCH(INDIRECT("$DO$16"),'1.Locations'!$B$2:$B$32, 0) - 1," ")</f>
        <v xml:space="preserve"> </v>
      </c>
      <c r="DQ16" s="44" t="e">
        <f ca="1">IFERROR(IF(ISNUMBER($DP$16),INDEX('1.Locations'!$D$2:$D$32,$DP$16 + 1),NA()),NA())</f>
        <v>#N/A</v>
      </c>
      <c r="DR16" s="44" t="e">
        <f ca="1">IFERROR(IF(ISNUMBER($DP$16),INDEX('1.Locations'!$E$2:$E$32,$DP$16 + 1),NA()),NA())</f>
        <v>#N/A</v>
      </c>
      <c r="DS16" s="45" t="str">
        <f ca="1">IFERROR(IF(AND(ISNUMBER($DP$16),$DP$16&lt;=30),INDEX('2.Distances'!$C$2:$C$963,$DP$15*31+$DP$16+ 1) +$DS$15," ")," ")</f>
        <v xml:space="preserve"> </v>
      </c>
      <c r="DT16" s="44" t="str">
        <f ca="1">IFERROR(IF(ISNUMBER($DP$16),INDEX('1.Locations'!$J$2:$J$32,$DP$16 + 1) +$DT$15," ")," ")</f>
        <v xml:space="preserve"> </v>
      </c>
      <c r="DU16" s="44" t="str">
        <f ca="1">IFERROR(IF(ISNUMBER($DP$16),INDEX('1.Locations'!$K$2:$K$32,$DP$16 + 1) +$DU$15," ")," ")</f>
        <v xml:space="preserve"> </v>
      </c>
      <c r="DV16" s="46" t="str">
        <f ca="1">IFERROR(IF(AND(ISNUMBER($DP$16),$DP$16&lt;=30),INDEX('2.Distances'!$D$2:$D$963,$DP$15*31+$DP$16+ 1) +$DV$15," ")," ")</f>
        <v xml:space="preserve"> </v>
      </c>
      <c r="DW16" s="47" t="str">
        <f ca="1">IFERROR(IF(AND(ISNUMBER($DP$16),$DP$16&lt;=30),INDEX('2.Distances'!$D$2:$D$963,$DP$15*31+$DP$16+ 1) +$DX$15," ")," ")</f>
        <v xml:space="preserve"> </v>
      </c>
      <c r="DX16" s="47" t="str">
        <f ca="1">IFERROR(IF(ISNUMBER($DW$16),INDEX('1.Locations'!$I$2:$I$32,$DP$16 + 1) + MAX($DW$16,INDEX('1.Locations'!$F$2:$F$32,$DP$16 + 1))," ")," ")</f>
        <v xml:space="preserve"> </v>
      </c>
      <c r="DY16" s="46" t="str">
        <f ca="1">IFERROR($DY$15 + INDEX('2.Distances'!$D$2:$D$963,$DP$15*31+$DP$16+ 1) + INDEX('1.Locations'!$I$2:$I$32,$DP$16 + 1)," ")</f>
        <v xml:space="preserve"> </v>
      </c>
      <c r="EA16" s="19">
        <v>11</v>
      </c>
      <c r="EB16" s="20"/>
      <c r="EC16" s="44" t="str">
        <f ca="1">IFERROR(MATCH(INDIRECT("$EB$16"),'1.Locations'!$B$2:$B$32, 0) - 1," ")</f>
        <v xml:space="preserve"> </v>
      </c>
      <c r="ED16" s="44" t="e">
        <f ca="1">IFERROR(IF(ISNUMBER($EC$16),INDEX('1.Locations'!$D$2:$D$32,$EC$16 + 1),NA()),NA())</f>
        <v>#N/A</v>
      </c>
      <c r="EE16" s="44" t="e">
        <f ca="1">IFERROR(IF(ISNUMBER($EC$16),INDEX('1.Locations'!$E$2:$E$32,$EC$16 + 1),NA()),NA())</f>
        <v>#N/A</v>
      </c>
      <c r="EF16" s="45" t="str">
        <f ca="1">IFERROR(IF(AND(ISNUMBER($EC$16),$EC$16&lt;=30),INDEX('2.Distances'!$C$2:$C$963,$EC$15*31+$EC$16+ 1) +$EF$15," ")," ")</f>
        <v xml:space="preserve"> </v>
      </c>
      <c r="EG16" s="44" t="str">
        <f ca="1">IFERROR(IF(ISNUMBER($EC$16),INDEX('1.Locations'!$J$2:$J$32,$EC$16 + 1) +$EG$15," ")," ")</f>
        <v xml:space="preserve"> </v>
      </c>
      <c r="EH16" s="44" t="str">
        <f ca="1">IFERROR(IF(ISNUMBER($EC$16),INDEX('1.Locations'!$K$2:$K$32,$EC$16 + 1) +$EH$15," ")," ")</f>
        <v xml:space="preserve"> </v>
      </c>
      <c r="EI16" s="46" t="str">
        <f ca="1">IFERROR(IF(AND(ISNUMBER($EC$16),$EC$16&lt;=30),INDEX('2.Distances'!$D$2:$D$963,$EC$15*31+$EC$16+ 1) +$EI$15," ")," ")</f>
        <v xml:space="preserve"> </v>
      </c>
      <c r="EJ16" s="47" t="str">
        <f ca="1">IFERROR(IF(AND(ISNUMBER($EC$16),$EC$16&lt;=30),INDEX('2.Distances'!$D$2:$D$963,$EC$15*31+$EC$16+ 1) +$EK$15," ")," ")</f>
        <v xml:space="preserve"> </v>
      </c>
      <c r="EK16" s="47" t="str">
        <f ca="1">IFERROR(IF(ISNUMBER($EJ$16),INDEX('1.Locations'!$I$2:$I$32,$EC$16 + 1) + MAX($EJ$16,INDEX('1.Locations'!$F$2:$F$32,$EC$16 + 1))," ")," ")</f>
        <v xml:space="preserve"> </v>
      </c>
      <c r="EL16" s="46" t="str">
        <f ca="1">IFERROR($EL$15 + INDEX('2.Distances'!$D$2:$D$963,$EC$15*31+$EC$16+ 1) + INDEX('1.Locations'!$I$2:$I$32,$EC$16 + 1)," ")</f>
        <v xml:space="preserve"> </v>
      </c>
      <c r="EN16" s="19">
        <v>11</v>
      </c>
      <c r="EO16" s="20"/>
      <c r="EP16" s="44" t="str">
        <f ca="1">IFERROR(MATCH(INDIRECT("$EO$16"),'1.Locations'!$B$2:$B$32, 0) - 1," ")</f>
        <v xml:space="preserve"> </v>
      </c>
      <c r="EQ16" s="44" t="e">
        <f ca="1">IFERROR(IF(ISNUMBER($EP$16),INDEX('1.Locations'!$D$2:$D$32,$EP$16 + 1),NA()),NA())</f>
        <v>#N/A</v>
      </c>
      <c r="ER16" s="44" t="e">
        <f ca="1">IFERROR(IF(ISNUMBER($EP$16),INDEX('1.Locations'!$E$2:$E$32,$EP$16 + 1),NA()),NA())</f>
        <v>#N/A</v>
      </c>
      <c r="ES16" s="45" t="str">
        <f ca="1">IFERROR(IF(AND(ISNUMBER($EP$16),$EP$16&lt;=30),INDEX('2.Distances'!$C$2:$C$963,$EP$15*31+$EP$16+ 1) +$ES$15," ")," ")</f>
        <v xml:space="preserve"> </v>
      </c>
      <c r="ET16" s="44" t="str">
        <f ca="1">IFERROR(IF(ISNUMBER($EP$16),INDEX('1.Locations'!$J$2:$J$32,$EP$16 + 1) +$ET$15," ")," ")</f>
        <v xml:space="preserve"> </v>
      </c>
      <c r="EU16" s="44" t="str">
        <f ca="1">IFERROR(IF(ISNUMBER($EP$16),INDEX('1.Locations'!$K$2:$K$32,$EP$16 + 1) +$EU$15," ")," ")</f>
        <v xml:space="preserve"> </v>
      </c>
      <c r="EV16" s="46" t="str">
        <f ca="1">IFERROR(IF(AND(ISNUMBER($EP$16),$EP$16&lt;=30),INDEX('2.Distances'!$D$2:$D$963,$EP$15*31+$EP$16+ 1) +$EV$15," ")," ")</f>
        <v xml:space="preserve"> </v>
      </c>
      <c r="EW16" s="47" t="str">
        <f ca="1">IFERROR(IF(AND(ISNUMBER($EP$16),$EP$16&lt;=30),INDEX('2.Distances'!$D$2:$D$963,$EP$15*31+$EP$16+ 1) +$EX$15," ")," ")</f>
        <v xml:space="preserve"> </v>
      </c>
      <c r="EX16" s="47" t="str">
        <f ca="1">IFERROR(IF(ISNUMBER($EW$16),INDEX('1.Locations'!$I$2:$I$32,$EP$16 + 1) + MAX($EW$16,INDEX('1.Locations'!$F$2:$F$32,$EP$16 + 1))," ")," ")</f>
        <v xml:space="preserve"> </v>
      </c>
      <c r="EY16" s="46" t="str">
        <f ca="1">IFERROR($EY$15 + INDEX('2.Distances'!$D$2:$D$963,$EP$15*31+$EP$16+ 1) + INDEX('1.Locations'!$I$2:$I$32,$EP$16 + 1)," ")</f>
        <v xml:space="preserve"> </v>
      </c>
    </row>
    <row r="17" spans="1:155" x14ac:dyDescent="0.2">
      <c r="A17" s="19">
        <v>12</v>
      </c>
      <c r="B17" s="20"/>
      <c r="C17" s="44" t="str">
        <f ca="1">IFERROR(MATCH(INDIRECT("$B$17"),'1.Locations'!$B$2:$B$32, 0) - 1," ")</f>
        <v xml:space="preserve"> </v>
      </c>
      <c r="D17" s="44" t="e">
        <f ca="1">IFERROR(IF(ISNUMBER($C$17),INDEX('1.Locations'!$D$2:$D$32,$C$17 + 1),NA()),NA())</f>
        <v>#N/A</v>
      </c>
      <c r="E17" s="44" t="e">
        <f ca="1">IFERROR(IF(ISNUMBER($C$17),INDEX('1.Locations'!$E$2:$E$32,$C$17 + 1),NA()),NA())</f>
        <v>#N/A</v>
      </c>
      <c r="F17" s="45" t="str">
        <f ca="1">IFERROR(IF(AND(ISNUMBER($C$17),$C$17&lt;=30),INDEX('2.Distances'!$C$2:$C$963,$C$16*31+$C$17+ 1) +$F$16," ")," ")</f>
        <v xml:space="preserve"> </v>
      </c>
      <c r="G17" s="44" t="str">
        <f ca="1">IFERROR(IF(ISNUMBER($C$17),INDEX('1.Locations'!$J$2:$J$32,$C$17 + 1) +$G$16," ")," ")</f>
        <v xml:space="preserve"> </v>
      </c>
      <c r="H17" s="44" t="str">
        <f ca="1">IFERROR(IF(ISNUMBER($C$17),INDEX('1.Locations'!$K$2:$K$32,$C$17 + 1) +$H$16," ")," ")</f>
        <v xml:space="preserve"> </v>
      </c>
      <c r="I17" s="46" t="str">
        <f ca="1">IFERROR(IF(AND(ISNUMBER($C$17),$C$17&lt;=30),INDEX('2.Distances'!$D$2:$D$963,$C$16*31+$C$17+ 1) +$I$16," ")," ")</f>
        <v xml:space="preserve"> </v>
      </c>
      <c r="J17" s="47" t="str">
        <f ca="1">IFERROR(IF(AND(ISNUMBER($C$17),$C$17&lt;=30),INDEX('2.Distances'!$D$2:$D$963,$C$16*31+$C$17+ 1) +$K$16," ")," ")</f>
        <v xml:space="preserve"> </v>
      </c>
      <c r="K17" s="47" t="str">
        <f ca="1">IFERROR(IF(ISNUMBER($J$17),INDEX('1.Locations'!$I$2:$I$32,$C$17 + 1) + MAX($J$17,INDEX('1.Locations'!$F$2:$F$32,$C$17 + 1))," ")," ")</f>
        <v xml:space="preserve"> </v>
      </c>
      <c r="L17" s="46" t="str">
        <f ca="1">IFERROR($L$16 + INDEX('2.Distances'!$D$2:$D$963,$C$16*31+$C$17+ 1) + INDEX('1.Locations'!$I$2:$I$32,$C$17 + 1)," ")</f>
        <v xml:space="preserve"> </v>
      </c>
      <c r="N17" s="19">
        <v>12</v>
      </c>
      <c r="O17" s="20"/>
      <c r="P17" s="44" t="str">
        <f ca="1">IFERROR(MATCH(INDIRECT("$O$17"),'1.Locations'!$B$2:$B$32, 0) - 1," ")</f>
        <v xml:space="preserve"> </v>
      </c>
      <c r="Q17" s="44" t="e">
        <f ca="1">IFERROR(IF(ISNUMBER($P$17),INDEX('1.Locations'!$D$2:$D$32,$P$17 + 1),NA()),NA())</f>
        <v>#N/A</v>
      </c>
      <c r="R17" s="44" t="e">
        <f ca="1">IFERROR(IF(ISNUMBER($P$17),INDEX('1.Locations'!$E$2:$E$32,$P$17 + 1),NA()),NA())</f>
        <v>#N/A</v>
      </c>
      <c r="S17" s="45" t="str">
        <f ca="1">IFERROR(IF(AND(ISNUMBER($P$17),$P$17&lt;=30),INDEX('2.Distances'!$C$2:$C$963,$P$16*31+$P$17+ 1) +$S$16," ")," ")</f>
        <v xml:space="preserve"> </v>
      </c>
      <c r="T17" s="44" t="str">
        <f ca="1">IFERROR(IF(ISNUMBER($P$17),INDEX('1.Locations'!$J$2:$J$32,$P$17 + 1) +$T$16," ")," ")</f>
        <v xml:space="preserve"> </v>
      </c>
      <c r="U17" s="44" t="str">
        <f ca="1">IFERROR(IF(ISNUMBER($P$17),INDEX('1.Locations'!$K$2:$K$32,$P$17 + 1) +$U$16," ")," ")</f>
        <v xml:space="preserve"> </v>
      </c>
      <c r="V17" s="46" t="str">
        <f ca="1">IFERROR(IF(AND(ISNUMBER($P$17),$P$17&lt;=30),INDEX('2.Distances'!$D$2:$D$963,$P$16*31+$P$17+ 1) +$V$16," ")," ")</f>
        <v xml:space="preserve"> </v>
      </c>
      <c r="W17" s="47" t="str">
        <f ca="1">IFERROR(IF(AND(ISNUMBER($P$17),$P$17&lt;=30),INDEX('2.Distances'!$D$2:$D$963,$P$16*31+$P$17+ 1) +$X$16," ")," ")</f>
        <v xml:space="preserve"> </v>
      </c>
      <c r="X17" s="47" t="str">
        <f ca="1">IFERROR(IF(ISNUMBER($W$17),INDEX('1.Locations'!$I$2:$I$32,$P$17 + 1) + MAX($W$17,INDEX('1.Locations'!$F$2:$F$32,$P$17 + 1))," ")," ")</f>
        <v xml:space="preserve"> </v>
      </c>
      <c r="Y17" s="46" t="str">
        <f ca="1">IFERROR($Y$16 + INDEX('2.Distances'!$D$2:$D$963,$P$16*31+$P$17+ 1) + INDEX('1.Locations'!$I$2:$I$32,$P$17 + 1)," ")</f>
        <v xml:space="preserve"> </v>
      </c>
      <c r="AA17" s="19">
        <v>12</v>
      </c>
      <c r="AB17" s="20"/>
      <c r="AC17" s="44" t="str">
        <f ca="1">IFERROR(MATCH(INDIRECT("$AB$17"),'1.Locations'!$B$2:$B$32, 0) - 1," ")</f>
        <v xml:space="preserve"> </v>
      </c>
      <c r="AD17" s="44" t="e">
        <f ca="1">IFERROR(IF(ISNUMBER($AC$17),INDEX('1.Locations'!$D$2:$D$32,$AC$17 + 1),NA()),NA())</f>
        <v>#N/A</v>
      </c>
      <c r="AE17" s="44" t="e">
        <f ca="1">IFERROR(IF(ISNUMBER($AC$17),INDEX('1.Locations'!$E$2:$E$32,$AC$17 + 1),NA()),NA())</f>
        <v>#N/A</v>
      </c>
      <c r="AF17" s="45" t="str">
        <f ca="1">IFERROR(IF(AND(ISNUMBER($AC$17),$AC$17&lt;=30),INDEX('2.Distances'!$C$2:$C$963,$AC$16*31+$AC$17+ 1) +$AF$16," ")," ")</f>
        <v xml:space="preserve"> </v>
      </c>
      <c r="AG17" s="44" t="str">
        <f ca="1">IFERROR(IF(ISNUMBER($AC$17),INDEX('1.Locations'!$J$2:$J$32,$AC$17 + 1) +$AG$16," ")," ")</f>
        <v xml:space="preserve"> </v>
      </c>
      <c r="AH17" s="44" t="str">
        <f ca="1">IFERROR(IF(ISNUMBER($AC$17),INDEX('1.Locations'!$K$2:$K$32,$AC$17 + 1) +$AH$16," ")," ")</f>
        <v xml:space="preserve"> </v>
      </c>
      <c r="AI17" s="46" t="str">
        <f ca="1">IFERROR(IF(AND(ISNUMBER($AC$17),$AC$17&lt;=30),INDEX('2.Distances'!$D$2:$D$963,$AC$16*31+$AC$17+ 1) +$AI$16," ")," ")</f>
        <v xml:space="preserve"> </v>
      </c>
      <c r="AJ17" s="47" t="str">
        <f ca="1">IFERROR(IF(AND(ISNUMBER($AC$17),$AC$17&lt;=30),INDEX('2.Distances'!$D$2:$D$963,$AC$16*31+$AC$17+ 1) +$AK$16," ")," ")</f>
        <v xml:space="preserve"> </v>
      </c>
      <c r="AK17" s="47" t="str">
        <f ca="1">IFERROR(IF(ISNUMBER($AJ$17),INDEX('1.Locations'!$I$2:$I$32,$AC$17 + 1) + MAX($AJ$17,INDEX('1.Locations'!$F$2:$F$32,$AC$17 + 1))," ")," ")</f>
        <v xml:space="preserve"> </v>
      </c>
      <c r="AL17" s="46" t="str">
        <f ca="1">IFERROR($AL$16 + INDEX('2.Distances'!$D$2:$D$963,$AC$16*31+$AC$17+ 1) + INDEX('1.Locations'!$I$2:$I$32,$AC$17 + 1)," ")</f>
        <v xml:space="preserve"> </v>
      </c>
      <c r="AN17" s="19">
        <v>12</v>
      </c>
      <c r="AO17" s="20"/>
      <c r="AP17" s="44" t="str">
        <f ca="1">IFERROR(MATCH(INDIRECT("$AO$17"),'1.Locations'!$B$2:$B$32, 0) - 1," ")</f>
        <v xml:space="preserve"> </v>
      </c>
      <c r="AQ17" s="44" t="e">
        <f ca="1">IFERROR(IF(ISNUMBER($AP$17),INDEX('1.Locations'!$D$2:$D$32,$AP$17 + 1),NA()),NA())</f>
        <v>#N/A</v>
      </c>
      <c r="AR17" s="44" t="e">
        <f ca="1">IFERROR(IF(ISNUMBER($AP$17),INDEX('1.Locations'!$E$2:$E$32,$AP$17 + 1),NA()),NA())</f>
        <v>#N/A</v>
      </c>
      <c r="AS17" s="45" t="str">
        <f ca="1">IFERROR(IF(AND(ISNUMBER($AP$17),$AP$17&lt;=30),INDEX('2.Distances'!$C$2:$C$963,$AP$16*31+$AP$17+ 1) +$AS$16," ")," ")</f>
        <v xml:space="preserve"> </v>
      </c>
      <c r="AT17" s="44" t="str">
        <f ca="1">IFERROR(IF(ISNUMBER($AP$17),INDEX('1.Locations'!$J$2:$J$32,$AP$17 + 1) +$AT$16," ")," ")</f>
        <v xml:space="preserve"> </v>
      </c>
      <c r="AU17" s="44" t="str">
        <f ca="1">IFERROR(IF(ISNUMBER($AP$17),INDEX('1.Locations'!$K$2:$K$32,$AP$17 + 1) +$AU$16," ")," ")</f>
        <v xml:space="preserve"> </v>
      </c>
      <c r="AV17" s="46" t="str">
        <f ca="1">IFERROR(IF(AND(ISNUMBER($AP$17),$AP$17&lt;=30),INDEX('2.Distances'!$D$2:$D$963,$AP$16*31+$AP$17+ 1) +$AV$16," ")," ")</f>
        <v xml:space="preserve"> </v>
      </c>
      <c r="AW17" s="47" t="str">
        <f ca="1">IFERROR(IF(AND(ISNUMBER($AP$17),$AP$17&lt;=30),INDEX('2.Distances'!$D$2:$D$963,$AP$16*31+$AP$17+ 1) +$AX$16," ")," ")</f>
        <v xml:space="preserve"> </v>
      </c>
      <c r="AX17" s="47" t="str">
        <f ca="1">IFERROR(IF(ISNUMBER($AW$17),INDEX('1.Locations'!$I$2:$I$32,$AP$17 + 1) + MAX($AW$17,INDEX('1.Locations'!$F$2:$F$32,$AP$17 + 1))," ")," ")</f>
        <v xml:space="preserve"> </v>
      </c>
      <c r="AY17" s="46" t="str">
        <f ca="1">IFERROR($AY$16 + INDEX('2.Distances'!$D$2:$D$963,$AP$16*31+$AP$17+ 1) + INDEX('1.Locations'!$I$2:$I$32,$AP$17 + 1)," ")</f>
        <v xml:space="preserve"> </v>
      </c>
      <c r="BA17" s="19">
        <v>12</v>
      </c>
      <c r="BB17" s="20"/>
      <c r="BC17" s="44" t="str">
        <f ca="1">IFERROR(MATCH(INDIRECT("$BB$17"),'1.Locations'!$B$2:$B$32, 0) - 1," ")</f>
        <v xml:space="preserve"> </v>
      </c>
      <c r="BD17" s="44" t="e">
        <f ca="1">IFERROR(IF(ISNUMBER($BC$17),INDEX('1.Locations'!$D$2:$D$32,$BC$17 + 1),NA()),NA())</f>
        <v>#N/A</v>
      </c>
      <c r="BE17" s="44" t="e">
        <f ca="1">IFERROR(IF(ISNUMBER($BC$17),INDEX('1.Locations'!$E$2:$E$32,$BC$17 + 1),NA()),NA())</f>
        <v>#N/A</v>
      </c>
      <c r="BF17" s="45" t="str">
        <f ca="1">IFERROR(IF(AND(ISNUMBER($BC$17),$BC$17&lt;=30),INDEX('2.Distances'!$C$2:$C$963,$BC$16*31+$BC$17+ 1) +$BF$16," ")," ")</f>
        <v xml:space="preserve"> </v>
      </c>
      <c r="BG17" s="44" t="str">
        <f ca="1">IFERROR(IF(ISNUMBER($BC$17),INDEX('1.Locations'!$J$2:$J$32,$BC$17 + 1) +$BG$16," ")," ")</f>
        <v xml:space="preserve"> </v>
      </c>
      <c r="BH17" s="44" t="str">
        <f ca="1">IFERROR(IF(ISNUMBER($BC$17),INDEX('1.Locations'!$K$2:$K$32,$BC$17 + 1) +$BH$16," ")," ")</f>
        <v xml:space="preserve"> </v>
      </c>
      <c r="BI17" s="46" t="str">
        <f ca="1">IFERROR(IF(AND(ISNUMBER($BC$17),$BC$17&lt;=30),INDEX('2.Distances'!$D$2:$D$963,$BC$16*31+$BC$17+ 1) +$BI$16," ")," ")</f>
        <v xml:space="preserve"> </v>
      </c>
      <c r="BJ17" s="47" t="str">
        <f ca="1">IFERROR(IF(AND(ISNUMBER($BC$17),$BC$17&lt;=30),INDEX('2.Distances'!$D$2:$D$963,$BC$16*31+$BC$17+ 1) +$BK$16," ")," ")</f>
        <v xml:space="preserve"> </v>
      </c>
      <c r="BK17" s="47" t="str">
        <f ca="1">IFERROR(IF(ISNUMBER($BJ$17),INDEX('1.Locations'!$I$2:$I$32,$BC$17 + 1) + MAX($BJ$17,INDEX('1.Locations'!$F$2:$F$32,$BC$17 + 1))," ")," ")</f>
        <v xml:space="preserve"> </v>
      </c>
      <c r="BL17" s="46" t="str">
        <f ca="1">IFERROR($BL$16 + INDEX('2.Distances'!$D$2:$D$963,$BC$16*31+$BC$17+ 1) + INDEX('1.Locations'!$I$2:$I$32,$BC$17 + 1)," ")</f>
        <v xml:space="preserve"> </v>
      </c>
      <c r="BN17" s="19">
        <v>12</v>
      </c>
      <c r="BO17" s="20"/>
      <c r="BP17" s="44" t="str">
        <f ca="1">IFERROR(MATCH(INDIRECT("$BO$17"),'1.Locations'!$B$2:$B$32, 0) - 1," ")</f>
        <v xml:space="preserve"> </v>
      </c>
      <c r="BQ17" s="44" t="e">
        <f ca="1">IFERROR(IF(ISNUMBER($BP$17),INDEX('1.Locations'!$D$2:$D$32,$BP$17 + 1),NA()),NA())</f>
        <v>#N/A</v>
      </c>
      <c r="BR17" s="44" t="e">
        <f ca="1">IFERROR(IF(ISNUMBER($BP$17),INDEX('1.Locations'!$E$2:$E$32,$BP$17 + 1),NA()),NA())</f>
        <v>#N/A</v>
      </c>
      <c r="BS17" s="45" t="str">
        <f ca="1">IFERROR(IF(AND(ISNUMBER($BP$17),$BP$17&lt;=30),INDEX('2.Distances'!$C$2:$C$963,$BP$16*31+$BP$17+ 1) +$BS$16," ")," ")</f>
        <v xml:space="preserve"> </v>
      </c>
      <c r="BT17" s="44" t="str">
        <f ca="1">IFERROR(IF(ISNUMBER($BP$17),INDEX('1.Locations'!$J$2:$J$32,$BP$17 + 1) +$BT$16," ")," ")</f>
        <v xml:space="preserve"> </v>
      </c>
      <c r="BU17" s="44" t="str">
        <f ca="1">IFERROR(IF(ISNUMBER($BP$17),INDEX('1.Locations'!$K$2:$K$32,$BP$17 + 1) +$BU$16," ")," ")</f>
        <v xml:space="preserve"> </v>
      </c>
      <c r="BV17" s="46" t="str">
        <f ca="1">IFERROR(IF(AND(ISNUMBER($BP$17),$BP$17&lt;=30),INDEX('2.Distances'!$D$2:$D$963,$BP$16*31+$BP$17+ 1) +$BV$16," ")," ")</f>
        <v xml:space="preserve"> </v>
      </c>
      <c r="BW17" s="47" t="str">
        <f ca="1">IFERROR(IF(AND(ISNUMBER($BP$17),$BP$17&lt;=30),INDEX('2.Distances'!$D$2:$D$963,$BP$16*31+$BP$17+ 1) +$BX$16," ")," ")</f>
        <v xml:space="preserve"> </v>
      </c>
      <c r="BX17" s="47" t="str">
        <f ca="1">IFERROR(IF(ISNUMBER($BW$17),INDEX('1.Locations'!$I$2:$I$32,$BP$17 + 1) + MAX($BW$17,INDEX('1.Locations'!$F$2:$F$32,$BP$17 + 1))," ")," ")</f>
        <v xml:space="preserve"> </v>
      </c>
      <c r="BY17" s="46" t="str">
        <f ca="1">IFERROR($BY$16 + INDEX('2.Distances'!$D$2:$D$963,$BP$16*31+$BP$17+ 1) + INDEX('1.Locations'!$I$2:$I$32,$BP$17 + 1)," ")</f>
        <v xml:space="preserve"> </v>
      </c>
      <c r="CA17" s="19">
        <v>12</v>
      </c>
      <c r="CB17" s="20"/>
      <c r="CC17" s="44" t="str">
        <f ca="1">IFERROR(MATCH(INDIRECT("$CB$17"),'1.Locations'!$B$2:$B$32, 0) - 1," ")</f>
        <v xml:space="preserve"> </v>
      </c>
      <c r="CD17" s="44" t="e">
        <f ca="1">IFERROR(IF(ISNUMBER($CC$17),INDEX('1.Locations'!$D$2:$D$32,$CC$17 + 1),NA()),NA())</f>
        <v>#N/A</v>
      </c>
      <c r="CE17" s="44" t="e">
        <f ca="1">IFERROR(IF(ISNUMBER($CC$17),INDEX('1.Locations'!$E$2:$E$32,$CC$17 + 1),NA()),NA())</f>
        <v>#N/A</v>
      </c>
      <c r="CF17" s="45" t="str">
        <f ca="1">IFERROR(IF(AND(ISNUMBER($CC$17),$CC$17&lt;=30),INDEX('2.Distances'!$C$2:$C$963,$CC$16*31+$CC$17+ 1) +$CF$16," ")," ")</f>
        <v xml:space="preserve"> </v>
      </c>
      <c r="CG17" s="44" t="str">
        <f ca="1">IFERROR(IF(ISNUMBER($CC$17),INDEX('1.Locations'!$J$2:$J$32,$CC$17 + 1) +$CG$16," ")," ")</f>
        <v xml:space="preserve"> </v>
      </c>
      <c r="CH17" s="44" t="str">
        <f ca="1">IFERROR(IF(ISNUMBER($CC$17),INDEX('1.Locations'!$K$2:$K$32,$CC$17 + 1) +$CH$16," ")," ")</f>
        <v xml:space="preserve"> </v>
      </c>
      <c r="CI17" s="46" t="str">
        <f ca="1">IFERROR(IF(AND(ISNUMBER($CC$17),$CC$17&lt;=30),INDEX('2.Distances'!$D$2:$D$963,$CC$16*31+$CC$17+ 1) +$CI$16," ")," ")</f>
        <v xml:space="preserve"> </v>
      </c>
      <c r="CJ17" s="47" t="str">
        <f ca="1">IFERROR(IF(AND(ISNUMBER($CC$17),$CC$17&lt;=30),INDEX('2.Distances'!$D$2:$D$963,$CC$16*31+$CC$17+ 1) +$CK$16," ")," ")</f>
        <v xml:space="preserve"> </v>
      </c>
      <c r="CK17" s="47" t="str">
        <f ca="1">IFERROR(IF(ISNUMBER($CJ$17),INDEX('1.Locations'!$I$2:$I$32,$CC$17 + 1) + MAX($CJ$17,INDEX('1.Locations'!$F$2:$F$32,$CC$17 + 1))," ")," ")</f>
        <v xml:space="preserve"> </v>
      </c>
      <c r="CL17" s="46" t="str">
        <f ca="1">IFERROR($CL$16 + INDEX('2.Distances'!$D$2:$D$963,$CC$16*31+$CC$17+ 1) + INDEX('1.Locations'!$I$2:$I$32,$CC$17 + 1)," ")</f>
        <v xml:space="preserve"> </v>
      </c>
      <c r="CN17" s="19">
        <v>12</v>
      </c>
      <c r="CO17" s="20"/>
      <c r="CP17" s="44" t="str">
        <f ca="1">IFERROR(MATCH(INDIRECT("$CO$17"),'1.Locations'!$B$2:$B$32, 0) - 1," ")</f>
        <v xml:space="preserve"> </v>
      </c>
      <c r="CQ17" s="44" t="e">
        <f ca="1">IFERROR(IF(ISNUMBER($CP$17),INDEX('1.Locations'!$D$2:$D$32,$CP$17 + 1),NA()),NA())</f>
        <v>#N/A</v>
      </c>
      <c r="CR17" s="44" t="e">
        <f ca="1">IFERROR(IF(ISNUMBER($CP$17),INDEX('1.Locations'!$E$2:$E$32,$CP$17 + 1),NA()),NA())</f>
        <v>#N/A</v>
      </c>
      <c r="CS17" s="45" t="str">
        <f ca="1">IFERROR(IF(AND(ISNUMBER($CP$17),$CP$17&lt;=30),INDEX('2.Distances'!$C$2:$C$963,$CP$16*31+$CP$17+ 1) +$CS$16," ")," ")</f>
        <v xml:space="preserve"> </v>
      </c>
      <c r="CT17" s="44" t="str">
        <f ca="1">IFERROR(IF(ISNUMBER($CP$17),INDEX('1.Locations'!$J$2:$J$32,$CP$17 + 1) +$CT$16," ")," ")</f>
        <v xml:space="preserve"> </v>
      </c>
      <c r="CU17" s="44" t="str">
        <f ca="1">IFERROR(IF(ISNUMBER($CP$17),INDEX('1.Locations'!$K$2:$K$32,$CP$17 + 1) +$CU$16," ")," ")</f>
        <v xml:space="preserve"> </v>
      </c>
      <c r="CV17" s="46" t="str">
        <f ca="1">IFERROR(IF(AND(ISNUMBER($CP$17),$CP$17&lt;=30),INDEX('2.Distances'!$D$2:$D$963,$CP$16*31+$CP$17+ 1) +$CV$16," ")," ")</f>
        <v xml:space="preserve"> </v>
      </c>
      <c r="CW17" s="47" t="str">
        <f ca="1">IFERROR(IF(AND(ISNUMBER($CP$17),$CP$17&lt;=30),INDEX('2.Distances'!$D$2:$D$963,$CP$16*31+$CP$17+ 1) +$CX$16," ")," ")</f>
        <v xml:space="preserve"> </v>
      </c>
      <c r="CX17" s="47" t="str">
        <f ca="1">IFERROR(IF(ISNUMBER($CW$17),INDEX('1.Locations'!$I$2:$I$32,$CP$17 + 1) + MAX($CW$17,INDEX('1.Locations'!$F$2:$F$32,$CP$17 + 1))," ")," ")</f>
        <v xml:space="preserve"> </v>
      </c>
      <c r="CY17" s="46" t="str">
        <f ca="1">IFERROR($CY$16 + INDEX('2.Distances'!$D$2:$D$963,$CP$16*31+$CP$17+ 1) + INDEX('1.Locations'!$I$2:$I$32,$CP$17 + 1)," ")</f>
        <v xml:space="preserve"> </v>
      </c>
      <c r="DA17" s="19">
        <v>12</v>
      </c>
      <c r="DB17" s="20"/>
      <c r="DC17" s="44" t="str">
        <f ca="1">IFERROR(MATCH(INDIRECT("$DB$17"),'1.Locations'!$B$2:$B$32, 0) - 1," ")</f>
        <v xml:space="preserve"> </v>
      </c>
      <c r="DD17" s="44" t="e">
        <f ca="1">IFERROR(IF(ISNUMBER($DC$17),INDEX('1.Locations'!$D$2:$D$32,$DC$17 + 1),NA()),NA())</f>
        <v>#N/A</v>
      </c>
      <c r="DE17" s="44" t="e">
        <f ca="1">IFERROR(IF(ISNUMBER($DC$17),INDEX('1.Locations'!$E$2:$E$32,$DC$17 + 1),NA()),NA())</f>
        <v>#N/A</v>
      </c>
      <c r="DF17" s="45" t="str">
        <f ca="1">IFERROR(IF(AND(ISNUMBER($DC$17),$DC$17&lt;=30),INDEX('2.Distances'!$C$2:$C$963,$DC$16*31+$DC$17+ 1) +$DF$16," ")," ")</f>
        <v xml:space="preserve"> </v>
      </c>
      <c r="DG17" s="44" t="str">
        <f ca="1">IFERROR(IF(ISNUMBER($DC$17),INDEX('1.Locations'!$J$2:$J$32,$DC$17 + 1) +$DG$16," ")," ")</f>
        <v xml:space="preserve"> </v>
      </c>
      <c r="DH17" s="44" t="str">
        <f ca="1">IFERROR(IF(ISNUMBER($DC$17),INDEX('1.Locations'!$K$2:$K$32,$DC$17 + 1) +$DH$16," ")," ")</f>
        <v xml:space="preserve"> </v>
      </c>
      <c r="DI17" s="46" t="str">
        <f ca="1">IFERROR(IF(AND(ISNUMBER($DC$17),$DC$17&lt;=30),INDEX('2.Distances'!$D$2:$D$963,$DC$16*31+$DC$17+ 1) +$DI$16," ")," ")</f>
        <v xml:space="preserve"> </v>
      </c>
      <c r="DJ17" s="47" t="str">
        <f ca="1">IFERROR(IF(AND(ISNUMBER($DC$17),$DC$17&lt;=30),INDEX('2.Distances'!$D$2:$D$963,$DC$16*31+$DC$17+ 1) +$DK$16," ")," ")</f>
        <v xml:space="preserve"> </v>
      </c>
      <c r="DK17" s="47" t="str">
        <f ca="1">IFERROR(IF(ISNUMBER($DJ$17),INDEX('1.Locations'!$I$2:$I$32,$DC$17 + 1) + MAX($DJ$17,INDEX('1.Locations'!$F$2:$F$32,$DC$17 + 1))," ")," ")</f>
        <v xml:space="preserve"> </v>
      </c>
      <c r="DL17" s="46" t="str">
        <f ca="1">IFERROR($DL$16 + INDEX('2.Distances'!$D$2:$D$963,$DC$16*31+$DC$17+ 1) + INDEX('1.Locations'!$I$2:$I$32,$DC$17 + 1)," ")</f>
        <v xml:space="preserve"> </v>
      </c>
      <c r="DN17" s="19">
        <v>12</v>
      </c>
      <c r="DO17" s="20"/>
      <c r="DP17" s="44" t="str">
        <f ca="1">IFERROR(MATCH(INDIRECT("$DO$17"),'1.Locations'!$B$2:$B$32, 0) - 1," ")</f>
        <v xml:space="preserve"> </v>
      </c>
      <c r="DQ17" s="44" t="e">
        <f ca="1">IFERROR(IF(ISNUMBER($DP$17),INDEX('1.Locations'!$D$2:$D$32,$DP$17 + 1),NA()),NA())</f>
        <v>#N/A</v>
      </c>
      <c r="DR17" s="44" t="e">
        <f ca="1">IFERROR(IF(ISNUMBER($DP$17),INDEX('1.Locations'!$E$2:$E$32,$DP$17 + 1),NA()),NA())</f>
        <v>#N/A</v>
      </c>
      <c r="DS17" s="45" t="str">
        <f ca="1">IFERROR(IF(AND(ISNUMBER($DP$17),$DP$17&lt;=30),INDEX('2.Distances'!$C$2:$C$963,$DP$16*31+$DP$17+ 1) +$DS$16," ")," ")</f>
        <v xml:space="preserve"> </v>
      </c>
      <c r="DT17" s="44" t="str">
        <f ca="1">IFERROR(IF(ISNUMBER($DP$17),INDEX('1.Locations'!$J$2:$J$32,$DP$17 + 1) +$DT$16," ")," ")</f>
        <v xml:space="preserve"> </v>
      </c>
      <c r="DU17" s="44" t="str">
        <f ca="1">IFERROR(IF(ISNUMBER($DP$17),INDEX('1.Locations'!$K$2:$K$32,$DP$17 + 1) +$DU$16," ")," ")</f>
        <v xml:space="preserve"> </v>
      </c>
      <c r="DV17" s="46" t="str">
        <f ca="1">IFERROR(IF(AND(ISNUMBER($DP$17),$DP$17&lt;=30),INDEX('2.Distances'!$D$2:$D$963,$DP$16*31+$DP$17+ 1) +$DV$16," ")," ")</f>
        <v xml:space="preserve"> </v>
      </c>
      <c r="DW17" s="47" t="str">
        <f ca="1">IFERROR(IF(AND(ISNUMBER($DP$17),$DP$17&lt;=30),INDEX('2.Distances'!$D$2:$D$963,$DP$16*31+$DP$17+ 1) +$DX$16," ")," ")</f>
        <v xml:space="preserve"> </v>
      </c>
      <c r="DX17" s="47" t="str">
        <f ca="1">IFERROR(IF(ISNUMBER($DW$17),INDEX('1.Locations'!$I$2:$I$32,$DP$17 + 1) + MAX($DW$17,INDEX('1.Locations'!$F$2:$F$32,$DP$17 + 1))," ")," ")</f>
        <v xml:space="preserve"> </v>
      </c>
      <c r="DY17" s="46" t="str">
        <f ca="1">IFERROR($DY$16 + INDEX('2.Distances'!$D$2:$D$963,$DP$16*31+$DP$17+ 1) + INDEX('1.Locations'!$I$2:$I$32,$DP$17 + 1)," ")</f>
        <v xml:space="preserve"> </v>
      </c>
      <c r="EA17" s="19">
        <v>12</v>
      </c>
      <c r="EB17" s="20"/>
      <c r="EC17" s="44" t="str">
        <f ca="1">IFERROR(MATCH(INDIRECT("$EB$17"),'1.Locations'!$B$2:$B$32, 0) - 1," ")</f>
        <v xml:space="preserve"> </v>
      </c>
      <c r="ED17" s="44" t="e">
        <f ca="1">IFERROR(IF(ISNUMBER($EC$17),INDEX('1.Locations'!$D$2:$D$32,$EC$17 + 1),NA()),NA())</f>
        <v>#N/A</v>
      </c>
      <c r="EE17" s="44" t="e">
        <f ca="1">IFERROR(IF(ISNUMBER($EC$17),INDEX('1.Locations'!$E$2:$E$32,$EC$17 + 1),NA()),NA())</f>
        <v>#N/A</v>
      </c>
      <c r="EF17" s="45" t="str">
        <f ca="1">IFERROR(IF(AND(ISNUMBER($EC$17),$EC$17&lt;=30),INDEX('2.Distances'!$C$2:$C$963,$EC$16*31+$EC$17+ 1) +$EF$16," ")," ")</f>
        <v xml:space="preserve"> </v>
      </c>
      <c r="EG17" s="44" t="str">
        <f ca="1">IFERROR(IF(ISNUMBER($EC$17),INDEX('1.Locations'!$J$2:$J$32,$EC$17 + 1) +$EG$16," ")," ")</f>
        <v xml:space="preserve"> </v>
      </c>
      <c r="EH17" s="44" t="str">
        <f ca="1">IFERROR(IF(ISNUMBER($EC$17),INDEX('1.Locations'!$K$2:$K$32,$EC$17 + 1) +$EH$16," ")," ")</f>
        <v xml:space="preserve"> </v>
      </c>
      <c r="EI17" s="46" t="str">
        <f ca="1">IFERROR(IF(AND(ISNUMBER($EC$17),$EC$17&lt;=30),INDEX('2.Distances'!$D$2:$D$963,$EC$16*31+$EC$17+ 1) +$EI$16," ")," ")</f>
        <v xml:space="preserve"> </v>
      </c>
      <c r="EJ17" s="47" t="str">
        <f ca="1">IFERROR(IF(AND(ISNUMBER($EC$17),$EC$17&lt;=30),INDEX('2.Distances'!$D$2:$D$963,$EC$16*31+$EC$17+ 1) +$EK$16," ")," ")</f>
        <v xml:space="preserve"> </v>
      </c>
      <c r="EK17" s="47" t="str">
        <f ca="1">IFERROR(IF(ISNUMBER($EJ$17),INDEX('1.Locations'!$I$2:$I$32,$EC$17 + 1) + MAX($EJ$17,INDEX('1.Locations'!$F$2:$F$32,$EC$17 + 1))," ")," ")</f>
        <v xml:space="preserve"> </v>
      </c>
      <c r="EL17" s="46" t="str">
        <f ca="1">IFERROR($EL$16 + INDEX('2.Distances'!$D$2:$D$963,$EC$16*31+$EC$17+ 1) + INDEX('1.Locations'!$I$2:$I$32,$EC$17 + 1)," ")</f>
        <v xml:space="preserve"> </v>
      </c>
      <c r="EN17" s="19">
        <v>12</v>
      </c>
      <c r="EO17" s="20"/>
      <c r="EP17" s="44" t="str">
        <f ca="1">IFERROR(MATCH(INDIRECT("$EO$17"),'1.Locations'!$B$2:$B$32, 0) - 1," ")</f>
        <v xml:space="preserve"> </v>
      </c>
      <c r="EQ17" s="44" t="e">
        <f ca="1">IFERROR(IF(ISNUMBER($EP$17),INDEX('1.Locations'!$D$2:$D$32,$EP$17 + 1),NA()),NA())</f>
        <v>#N/A</v>
      </c>
      <c r="ER17" s="44" t="e">
        <f ca="1">IFERROR(IF(ISNUMBER($EP$17),INDEX('1.Locations'!$E$2:$E$32,$EP$17 + 1),NA()),NA())</f>
        <v>#N/A</v>
      </c>
      <c r="ES17" s="45" t="str">
        <f ca="1">IFERROR(IF(AND(ISNUMBER($EP$17),$EP$17&lt;=30),INDEX('2.Distances'!$C$2:$C$963,$EP$16*31+$EP$17+ 1) +$ES$16," ")," ")</f>
        <v xml:space="preserve"> </v>
      </c>
      <c r="ET17" s="44" t="str">
        <f ca="1">IFERROR(IF(ISNUMBER($EP$17),INDEX('1.Locations'!$J$2:$J$32,$EP$17 + 1) +$ET$16," ")," ")</f>
        <v xml:space="preserve"> </v>
      </c>
      <c r="EU17" s="44" t="str">
        <f ca="1">IFERROR(IF(ISNUMBER($EP$17),INDEX('1.Locations'!$K$2:$K$32,$EP$17 + 1) +$EU$16," ")," ")</f>
        <v xml:space="preserve"> </v>
      </c>
      <c r="EV17" s="46" t="str">
        <f ca="1">IFERROR(IF(AND(ISNUMBER($EP$17),$EP$17&lt;=30),INDEX('2.Distances'!$D$2:$D$963,$EP$16*31+$EP$17+ 1) +$EV$16," ")," ")</f>
        <v xml:space="preserve"> </v>
      </c>
      <c r="EW17" s="47" t="str">
        <f ca="1">IFERROR(IF(AND(ISNUMBER($EP$17),$EP$17&lt;=30),INDEX('2.Distances'!$D$2:$D$963,$EP$16*31+$EP$17+ 1) +$EX$16," ")," ")</f>
        <v xml:space="preserve"> </v>
      </c>
      <c r="EX17" s="47" t="str">
        <f ca="1">IFERROR(IF(ISNUMBER($EW$17),INDEX('1.Locations'!$I$2:$I$32,$EP$17 + 1) + MAX($EW$17,INDEX('1.Locations'!$F$2:$F$32,$EP$17 + 1))," ")," ")</f>
        <v xml:space="preserve"> </v>
      </c>
      <c r="EY17" s="46" t="str">
        <f ca="1">IFERROR($EY$16 + INDEX('2.Distances'!$D$2:$D$963,$EP$16*31+$EP$17+ 1) + INDEX('1.Locations'!$I$2:$I$32,$EP$17 + 1)," ")</f>
        <v xml:space="preserve"> </v>
      </c>
    </row>
    <row r="18" spans="1:155" x14ac:dyDescent="0.2">
      <c r="A18" s="19">
        <v>13</v>
      </c>
      <c r="B18" s="20"/>
      <c r="C18" s="44" t="str">
        <f ca="1">IFERROR(MATCH(INDIRECT("$B$18"),'1.Locations'!$B$2:$B$32, 0) - 1," ")</f>
        <v xml:space="preserve"> </v>
      </c>
      <c r="D18" s="44" t="e">
        <f ca="1">IFERROR(IF(ISNUMBER($C$18),INDEX('1.Locations'!$D$2:$D$32,$C$18 + 1),NA()),NA())</f>
        <v>#N/A</v>
      </c>
      <c r="E18" s="44" t="e">
        <f ca="1">IFERROR(IF(ISNUMBER($C$18),INDEX('1.Locations'!$E$2:$E$32,$C$18 + 1),NA()),NA())</f>
        <v>#N/A</v>
      </c>
      <c r="F18" s="45" t="str">
        <f ca="1">IFERROR(IF(AND(ISNUMBER($C$18),$C$18&lt;=30),INDEX('2.Distances'!$C$2:$C$963,$C$17*31+$C$18+ 1) +$F$17," ")," ")</f>
        <v xml:space="preserve"> </v>
      </c>
      <c r="G18" s="44" t="str">
        <f ca="1">IFERROR(IF(ISNUMBER($C$18),INDEX('1.Locations'!$J$2:$J$32,$C$18 + 1) +$G$17," ")," ")</f>
        <v xml:space="preserve"> </v>
      </c>
      <c r="H18" s="44" t="str">
        <f ca="1">IFERROR(IF(ISNUMBER($C$18),INDEX('1.Locations'!$K$2:$K$32,$C$18 + 1) +$H$17," ")," ")</f>
        <v xml:space="preserve"> </v>
      </c>
      <c r="I18" s="46" t="str">
        <f ca="1">IFERROR(IF(AND(ISNUMBER($C$18),$C$18&lt;=30),INDEX('2.Distances'!$D$2:$D$963,$C$17*31+$C$18+ 1) +$I$17," ")," ")</f>
        <v xml:space="preserve"> </v>
      </c>
      <c r="J18" s="47" t="str">
        <f ca="1">IFERROR(IF(AND(ISNUMBER($C$18),$C$18&lt;=30),INDEX('2.Distances'!$D$2:$D$963,$C$17*31+$C$18+ 1) +$K$17," ")," ")</f>
        <v xml:space="preserve"> </v>
      </c>
      <c r="K18" s="47" t="str">
        <f ca="1">IFERROR(IF(ISNUMBER($J$18),INDEX('1.Locations'!$I$2:$I$32,$C$18 + 1) + MAX($J$18,INDEX('1.Locations'!$F$2:$F$32,$C$18 + 1))," ")," ")</f>
        <v xml:space="preserve"> </v>
      </c>
      <c r="L18" s="46" t="str">
        <f ca="1">IFERROR($L$17 + INDEX('2.Distances'!$D$2:$D$963,$C$17*31+$C$18+ 1) + INDEX('1.Locations'!$I$2:$I$32,$C$18 + 1)," ")</f>
        <v xml:space="preserve"> </v>
      </c>
      <c r="N18" s="19">
        <v>13</v>
      </c>
      <c r="O18" s="20"/>
      <c r="P18" s="44" t="str">
        <f ca="1">IFERROR(MATCH(INDIRECT("$O$18"),'1.Locations'!$B$2:$B$32, 0) - 1," ")</f>
        <v xml:space="preserve"> </v>
      </c>
      <c r="Q18" s="44" t="e">
        <f ca="1">IFERROR(IF(ISNUMBER($P$18),INDEX('1.Locations'!$D$2:$D$32,$P$18 + 1),NA()),NA())</f>
        <v>#N/A</v>
      </c>
      <c r="R18" s="44" t="e">
        <f ca="1">IFERROR(IF(ISNUMBER($P$18),INDEX('1.Locations'!$E$2:$E$32,$P$18 + 1),NA()),NA())</f>
        <v>#N/A</v>
      </c>
      <c r="S18" s="45" t="str">
        <f ca="1">IFERROR(IF(AND(ISNUMBER($P$18),$P$18&lt;=30),INDEX('2.Distances'!$C$2:$C$963,$P$17*31+$P$18+ 1) +$S$17," ")," ")</f>
        <v xml:space="preserve"> </v>
      </c>
      <c r="T18" s="44" t="str">
        <f ca="1">IFERROR(IF(ISNUMBER($P$18),INDEX('1.Locations'!$J$2:$J$32,$P$18 + 1) +$T$17," ")," ")</f>
        <v xml:space="preserve"> </v>
      </c>
      <c r="U18" s="44" t="str">
        <f ca="1">IFERROR(IF(ISNUMBER($P$18),INDEX('1.Locations'!$K$2:$K$32,$P$18 + 1) +$U$17," ")," ")</f>
        <v xml:space="preserve"> </v>
      </c>
      <c r="V18" s="46" t="str">
        <f ca="1">IFERROR(IF(AND(ISNUMBER($P$18),$P$18&lt;=30),INDEX('2.Distances'!$D$2:$D$963,$P$17*31+$P$18+ 1) +$V$17," ")," ")</f>
        <v xml:space="preserve"> </v>
      </c>
      <c r="W18" s="47" t="str">
        <f ca="1">IFERROR(IF(AND(ISNUMBER($P$18),$P$18&lt;=30),INDEX('2.Distances'!$D$2:$D$963,$P$17*31+$P$18+ 1) +$X$17," ")," ")</f>
        <v xml:space="preserve"> </v>
      </c>
      <c r="X18" s="47" t="str">
        <f ca="1">IFERROR(IF(ISNUMBER($W$18),INDEX('1.Locations'!$I$2:$I$32,$P$18 + 1) + MAX($W$18,INDEX('1.Locations'!$F$2:$F$32,$P$18 + 1))," ")," ")</f>
        <v xml:space="preserve"> </v>
      </c>
      <c r="Y18" s="46" t="str">
        <f ca="1">IFERROR($Y$17 + INDEX('2.Distances'!$D$2:$D$963,$P$17*31+$P$18+ 1) + INDEX('1.Locations'!$I$2:$I$32,$P$18 + 1)," ")</f>
        <v xml:space="preserve"> </v>
      </c>
      <c r="AA18" s="19">
        <v>13</v>
      </c>
      <c r="AB18" s="20"/>
      <c r="AC18" s="44" t="str">
        <f ca="1">IFERROR(MATCH(INDIRECT("$AB$18"),'1.Locations'!$B$2:$B$32, 0) - 1," ")</f>
        <v xml:space="preserve"> </v>
      </c>
      <c r="AD18" s="44" t="e">
        <f ca="1">IFERROR(IF(ISNUMBER($AC$18),INDEX('1.Locations'!$D$2:$D$32,$AC$18 + 1),NA()),NA())</f>
        <v>#N/A</v>
      </c>
      <c r="AE18" s="44" t="e">
        <f ca="1">IFERROR(IF(ISNUMBER($AC$18),INDEX('1.Locations'!$E$2:$E$32,$AC$18 + 1),NA()),NA())</f>
        <v>#N/A</v>
      </c>
      <c r="AF18" s="45" t="str">
        <f ca="1">IFERROR(IF(AND(ISNUMBER($AC$18),$AC$18&lt;=30),INDEX('2.Distances'!$C$2:$C$963,$AC$17*31+$AC$18+ 1) +$AF$17," ")," ")</f>
        <v xml:space="preserve"> </v>
      </c>
      <c r="AG18" s="44" t="str">
        <f ca="1">IFERROR(IF(ISNUMBER($AC$18),INDEX('1.Locations'!$J$2:$J$32,$AC$18 + 1) +$AG$17," ")," ")</f>
        <v xml:space="preserve"> </v>
      </c>
      <c r="AH18" s="44" t="str">
        <f ca="1">IFERROR(IF(ISNUMBER($AC$18),INDEX('1.Locations'!$K$2:$K$32,$AC$18 + 1) +$AH$17," ")," ")</f>
        <v xml:space="preserve"> </v>
      </c>
      <c r="AI18" s="46" t="str">
        <f ca="1">IFERROR(IF(AND(ISNUMBER($AC$18),$AC$18&lt;=30),INDEX('2.Distances'!$D$2:$D$963,$AC$17*31+$AC$18+ 1) +$AI$17," ")," ")</f>
        <v xml:space="preserve"> </v>
      </c>
      <c r="AJ18" s="47" t="str">
        <f ca="1">IFERROR(IF(AND(ISNUMBER($AC$18),$AC$18&lt;=30),INDEX('2.Distances'!$D$2:$D$963,$AC$17*31+$AC$18+ 1) +$AK$17," ")," ")</f>
        <v xml:space="preserve"> </v>
      </c>
      <c r="AK18" s="47" t="str">
        <f ca="1">IFERROR(IF(ISNUMBER($AJ$18),INDEX('1.Locations'!$I$2:$I$32,$AC$18 + 1) + MAX($AJ$18,INDEX('1.Locations'!$F$2:$F$32,$AC$18 + 1))," ")," ")</f>
        <v xml:space="preserve"> </v>
      </c>
      <c r="AL18" s="46" t="str">
        <f ca="1">IFERROR($AL$17 + INDEX('2.Distances'!$D$2:$D$963,$AC$17*31+$AC$18+ 1) + INDEX('1.Locations'!$I$2:$I$32,$AC$18 + 1)," ")</f>
        <v xml:space="preserve"> </v>
      </c>
      <c r="AN18" s="19">
        <v>13</v>
      </c>
      <c r="AO18" s="20"/>
      <c r="AP18" s="44" t="str">
        <f ca="1">IFERROR(MATCH(INDIRECT("$AO$18"),'1.Locations'!$B$2:$B$32, 0) - 1," ")</f>
        <v xml:space="preserve"> </v>
      </c>
      <c r="AQ18" s="44" t="e">
        <f ca="1">IFERROR(IF(ISNUMBER($AP$18),INDEX('1.Locations'!$D$2:$D$32,$AP$18 + 1),NA()),NA())</f>
        <v>#N/A</v>
      </c>
      <c r="AR18" s="44" t="e">
        <f ca="1">IFERROR(IF(ISNUMBER($AP$18),INDEX('1.Locations'!$E$2:$E$32,$AP$18 + 1),NA()),NA())</f>
        <v>#N/A</v>
      </c>
      <c r="AS18" s="45" t="str">
        <f ca="1">IFERROR(IF(AND(ISNUMBER($AP$18),$AP$18&lt;=30),INDEX('2.Distances'!$C$2:$C$963,$AP$17*31+$AP$18+ 1) +$AS$17," ")," ")</f>
        <v xml:space="preserve"> </v>
      </c>
      <c r="AT18" s="44" t="str">
        <f ca="1">IFERROR(IF(ISNUMBER($AP$18),INDEX('1.Locations'!$J$2:$J$32,$AP$18 + 1) +$AT$17," ")," ")</f>
        <v xml:space="preserve"> </v>
      </c>
      <c r="AU18" s="44" t="str">
        <f ca="1">IFERROR(IF(ISNUMBER($AP$18),INDEX('1.Locations'!$K$2:$K$32,$AP$18 + 1) +$AU$17," ")," ")</f>
        <v xml:space="preserve"> </v>
      </c>
      <c r="AV18" s="46" t="str">
        <f ca="1">IFERROR(IF(AND(ISNUMBER($AP$18),$AP$18&lt;=30),INDEX('2.Distances'!$D$2:$D$963,$AP$17*31+$AP$18+ 1) +$AV$17," ")," ")</f>
        <v xml:space="preserve"> </v>
      </c>
      <c r="AW18" s="47" t="str">
        <f ca="1">IFERROR(IF(AND(ISNUMBER($AP$18),$AP$18&lt;=30),INDEX('2.Distances'!$D$2:$D$963,$AP$17*31+$AP$18+ 1) +$AX$17," ")," ")</f>
        <v xml:space="preserve"> </v>
      </c>
      <c r="AX18" s="47" t="str">
        <f ca="1">IFERROR(IF(ISNUMBER($AW$18),INDEX('1.Locations'!$I$2:$I$32,$AP$18 + 1) + MAX($AW$18,INDEX('1.Locations'!$F$2:$F$32,$AP$18 + 1))," ")," ")</f>
        <v xml:space="preserve"> </v>
      </c>
      <c r="AY18" s="46" t="str">
        <f ca="1">IFERROR($AY$17 + INDEX('2.Distances'!$D$2:$D$963,$AP$17*31+$AP$18+ 1) + INDEX('1.Locations'!$I$2:$I$32,$AP$18 + 1)," ")</f>
        <v xml:space="preserve"> </v>
      </c>
      <c r="BA18" s="19">
        <v>13</v>
      </c>
      <c r="BB18" s="20"/>
      <c r="BC18" s="44" t="str">
        <f ca="1">IFERROR(MATCH(INDIRECT("$BB$18"),'1.Locations'!$B$2:$B$32, 0) - 1," ")</f>
        <v xml:space="preserve"> </v>
      </c>
      <c r="BD18" s="44" t="e">
        <f ca="1">IFERROR(IF(ISNUMBER($BC$18),INDEX('1.Locations'!$D$2:$D$32,$BC$18 + 1),NA()),NA())</f>
        <v>#N/A</v>
      </c>
      <c r="BE18" s="44" t="e">
        <f ca="1">IFERROR(IF(ISNUMBER($BC$18),INDEX('1.Locations'!$E$2:$E$32,$BC$18 + 1),NA()),NA())</f>
        <v>#N/A</v>
      </c>
      <c r="BF18" s="45" t="str">
        <f ca="1">IFERROR(IF(AND(ISNUMBER($BC$18),$BC$18&lt;=30),INDEX('2.Distances'!$C$2:$C$963,$BC$17*31+$BC$18+ 1) +$BF$17," ")," ")</f>
        <v xml:space="preserve"> </v>
      </c>
      <c r="BG18" s="44" t="str">
        <f ca="1">IFERROR(IF(ISNUMBER($BC$18),INDEX('1.Locations'!$J$2:$J$32,$BC$18 + 1) +$BG$17," ")," ")</f>
        <v xml:space="preserve"> </v>
      </c>
      <c r="BH18" s="44" t="str">
        <f ca="1">IFERROR(IF(ISNUMBER($BC$18),INDEX('1.Locations'!$K$2:$K$32,$BC$18 + 1) +$BH$17," ")," ")</f>
        <v xml:space="preserve"> </v>
      </c>
      <c r="BI18" s="46" t="str">
        <f ca="1">IFERROR(IF(AND(ISNUMBER($BC$18),$BC$18&lt;=30),INDEX('2.Distances'!$D$2:$D$963,$BC$17*31+$BC$18+ 1) +$BI$17," ")," ")</f>
        <v xml:space="preserve"> </v>
      </c>
      <c r="BJ18" s="47" t="str">
        <f ca="1">IFERROR(IF(AND(ISNUMBER($BC$18),$BC$18&lt;=30),INDEX('2.Distances'!$D$2:$D$963,$BC$17*31+$BC$18+ 1) +$BK$17," ")," ")</f>
        <v xml:space="preserve"> </v>
      </c>
      <c r="BK18" s="47" t="str">
        <f ca="1">IFERROR(IF(ISNUMBER($BJ$18),INDEX('1.Locations'!$I$2:$I$32,$BC$18 + 1) + MAX($BJ$18,INDEX('1.Locations'!$F$2:$F$32,$BC$18 + 1))," ")," ")</f>
        <v xml:space="preserve"> </v>
      </c>
      <c r="BL18" s="46" t="str">
        <f ca="1">IFERROR($BL$17 + INDEX('2.Distances'!$D$2:$D$963,$BC$17*31+$BC$18+ 1) + INDEX('1.Locations'!$I$2:$I$32,$BC$18 + 1)," ")</f>
        <v xml:space="preserve"> </v>
      </c>
      <c r="BN18" s="19">
        <v>13</v>
      </c>
      <c r="BO18" s="20"/>
      <c r="BP18" s="44" t="str">
        <f ca="1">IFERROR(MATCH(INDIRECT("$BO$18"),'1.Locations'!$B$2:$B$32, 0) - 1," ")</f>
        <v xml:space="preserve"> </v>
      </c>
      <c r="BQ18" s="44" t="e">
        <f ca="1">IFERROR(IF(ISNUMBER($BP$18),INDEX('1.Locations'!$D$2:$D$32,$BP$18 + 1),NA()),NA())</f>
        <v>#N/A</v>
      </c>
      <c r="BR18" s="44" t="e">
        <f ca="1">IFERROR(IF(ISNUMBER($BP$18),INDEX('1.Locations'!$E$2:$E$32,$BP$18 + 1),NA()),NA())</f>
        <v>#N/A</v>
      </c>
      <c r="BS18" s="45" t="str">
        <f ca="1">IFERROR(IF(AND(ISNUMBER($BP$18),$BP$18&lt;=30),INDEX('2.Distances'!$C$2:$C$963,$BP$17*31+$BP$18+ 1) +$BS$17," ")," ")</f>
        <v xml:space="preserve"> </v>
      </c>
      <c r="BT18" s="44" t="str">
        <f ca="1">IFERROR(IF(ISNUMBER($BP$18),INDEX('1.Locations'!$J$2:$J$32,$BP$18 + 1) +$BT$17," ")," ")</f>
        <v xml:space="preserve"> </v>
      </c>
      <c r="BU18" s="44" t="str">
        <f ca="1">IFERROR(IF(ISNUMBER($BP$18),INDEX('1.Locations'!$K$2:$K$32,$BP$18 + 1) +$BU$17," ")," ")</f>
        <v xml:space="preserve"> </v>
      </c>
      <c r="BV18" s="46" t="str">
        <f ca="1">IFERROR(IF(AND(ISNUMBER($BP$18),$BP$18&lt;=30),INDEX('2.Distances'!$D$2:$D$963,$BP$17*31+$BP$18+ 1) +$BV$17," ")," ")</f>
        <v xml:space="preserve"> </v>
      </c>
      <c r="BW18" s="47" t="str">
        <f ca="1">IFERROR(IF(AND(ISNUMBER($BP$18),$BP$18&lt;=30),INDEX('2.Distances'!$D$2:$D$963,$BP$17*31+$BP$18+ 1) +$BX$17," ")," ")</f>
        <v xml:space="preserve"> </v>
      </c>
      <c r="BX18" s="47" t="str">
        <f ca="1">IFERROR(IF(ISNUMBER($BW$18),INDEX('1.Locations'!$I$2:$I$32,$BP$18 + 1) + MAX($BW$18,INDEX('1.Locations'!$F$2:$F$32,$BP$18 + 1))," ")," ")</f>
        <v xml:space="preserve"> </v>
      </c>
      <c r="BY18" s="46" t="str">
        <f ca="1">IFERROR($BY$17 + INDEX('2.Distances'!$D$2:$D$963,$BP$17*31+$BP$18+ 1) + INDEX('1.Locations'!$I$2:$I$32,$BP$18 + 1)," ")</f>
        <v xml:space="preserve"> </v>
      </c>
      <c r="CA18" s="19">
        <v>13</v>
      </c>
      <c r="CB18" s="20"/>
      <c r="CC18" s="44" t="str">
        <f ca="1">IFERROR(MATCH(INDIRECT("$CB$18"),'1.Locations'!$B$2:$B$32, 0) - 1," ")</f>
        <v xml:space="preserve"> </v>
      </c>
      <c r="CD18" s="44" t="e">
        <f ca="1">IFERROR(IF(ISNUMBER($CC$18),INDEX('1.Locations'!$D$2:$D$32,$CC$18 + 1),NA()),NA())</f>
        <v>#N/A</v>
      </c>
      <c r="CE18" s="44" t="e">
        <f ca="1">IFERROR(IF(ISNUMBER($CC$18),INDEX('1.Locations'!$E$2:$E$32,$CC$18 + 1),NA()),NA())</f>
        <v>#N/A</v>
      </c>
      <c r="CF18" s="45" t="str">
        <f ca="1">IFERROR(IF(AND(ISNUMBER($CC$18),$CC$18&lt;=30),INDEX('2.Distances'!$C$2:$C$963,$CC$17*31+$CC$18+ 1) +$CF$17," ")," ")</f>
        <v xml:space="preserve"> </v>
      </c>
      <c r="CG18" s="44" t="str">
        <f ca="1">IFERROR(IF(ISNUMBER($CC$18),INDEX('1.Locations'!$J$2:$J$32,$CC$18 + 1) +$CG$17," ")," ")</f>
        <v xml:space="preserve"> </v>
      </c>
      <c r="CH18" s="44" t="str">
        <f ca="1">IFERROR(IF(ISNUMBER($CC$18),INDEX('1.Locations'!$K$2:$K$32,$CC$18 + 1) +$CH$17," ")," ")</f>
        <v xml:space="preserve"> </v>
      </c>
      <c r="CI18" s="46" t="str">
        <f ca="1">IFERROR(IF(AND(ISNUMBER($CC$18),$CC$18&lt;=30),INDEX('2.Distances'!$D$2:$D$963,$CC$17*31+$CC$18+ 1) +$CI$17," ")," ")</f>
        <v xml:space="preserve"> </v>
      </c>
      <c r="CJ18" s="47" t="str">
        <f ca="1">IFERROR(IF(AND(ISNUMBER($CC$18),$CC$18&lt;=30),INDEX('2.Distances'!$D$2:$D$963,$CC$17*31+$CC$18+ 1) +$CK$17," ")," ")</f>
        <v xml:space="preserve"> </v>
      </c>
      <c r="CK18" s="47" t="str">
        <f ca="1">IFERROR(IF(ISNUMBER($CJ$18),INDEX('1.Locations'!$I$2:$I$32,$CC$18 + 1) + MAX($CJ$18,INDEX('1.Locations'!$F$2:$F$32,$CC$18 + 1))," ")," ")</f>
        <v xml:space="preserve"> </v>
      </c>
      <c r="CL18" s="46" t="str">
        <f ca="1">IFERROR($CL$17 + INDEX('2.Distances'!$D$2:$D$963,$CC$17*31+$CC$18+ 1) + INDEX('1.Locations'!$I$2:$I$32,$CC$18 + 1)," ")</f>
        <v xml:space="preserve"> </v>
      </c>
      <c r="CN18" s="19">
        <v>13</v>
      </c>
      <c r="CO18" s="20"/>
      <c r="CP18" s="44" t="str">
        <f ca="1">IFERROR(MATCH(INDIRECT("$CO$18"),'1.Locations'!$B$2:$B$32, 0) - 1," ")</f>
        <v xml:space="preserve"> </v>
      </c>
      <c r="CQ18" s="44" t="e">
        <f ca="1">IFERROR(IF(ISNUMBER($CP$18),INDEX('1.Locations'!$D$2:$D$32,$CP$18 + 1),NA()),NA())</f>
        <v>#N/A</v>
      </c>
      <c r="CR18" s="44" t="e">
        <f ca="1">IFERROR(IF(ISNUMBER($CP$18),INDEX('1.Locations'!$E$2:$E$32,$CP$18 + 1),NA()),NA())</f>
        <v>#N/A</v>
      </c>
      <c r="CS18" s="45" t="str">
        <f ca="1">IFERROR(IF(AND(ISNUMBER($CP$18),$CP$18&lt;=30),INDEX('2.Distances'!$C$2:$C$963,$CP$17*31+$CP$18+ 1) +$CS$17," ")," ")</f>
        <v xml:space="preserve"> </v>
      </c>
      <c r="CT18" s="44" t="str">
        <f ca="1">IFERROR(IF(ISNUMBER($CP$18),INDEX('1.Locations'!$J$2:$J$32,$CP$18 + 1) +$CT$17," ")," ")</f>
        <v xml:space="preserve"> </v>
      </c>
      <c r="CU18" s="44" t="str">
        <f ca="1">IFERROR(IF(ISNUMBER($CP$18),INDEX('1.Locations'!$K$2:$K$32,$CP$18 + 1) +$CU$17," ")," ")</f>
        <v xml:space="preserve"> </v>
      </c>
      <c r="CV18" s="46" t="str">
        <f ca="1">IFERROR(IF(AND(ISNUMBER($CP$18),$CP$18&lt;=30),INDEX('2.Distances'!$D$2:$D$963,$CP$17*31+$CP$18+ 1) +$CV$17," ")," ")</f>
        <v xml:space="preserve"> </v>
      </c>
      <c r="CW18" s="47" t="str">
        <f ca="1">IFERROR(IF(AND(ISNUMBER($CP$18),$CP$18&lt;=30),INDEX('2.Distances'!$D$2:$D$963,$CP$17*31+$CP$18+ 1) +$CX$17," ")," ")</f>
        <v xml:space="preserve"> </v>
      </c>
      <c r="CX18" s="47" t="str">
        <f ca="1">IFERROR(IF(ISNUMBER($CW$18),INDEX('1.Locations'!$I$2:$I$32,$CP$18 + 1) + MAX($CW$18,INDEX('1.Locations'!$F$2:$F$32,$CP$18 + 1))," ")," ")</f>
        <v xml:space="preserve"> </v>
      </c>
      <c r="CY18" s="46" t="str">
        <f ca="1">IFERROR($CY$17 + INDEX('2.Distances'!$D$2:$D$963,$CP$17*31+$CP$18+ 1) + INDEX('1.Locations'!$I$2:$I$32,$CP$18 + 1)," ")</f>
        <v xml:space="preserve"> </v>
      </c>
      <c r="DA18" s="19">
        <v>13</v>
      </c>
      <c r="DB18" s="20"/>
      <c r="DC18" s="44" t="str">
        <f ca="1">IFERROR(MATCH(INDIRECT("$DB$18"),'1.Locations'!$B$2:$B$32, 0) - 1," ")</f>
        <v xml:space="preserve"> </v>
      </c>
      <c r="DD18" s="44" t="e">
        <f ca="1">IFERROR(IF(ISNUMBER($DC$18),INDEX('1.Locations'!$D$2:$D$32,$DC$18 + 1),NA()),NA())</f>
        <v>#N/A</v>
      </c>
      <c r="DE18" s="44" t="e">
        <f ca="1">IFERROR(IF(ISNUMBER($DC$18),INDEX('1.Locations'!$E$2:$E$32,$DC$18 + 1),NA()),NA())</f>
        <v>#N/A</v>
      </c>
      <c r="DF18" s="45" t="str">
        <f ca="1">IFERROR(IF(AND(ISNUMBER($DC$18),$DC$18&lt;=30),INDEX('2.Distances'!$C$2:$C$963,$DC$17*31+$DC$18+ 1) +$DF$17," ")," ")</f>
        <v xml:space="preserve"> </v>
      </c>
      <c r="DG18" s="44" t="str">
        <f ca="1">IFERROR(IF(ISNUMBER($DC$18),INDEX('1.Locations'!$J$2:$J$32,$DC$18 + 1) +$DG$17," ")," ")</f>
        <v xml:space="preserve"> </v>
      </c>
      <c r="DH18" s="44" t="str">
        <f ca="1">IFERROR(IF(ISNUMBER($DC$18),INDEX('1.Locations'!$K$2:$K$32,$DC$18 + 1) +$DH$17," ")," ")</f>
        <v xml:space="preserve"> </v>
      </c>
      <c r="DI18" s="46" t="str">
        <f ca="1">IFERROR(IF(AND(ISNUMBER($DC$18),$DC$18&lt;=30),INDEX('2.Distances'!$D$2:$D$963,$DC$17*31+$DC$18+ 1) +$DI$17," ")," ")</f>
        <v xml:space="preserve"> </v>
      </c>
      <c r="DJ18" s="47" t="str">
        <f ca="1">IFERROR(IF(AND(ISNUMBER($DC$18),$DC$18&lt;=30),INDEX('2.Distances'!$D$2:$D$963,$DC$17*31+$DC$18+ 1) +$DK$17," ")," ")</f>
        <v xml:space="preserve"> </v>
      </c>
      <c r="DK18" s="47" t="str">
        <f ca="1">IFERROR(IF(ISNUMBER($DJ$18),INDEX('1.Locations'!$I$2:$I$32,$DC$18 + 1) + MAX($DJ$18,INDEX('1.Locations'!$F$2:$F$32,$DC$18 + 1))," ")," ")</f>
        <v xml:space="preserve"> </v>
      </c>
      <c r="DL18" s="46" t="str">
        <f ca="1">IFERROR($DL$17 + INDEX('2.Distances'!$D$2:$D$963,$DC$17*31+$DC$18+ 1) + INDEX('1.Locations'!$I$2:$I$32,$DC$18 + 1)," ")</f>
        <v xml:space="preserve"> </v>
      </c>
      <c r="DN18" s="19">
        <v>13</v>
      </c>
      <c r="DO18" s="20"/>
      <c r="DP18" s="44" t="str">
        <f ca="1">IFERROR(MATCH(INDIRECT("$DO$18"),'1.Locations'!$B$2:$B$32, 0) - 1," ")</f>
        <v xml:space="preserve"> </v>
      </c>
      <c r="DQ18" s="44" t="e">
        <f ca="1">IFERROR(IF(ISNUMBER($DP$18),INDEX('1.Locations'!$D$2:$D$32,$DP$18 + 1),NA()),NA())</f>
        <v>#N/A</v>
      </c>
      <c r="DR18" s="44" t="e">
        <f ca="1">IFERROR(IF(ISNUMBER($DP$18),INDEX('1.Locations'!$E$2:$E$32,$DP$18 + 1),NA()),NA())</f>
        <v>#N/A</v>
      </c>
      <c r="DS18" s="45" t="str">
        <f ca="1">IFERROR(IF(AND(ISNUMBER($DP$18),$DP$18&lt;=30),INDEX('2.Distances'!$C$2:$C$963,$DP$17*31+$DP$18+ 1) +$DS$17," ")," ")</f>
        <v xml:space="preserve"> </v>
      </c>
      <c r="DT18" s="44" t="str">
        <f ca="1">IFERROR(IF(ISNUMBER($DP$18),INDEX('1.Locations'!$J$2:$J$32,$DP$18 + 1) +$DT$17," ")," ")</f>
        <v xml:space="preserve"> </v>
      </c>
      <c r="DU18" s="44" t="str">
        <f ca="1">IFERROR(IF(ISNUMBER($DP$18),INDEX('1.Locations'!$K$2:$K$32,$DP$18 + 1) +$DU$17," ")," ")</f>
        <v xml:space="preserve"> </v>
      </c>
      <c r="DV18" s="46" t="str">
        <f ca="1">IFERROR(IF(AND(ISNUMBER($DP$18),$DP$18&lt;=30),INDEX('2.Distances'!$D$2:$D$963,$DP$17*31+$DP$18+ 1) +$DV$17," ")," ")</f>
        <v xml:space="preserve"> </v>
      </c>
      <c r="DW18" s="47" t="str">
        <f ca="1">IFERROR(IF(AND(ISNUMBER($DP$18),$DP$18&lt;=30),INDEX('2.Distances'!$D$2:$D$963,$DP$17*31+$DP$18+ 1) +$DX$17," ")," ")</f>
        <v xml:space="preserve"> </v>
      </c>
      <c r="DX18" s="47" t="str">
        <f ca="1">IFERROR(IF(ISNUMBER($DW$18),INDEX('1.Locations'!$I$2:$I$32,$DP$18 + 1) + MAX($DW$18,INDEX('1.Locations'!$F$2:$F$32,$DP$18 + 1))," ")," ")</f>
        <v xml:space="preserve"> </v>
      </c>
      <c r="DY18" s="46" t="str">
        <f ca="1">IFERROR($DY$17 + INDEX('2.Distances'!$D$2:$D$963,$DP$17*31+$DP$18+ 1) + INDEX('1.Locations'!$I$2:$I$32,$DP$18 + 1)," ")</f>
        <v xml:space="preserve"> </v>
      </c>
      <c r="EA18" s="19">
        <v>13</v>
      </c>
      <c r="EB18" s="20"/>
      <c r="EC18" s="44" t="str">
        <f ca="1">IFERROR(MATCH(INDIRECT("$EB$18"),'1.Locations'!$B$2:$B$32, 0) - 1," ")</f>
        <v xml:space="preserve"> </v>
      </c>
      <c r="ED18" s="44" t="e">
        <f ca="1">IFERROR(IF(ISNUMBER($EC$18),INDEX('1.Locations'!$D$2:$D$32,$EC$18 + 1),NA()),NA())</f>
        <v>#N/A</v>
      </c>
      <c r="EE18" s="44" t="e">
        <f ca="1">IFERROR(IF(ISNUMBER($EC$18),INDEX('1.Locations'!$E$2:$E$32,$EC$18 + 1),NA()),NA())</f>
        <v>#N/A</v>
      </c>
      <c r="EF18" s="45" t="str">
        <f ca="1">IFERROR(IF(AND(ISNUMBER($EC$18),$EC$18&lt;=30),INDEX('2.Distances'!$C$2:$C$963,$EC$17*31+$EC$18+ 1) +$EF$17," ")," ")</f>
        <v xml:space="preserve"> </v>
      </c>
      <c r="EG18" s="44" t="str">
        <f ca="1">IFERROR(IF(ISNUMBER($EC$18),INDEX('1.Locations'!$J$2:$J$32,$EC$18 + 1) +$EG$17," ")," ")</f>
        <v xml:space="preserve"> </v>
      </c>
      <c r="EH18" s="44" t="str">
        <f ca="1">IFERROR(IF(ISNUMBER($EC$18),INDEX('1.Locations'!$K$2:$K$32,$EC$18 + 1) +$EH$17," ")," ")</f>
        <v xml:space="preserve"> </v>
      </c>
      <c r="EI18" s="46" t="str">
        <f ca="1">IFERROR(IF(AND(ISNUMBER($EC$18),$EC$18&lt;=30),INDEX('2.Distances'!$D$2:$D$963,$EC$17*31+$EC$18+ 1) +$EI$17," ")," ")</f>
        <v xml:space="preserve"> </v>
      </c>
      <c r="EJ18" s="47" t="str">
        <f ca="1">IFERROR(IF(AND(ISNUMBER($EC$18),$EC$18&lt;=30),INDEX('2.Distances'!$D$2:$D$963,$EC$17*31+$EC$18+ 1) +$EK$17," ")," ")</f>
        <v xml:space="preserve"> </v>
      </c>
      <c r="EK18" s="47" t="str">
        <f ca="1">IFERROR(IF(ISNUMBER($EJ$18),INDEX('1.Locations'!$I$2:$I$32,$EC$18 + 1) + MAX($EJ$18,INDEX('1.Locations'!$F$2:$F$32,$EC$18 + 1))," ")," ")</f>
        <v xml:space="preserve"> </v>
      </c>
      <c r="EL18" s="46" t="str">
        <f ca="1">IFERROR($EL$17 + INDEX('2.Distances'!$D$2:$D$963,$EC$17*31+$EC$18+ 1) + INDEX('1.Locations'!$I$2:$I$32,$EC$18 + 1)," ")</f>
        <v xml:space="preserve"> </v>
      </c>
      <c r="EN18" s="19">
        <v>13</v>
      </c>
      <c r="EO18" s="20"/>
      <c r="EP18" s="44" t="str">
        <f ca="1">IFERROR(MATCH(INDIRECT("$EO$18"),'1.Locations'!$B$2:$B$32, 0) - 1," ")</f>
        <v xml:space="preserve"> </v>
      </c>
      <c r="EQ18" s="44" t="e">
        <f ca="1">IFERROR(IF(ISNUMBER($EP$18),INDEX('1.Locations'!$D$2:$D$32,$EP$18 + 1),NA()),NA())</f>
        <v>#N/A</v>
      </c>
      <c r="ER18" s="44" t="e">
        <f ca="1">IFERROR(IF(ISNUMBER($EP$18),INDEX('1.Locations'!$E$2:$E$32,$EP$18 + 1),NA()),NA())</f>
        <v>#N/A</v>
      </c>
      <c r="ES18" s="45" t="str">
        <f ca="1">IFERROR(IF(AND(ISNUMBER($EP$18),$EP$18&lt;=30),INDEX('2.Distances'!$C$2:$C$963,$EP$17*31+$EP$18+ 1) +$ES$17," ")," ")</f>
        <v xml:space="preserve"> </v>
      </c>
      <c r="ET18" s="44" t="str">
        <f ca="1">IFERROR(IF(ISNUMBER($EP$18),INDEX('1.Locations'!$J$2:$J$32,$EP$18 + 1) +$ET$17," ")," ")</f>
        <v xml:space="preserve"> </v>
      </c>
      <c r="EU18" s="44" t="str">
        <f ca="1">IFERROR(IF(ISNUMBER($EP$18),INDEX('1.Locations'!$K$2:$K$32,$EP$18 + 1) +$EU$17," ")," ")</f>
        <v xml:space="preserve"> </v>
      </c>
      <c r="EV18" s="46" t="str">
        <f ca="1">IFERROR(IF(AND(ISNUMBER($EP$18),$EP$18&lt;=30),INDEX('2.Distances'!$D$2:$D$963,$EP$17*31+$EP$18+ 1) +$EV$17," ")," ")</f>
        <v xml:space="preserve"> </v>
      </c>
      <c r="EW18" s="47" t="str">
        <f ca="1">IFERROR(IF(AND(ISNUMBER($EP$18),$EP$18&lt;=30),INDEX('2.Distances'!$D$2:$D$963,$EP$17*31+$EP$18+ 1) +$EX$17," ")," ")</f>
        <v xml:space="preserve"> </v>
      </c>
      <c r="EX18" s="47" t="str">
        <f ca="1">IFERROR(IF(ISNUMBER($EW$18),INDEX('1.Locations'!$I$2:$I$32,$EP$18 + 1) + MAX($EW$18,INDEX('1.Locations'!$F$2:$F$32,$EP$18 + 1))," ")," ")</f>
        <v xml:space="preserve"> </v>
      </c>
      <c r="EY18" s="46" t="str">
        <f ca="1">IFERROR($EY$17 + INDEX('2.Distances'!$D$2:$D$963,$EP$17*31+$EP$18+ 1) + INDEX('1.Locations'!$I$2:$I$32,$EP$18 + 1)," ")</f>
        <v xml:space="preserve"> </v>
      </c>
    </row>
    <row r="19" spans="1:155" x14ac:dyDescent="0.2">
      <c r="A19" s="19">
        <v>14</v>
      </c>
      <c r="B19" s="20"/>
      <c r="C19" s="44" t="str">
        <f ca="1">IFERROR(MATCH(INDIRECT("$B$19"),'1.Locations'!$B$2:$B$32, 0) - 1," ")</f>
        <v xml:space="preserve"> </v>
      </c>
      <c r="D19" s="44" t="e">
        <f ca="1">IFERROR(IF(ISNUMBER($C$19),INDEX('1.Locations'!$D$2:$D$32,$C$19 + 1),NA()),NA())</f>
        <v>#N/A</v>
      </c>
      <c r="E19" s="44" t="e">
        <f ca="1">IFERROR(IF(ISNUMBER($C$19),INDEX('1.Locations'!$E$2:$E$32,$C$19 + 1),NA()),NA())</f>
        <v>#N/A</v>
      </c>
      <c r="F19" s="45" t="str">
        <f ca="1">IFERROR(IF(AND(ISNUMBER($C$19),$C$19&lt;=30),INDEX('2.Distances'!$C$2:$C$963,$C$18*31+$C$19+ 1) +$F$18," ")," ")</f>
        <v xml:space="preserve"> </v>
      </c>
      <c r="G19" s="44" t="str">
        <f ca="1">IFERROR(IF(ISNUMBER($C$19),INDEX('1.Locations'!$J$2:$J$32,$C$19 + 1) +$G$18," ")," ")</f>
        <v xml:space="preserve"> </v>
      </c>
      <c r="H19" s="44" t="str">
        <f ca="1">IFERROR(IF(ISNUMBER($C$19),INDEX('1.Locations'!$K$2:$K$32,$C$19 + 1) +$H$18," ")," ")</f>
        <v xml:space="preserve"> </v>
      </c>
      <c r="I19" s="46" t="str">
        <f ca="1">IFERROR(IF(AND(ISNUMBER($C$19),$C$19&lt;=30),INDEX('2.Distances'!$D$2:$D$963,$C$18*31+$C$19+ 1) +$I$18," ")," ")</f>
        <v xml:space="preserve"> </v>
      </c>
      <c r="J19" s="47" t="str">
        <f ca="1">IFERROR(IF(AND(ISNUMBER($C$19),$C$19&lt;=30),INDEX('2.Distances'!$D$2:$D$963,$C$18*31+$C$19+ 1) +$K$18," ")," ")</f>
        <v xml:space="preserve"> </v>
      </c>
      <c r="K19" s="47" t="str">
        <f ca="1">IFERROR(IF(ISNUMBER($J$19),INDEX('1.Locations'!$I$2:$I$32,$C$19 + 1) + MAX($J$19,INDEX('1.Locations'!$F$2:$F$32,$C$19 + 1))," ")," ")</f>
        <v xml:space="preserve"> </v>
      </c>
      <c r="L19" s="46" t="str">
        <f ca="1">IFERROR($L$18 + INDEX('2.Distances'!$D$2:$D$963,$C$18*31+$C$19+ 1) + INDEX('1.Locations'!$I$2:$I$32,$C$19 + 1)," ")</f>
        <v xml:space="preserve"> </v>
      </c>
      <c r="N19" s="19">
        <v>14</v>
      </c>
      <c r="O19" s="20"/>
      <c r="P19" s="44" t="str">
        <f ca="1">IFERROR(MATCH(INDIRECT("$O$19"),'1.Locations'!$B$2:$B$32, 0) - 1," ")</f>
        <v xml:space="preserve"> </v>
      </c>
      <c r="Q19" s="44" t="e">
        <f ca="1">IFERROR(IF(ISNUMBER($P$19),INDEX('1.Locations'!$D$2:$D$32,$P$19 + 1),NA()),NA())</f>
        <v>#N/A</v>
      </c>
      <c r="R19" s="44" t="e">
        <f ca="1">IFERROR(IF(ISNUMBER($P$19),INDEX('1.Locations'!$E$2:$E$32,$P$19 + 1),NA()),NA())</f>
        <v>#N/A</v>
      </c>
      <c r="S19" s="45" t="str">
        <f ca="1">IFERROR(IF(AND(ISNUMBER($P$19),$P$19&lt;=30),INDEX('2.Distances'!$C$2:$C$963,$P$18*31+$P$19+ 1) +$S$18," ")," ")</f>
        <v xml:space="preserve"> </v>
      </c>
      <c r="T19" s="44" t="str">
        <f ca="1">IFERROR(IF(ISNUMBER($P$19),INDEX('1.Locations'!$J$2:$J$32,$P$19 + 1) +$T$18," ")," ")</f>
        <v xml:space="preserve"> </v>
      </c>
      <c r="U19" s="44" t="str">
        <f ca="1">IFERROR(IF(ISNUMBER($P$19),INDEX('1.Locations'!$K$2:$K$32,$P$19 + 1) +$U$18," ")," ")</f>
        <v xml:space="preserve"> </v>
      </c>
      <c r="V19" s="46" t="str">
        <f ca="1">IFERROR(IF(AND(ISNUMBER($P$19),$P$19&lt;=30),INDEX('2.Distances'!$D$2:$D$963,$P$18*31+$P$19+ 1) +$V$18," ")," ")</f>
        <v xml:space="preserve"> </v>
      </c>
      <c r="W19" s="47" t="str">
        <f ca="1">IFERROR(IF(AND(ISNUMBER($P$19),$P$19&lt;=30),INDEX('2.Distances'!$D$2:$D$963,$P$18*31+$P$19+ 1) +$X$18," ")," ")</f>
        <v xml:space="preserve"> </v>
      </c>
      <c r="X19" s="47" t="str">
        <f ca="1">IFERROR(IF(ISNUMBER($W$19),INDEX('1.Locations'!$I$2:$I$32,$P$19 + 1) + MAX($W$19,INDEX('1.Locations'!$F$2:$F$32,$P$19 + 1))," ")," ")</f>
        <v xml:space="preserve"> </v>
      </c>
      <c r="Y19" s="46" t="str">
        <f ca="1">IFERROR($Y$18 + INDEX('2.Distances'!$D$2:$D$963,$P$18*31+$P$19+ 1) + INDEX('1.Locations'!$I$2:$I$32,$P$19 + 1)," ")</f>
        <v xml:space="preserve"> </v>
      </c>
      <c r="AA19" s="19">
        <v>14</v>
      </c>
      <c r="AB19" s="20"/>
      <c r="AC19" s="44" t="str">
        <f ca="1">IFERROR(MATCH(INDIRECT("$AB$19"),'1.Locations'!$B$2:$B$32, 0) - 1," ")</f>
        <v xml:space="preserve"> </v>
      </c>
      <c r="AD19" s="44" t="e">
        <f ca="1">IFERROR(IF(ISNUMBER($AC$19),INDEX('1.Locations'!$D$2:$D$32,$AC$19 + 1),NA()),NA())</f>
        <v>#N/A</v>
      </c>
      <c r="AE19" s="44" t="e">
        <f ca="1">IFERROR(IF(ISNUMBER($AC$19),INDEX('1.Locations'!$E$2:$E$32,$AC$19 + 1),NA()),NA())</f>
        <v>#N/A</v>
      </c>
      <c r="AF19" s="45" t="str">
        <f ca="1">IFERROR(IF(AND(ISNUMBER($AC$19),$AC$19&lt;=30),INDEX('2.Distances'!$C$2:$C$963,$AC$18*31+$AC$19+ 1) +$AF$18," ")," ")</f>
        <v xml:space="preserve"> </v>
      </c>
      <c r="AG19" s="44" t="str">
        <f ca="1">IFERROR(IF(ISNUMBER($AC$19),INDEX('1.Locations'!$J$2:$J$32,$AC$19 + 1) +$AG$18," ")," ")</f>
        <v xml:space="preserve"> </v>
      </c>
      <c r="AH19" s="44" t="str">
        <f ca="1">IFERROR(IF(ISNUMBER($AC$19),INDEX('1.Locations'!$K$2:$K$32,$AC$19 + 1) +$AH$18," ")," ")</f>
        <v xml:space="preserve"> </v>
      </c>
      <c r="AI19" s="46" t="str">
        <f ca="1">IFERROR(IF(AND(ISNUMBER($AC$19),$AC$19&lt;=30),INDEX('2.Distances'!$D$2:$D$963,$AC$18*31+$AC$19+ 1) +$AI$18," ")," ")</f>
        <v xml:space="preserve"> </v>
      </c>
      <c r="AJ19" s="47" t="str">
        <f ca="1">IFERROR(IF(AND(ISNUMBER($AC$19),$AC$19&lt;=30),INDEX('2.Distances'!$D$2:$D$963,$AC$18*31+$AC$19+ 1) +$AK$18," ")," ")</f>
        <v xml:space="preserve"> </v>
      </c>
      <c r="AK19" s="47" t="str">
        <f ca="1">IFERROR(IF(ISNUMBER($AJ$19),INDEX('1.Locations'!$I$2:$I$32,$AC$19 + 1) + MAX($AJ$19,INDEX('1.Locations'!$F$2:$F$32,$AC$19 + 1))," ")," ")</f>
        <v xml:space="preserve"> </v>
      </c>
      <c r="AL19" s="46" t="str">
        <f ca="1">IFERROR($AL$18 + INDEX('2.Distances'!$D$2:$D$963,$AC$18*31+$AC$19+ 1) + INDEX('1.Locations'!$I$2:$I$32,$AC$19 + 1)," ")</f>
        <v xml:space="preserve"> </v>
      </c>
      <c r="AN19" s="19">
        <v>14</v>
      </c>
      <c r="AO19" s="20"/>
      <c r="AP19" s="44" t="str">
        <f ca="1">IFERROR(MATCH(INDIRECT("$AO$19"),'1.Locations'!$B$2:$B$32, 0) - 1," ")</f>
        <v xml:space="preserve"> </v>
      </c>
      <c r="AQ19" s="44" t="e">
        <f ca="1">IFERROR(IF(ISNUMBER($AP$19),INDEX('1.Locations'!$D$2:$D$32,$AP$19 + 1),NA()),NA())</f>
        <v>#N/A</v>
      </c>
      <c r="AR19" s="44" t="e">
        <f ca="1">IFERROR(IF(ISNUMBER($AP$19),INDEX('1.Locations'!$E$2:$E$32,$AP$19 + 1),NA()),NA())</f>
        <v>#N/A</v>
      </c>
      <c r="AS19" s="45" t="str">
        <f ca="1">IFERROR(IF(AND(ISNUMBER($AP$19),$AP$19&lt;=30),INDEX('2.Distances'!$C$2:$C$963,$AP$18*31+$AP$19+ 1) +$AS$18," ")," ")</f>
        <v xml:space="preserve"> </v>
      </c>
      <c r="AT19" s="44" t="str">
        <f ca="1">IFERROR(IF(ISNUMBER($AP$19),INDEX('1.Locations'!$J$2:$J$32,$AP$19 + 1) +$AT$18," ")," ")</f>
        <v xml:space="preserve"> </v>
      </c>
      <c r="AU19" s="44" t="str">
        <f ca="1">IFERROR(IF(ISNUMBER($AP$19),INDEX('1.Locations'!$K$2:$K$32,$AP$19 + 1) +$AU$18," ")," ")</f>
        <v xml:space="preserve"> </v>
      </c>
      <c r="AV19" s="46" t="str">
        <f ca="1">IFERROR(IF(AND(ISNUMBER($AP$19),$AP$19&lt;=30),INDEX('2.Distances'!$D$2:$D$963,$AP$18*31+$AP$19+ 1) +$AV$18," ")," ")</f>
        <v xml:space="preserve"> </v>
      </c>
      <c r="AW19" s="47" t="str">
        <f ca="1">IFERROR(IF(AND(ISNUMBER($AP$19),$AP$19&lt;=30),INDEX('2.Distances'!$D$2:$D$963,$AP$18*31+$AP$19+ 1) +$AX$18," ")," ")</f>
        <v xml:space="preserve"> </v>
      </c>
      <c r="AX19" s="47" t="str">
        <f ca="1">IFERROR(IF(ISNUMBER($AW$19),INDEX('1.Locations'!$I$2:$I$32,$AP$19 + 1) + MAX($AW$19,INDEX('1.Locations'!$F$2:$F$32,$AP$19 + 1))," ")," ")</f>
        <v xml:space="preserve"> </v>
      </c>
      <c r="AY19" s="46" t="str">
        <f ca="1">IFERROR($AY$18 + INDEX('2.Distances'!$D$2:$D$963,$AP$18*31+$AP$19+ 1) + INDEX('1.Locations'!$I$2:$I$32,$AP$19 + 1)," ")</f>
        <v xml:space="preserve"> </v>
      </c>
      <c r="BA19" s="19">
        <v>14</v>
      </c>
      <c r="BB19" s="20"/>
      <c r="BC19" s="44" t="str">
        <f ca="1">IFERROR(MATCH(INDIRECT("$BB$19"),'1.Locations'!$B$2:$B$32, 0) - 1," ")</f>
        <v xml:space="preserve"> </v>
      </c>
      <c r="BD19" s="44" t="e">
        <f ca="1">IFERROR(IF(ISNUMBER($BC$19),INDEX('1.Locations'!$D$2:$D$32,$BC$19 + 1),NA()),NA())</f>
        <v>#N/A</v>
      </c>
      <c r="BE19" s="44" t="e">
        <f ca="1">IFERROR(IF(ISNUMBER($BC$19),INDEX('1.Locations'!$E$2:$E$32,$BC$19 + 1),NA()),NA())</f>
        <v>#N/A</v>
      </c>
      <c r="BF19" s="45" t="str">
        <f ca="1">IFERROR(IF(AND(ISNUMBER($BC$19),$BC$19&lt;=30),INDEX('2.Distances'!$C$2:$C$963,$BC$18*31+$BC$19+ 1) +$BF$18," ")," ")</f>
        <v xml:space="preserve"> </v>
      </c>
      <c r="BG19" s="44" t="str">
        <f ca="1">IFERROR(IF(ISNUMBER($BC$19),INDEX('1.Locations'!$J$2:$J$32,$BC$19 + 1) +$BG$18," ")," ")</f>
        <v xml:space="preserve"> </v>
      </c>
      <c r="BH19" s="44" t="str">
        <f ca="1">IFERROR(IF(ISNUMBER($BC$19),INDEX('1.Locations'!$K$2:$K$32,$BC$19 + 1) +$BH$18," ")," ")</f>
        <v xml:space="preserve"> </v>
      </c>
      <c r="BI19" s="46" t="str">
        <f ca="1">IFERROR(IF(AND(ISNUMBER($BC$19),$BC$19&lt;=30),INDEX('2.Distances'!$D$2:$D$963,$BC$18*31+$BC$19+ 1) +$BI$18," ")," ")</f>
        <v xml:space="preserve"> </v>
      </c>
      <c r="BJ19" s="47" t="str">
        <f ca="1">IFERROR(IF(AND(ISNUMBER($BC$19),$BC$19&lt;=30),INDEX('2.Distances'!$D$2:$D$963,$BC$18*31+$BC$19+ 1) +$BK$18," ")," ")</f>
        <v xml:space="preserve"> </v>
      </c>
      <c r="BK19" s="47" t="str">
        <f ca="1">IFERROR(IF(ISNUMBER($BJ$19),INDEX('1.Locations'!$I$2:$I$32,$BC$19 + 1) + MAX($BJ$19,INDEX('1.Locations'!$F$2:$F$32,$BC$19 + 1))," ")," ")</f>
        <v xml:space="preserve"> </v>
      </c>
      <c r="BL19" s="46" t="str">
        <f ca="1">IFERROR($BL$18 + INDEX('2.Distances'!$D$2:$D$963,$BC$18*31+$BC$19+ 1) + INDEX('1.Locations'!$I$2:$I$32,$BC$19 + 1)," ")</f>
        <v xml:space="preserve"> </v>
      </c>
      <c r="BN19" s="19">
        <v>14</v>
      </c>
      <c r="BO19" s="20"/>
      <c r="BP19" s="44" t="str">
        <f ca="1">IFERROR(MATCH(INDIRECT("$BO$19"),'1.Locations'!$B$2:$B$32, 0) - 1," ")</f>
        <v xml:space="preserve"> </v>
      </c>
      <c r="BQ19" s="44" t="e">
        <f ca="1">IFERROR(IF(ISNUMBER($BP$19),INDEX('1.Locations'!$D$2:$D$32,$BP$19 + 1),NA()),NA())</f>
        <v>#N/A</v>
      </c>
      <c r="BR19" s="44" t="e">
        <f ca="1">IFERROR(IF(ISNUMBER($BP$19),INDEX('1.Locations'!$E$2:$E$32,$BP$19 + 1),NA()),NA())</f>
        <v>#N/A</v>
      </c>
      <c r="BS19" s="45" t="str">
        <f ca="1">IFERROR(IF(AND(ISNUMBER($BP$19),$BP$19&lt;=30),INDEX('2.Distances'!$C$2:$C$963,$BP$18*31+$BP$19+ 1) +$BS$18," ")," ")</f>
        <v xml:space="preserve"> </v>
      </c>
      <c r="BT19" s="44" t="str">
        <f ca="1">IFERROR(IF(ISNUMBER($BP$19),INDEX('1.Locations'!$J$2:$J$32,$BP$19 + 1) +$BT$18," ")," ")</f>
        <v xml:space="preserve"> </v>
      </c>
      <c r="BU19" s="44" t="str">
        <f ca="1">IFERROR(IF(ISNUMBER($BP$19),INDEX('1.Locations'!$K$2:$K$32,$BP$19 + 1) +$BU$18," ")," ")</f>
        <v xml:space="preserve"> </v>
      </c>
      <c r="BV19" s="46" t="str">
        <f ca="1">IFERROR(IF(AND(ISNUMBER($BP$19),$BP$19&lt;=30),INDEX('2.Distances'!$D$2:$D$963,$BP$18*31+$BP$19+ 1) +$BV$18," ")," ")</f>
        <v xml:space="preserve"> </v>
      </c>
      <c r="BW19" s="47" t="str">
        <f ca="1">IFERROR(IF(AND(ISNUMBER($BP$19),$BP$19&lt;=30),INDEX('2.Distances'!$D$2:$D$963,$BP$18*31+$BP$19+ 1) +$BX$18," ")," ")</f>
        <v xml:space="preserve"> </v>
      </c>
      <c r="BX19" s="47" t="str">
        <f ca="1">IFERROR(IF(ISNUMBER($BW$19),INDEX('1.Locations'!$I$2:$I$32,$BP$19 + 1) + MAX($BW$19,INDEX('1.Locations'!$F$2:$F$32,$BP$19 + 1))," ")," ")</f>
        <v xml:space="preserve"> </v>
      </c>
      <c r="BY19" s="46" t="str">
        <f ca="1">IFERROR($BY$18 + INDEX('2.Distances'!$D$2:$D$963,$BP$18*31+$BP$19+ 1) + INDEX('1.Locations'!$I$2:$I$32,$BP$19 + 1)," ")</f>
        <v xml:space="preserve"> </v>
      </c>
      <c r="CA19" s="19">
        <v>14</v>
      </c>
      <c r="CB19" s="20"/>
      <c r="CC19" s="44" t="str">
        <f ca="1">IFERROR(MATCH(INDIRECT("$CB$19"),'1.Locations'!$B$2:$B$32, 0) - 1," ")</f>
        <v xml:space="preserve"> </v>
      </c>
      <c r="CD19" s="44" t="e">
        <f ca="1">IFERROR(IF(ISNUMBER($CC$19),INDEX('1.Locations'!$D$2:$D$32,$CC$19 + 1),NA()),NA())</f>
        <v>#N/A</v>
      </c>
      <c r="CE19" s="44" t="e">
        <f ca="1">IFERROR(IF(ISNUMBER($CC$19),INDEX('1.Locations'!$E$2:$E$32,$CC$19 + 1),NA()),NA())</f>
        <v>#N/A</v>
      </c>
      <c r="CF19" s="45" t="str">
        <f ca="1">IFERROR(IF(AND(ISNUMBER($CC$19),$CC$19&lt;=30),INDEX('2.Distances'!$C$2:$C$963,$CC$18*31+$CC$19+ 1) +$CF$18," ")," ")</f>
        <v xml:space="preserve"> </v>
      </c>
      <c r="CG19" s="44" t="str">
        <f ca="1">IFERROR(IF(ISNUMBER($CC$19),INDEX('1.Locations'!$J$2:$J$32,$CC$19 + 1) +$CG$18," ")," ")</f>
        <v xml:space="preserve"> </v>
      </c>
      <c r="CH19" s="44" t="str">
        <f ca="1">IFERROR(IF(ISNUMBER($CC$19),INDEX('1.Locations'!$K$2:$K$32,$CC$19 + 1) +$CH$18," ")," ")</f>
        <v xml:space="preserve"> </v>
      </c>
      <c r="CI19" s="46" t="str">
        <f ca="1">IFERROR(IF(AND(ISNUMBER($CC$19),$CC$19&lt;=30),INDEX('2.Distances'!$D$2:$D$963,$CC$18*31+$CC$19+ 1) +$CI$18," ")," ")</f>
        <v xml:space="preserve"> </v>
      </c>
      <c r="CJ19" s="47" t="str">
        <f ca="1">IFERROR(IF(AND(ISNUMBER($CC$19),$CC$19&lt;=30),INDEX('2.Distances'!$D$2:$D$963,$CC$18*31+$CC$19+ 1) +$CK$18," ")," ")</f>
        <v xml:space="preserve"> </v>
      </c>
      <c r="CK19" s="47" t="str">
        <f ca="1">IFERROR(IF(ISNUMBER($CJ$19),INDEX('1.Locations'!$I$2:$I$32,$CC$19 + 1) + MAX($CJ$19,INDEX('1.Locations'!$F$2:$F$32,$CC$19 + 1))," ")," ")</f>
        <v xml:space="preserve"> </v>
      </c>
      <c r="CL19" s="46" t="str">
        <f ca="1">IFERROR($CL$18 + INDEX('2.Distances'!$D$2:$D$963,$CC$18*31+$CC$19+ 1) + INDEX('1.Locations'!$I$2:$I$32,$CC$19 + 1)," ")</f>
        <v xml:space="preserve"> </v>
      </c>
      <c r="CN19" s="19">
        <v>14</v>
      </c>
      <c r="CO19" s="20"/>
      <c r="CP19" s="44" t="str">
        <f ca="1">IFERROR(MATCH(INDIRECT("$CO$19"),'1.Locations'!$B$2:$B$32, 0) - 1," ")</f>
        <v xml:space="preserve"> </v>
      </c>
      <c r="CQ19" s="44" t="e">
        <f ca="1">IFERROR(IF(ISNUMBER($CP$19),INDEX('1.Locations'!$D$2:$D$32,$CP$19 + 1),NA()),NA())</f>
        <v>#N/A</v>
      </c>
      <c r="CR19" s="44" t="e">
        <f ca="1">IFERROR(IF(ISNUMBER($CP$19),INDEX('1.Locations'!$E$2:$E$32,$CP$19 + 1),NA()),NA())</f>
        <v>#N/A</v>
      </c>
      <c r="CS19" s="45" t="str">
        <f ca="1">IFERROR(IF(AND(ISNUMBER($CP$19),$CP$19&lt;=30),INDEX('2.Distances'!$C$2:$C$963,$CP$18*31+$CP$19+ 1) +$CS$18," ")," ")</f>
        <v xml:space="preserve"> </v>
      </c>
      <c r="CT19" s="44" t="str">
        <f ca="1">IFERROR(IF(ISNUMBER($CP$19),INDEX('1.Locations'!$J$2:$J$32,$CP$19 + 1) +$CT$18," ")," ")</f>
        <v xml:space="preserve"> </v>
      </c>
      <c r="CU19" s="44" t="str">
        <f ca="1">IFERROR(IF(ISNUMBER($CP$19),INDEX('1.Locations'!$K$2:$K$32,$CP$19 + 1) +$CU$18," ")," ")</f>
        <v xml:space="preserve"> </v>
      </c>
      <c r="CV19" s="46" t="str">
        <f ca="1">IFERROR(IF(AND(ISNUMBER($CP$19),$CP$19&lt;=30),INDEX('2.Distances'!$D$2:$D$963,$CP$18*31+$CP$19+ 1) +$CV$18," ")," ")</f>
        <v xml:space="preserve"> </v>
      </c>
      <c r="CW19" s="47" t="str">
        <f ca="1">IFERROR(IF(AND(ISNUMBER($CP$19),$CP$19&lt;=30),INDEX('2.Distances'!$D$2:$D$963,$CP$18*31+$CP$19+ 1) +$CX$18," ")," ")</f>
        <v xml:space="preserve"> </v>
      </c>
      <c r="CX19" s="47" t="str">
        <f ca="1">IFERROR(IF(ISNUMBER($CW$19),INDEX('1.Locations'!$I$2:$I$32,$CP$19 + 1) + MAX($CW$19,INDEX('1.Locations'!$F$2:$F$32,$CP$19 + 1))," ")," ")</f>
        <v xml:space="preserve"> </v>
      </c>
      <c r="CY19" s="46" t="str">
        <f ca="1">IFERROR($CY$18 + INDEX('2.Distances'!$D$2:$D$963,$CP$18*31+$CP$19+ 1) + INDEX('1.Locations'!$I$2:$I$32,$CP$19 + 1)," ")</f>
        <v xml:space="preserve"> </v>
      </c>
      <c r="DA19" s="19">
        <v>14</v>
      </c>
      <c r="DB19" s="20"/>
      <c r="DC19" s="44" t="str">
        <f ca="1">IFERROR(MATCH(INDIRECT("$DB$19"),'1.Locations'!$B$2:$B$32, 0) - 1," ")</f>
        <v xml:space="preserve"> </v>
      </c>
      <c r="DD19" s="44" t="e">
        <f ca="1">IFERROR(IF(ISNUMBER($DC$19),INDEX('1.Locations'!$D$2:$D$32,$DC$19 + 1),NA()),NA())</f>
        <v>#N/A</v>
      </c>
      <c r="DE19" s="44" t="e">
        <f ca="1">IFERROR(IF(ISNUMBER($DC$19),INDEX('1.Locations'!$E$2:$E$32,$DC$19 + 1),NA()),NA())</f>
        <v>#N/A</v>
      </c>
      <c r="DF19" s="45" t="str">
        <f ca="1">IFERROR(IF(AND(ISNUMBER($DC$19),$DC$19&lt;=30),INDEX('2.Distances'!$C$2:$C$963,$DC$18*31+$DC$19+ 1) +$DF$18," ")," ")</f>
        <v xml:space="preserve"> </v>
      </c>
      <c r="DG19" s="44" t="str">
        <f ca="1">IFERROR(IF(ISNUMBER($DC$19),INDEX('1.Locations'!$J$2:$J$32,$DC$19 + 1) +$DG$18," ")," ")</f>
        <v xml:space="preserve"> </v>
      </c>
      <c r="DH19" s="44" t="str">
        <f ca="1">IFERROR(IF(ISNUMBER($DC$19),INDEX('1.Locations'!$K$2:$K$32,$DC$19 + 1) +$DH$18," ")," ")</f>
        <v xml:space="preserve"> </v>
      </c>
      <c r="DI19" s="46" t="str">
        <f ca="1">IFERROR(IF(AND(ISNUMBER($DC$19),$DC$19&lt;=30),INDEX('2.Distances'!$D$2:$D$963,$DC$18*31+$DC$19+ 1) +$DI$18," ")," ")</f>
        <v xml:space="preserve"> </v>
      </c>
      <c r="DJ19" s="47" t="str">
        <f ca="1">IFERROR(IF(AND(ISNUMBER($DC$19),$DC$19&lt;=30),INDEX('2.Distances'!$D$2:$D$963,$DC$18*31+$DC$19+ 1) +$DK$18," ")," ")</f>
        <v xml:space="preserve"> </v>
      </c>
      <c r="DK19" s="47" t="str">
        <f ca="1">IFERROR(IF(ISNUMBER($DJ$19),INDEX('1.Locations'!$I$2:$I$32,$DC$19 + 1) + MAX($DJ$19,INDEX('1.Locations'!$F$2:$F$32,$DC$19 + 1))," ")," ")</f>
        <v xml:space="preserve"> </v>
      </c>
      <c r="DL19" s="46" t="str">
        <f ca="1">IFERROR($DL$18 + INDEX('2.Distances'!$D$2:$D$963,$DC$18*31+$DC$19+ 1) + INDEX('1.Locations'!$I$2:$I$32,$DC$19 + 1)," ")</f>
        <v xml:space="preserve"> </v>
      </c>
      <c r="DN19" s="19">
        <v>14</v>
      </c>
      <c r="DO19" s="20"/>
      <c r="DP19" s="44" t="str">
        <f ca="1">IFERROR(MATCH(INDIRECT("$DO$19"),'1.Locations'!$B$2:$B$32, 0) - 1," ")</f>
        <v xml:space="preserve"> </v>
      </c>
      <c r="DQ19" s="44" t="e">
        <f ca="1">IFERROR(IF(ISNUMBER($DP$19),INDEX('1.Locations'!$D$2:$D$32,$DP$19 + 1),NA()),NA())</f>
        <v>#N/A</v>
      </c>
      <c r="DR19" s="44" t="e">
        <f ca="1">IFERROR(IF(ISNUMBER($DP$19),INDEX('1.Locations'!$E$2:$E$32,$DP$19 + 1),NA()),NA())</f>
        <v>#N/A</v>
      </c>
      <c r="DS19" s="45" t="str">
        <f ca="1">IFERROR(IF(AND(ISNUMBER($DP$19),$DP$19&lt;=30),INDEX('2.Distances'!$C$2:$C$963,$DP$18*31+$DP$19+ 1) +$DS$18," ")," ")</f>
        <v xml:space="preserve"> </v>
      </c>
      <c r="DT19" s="44" t="str">
        <f ca="1">IFERROR(IF(ISNUMBER($DP$19),INDEX('1.Locations'!$J$2:$J$32,$DP$19 + 1) +$DT$18," ")," ")</f>
        <v xml:space="preserve"> </v>
      </c>
      <c r="DU19" s="44" t="str">
        <f ca="1">IFERROR(IF(ISNUMBER($DP$19),INDEX('1.Locations'!$K$2:$K$32,$DP$19 + 1) +$DU$18," ")," ")</f>
        <v xml:space="preserve"> </v>
      </c>
      <c r="DV19" s="46" t="str">
        <f ca="1">IFERROR(IF(AND(ISNUMBER($DP$19),$DP$19&lt;=30),INDEX('2.Distances'!$D$2:$D$963,$DP$18*31+$DP$19+ 1) +$DV$18," ")," ")</f>
        <v xml:space="preserve"> </v>
      </c>
      <c r="DW19" s="47" t="str">
        <f ca="1">IFERROR(IF(AND(ISNUMBER($DP$19),$DP$19&lt;=30),INDEX('2.Distances'!$D$2:$D$963,$DP$18*31+$DP$19+ 1) +$DX$18," ")," ")</f>
        <v xml:space="preserve"> </v>
      </c>
      <c r="DX19" s="47" t="str">
        <f ca="1">IFERROR(IF(ISNUMBER($DW$19),INDEX('1.Locations'!$I$2:$I$32,$DP$19 + 1) + MAX($DW$19,INDEX('1.Locations'!$F$2:$F$32,$DP$19 + 1))," ")," ")</f>
        <v xml:space="preserve"> </v>
      </c>
      <c r="DY19" s="46" t="str">
        <f ca="1">IFERROR($DY$18 + INDEX('2.Distances'!$D$2:$D$963,$DP$18*31+$DP$19+ 1) + INDEX('1.Locations'!$I$2:$I$32,$DP$19 + 1)," ")</f>
        <v xml:space="preserve"> </v>
      </c>
      <c r="EA19" s="19">
        <v>14</v>
      </c>
      <c r="EB19" s="20"/>
      <c r="EC19" s="44" t="str">
        <f ca="1">IFERROR(MATCH(INDIRECT("$EB$19"),'1.Locations'!$B$2:$B$32, 0) - 1," ")</f>
        <v xml:space="preserve"> </v>
      </c>
      <c r="ED19" s="44" t="e">
        <f ca="1">IFERROR(IF(ISNUMBER($EC$19),INDEX('1.Locations'!$D$2:$D$32,$EC$19 + 1),NA()),NA())</f>
        <v>#N/A</v>
      </c>
      <c r="EE19" s="44" t="e">
        <f ca="1">IFERROR(IF(ISNUMBER($EC$19),INDEX('1.Locations'!$E$2:$E$32,$EC$19 + 1),NA()),NA())</f>
        <v>#N/A</v>
      </c>
      <c r="EF19" s="45" t="str">
        <f ca="1">IFERROR(IF(AND(ISNUMBER($EC$19),$EC$19&lt;=30),INDEX('2.Distances'!$C$2:$C$963,$EC$18*31+$EC$19+ 1) +$EF$18," ")," ")</f>
        <v xml:space="preserve"> </v>
      </c>
      <c r="EG19" s="44" t="str">
        <f ca="1">IFERROR(IF(ISNUMBER($EC$19),INDEX('1.Locations'!$J$2:$J$32,$EC$19 + 1) +$EG$18," ")," ")</f>
        <v xml:space="preserve"> </v>
      </c>
      <c r="EH19" s="44" t="str">
        <f ca="1">IFERROR(IF(ISNUMBER($EC$19),INDEX('1.Locations'!$K$2:$K$32,$EC$19 + 1) +$EH$18," ")," ")</f>
        <v xml:space="preserve"> </v>
      </c>
      <c r="EI19" s="46" t="str">
        <f ca="1">IFERROR(IF(AND(ISNUMBER($EC$19),$EC$19&lt;=30),INDEX('2.Distances'!$D$2:$D$963,$EC$18*31+$EC$19+ 1) +$EI$18," ")," ")</f>
        <v xml:space="preserve"> </v>
      </c>
      <c r="EJ19" s="47" t="str">
        <f ca="1">IFERROR(IF(AND(ISNUMBER($EC$19),$EC$19&lt;=30),INDEX('2.Distances'!$D$2:$D$963,$EC$18*31+$EC$19+ 1) +$EK$18," ")," ")</f>
        <v xml:space="preserve"> </v>
      </c>
      <c r="EK19" s="47" t="str">
        <f ca="1">IFERROR(IF(ISNUMBER($EJ$19),INDEX('1.Locations'!$I$2:$I$32,$EC$19 + 1) + MAX($EJ$19,INDEX('1.Locations'!$F$2:$F$32,$EC$19 + 1))," ")," ")</f>
        <v xml:space="preserve"> </v>
      </c>
      <c r="EL19" s="46" t="str">
        <f ca="1">IFERROR($EL$18 + INDEX('2.Distances'!$D$2:$D$963,$EC$18*31+$EC$19+ 1) + INDEX('1.Locations'!$I$2:$I$32,$EC$19 + 1)," ")</f>
        <v xml:space="preserve"> </v>
      </c>
      <c r="EN19" s="19">
        <v>14</v>
      </c>
      <c r="EO19" s="20"/>
      <c r="EP19" s="44" t="str">
        <f ca="1">IFERROR(MATCH(INDIRECT("$EO$19"),'1.Locations'!$B$2:$B$32, 0) - 1," ")</f>
        <v xml:space="preserve"> </v>
      </c>
      <c r="EQ19" s="44" t="e">
        <f ca="1">IFERROR(IF(ISNUMBER($EP$19),INDEX('1.Locations'!$D$2:$D$32,$EP$19 + 1),NA()),NA())</f>
        <v>#N/A</v>
      </c>
      <c r="ER19" s="44" t="e">
        <f ca="1">IFERROR(IF(ISNUMBER($EP$19),INDEX('1.Locations'!$E$2:$E$32,$EP$19 + 1),NA()),NA())</f>
        <v>#N/A</v>
      </c>
      <c r="ES19" s="45" t="str">
        <f ca="1">IFERROR(IF(AND(ISNUMBER($EP$19),$EP$19&lt;=30),INDEX('2.Distances'!$C$2:$C$963,$EP$18*31+$EP$19+ 1) +$ES$18," ")," ")</f>
        <v xml:space="preserve"> </v>
      </c>
      <c r="ET19" s="44" t="str">
        <f ca="1">IFERROR(IF(ISNUMBER($EP$19),INDEX('1.Locations'!$J$2:$J$32,$EP$19 + 1) +$ET$18," ")," ")</f>
        <v xml:space="preserve"> </v>
      </c>
      <c r="EU19" s="44" t="str">
        <f ca="1">IFERROR(IF(ISNUMBER($EP$19),INDEX('1.Locations'!$K$2:$K$32,$EP$19 + 1) +$EU$18," ")," ")</f>
        <v xml:space="preserve"> </v>
      </c>
      <c r="EV19" s="46" t="str">
        <f ca="1">IFERROR(IF(AND(ISNUMBER($EP$19),$EP$19&lt;=30),INDEX('2.Distances'!$D$2:$D$963,$EP$18*31+$EP$19+ 1) +$EV$18," ")," ")</f>
        <v xml:space="preserve"> </v>
      </c>
      <c r="EW19" s="47" t="str">
        <f ca="1">IFERROR(IF(AND(ISNUMBER($EP$19),$EP$19&lt;=30),INDEX('2.Distances'!$D$2:$D$963,$EP$18*31+$EP$19+ 1) +$EX$18," ")," ")</f>
        <v xml:space="preserve"> </v>
      </c>
      <c r="EX19" s="47" t="str">
        <f ca="1">IFERROR(IF(ISNUMBER($EW$19),INDEX('1.Locations'!$I$2:$I$32,$EP$19 + 1) + MAX($EW$19,INDEX('1.Locations'!$F$2:$F$32,$EP$19 + 1))," ")," ")</f>
        <v xml:space="preserve"> </v>
      </c>
      <c r="EY19" s="46" t="str">
        <f ca="1">IFERROR($EY$18 + INDEX('2.Distances'!$D$2:$D$963,$EP$18*31+$EP$19+ 1) + INDEX('1.Locations'!$I$2:$I$32,$EP$19 + 1)," ")</f>
        <v xml:space="preserve"> </v>
      </c>
    </row>
    <row r="20" spans="1:155" x14ac:dyDescent="0.2">
      <c r="A20" s="19">
        <v>15</v>
      </c>
      <c r="B20" s="20"/>
      <c r="C20" s="44" t="str">
        <f ca="1">IFERROR(MATCH(INDIRECT("$B$20"),'1.Locations'!$B$2:$B$32, 0) - 1," ")</f>
        <v xml:space="preserve"> </v>
      </c>
      <c r="D20" s="44" t="e">
        <f ca="1">IFERROR(IF(ISNUMBER($C$20),INDEX('1.Locations'!$D$2:$D$32,$C$20 + 1),NA()),NA())</f>
        <v>#N/A</v>
      </c>
      <c r="E20" s="44" t="e">
        <f ca="1">IFERROR(IF(ISNUMBER($C$20),INDEX('1.Locations'!$E$2:$E$32,$C$20 + 1),NA()),NA())</f>
        <v>#N/A</v>
      </c>
      <c r="F20" s="45" t="str">
        <f ca="1">IFERROR(IF(AND(ISNUMBER($C$20),$C$20&lt;=30),INDEX('2.Distances'!$C$2:$C$963,$C$19*31+$C$20+ 1) +$F$19," ")," ")</f>
        <v xml:space="preserve"> </v>
      </c>
      <c r="G20" s="44" t="str">
        <f ca="1">IFERROR(IF(ISNUMBER($C$20),INDEX('1.Locations'!$J$2:$J$32,$C$20 + 1) +$G$19," ")," ")</f>
        <v xml:space="preserve"> </v>
      </c>
      <c r="H20" s="44" t="str">
        <f ca="1">IFERROR(IF(ISNUMBER($C$20),INDEX('1.Locations'!$K$2:$K$32,$C$20 + 1) +$H$19," ")," ")</f>
        <v xml:space="preserve"> </v>
      </c>
      <c r="I20" s="46" t="str">
        <f ca="1">IFERROR(IF(AND(ISNUMBER($C$20),$C$20&lt;=30),INDEX('2.Distances'!$D$2:$D$963,$C$19*31+$C$20+ 1) +$I$19," ")," ")</f>
        <v xml:space="preserve"> </v>
      </c>
      <c r="J20" s="47" t="str">
        <f ca="1">IFERROR(IF(AND(ISNUMBER($C$20),$C$20&lt;=30),INDEX('2.Distances'!$D$2:$D$963,$C$19*31+$C$20+ 1) +$K$19," ")," ")</f>
        <v xml:space="preserve"> </v>
      </c>
      <c r="K20" s="47" t="str">
        <f ca="1">IFERROR(IF(ISNUMBER($J$20),INDEX('1.Locations'!$I$2:$I$32,$C$20 + 1) + MAX($J$20,INDEX('1.Locations'!$F$2:$F$32,$C$20 + 1))," ")," ")</f>
        <v xml:space="preserve"> </v>
      </c>
      <c r="L20" s="46" t="str">
        <f ca="1">IFERROR($L$19 + INDEX('2.Distances'!$D$2:$D$963,$C$19*31+$C$20+ 1) + INDEX('1.Locations'!$I$2:$I$32,$C$20 + 1)," ")</f>
        <v xml:space="preserve"> </v>
      </c>
      <c r="N20" s="19">
        <v>15</v>
      </c>
      <c r="O20" s="20"/>
      <c r="P20" s="44" t="str">
        <f ca="1">IFERROR(MATCH(INDIRECT("$O$20"),'1.Locations'!$B$2:$B$32, 0) - 1," ")</f>
        <v xml:space="preserve"> </v>
      </c>
      <c r="Q20" s="44" t="e">
        <f ca="1">IFERROR(IF(ISNUMBER($P$20),INDEX('1.Locations'!$D$2:$D$32,$P$20 + 1),NA()),NA())</f>
        <v>#N/A</v>
      </c>
      <c r="R20" s="44" t="e">
        <f ca="1">IFERROR(IF(ISNUMBER($P$20),INDEX('1.Locations'!$E$2:$E$32,$P$20 + 1),NA()),NA())</f>
        <v>#N/A</v>
      </c>
      <c r="S20" s="45" t="str">
        <f ca="1">IFERROR(IF(AND(ISNUMBER($P$20),$P$20&lt;=30),INDEX('2.Distances'!$C$2:$C$963,$P$19*31+$P$20+ 1) +$S$19," ")," ")</f>
        <v xml:space="preserve"> </v>
      </c>
      <c r="T20" s="44" t="str">
        <f ca="1">IFERROR(IF(ISNUMBER($P$20),INDEX('1.Locations'!$J$2:$J$32,$P$20 + 1) +$T$19," ")," ")</f>
        <v xml:space="preserve"> </v>
      </c>
      <c r="U20" s="44" t="str">
        <f ca="1">IFERROR(IF(ISNUMBER($P$20),INDEX('1.Locations'!$K$2:$K$32,$P$20 + 1) +$U$19," ")," ")</f>
        <v xml:space="preserve"> </v>
      </c>
      <c r="V20" s="46" t="str">
        <f ca="1">IFERROR(IF(AND(ISNUMBER($P$20),$P$20&lt;=30),INDEX('2.Distances'!$D$2:$D$963,$P$19*31+$P$20+ 1) +$V$19," ")," ")</f>
        <v xml:space="preserve"> </v>
      </c>
      <c r="W20" s="47" t="str">
        <f ca="1">IFERROR(IF(AND(ISNUMBER($P$20),$P$20&lt;=30),INDEX('2.Distances'!$D$2:$D$963,$P$19*31+$P$20+ 1) +$X$19," ")," ")</f>
        <v xml:space="preserve"> </v>
      </c>
      <c r="X20" s="47" t="str">
        <f ca="1">IFERROR(IF(ISNUMBER($W$20),INDEX('1.Locations'!$I$2:$I$32,$P$20 + 1) + MAX($W$20,INDEX('1.Locations'!$F$2:$F$32,$P$20 + 1))," ")," ")</f>
        <v xml:space="preserve"> </v>
      </c>
      <c r="Y20" s="46" t="str">
        <f ca="1">IFERROR($Y$19 + INDEX('2.Distances'!$D$2:$D$963,$P$19*31+$P$20+ 1) + INDEX('1.Locations'!$I$2:$I$32,$P$20 + 1)," ")</f>
        <v xml:space="preserve"> </v>
      </c>
      <c r="AA20" s="19">
        <v>15</v>
      </c>
      <c r="AB20" s="20"/>
      <c r="AC20" s="44" t="str">
        <f ca="1">IFERROR(MATCH(INDIRECT("$AB$20"),'1.Locations'!$B$2:$B$32, 0) - 1," ")</f>
        <v xml:space="preserve"> </v>
      </c>
      <c r="AD20" s="44" t="e">
        <f ca="1">IFERROR(IF(ISNUMBER($AC$20),INDEX('1.Locations'!$D$2:$D$32,$AC$20 + 1),NA()),NA())</f>
        <v>#N/A</v>
      </c>
      <c r="AE20" s="44" t="e">
        <f ca="1">IFERROR(IF(ISNUMBER($AC$20),INDEX('1.Locations'!$E$2:$E$32,$AC$20 + 1),NA()),NA())</f>
        <v>#N/A</v>
      </c>
      <c r="AF20" s="45" t="str">
        <f ca="1">IFERROR(IF(AND(ISNUMBER($AC$20),$AC$20&lt;=30),INDEX('2.Distances'!$C$2:$C$963,$AC$19*31+$AC$20+ 1) +$AF$19," ")," ")</f>
        <v xml:space="preserve"> </v>
      </c>
      <c r="AG20" s="44" t="str">
        <f ca="1">IFERROR(IF(ISNUMBER($AC$20),INDEX('1.Locations'!$J$2:$J$32,$AC$20 + 1) +$AG$19," ")," ")</f>
        <v xml:space="preserve"> </v>
      </c>
      <c r="AH20" s="44" t="str">
        <f ca="1">IFERROR(IF(ISNUMBER($AC$20),INDEX('1.Locations'!$K$2:$K$32,$AC$20 + 1) +$AH$19," ")," ")</f>
        <v xml:space="preserve"> </v>
      </c>
      <c r="AI20" s="46" t="str">
        <f ca="1">IFERROR(IF(AND(ISNUMBER($AC$20),$AC$20&lt;=30),INDEX('2.Distances'!$D$2:$D$963,$AC$19*31+$AC$20+ 1) +$AI$19," ")," ")</f>
        <v xml:space="preserve"> </v>
      </c>
      <c r="AJ20" s="47" t="str">
        <f ca="1">IFERROR(IF(AND(ISNUMBER($AC$20),$AC$20&lt;=30),INDEX('2.Distances'!$D$2:$D$963,$AC$19*31+$AC$20+ 1) +$AK$19," ")," ")</f>
        <v xml:space="preserve"> </v>
      </c>
      <c r="AK20" s="47" t="str">
        <f ca="1">IFERROR(IF(ISNUMBER($AJ$20),INDEX('1.Locations'!$I$2:$I$32,$AC$20 + 1) + MAX($AJ$20,INDEX('1.Locations'!$F$2:$F$32,$AC$20 + 1))," ")," ")</f>
        <v xml:space="preserve"> </v>
      </c>
      <c r="AL20" s="46" t="str">
        <f ca="1">IFERROR($AL$19 + INDEX('2.Distances'!$D$2:$D$963,$AC$19*31+$AC$20+ 1) + INDEX('1.Locations'!$I$2:$I$32,$AC$20 + 1)," ")</f>
        <v xml:space="preserve"> </v>
      </c>
      <c r="AN20" s="19">
        <v>15</v>
      </c>
      <c r="AO20" s="20"/>
      <c r="AP20" s="44" t="str">
        <f ca="1">IFERROR(MATCH(INDIRECT("$AO$20"),'1.Locations'!$B$2:$B$32, 0) - 1," ")</f>
        <v xml:space="preserve"> </v>
      </c>
      <c r="AQ20" s="44" t="e">
        <f ca="1">IFERROR(IF(ISNUMBER($AP$20),INDEX('1.Locations'!$D$2:$D$32,$AP$20 + 1),NA()),NA())</f>
        <v>#N/A</v>
      </c>
      <c r="AR20" s="44" t="e">
        <f ca="1">IFERROR(IF(ISNUMBER($AP$20),INDEX('1.Locations'!$E$2:$E$32,$AP$20 + 1),NA()),NA())</f>
        <v>#N/A</v>
      </c>
      <c r="AS20" s="45" t="str">
        <f ca="1">IFERROR(IF(AND(ISNUMBER($AP$20),$AP$20&lt;=30),INDEX('2.Distances'!$C$2:$C$963,$AP$19*31+$AP$20+ 1) +$AS$19," ")," ")</f>
        <v xml:space="preserve"> </v>
      </c>
      <c r="AT20" s="44" t="str">
        <f ca="1">IFERROR(IF(ISNUMBER($AP$20),INDEX('1.Locations'!$J$2:$J$32,$AP$20 + 1) +$AT$19," ")," ")</f>
        <v xml:space="preserve"> </v>
      </c>
      <c r="AU20" s="44" t="str">
        <f ca="1">IFERROR(IF(ISNUMBER($AP$20),INDEX('1.Locations'!$K$2:$K$32,$AP$20 + 1) +$AU$19," ")," ")</f>
        <v xml:space="preserve"> </v>
      </c>
      <c r="AV20" s="46" t="str">
        <f ca="1">IFERROR(IF(AND(ISNUMBER($AP$20),$AP$20&lt;=30),INDEX('2.Distances'!$D$2:$D$963,$AP$19*31+$AP$20+ 1) +$AV$19," ")," ")</f>
        <v xml:space="preserve"> </v>
      </c>
      <c r="AW20" s="47" t="str">
        <f ca="1">IFERROR(IF(AND(ISNUMBER($AP$20),$AP$20&lt;=30),INDEX('2.Distances'!$D$2:$D$963,$AP$19*31+$AP$20+ 1) +$AX$19," ")," ")</f>
        <v xml:space="preserve"> </v>
      </c>
      <c r="AX20" s="47" t="str">
        <f ca="1">IFERROR(IF(ISNUMBER($AW$20),INDEX('1.Locations'!$I$2:$I$32,$AP$20 + 1) + MAX($AW$20,INDEX('1.Locations'!$F$2:$F$32,$AP$20 + 1))," ")," ")</f>
        <v xml:space="preserve"> </v>
      </c>
      <c r="AY20" s="46" t="str">
        <f ca="1">IFERROR($AY$19 + INDEX('2.Distances'!$D$2:$D$963,$AP$19*31+$AP$20+ 1) + INDEX('1.Locations'!$I$2:$I$32,$AP$20 + 1)," ")</f>
        <v xml:space="preserve"> </v>
      </c>
      <c r="BA20" s="19">
        <v>15</v>
      </c>
      <c r="BB20" s="20"/>
      <c r="BC20" s="44" t="str">
        <f ca="1">IFERROR(MATCH(INDIRECT("$BB$20"),'1.Locations'!$B$2:$B$32, 0) - 1," ")</f>
        <v xml:space="preserve"> </v>
      </c>
      <c r="BD20" s="44" t="e">
        <f ca="1">IFERROR(IF(ISNUMBER($BC$20),INDEX('1.Locations'!$D$2:$D$32,$BC$20 + 1),NA()),NA())</f>
        <v>#N/A</v>
      </c>
      <c r="BE20" s="44" t="e">
        <f ca="1">IFERROR(IF(ISNUMBER($BC$20),INDEX('1.Locations'!$E$2:$E$32,$BC$20 + 1),NA()),NA())</f>
        <v>#N/A</v>
      </c>
      <c r="BF20" s="45" t="str">
        <f ca="1">IFERROR(IF(AND(ISNUMBER($BC$20),$BC$20&lt;=30),INDEX('2.Distances'!$C$2:$C$963,$BC$19*31+$BC$20+ 1) +$BF$19," ")," ")</f>
        <v xml:space="preserve"> </v>
      </c>
      <c r="BG20" s="44" t="str">
        <f ca="1">IFERROR(IF(ISNUMBER($BC$20),INDEX('1.Locations'!$J$2:$J$32,$BC$20 + 1) +$BG$19," ")," ")</f>
        <v xml:space="preserve"> </v>
      </c>
      <c r="BH20" s="44" t="str">
        <f ca="1">IFERROR(IF(ISNUMBER($BC$20),INDEX('1.Locations'!$K$2:$K$32,$BC$20 + 1) +$BH$19," ")," ")</f>
        <v xml:space="preserve"> </v>
      </c>
      <c r="BI20" s="46" t="str">
        <f ca="1">IFERROR(IF(AND(ISNUMBER($BC$20),$BC$20&lt;=30),INDEX('2.Distances'!$D$2:$D$963,$BC$19*31+$BC$20+ 1) +$BI$19," ")," ")</f>
        <v xml:space="preserve"> </v>
      </c>
      <c r="BJ20" s="47" t="str">
        <f ca="1">IFERROR(IF(AND(ISNUMBER($BC$20),$BC$20&lt;=30),INDEX('2.Distances'!$D$2:$D$963,$BC$19*31+$BC$20+ 1) +$BK$19," ")," ")</f>
        <v xml:space="preserve"> </v>
      </c>
      <c r="BK20" s="47" t="str">
        <f ca="1">IFERROR(IF(ISNUMBER($BJ$20),INDEX('1.Locations'!$I$2:$I$32,$BC$20 + 1) + MAX($BJ$20,INDEX('1.Locations'!$F$2:$F$32,$BC$20 + 1))," ")," ")</f>
        <v xml:space="preserve"> </v>
      </c>
      <c r="BL20" s="46" t="str">
        <f ca="1">IFERROR($BL$19 + INDEX('2.Distances'!$D$2:$D$963,$BC$19*31+$BC$20+ 1) + INDEX('1.Locations'!$I$2:$I$32,$BC$20 + 1)," ")</f>
        <v xml:space="preserve"> </v>
      </c>
      <c r="BN20" s="19">
        <v>15</v>
      </c>
      <c r="BO20" s="20"/>
      <c r="BP20" s="44" t="str">
        <f ca="1">IFERROR(MATCH(INDIRECT("$BO$20"),'1.Locations'!$B$2:$B$32, 0) - 1," ")</f>
        <v xml:space="preserve"> </v>
      </c>
      <c r="BQ20" s="44" t="e">
        <f ca="1">IFERROR(IF(ISNUMBER($BP$20),INDEX('1.Locations'!$D$2:$D$32,$BP$20 + 1),NA()),NA())</f>
        <v>#N/A</v>
      </c>
      <c r="BR20" s="44" t="e">
        <f ca="1">IFERROR(IF(ISNUMBER($BP$20),INDEX('1.Locations'!$E$2:$E$32,$BP$20 + 1),NA()),NA())</f>
        <v>#N/A</v>
      </c>
      <c r="BS20" s="45" t="str">
        <f ca="1">IFERROR(IF(AND(ISNUMBER($BP$20),$BP$20&lt;=30),INDEX('2.Distances'!$C$2:$C$963,$BP$19*31+$BP$20+ 1) +$BS$19," ")," ")</f>
        <v xml:space="preserve"> </v>
      </c>
      <c r="BT20" s="44" t="str">
        <f ca="1">IFERROR(IF(ISNUMBER($BP$20),INDEX('1.Locations'!$J$2:$J$32,$BP$20 + 1) +$BT$19," ")," ")</f>
        <v xml:space="preserve"> </v>
      </c>
      <c r="BU20" s="44" t="str">
        <f ca="1">IFERROR(IF(ISNUMBER($BP$20),INDEX('1.Locations'!$K$2:$K$32,$BP$20 + 1) +$BU$19," ")," ")</f>
        <v xml:space="preserve"> </v>
      </c>
      <c r="BV20" s="46" t="str">
        <f ca="1">IFERROR(IF(AND(ISNUMBER($BP$20),$BP$20&lt;=30),INDEX('2.Distances'!$D$2:$D$963,$BP$19*31+$BP$20+ 1) +$BV$19," ")," ")</f>
        <v xml:space="preserve"> </v>
      </c>
      <c r="BW20" s="47" t="str">
        <f ca="1">IFERROR(IF(AND(ISNUMBER($BP$20),$BP$20&lt;=30),INDEX('2.Distances'!$D$2:$D$963,$BP$19*31+$BP$20+ 1) +$BX$19," ")," ")</f>
        <v xml:space="preserve"> </v>
      </c>
      <c r="BX20" s="47" t="str">
        <f ca="1">IFERROR(IF(ISNUMBER($BW$20),INDEX('1.Locations'!$I$2:$I$32,$BP$20 + 1) + MAX($BW$20,INDEX('1.Locations'!$F$2:$F$32,$BP$20 + 1))," ")," ")</f>
        <v xml:space="preserve"> </v>
      </c>
      <c r="BY20" s="46" t="str">
        <f ca="1">IFERROR($BY$19 + INDEX('2.Distances'!$D$2:$D$963,$BP$19*31+$BP$20+ 1) + INDEX('1.Locations'!$I$2:$I$32,$BP$20 + 1)," ")</f>
        <v xml:space="preserve"> </v>
      </c>
      <c r="CA20" s="19">
        <v>15</v>
      </c>
      <c r="CB20" s="20"/>
      <c r="CC20" s="44" t="str">
        <f ca="1">IFERROR(MATCH(INDIRECT("$CB$20"),'1.Locations'!$B$2:$B$32, 0) - 1," ")</f>
        <v xml:space="preserve"> </v>
      </c>
      <c r="CD20" s="44" t="e">
        <f ca="1">IFERROR(IF(ISNUMBER($CC$20),INDEX('1.Locations'!$D$2:$D$32,$CC$20 + 1),NA()),NA())</f>
        <v>#N/A</v>
      </c>
      <c r="CE20" s="44" t="e">
        <f ca="1">IFERROR(IF(ISNUMBER($CC$20),INDEX('1.Locations'!$E$2:$E$32,$CC$20 + 1),NA()),NA())</f>
        <v>#N/A</v>
      </c>
      <c r="CF20" s="45" t="str">
        <f ca="1">IFERROR(IF(AND(ISNUMBER($CC$20),$CC$20&lt;=30),INDEX('2.Distances'!$C$2:$C$963,$CC$19*31+$CC$20+ 1) +$CF$19," ")," ")</f>
        <v xml:space="preserve"> </v>
      </c>
      <c r="CG20" s="44" t="str">
        <f ca="1">IFERROR(IF(ISNUMBER($CC$20),INDEX('1.Locations'!$J$2:$J$32,$CC$20 + 1) +$CG$19," ")," ")</f>
        <v xml:space="preserve"> </v>
      </c>
      <c r="CH20" s="44" t="str">
        <f ca="1">IFERROR(IF(ISNUMBER($CC$20),INDEX('1.Locations'!$K$2:$K$32,$CC$20 + 1) +$CH$19," ")," ")</f>
        <v xml:space="preserve"> </v>
      </c>
      <c r="CI20" s="46" t="str">
        <f ca="1">IFERROR(IF(AND(ISNUMBER($CC$20),$CC$20&lt;=30),INDEX('2.Distances'!$D$2:$D$963,$CC$19*31+$CC$20+ 1) +$CI$19," ")," ")</f>
        <v xml:space="preserve"> </v>
      </c>
      <c r="CJ20" s="47" t="str">
        <f ca="1">IFERROR(IF(AND(ISNUMBER($CC$20),$CC$20&lt;=30),INDEX('2.Distances'!$D$2:$D$963,$CC$19*31+$CC$20+ 1) +$CK$19," ")," ")</f>
        <v xml:space="preserve"> </v>
      </c>
      <c r="CK20" s="47" t="str">
        <f ca="1">IFERROR(IF(ISNUMBER($CJ$20),INDEX('1.Locations'!$I$2:$I$32,$CC$20 + 1) + MAX($CJ$20,INDEX('1.Locations'!$F$2:$F$32,$CC$20 + 1))," ")," ")</f>
        <v xml:space="preserve"> </v>
      </c>
      <c r="CL20" s="46" t="str">
        <f ca="1">IFERROR($CL$19 + INDEX('2.Distances'!$D$2:$D$963,$CC$19*31+$CC$20+ 1) + INDEX('1.Locations'!$I$2:$I$32,$CC$20 + 1)," ")</f>
        <v xml:space="preserve"> </v>
      </c>
      <c r="CN20" s="19">
        <v>15</v>
      </c>
      <c r="CO20" s="20"/>
      <c r="CP20" s="44" t="str">
        <f ca="1">IFERROR(MATCH(INDIRECT("$CO$20"),'1.Locations'!$B$2:$B$32, 0) - 1," ")</f>
        <v xml:space="preserve"> </v>
      </c>
      <c r="CQ20" s="44" t="e">
        <f ca="1">IFERROR(IF(ISNUMBER($CP$20),INDEX('1.Locations'!$D$2:$D$32,$CP$20 + 1),NA()),NA())</f>
        <v>#N/A</v>
      </c>
      <c r="CR20" s="44" t="e">
        <f ca="1">IFERROR(IF(ISNUMBER($CP$20),INDEX('1.Locations'!$E$2:$E$32,$CP$20 + 1),NA()),NA())</f>
        <v>#N/A</v>
      </c>
      <c r="CS20" s="45" t="str">
        <f ca="1">IFERROR(IF(AND(ISNUMBER($CP$20),$CP$20&lt;=30),INDEX('2.Distances'!$C$2:$C$963,$CP$19*31+$CP$20+ 1) +$CS$19," ")," ")</f>
        <v xml:space="preserve"> </v>
      </c>
      <c r="CT20" s="44" t="str">
        <f ca="1">IFERROR(IF(ISNUMBER($CP$20),INDEX('1.Locations'!$J$2:$J$32,$CP$20 + 1) +$CT$19," ")," ")</f>
        <v xml:space="preserve"> </v>
      </c>
      <c r="CU20" s="44" t="str">
        <f ca="1">IFERROR(IF(ISNUMBER($CP$20),INDEX('1.Locations'!$K$2:$K$32,$CP$20 + 1) +$CU$19," ")," ")</f>
        <v xml:space="preserve"> </v>
      </c>
      <c r="CV20" s="46" t="str">
        <f ca="1">IFERROR(IF(AND(ISNUMBER($CP$20),$CP$20&lt;=30),INDEX('2.Distances'!$D$2:$D$963,$CP$19*31+$CP$20+ 1) +$CV$19," ")," ")</f>
        <v xml:space="preserve"> </v>
      </c>
      <c r="CW20" s="47" t="str">
        <f ca="1">IFERROR(IF(AND(ISNUMBER($CP$20),$CP$20&lt;=30),INDEX('2.Distances'!$D$2:$D$963,$CP$19*31+$CP$20+ 1) +$CX$19," ")," ")</f>
        <v xml:space="preserve"> </v>
      </c>
      <c r="CX20" s="47" t="str">
        <f ca="1">IFERROR(IF(ISNUMBER($CW$20),INDEX('1.Locations'!$I$2:$I$32,$CP$20 + 1) + MAX($CW$20,INDEX('1.Locations'!$F$2:$F$32,$CP$20 + 1))," ")," ")</f>
        <v xml:space="preserve"> </v>
      </c>
      <c r="CY20" s="46" t="str">
        <f ca="1">IFERROR($CY$19 + INDEX('2.Distances'!$D$2:$D$963,$CP$19*31+$CP$20+ 1) + INDEX('1.Locations'!$I$2:$I$32,$CP$20 + 1)," ")</f>
        <v xml:space="preserve"> </v>
      </c>
      <c r="DA20" s="19">
        <v>15</v>
      </c>
      <c r="DB20" s="20"/>
      <c r="DC20" s="44" t="str">
        <f ca="1">IFERROR(MATCH(INDIRECT("$DB$20"),'1.Locations'!$B$2:$B$32, 0) - 1," ")</f>
        <v xml:space="preserve"> </v>
      </c>
      <c r="DD20" s="44" t="e">
        <f ca="1">IFERROR(IF(ISNUMBER($DC$20),INDEX('1.Locations'!$D$2:$D$32,$DC$20 + 1),NA()),NA())</f>
        <v>#N/A</v>
      </c>
      <c r="DE20" s="44" t="e">
        <f ca="1">IFERROR(IF(ISNUMBER($DC$20),INDEX('1.Locations'!$E$2:$E$32,$DC$20 + 1),NA()),NA())</f>
        <v>#N/A</v>
      </c>
      <c r="DF20" s="45" t="str">
        <f ca="1">IFERROR(IF(AND(ISNUMBER($DC$20),$DC$20&lt;=30),INDEX('2.Distances'!$C$2:$C$963,$DC$19*31+$DC$20+ 1) +$DF$19," ")," ")</f>
        <v xml:space="preserve"> </v>
      </c>
      <c r="DG20" s="44" t="str">
        <f ca="1">IFERROR(IF(ISNUMBER($DC$20),INDEX('1.Locations'!$J$2:$J$32,$DC$20 + 1) +$DG$19," ")," ")</f>
        <v xml:space="preserve"> </v>
      </c>
      <c r="DH20" s="44" t="str">
        <f ca="1">IFERROR(IF(ISNUMBER($DC$20),INDEX('1.Locations'!$K$2:$K$32,$DC$20 + 1) +$DH$19," ")," ")</f>
        <v xml:space="preserve"> </v>
      </c>
      <c r="DI20" s="46" t="str">
        <f ca="1">IFERROR(IF(AND(ISNUMBER($DC$20),$DC$20&lt;=30),INDEX('2.Distances'!$D$2:$D$963,$DC$19*31+$DC$20+ 1) +$DI$19," ")," ")</f>
        <v xml:space="preserve"> </v>
      </c>
      <c r="DJ20" s="47" t="str">
        <f ca="1">IFERROR(IF(AND(ISNUMBER($DC$20),$DC$20&lt;=30),INDEX('2.Distances'!$D$2:$D$963,$DC$19*31+$DC$20+ 1) +$DK$19," ")," ")</f>
        <v xml:space="preserve"> </v>
      </c>
      <c r="DK20" s="47" t="str">
        <f ca="1">IFERROR(IF(ISNUMBER($DJ$20),INDEX('1.Locations'!$I$2:$I$32,$DC$20 + 1) + MAX($DJ$20,INDEX('1.Locations'!$F$2:$F$32,$DC$20 + 1))," ")," ")</f>
        <v xml:space="preserve"> </v>
      </c>
      <c r="DL20" s="46" t="str">
        <f ca="1">IFERROR($DL$19 + INDEX('2.Distances'!$D$2:$D$963,$DC$19*31+$DC$20+ 1) + INDEX('1.Locations'!$I$2:$I$32,$DC$20 + 1)," ")</f>
        <v xml:space="preserve"> </v>
      </c>
      <c r="DN20" s="19">
        <v>15</v>
      </c>
      <c r="DO20" s="20"/>
      <c r="DP20" s="44" t="str">
        <f ca="1">IFERROR(MATCH(INDIRECT("$DO$20"),'1.Locations'!$B$2:$B$32, 0) - 1," ")</f>
        <v xml:space="preserve"> </v>
      </c>
      <c r="DQ20" s="44" t="e">
        <f ca="1">IFERROR(IF(ISNUMBER($DP$20),INDEX('1.Locations'!$D$2:$D$32,$DP$20 + 1),NA()),NA())</f>
        <v>#N/A</v>
      </c>
      <c r="DR20" s="44" t="e">
        <f ca="1">IFERROR(IF(ISNUMBER($DP$20),INDEX('1.Locations'!$E$2:$E$32,$DP$20 + 1),NA()),NA())</f>
        <v>#N/A</v>
      </c>
      <c r="DS20" s="45" t="str">
        <f ca="1">IFERROR(IF(AND(ISNUMBER($DP$20),$DP$20&lt;=30),INDEX('2.Distances'!$C$2:$C$963,$DP$19*31+$DP$20+ 1) +$DS$19," ")," ")</f>
        <v xml:space="preserve"> </v>
      </c>
      <c r="DT20" s="44" t="str">
        <f ca="1">IFERROR(IF(ISNUMBER($DP$20),INDEX('1.Locations'!$J$2:$J$32,$DP$20 + 1) +$DT$19," ")," ")</f>
        <v xml:space="preserve"> </v>
      </c>
      <c r="DU20" s="44" t="str">
        <f ca="1">IFERROR(IF(ISNUMBER($DP$20),INDEX('1.Locations'!$K$2:$K$32,$DP$20 + 1) +$DU$19," ")," ")</f>
        <v xml:space="preserve"> </v>
      </c>
      <c r="DV20" s="46" t="str">
        <f ca="1">IFERROR(IF(AND(ISNUMBER($DP$20),$DP$20&lt;=30),INDEX('2.Distances'!$D$2:$D$963,$DP$19*31+$DP$20+ 1) +$DV$19," ")," ")</f>
        <v xml:space="preserve"> </v>
      </c>
      <c r="DW20" s="47" t="str">
        <f ca="1">IFERROR(IF(AND(ISNUMBER($DP$20),$DP$20&lt;=30),INDEX('2.Distances'!$D$2:$D$963,$DP$19*31+$DP$20+ 1) +$DX$19," ")," ")</f>
        <v xml:space="preserve"> </v>
      </c>
      <c r="DX20" s="47" t="str">
        <f ca="1">IFERROR(IF(ISNUMBER($DW$20),INDEX('1.Locations'!$I$2:$I$32,$DP$20 + 1) + MAX($DW$20,INDEX('1.Locations'!$F$2:$F$32,$DP$20 + 1))," ")," ")</f>
        <v xml:space="preserve"> </v>
      </c>
      <c r="DY20" s="46" t="str">
        <f ca="1">IFERROR($DY$19 + INDEX('2.Distances'!$D$2:$D$963,$DP$19*31+$DP$20+ 1) + INDEX('1.Locations'!$I$2:$I$32,$DP$20 + 1)," ")</f>
        <v xml:space="preserve"> </v>
      </c>
      <c r="EA20" s="19">
        <v>15</v>
      </c>
      <c r="EB20" s="20"/>
      <c r="EC20" s="44" t="str">
        <f ca="1">IFERROR(MATCH(INDIRECT("$EB$20"),'1.Locations'!$B$2:$B$32, 0) - 1," ")</f>
        <v xml:space="preserve"> </v>
      </c>
      <c r="ED20" s="44" t="e">
        <f ca="1">IFERROR(IF(ISNUMBER($EC$20),INDEX('1.Locations'!$D$2:$D$32,$EC$20 + 1),NA()),NA())</f>
        <v>#N/A</v>
      </c>
      <c r="EE20" s="44" t="e">
        <f ca="1">IFERROR(IF(ISNUMBER($EC$20),INDEX('1.Locations'!$E$2:$E$32,$EC$20 + 1),NA()),NA())</f>
        <v>#N/A</v>
      </c>
      <c r="EF20" s="45" t="str">
        <f ca="1">IFERROR(IF(AND(ISNUMBER($EC$20),$EC$20&lt;=30),INDEX('2.Distances'!$C$2:$C$963,$EC$19*31+$EC$20+ 1) +$EF$19," ")," ")</f>
        <v xml:space="preserve"> </v>
      </c>
      <c r="EG20" s="44" t="str">
        <f ca="1">IFERROR(IF(ISNUMBER($EC$20),INDEX('1.Locations'!$J$2:$J$32,$EC$20 + 1) +$EG$19," ")," ")</f>
        <v xml:space="preserve"> </v>
      </c>
      <c r="EH20" s="44" t="str">
        <f ca="1">IFERROR(IF(ISNUMBER($EC$20),INDEX('1.Locations'!$K$2:$K$32,$EC$20 + 1) +$EH$19," ")," ")</f>
        <v xml:space="preserve"> </v>
      </c>
      <c r="EI20" s="46" t="str">
        <f ca="1">IFERROR(IF(AND(ISNUMBER($EC$20),$EC$20&lt;=30),INDEX('2.Distances'!$D$2:$D$963,$EC$19*31+$EC$20+ 1) +$EI$19," ")," ")</f>
        <v xml:space="preserve"> </v>
      </c>
      <c r="EJ20" s="47" t="str">
        <f ca="1">IFERROR(IF(AND(ISNUMBER($EC$20),$EC$20&lt;=30),INDEX('2.Distances'!$D$2:$D$963,$EC$19*31+$EC$20+ 1) +$EK$19," ")," ")</f>
        <v xml:space="preserve"> </v>
      </c>
      <c r="EK20" s="47" t="str">
        <f ca="1">IFERROR(IF(ISNUMBER($EJ$20),INDEX('1.Locations'!$I$2:$I$32,$EC$20 + 1) + MAX($EJ$20,INDEX('1.Locations'!$F$2:$F$32,$EC$20 + 1))," ")," ")</f>
        <v xml:space="preserve"> </v>
      </c>
      <c r="EL20" s="46" t="str">
        <f ca="1">IFERROR($EL$19 + INDEX('2.Distances'!$D$2:$D$963,$EC$19*31+$EC$20+ 1) + INDEX('1.Locations'!$I$2:$I$32,$EC$20 + 1)," ")</f>
        <v xml:space="preserve"> </v>
      </c>
      <c r="EN20" s="19">
        <v>15</v>
      </c>
      <c r="EO20" s="20"/>
      <c r="EP20" s="44" t="str">
        <f ca="1">IFERROR(MATCH(INDIRECT("$EO$20"),'1.Locations'!$B$2:$B$32, 0) - 1," ")</f>
        <v xml:space="preserve"> </v>
      </c>
      <c r="EQ20" s="44" t="e">
        <f ca="1">IFERROR(IF(ISNUMBER($EP$20),INDEX('1.Locations'!$D$2:$D$32,$EP$20 + 1),NA()),NA())</f>
        <v>#N/A</v>
      </c>
      <c r="ER20" s="44" t="e">
        <f ca="1">IFERROR(IF(ISNUMBER($EP$20),INDEX('1.Locations'!$E$2:$E$32,$EP$20 + 1),NA()),NA())</f>
        <v>#N/A</v>
      </c>
      <c r="ES20" s="45" t="str">
        <f ca="1">IFERROR(IF(AND(ISNUMBER($EP$20),$EP$20&lt;=30),INDEX('2.Distances'!$C$2:$C$963,$EP$19*31+$EP$20+ 1) +$ES$19," ")," ")</f>
        <v xml:space="preserve"> </v>
      </c>
      <c r="ET20" s="44" t="str">
        <f ca="1">IFERROR(IF(ISNUMBER($EP$20),INDEX('1.Locations'!$J$2:$J$32,$EP$20 + 1) +$ET$19," ")," ")</f>
        <v xml:space="preserve"> </v>
      </c>
      <c r="EU20" s="44" t="str">
        <f ca="1">IFERROR(IF(ISNUMBER($EP$20),INDEX('1.Locations'!$K$2:$K$32,$EP$20 + 1) +$EU$19," ")," ")</f>
        <v xml:space="preserve"> </v>
      </c>
      <c r="EV20" s="46" t="str">
        <f ca="1">IFERROR(IF(AND(ISNUMBER($EP$20),$EP$20&lt;=30),INDEX('2.Distances'!$D$2:$D$963,$EP$19*31+$EP$20+ 1) +$EV$19," ")," ")</f>
        <v xml:space="preserve"> </v>
      </c>
      <c r="EW20" s="47" t="str">
        <f ca="1">IFERROR(IF(AND(ISNUMBER($EP$20),$EP$20&lt;=30),INDEX('2.Distances'!$D$2:$D$963,$EP$19*31+$EP$20+ 1) +$EX$19," ")," ")</f>
        <v xml:space="preserve"> </v>
      </c>
      <c r="EX20" s="47" t="str">
        <f ca="1">IFERROR(IF(ISNUMBER($EW$20),INDEX('1.Locations'!$I$2:$I$32,$EP$20 + 1) + MAX($EW$20,INDEX('1.Locations'!$F$2:$F$32,$EP$20 + 1))," ")," ")</f>
        <v xml:space="preserve"> </v>
      </c>
      <c r="EY20" s="46" t="str">
        <f ca="1">IFERROR($EY$19 + INDEX('2.Distances'!$D$2:$D$963,$EP$19*31+$EP$20+ 1) + INDEX('1.Locations'!$I$2:$I$32,$EP$20 + 1)," ")</f>
        <v xml:space="preserve"> </v>
      </c>
    </row>
    <row r="21" spans="1:155" x14ac:dyDescent="0.2">
      <c r="A21" s="19">
        <v>16</v>
      </c>
      <c r="B21" s="20"/>
      <c r="C21" s="44" t="str">
        <f ca="1">IFERROR(MATCH(INDIRECT("$B$21"),'1.Locations'!$B$2:$B$32, 0) - 1," ")</f>
        <v xml:space="preserve"> </v>
      </c>
      <c r="D21" s="44" t="e">
        <f ca="1">IFERROR(IF(ISNUMBER($C$21),INDEX('1.Locations'!$D$2:$D$32,$C$21 + 1),NA()),NA())</f>
        <v>#N/A</v>
      </c>
      <c r="E21" s="44" t="e">
        <f ca="1">IFERROR(IF(ISNUMBER($C$21),INDEX('1.Locations'!$E$2:$E$32,$C$21 + 1),NA()),NA())</f>
        <v>#N/A</v>
      </c>
      <c r="F21" s="45" t="str">
        <f ca="1">IFERROR(IF(AND(ISNUMBER($C$21),$C$21&lt;=30),INDEX('2.Distances'!$C$2:$C$963,$C$20*31+$C$21+ 1) +$F$20," ")," ")</f>
        <v xml:space="preserve"> </v>
      </c>
      <c r="G21" s="44" t="str">
        <f ca="1">IFERROR(IF(ISNUMBER($C$21),INDEX('1.Locations'!$J$2:$J$32,$C$21 + 1) +$G$20," ")," ")</f>
        <v xml:space="preserve"> </v>
      </c>
      <c r="H21" s="44" t="str">
        <f ca="1">IFERROR(IF(ISNUMBER($C$21),INDEX('1.Locations'!$K$2:$K$32,$C$21 + 1) +$H$20," ")," ")</f>
        <v xml:space="preserve"> </v>
      </c>
      <c r="I21" s="46" t="str">
        <f ca="1">IFERROR(IF(AND(ISNUMBER($C$21),$C$21&lt;=30),INDEX('2.Distances'!$D$2:$D$963,$C$20*31+$C$21+ 1) +$I$20," ")," ")</f>
        <v xml:space="preserve"> </v>
      </c>
      <c r="J21" s="47" t="str">
        <f ca="1">IFERROR(IF(AND(ISNUMBER($C$21),$C$21&lt;=30),INDEX('2.Distances'!$D$2:$D$963,$C$20*31+$C$21+ 1) +$K$20," ")," ")</f>
        <v xml:space="preserve"> </v>
      </c>
      <c r="K21" s="47" t="str">
        <f ca="1">IFERROR(IF(ISNUMBER($J$21),INDEX('1.Locations'!$I$2:$I$32,$C$21 + 1) + MAX($J$21,INDEX('1.Locations'!$F$2:$F$32,$C$21 + 1))," ")," ")</f>
        <v xml:space="preserve"> </v>
      </c>
      <c r="L21" s="46" t="str">
        <f ca="1">IFERROR($L$20 + INDEX('2.Distances'!$D$2:$D$963,$C$20*31+$C$21+ 1) + INDEX('1.Locations'!$I$2:$I$32,$C$21 + 1)," ")</f>
        <v xml:space="preserve"> </v>
      </c>
      <c r="N21" s="19">
        <v>16</v>
      </c>
      <c r="O21" s="20"/>
      <c r="P21" s="44" t="str">
        <f ca="1">IFERROR(MATCH(INDIRECT("$O$21"),'1.Locations'!$B$2:$B$32, 0) - 1," ")</f>
        <v xml:space="preserve"> </v>
      </c>
      <c r="Q21" s="44" t="e">
        <f ca="1">IFERROR(IF(ISNUMBER($P$21),INDEX('1.Locations'!$D$2:$D$32,$P$21 + 1),NA()),NA())</f>
        <v>#N/A</v>
      </c>
      <c r="R21" s="44" t="e">
        <f ca="1">IFERROR(IF(ISNUMBER($P$21),INDEX('1.Locations'!$E$2:$E$32,$P$21 + 1),NA()),NA())</f>
        <v>#N/A</v>
      </c>
      <c r="S21" s="45" t="str">
        <f ca="1">IFERROR(IF(AND(ISNUMBER($P$21),$P$21&lt;=30),INDEX('2.Distances'!$C$2:$C$963,$P$20*31+$P$21+ 1) +$S$20," ")," ")</f>
        <v xml:space="preserve"> </v>
      </c>
      <c r="T21" s="44" t="str">
        <f ca="1">IFERROR(IF(ISNUMBER($P$21),INDEX('1.Locations'!$J$2:$J$32,$P$21 + 1) +$T$20," ")," ")</f>
        <v xml:space="preserve"> </v>
      </c>
      <c r="U21" s="44" t="str">
        <f ca="1">IFERROR(IF(ISNUMBER($P$21),INDEX('1.Locations'!$K$2:$K$32,$P$21 + 1) +$U$20," ")," ")</f>
        <v xml:space="preserve"> </v>
      </c>
      <c r="V21" s="46" t="str">
        <f ca="1">IFERROR(IF(AND(ISNUMBER($P$21),$P$21&lt;=30),INDEX('2.Distances'!$D$2:$D$963,$P$20*31+$P$21+ 1) +$V$20," ")," ")</f>
        <v xml:space="preserve"> </v>
      </c>
      <c r="W21" s="47" t="str">
        <f ca="1">IFERROR(IF(AND(ISNUMBER($P$21),$P$21&lt;=30),INDEX('2.Distances'!$D$2:$D$963,$P$20*31+$P$21+ 1) +$X$20," ")," ")</f>
        <v xml:space="preserve"> </v>
      </c>
      <c r="X21" s="47" t="str">
        <f ca="1">IFERROR(IF(ISNUMBER($W$21),INDEX('1.Locations'!$I$2:$I$32,$P$21 + 1) + MAX($W$21,INDEX('1.Locations'!$F$2:$F$32,$P$21 + 1))," ")," ")</f>
        <v xml:space="preserve"> </v>
      </c>
      <c r="Y21" s="46" t="str">
        <f ca="1">IFERROR($Y$20 + INDEX('2.Distances'!$D$2:$D$963,$P$20*31+$P$21+ 1) + INDEX('1.Locations'!$I$2:$I$32,$P$21 + 1)," ")</f>
        <v xml:space="preserve"> </v>
      </c>
      <c r="AA21" s="19">
        <v>16</v>
      </c>
      <c r="AB21" s="20"/>
      <c r="AC21" s="44" t="str">
        <f ca="1">IFERROR(MATCH(INDIRECT("$AB$21"),'1.Locations'!$B$2:$B$32, 0) - 1," ")</f>
        <v xml:space="preserve"> </v>
      </c>
      <c r="AD21" s="44" t="e">
        <f ca="1">IFERROR(IF(ISNUMBER($AC$21),INDEX('1.Locations'!$D$2:$D$32,$AC$21 + 1),NA()),NA())</f>
        <v>#N/A</v>
      </c>
      <c r="AE21" s="44" t="e">
        <f ca="1">IFERROR(IF(ISNUMBER($AC$21),INDEX('1.Locations'!$E$2:$E$32,$AC$21 + 1),NA()),NA())</f>
        <v>#N/A</v>
      </c>
      <c r="AF21" s="45" t="str">
        <f ca="1">IFERROR(IF(AND(ISNUMBER($AC$21),$AC$21&lt;=30),INDEX('2.Distances'!$C$2:$C$963,$AC$20*31+$AC$21+ 1) +$AF$20," ")," ")</f>
        <v xml:space="preserve"> </v>
      </c>
      <c r="AG21" s="44" t="str">
        <f ca="1">IFERROR(IF(ISNUMBER($AC$21),INDEX('1.Locations'!$J$2:$J$32,$AC$21 + 1) +$AG$20," ")," ")</f>
        <v xml:space="preserve"> </v>
      </c>
      <c r="AH21" s="44" t="str">
        <f ca="1">IFERROR(IF(ISNUMBER($AC$21),INDEX('1.Locations'!$K$2:$K$32,$AC$21 + 1) +$AH$20," ")," ")</f>
        <v xml:space="preserve"> </v>
      </c>
      <c r="AI21" s="46" t="str">
        <f ca="1">IFERROR(IF(AND(ISNUMBER($AC$21),$AC$21&lt;=30),INDEX('2.Distances'!$D$2:$D$963,$AC$20*31+$AC$21+ 1) +$AI$20," ")," ")</f>
        <v xml:space="preserve"> </v>
      </c>
      <c r="AJ21" s="47" t="str">
        <f ca="1">IFERROR(IF(AND(ISNUMBER($AC$21),$AC$21&lt;=30),INDEX('2.Distances'!$D$2:$D$963,$AC$20*31+$AC$21+ 1) +$AK$20," ")," ")</f>
        <v xml:space="preserve"> </v>
      </c>
      <c r="AK21" s="47" t="str">
        <f ca="1">IFERROR(IF(ISNUMBER($AJ$21),INDEX('1.Locations'!$I$2:$I$32,$AC$21 + 1) + MAX($AJ$21,INDEX('1.Locations'!$F$2:$F$32,$AC$21 + 1))," ")," ")</f>
        <v xml:space="preserve"> </v>
      </c>
      <c r="AL21" s="46" t="str">
        <f ca="1">IFERROR($AL$20 + INDEX('2.Distances'!$D$2:$D$963,$AC$20*31+$AC$21+ 1) + INDEX('1.Locations'!$I$2:$I$32,$AC$21 + 1)," ")</f>
        <v xml:space="preserve"> </v>
      </c>
      <c r="AN21" s="19">
        <v>16</v>
      </c>
      <c r="AO21" s="20"/>
      <c r="AP21" s="44" t="str">
        <f ca="1">IFERROR(MATCH(INDIRECT("$AO$21"),'1.Locations'!$B$2:$B$32, 0) - 1," ")</f>
        <v xml:space="preserve"> </v>
      </c>
      <c r="AQ21" s="44" t="e">
        <f ca="1">IFERROR(IF(ISNUMBER($AP$21),INDEX('1.Locations'!$D$2:$D$32,$AP$21 + 1),NA()),NA())</f>
        <v>#N/A</v>
      </c>
      <c r="AR21" s="44" t="e">
        <f ca="1">IFERROR(IF(ISNUMBER($AP$21),INDEX('1.Locations'!$E$2:$E$32,$AP$21 + 1),NA()),NA())</f>
        <v>#N/A</v>
      </c>
      <c r="AS21" s="45" t="str">
        <f ca="1">IFERROR(IF(AND(ISNUMBER($AP$21),$AP$21&lt;=30),INDEX('2.Distances'!$C$2:$C$963,$AP$20*31+$AP$21+ 1) +$AS$20," ")," ")</f>
        <v xml:space="preserve"> </v>
      </c>
      <c r="AT21" s="44" t="str">
        <f ca="1">IFERROR(IF(ISNUMBER($AP$21),INDEX('1.Locations'!$J$2:$J$32,$AP$21 + 1) +$AT$20," ")," ")</f>
        <v xml:space="preserve"> </v>
      </c>
      <c r="AU21" s="44" t="str">
        <f ca="1">IFERROR(IF(ISNUMBER($AP$21),INDEX('1.Locations'!$K$2:$K$32,$AP$21 + 1) +$AU$20," ")," ")</f>
        <v xml:space="preserve"> </v>
      </c>
      <c r="AV21" s="46" t="str">
        <f ca="1">IFERROR(IF(AND(ISNUMBER($AP$21),$AP$21&lt;=30),INDEX('2.Distances'!$D$2:$D$963,$AP$20*31+$AP$21+ 1) +$AV$20," ")," ")</f>
        <v xml:space="preserve"> </v>
      </c>
      <c r="AW21" s="47" t="str">
        <f ca="1">IFERROR(IF(AND(ISNUMBER($AP$21),$AP$21&lt;=30),INDEX('2.Distances'!$D$2:$D$963,$AP$20*31+$AP$21+ 1) +$AX$20," ")," ")</f>
        <v xml:space="preserve"> </v>
      </c>
      <c r="AX21" s="47" t="str">
        <f ca="1">IFERROR(IF(ISNUMBER($AW$21),INDEX('1.Locations'!$I$2:$I$32,$AP$21 + 1) + MAX($AW$21,INDEX('1.Locations'!$F$2:$F$32,$AP$21 + 1))," ")," ")</f>
        <v xml:space="preserve"> </v>
      </c>
      <c r="AY21" s="46" t="str">
        <f ca="1">IFERROR($AY$20 + INDEX('2.Distances'!$D$2:$D$963,$AP$20*31+$AP$21+ 1) + INDEX('1.Locations'!$I$2:$I$32,$AP$21 + 1)," ")</f>
        <v xml:space="preserve"> </v>
      </c>
      <c r="BA21" s="19">
        <v>16</v>
      </c>
      <c r="BB21" s="20"/>
      <c r="BC21" s="44" t="str">
        <f ca="1">IFERROR(MATCH(INDIRECT("$BB$21"),'1.Locations'!$B$2:$B$32, 0) - 1," ")</f>
        <v xml:space="preserve"> </v>
      </c>
      <c r="BD21" s="44" t="e">
        <f ca="1">IFERROR(IF(ISNUMBER($BC$21),INDEX('1.Locations'!$D$2:$D$32,$BC$21 + 1),NA()),NA())</f>
        <v>#N/A</v>
      </c>
      <c r="BE21" s="44" t="e">
        <f ca="1">IFERROR(IF(ISNUMBER($BC$21),INDEX('1.Locations'!$E$2:$E$32,$BC$21 + 1),NA()),NA())</f>
        <v>#N/A</v>
      </c>
      <c r="BF21" s="45" t="str">
        <f ca="1">IFERROR(IF(AND(ISNUMBER($BC$21),$BC$21&lt;=30),INDEX('2.Distances'!$C$2:$C$963,$BC$20*31+$BC$21+ 1) +$BF$20," ")," ")</f>
        <v xml:space="preserve"> </v>
      </c>
      <c r="BG21" s="44" t="str">
        <f ca="1">IFERROR(IF(ISNUMBER($BC$21),INDEX('1.Locations'!$J$2:$J$32,$BC$21 + 1) +$BG$20," ")," ")</f>
        <v xml:space="preserve"> </v>
      </c>
      <c r="BH21" s="44" t="str">
        <f ca="1">IFERROR(IF(ISNUMBER($BC$21),INDEX('1.Locations'!$K$2:$K$32,$BC$21 + 1) +$BH$20," ")," ")</f>
        <v xml:space="preserve"> </v>
      </c>
      <c r="BI21" s="46" t="str">
        <f ca="1">IFERROR(IF(AND(ISNUMBER($BC$21),$BC$21&lt;=30),INDEX('2.Distances'!$D$2:$D$963,$BC$20*31+$BC$21+ 1) +$BI$20," ")," ")</f>
        <v xml:space="preserve"> </v>
      </c>
      <c r="BJ21" s="47" t="str">
        <f ca="1">IFERROR(IF(AND(ISNUMBER($BC$21),$BC$21&lt;=30),INDEX('2.Distances'!$D$2:$D$963,$BC$20*31+$BC$21+ 1) +$BK$20," ")," ")</f>
        <v xml:space="preserve"> </v>
      </c>
      <c r="BK21" s="47" t="str">
        <f ca="1">IFERROR(IF(ISNUMBER($BJ$21),INDEX('1.Locations'!$I$2:$I$32,$BC$21 + 1) + MAX($BJ$21,INDEX('1.Locations'!$F$2:$F$32,$BC$21 + 1))," ")," ")</f>
        <v xml:space="preserve"> </v>
      </c>
      <c r="BL21" s="46" t="str">
        <f ca="1">IFERROR($BL$20 + INDEX('2.Distances'!$D$2:$D$963,$BC$20*31+$BC$21+ 1) + INDEX('1.Locations'!$I$2:$I$32,$BC$21 + 1)," ")</f>
        <v xml:space="preserve"> </v>
      </c>
      <c r="BN21" s="19">
        <v>16</v>
      </c>
      <c r="BO21" s="20"/>
      <c r="BP21" s="44" t="str">
        <f ca="1">IFERROR(MATCH(INDIRECT("$BO$21"),'1.Locations'!$B$2:$B$32, 0) - 1," ")</f>
        <v xml:space="preserve"> </v>
      </c>
      <c r="BQ21" s="44" t="e">
        <f ca="1">IFERROR(IF(ISNUMBER($BP$21),INDEX('1.Locations'!$D$2:$D$32,$BP$21 + 1),NA()),NA())</f>
        <v>#N/A</v>
      </c>
      <c r="BR21" s="44" t="e">
        <f ca="1">IFERROR(IF(ISNUMBER($BP$21),INDEX('1.Locations'!$E$2:$E$32,$BP$21 + 1),NA()),NA())</f>
        <v>#N/A</v>
      </c>
      <c r="BS21" s="45" t="str">
        <f ca="1">IFERROR(IF(AND(ISNUMBER($BP$21),$BP$21&lt;=30),INDEX('2.Distances'!$C$2:$C$963,$BP$20*31+$BP$21+ 1) +$BS$20," ")," ")</f>
        <v xml:space="preserve"> </v>
      </c>
      <c r="BT21" s="44" t="str">
        <f ca="1">IFERROR(IF(ISNUMBER($BP$21),INDEX('1.Locations'!$J$2:$J$32,$BP$21 + 1) +$BT$20," ")," ")</f>
        <v xml:space="preserve"> </v>
      </c>
      <c r="BU21" s="44" t="str">
        <f ca="1">IFERROR(IF(ISNUMBER($BP$21),INDEX('1.Locations'!$K$2:$K$32,$BP$21 + 1) +$BU$20," ")," ")</f>
        <v xml:space="preserve"> </v>
      </c>
      <c r="BV21" s="46" t="str">
        <f ca="1">IFERROR(IF(AND(ISNUMBER($BP$21),$BP$21&lt;=30),INDEX('2.Distances'!$D$2:$D$963,$BP$20*31+$BP$21+ 1) +$BV$20," ")," ")</f>
        <v xml:space="preserve"> </v>
      </c>
      <c r="BW21" s="47" t="str">
        <f ca="1">IFERROR(IF(AND(ISNUMBER($BP$21),$BP$21&lt;=30),INDEX('2.Distances'!$D$2:$D$963,$BP$20*31+$BP$21+ 1) +$BX$20," ")," ")</f>
        <v xml:space="preserve"> </v>
      </c>
      <c r="BX21" s="47" t="str">
        <f ca="1">IFERROR(IF(ISNUMBER($BW$21),INDEX('1.Locations'!$I$2:$I$32,$BP$21 + 1) + MAX($BW$21,INDEX('1.Locations'!$F$2:$F$32,$BP$21 + 1))," ")," ")</f>
        <v xml:space="preserve"> </v>
      </c>
      <c r="BY21" s="46" t="str">
        <f ca="1">IFERROR($BY$20 + INDEX('2.Distances'!$D$2:$D$963,$BP$20*31+$BP$21+ 1) + INDEX('1.Locations'!$I$2:$I$32,$BP$21 + 1)," ")</f>
        <v xml:space="preserve"> </v>
      </c>
      <c r="CA21" s="19">
        <v>16</v>
      </c>
      <c r="CB21" s="20"/>
      <c r="CC21" s="44" t="str">
        <f ca="1">IFERROR(MATCH(INDIRECT("$CB$21"),'1.Locations'!$B$2:$B$32, 0) - 1," ")</f>
        <v xml:space="preserve"> </v>
      </c>
      <c r="CD21" s="44" t="e">
        <f ca="1">IFERROR(IF(ISNUMBER($CC$21),INDEX('1.Locations'!$D$2:$D$32,$CC$21 + 1),NA()),NA())</f>
        <v>#N/A</v>
      </c>
      <c r="CE21" s="44" t="e">
        <f ca="1">IFERROR(IF(ISNUMBER($CC$21),INDEX('1.Locations'!$E$2:$E$32,$CC$21 + 1),NA()),NA())</f>
        <v>#N/A</v>
      </c>
      <c r="CF21" s="45" t="str">
        <f ca="1">IFERROR(IF(AND(ISNUMBER($CC$21),$CC$21&lt;=30),INDEX('2.Distances'!$C$2:$C$963,$CC$20*31+$CC$21+ 1) +$CF$20," ")," ")</f>
        <v xml:space="preserve"> </v>
      </c>
      <c r="CG21" s="44" t="str">
        <f ca="1">IFERROR(IF(ISNUMBER($CC$21),INDEX('1.Locations'!$J$2:$J$32,$CC$21 + 1) +$CG$20," ")," ")</f>
        <v xml:space="preserve"> </v>
      </c>
      <c r="CH21" s="44" t="str">
        <f ca="1">IFERROR(IF(ISNUMBER($CC$21),INDEX('1.Locations'!$K$2:$K$32,$CC$21 + 1) +$CH$20," ")," ")</f>
        <v xml:space="preserve"> </v>
      </c>
      <c r="CI21" s="46" t="str">
        <f ca="1">IFERROR(IF(AND(ISNUMBER($CC$21),$CC$21&lt;=30),INDEX('2.Distances'!$D$2:$D$963,$CC$20*31+$CC$21+ 1) +$CI$20," ")," ")</f>
        <v xml:space="preserve"> </v>
      </c>
      <c r="CJ21" s="47" t="str">
        <f ca="1">IFERROR(IF(AND(ISNUMBER($CC$21),$CC$21&lt;=30),INDEX('2.Distances'!$D$2:$D$963,$CC$20*31+$CC$21+ 1) +$CK$20," ")," ")</f>
        <v xml:space="preserve"> </v>
      </c>
      <c r="CK21" s="47" t="str">
        <f ca="1">IFERROR(IF(ISNUMBER($CJ$21),INDEX('1.Locations'!$I$2:$I$32,$CC$21 + 1) + MAX($CJ$21,INDEX('1.Locations'!$F$2:$F$32,$CC$21 + 1))," ")," ")</f>
        <v xml:space="preserve"> </v>
      </c>
      <c r="CL21" s="46" t="str">
        <f ca="1">IFERROR($CL$20 + INDEX('2.Distances'!$D$2:$D$963,$CC$20*31+$CC$21+ 1) + INDEX('1.Locations'!$I$2:$I$32,$CC$21 + 1)," ")</f>
        <v xml:space="preserve"> </v>
      </c>
      <c r="CN21" s="19">
        <v>16</v>
      </c>
      <c r="CO21" s="20"/>
      <c r="CP21" s="44" t="str">
        <f ca="1">IFERROR(MATCH(INDIRECT("$CO$21"),'1.Locations'!$B$2:$B$32, 0) - 1," ")</f>
        <v xml:space="preserve"> </v>
      </c>
      <c r="CQ21" s="44" t="e">
        <f ca="1">IFERROR(IF(ISNUMBER($CP$21),INDEX('1.Locations'!$D$2:$D$32,$CP$21 + 1),NA()),NA())</f>
        <v>#N/A</v>
      </c>
      <c r="CR21" s="44" t="e">
        <f ca="1">IFERROR(IF(ISNUMBER($CP$21),INDEX('1.Locations'!$E$2:$E$32,$CP$21 + 1),NA()),NA())</f>
        <v>#N/A</v>
      </c>
      <c r="CS21" s="45" t="str">
        <f ca="1">IFERROR(IF(AND(ISNUMBER($CP$21),$CP$21&lt;=30),INDEX('2.Distances'!$C$2:$C$963,$CP$20*31+$CP$21+ 1) +$CS$20," ")," ")</f>
        <v xml:space="preserve"> </v>
      </c>
      <c r="CT21" s="44" t="str">
        <f ca="1">IFERROR(IF(ISNUMBER($CP$21),INDEX('1.Locations'!$J$2:$J$32,$CP$21 + 1) +$CT$20," ")," ")</f>
        <v xml:space="preserve"> </v>
      </c>
      <c r="CU21" s="44" t="str">
        <f ca="1">IFERROR(IF(ISNUMBER($CP$21),INDEX('1.Locations'!$K$2:$K$32,$CP$21 + 1) +$CU$20," ")," ")</f>
        <v xml:space="preserve"> </v>
      </c>
      <c r="CV21" s="46" t="str">
        <f ca="1">IFERROR(IF(AND(ISNUMBER($CP$21),$CP$21&lt;=30),INDEX('2.Distances'!$D$2:$D$963,$CP$20*31+$CP$21+ 1) +$CV$20," ")," ")</f>
        <v xml:space="preserve"> </v>
      </c>
      <c r="CW21" s="47" t="str">
        <f ca="1">IFERROR(IF(AND(ISNUMBER($CP$21),$CP$21&lt;=30),INDEX('2.Distances'!$D$2:$D$963,$CP$20*31+$CP$21+ 1) +$CX$20," ")," ")</f>
        <v xml:space="preserve"> </v>
      </c>
      <c r="CX21" s="47" t="str">
        <f ca="1">IFERROR(IF(ISNUMBER($CW$21),INDEX('1.Locations'!$I$2:$I$32,$CP$21 + 1) + MAX($CW$21,INDEX('1.Locations'!$F$2:$F$32,$CP$21 + 1))," ")," ")</f>
        <v xml:space="preserve"> </v>
      </c>
      <c r="CY21" s="46" t="str">
        <f ca="1">IFERROR($CY$20 + INDEX('2.Distances'!$D$2:$D$963,$CP$20*31+$CP$21+ 1) + INDEX('1.Locations'!$I$2:$I$32,$CP$21 + 1)," ")</f>
        <v xml:space="preserve"> </v>
      </c>
      <c r="DA21" s="19">
        <v>16</v>
      </c>
      <c r="DB21" s="20"/>
      <c r="DC21" s="44" t="str">
        <f ca="1">IFERROR(MATCH(INDIRECT("$DB$21"),'1.Locations'!$B$2:$B$32, 0) - 1," ")</f>
        <v xml:space="preserve"> </v>
      </c>
      <c r="DD21" s="44" t="e">
        <f ca="1">IFERROR(IF(ISNUMBER($DC$21),INDEX('1.Locations'!$D$2:$D$32,$DC$21 + 1),NA()),NA())</f>
        <v>#N/A</v>
      </c>
      <c r="DE21" s="44" t="e">
        <f ca="1">IFERROR(IF(ISNUMBER($DC$21),INDEX('1.Locations'!$E$2:$E$32,$DC$21 + 1),NA()),NA())</f>
        <v>#N/A</v>
      </c>
      <c r="DF21" s="45" t="str">
        <f ca="1">IFERROR(IF(AND(ISNUMBER($DC$21),$DC$21&lt;=30),INDEX('2.Distances'!$C$2:$C$963,$DC$20*31+$DC$21+ 1) +$DF$20," ")," ")</f>
        <v xml:space="preserve"> </v>
      </c>
      <c r="DG21" s="44" t="str">
        <f ca="1">IFERROR(IF(ISNUMBER($DC$21),INDEX('1.Locations'!$J$2:$J$32,$DC$21 + 1) +$DG$20," ")," ")</f>
        <v xml:space="preserve"> </v>
      </c>
      <c r="DH21" s="44" t="str">
        <f ca="1">IFERROR(IF(ISNUMBER($DC$21),INDEX('1.Locations'!$K$2:$K$32,$DC$21 + 1) +$DH$20," ")," ")</f>
        <v xml:space="preserve"> </v>
      </c>
      <c r="DI21" s="46" t="str">
        <f ca="1">IFERROR(IF(AND(ISNUMBER($DC$21),$DC$21&lt;=30),INDEX('2.Distances'!$D$2:$D$963,$DC$20*31+$DC$21+ 1) +$DI$20," ")," ")</f>
        <v xml:space="preserve"> </v>
      </c>
      <c r="DJ21" s="47" t="str">
        <f ca="1">IFERROR(IF(AND(ISNUMBER($DC$21),$DC$21&lt;=30),INDEX('2.Distances'!$D$2:$D$963,$DC$20*31+$DC$21+ 1) +$DK$20," ")," ")</f>
        <v xml:space="preserve"> </v>
      </c>
      <c r="DK21" s="47" t="str">
        <f ca="1">IFERROR(IF(ISNUMBER($DJ$21),INDEX('1.Locations'!$I$2:$I$32,$DC$21 + 1) + MAX($DJ$21,INDEX('1.Locations'!$F$2:$F$32,$DC$21 + 1))," ")," ")</f>
        <v xml:space="preserve"> </v>
      </c>
      <c r="DL21" s="46" t="str">
        <f ca="1">IFERROR($DL$20 + INDEX('2.Distances'!$D$2:$D$963,$DC$20*31+$DC$21+ 1) + INDEX('1.Locations'!$I$2:$I$32,$DC$21 + 1)," ")</f>
        <v xml:space="preserve"> </v>
      </c>
      <c r="DN21" s="19">
        <v>16</v>
      </c>
      <c r="DO21" s="20"/>
      <c r="DP21" s="44" t="str">
        <f ca="1">IFERROR(MATCH(INDIRECT("$DO$21"),'1.Locations'!$B$2:$B$32, 0) - 1," ")</f>
        <v xml:space="preserve"> </v>
      </c>
      <c r="DQ21" s="44" t="e">
        <f ca="1">IFERROR(IF(ISNUMBER($DP$21),INDEX('1.Locations'!$D$2:$D$32,$DP$21 + 1),NA()),NA())</f>
        <v>#N/A</v>
      </c>
      <c r="DR21" s="44" t="e">
        <f ca="1">IFERROR(IF(ISNUMBER($DP$21),INDEX('1.Locations'!$E$2:$E$32,$DP$21 + 1),NA()),NA())</f>
        <v>#N/A</v>
      </c>
      <c r="DS21" s="45" t="str">
        <f ca="1">IFERROR(IF(AND(ISNUMBER($DP$21),$DP$21&lt;=30),INDEX('2.Distances'!$C$2:$C$963,$DP$20*31+$DP$21+ 1) +$DS$20," ")," ")</f>
        <v xml:space="preserve"> </v>
      </c>
      <c r="DT21" s="44" t="str">
        <f ca="1">IFERROR(IF(ISNUMBER($DP$21),INDEX('1.Locations'!$J$2:$J$32,$DP$21 + 1) +$DT$20," ")," ")</f>
        <v xml:space="preserve"> </v>
      </c>
      <c r="DU21" s="44" t="str">
        <f ca="1">IFERROR(IF(ISNUMBER($DP$21),INDEX('1.Locations'!$K$2:$K$32,$DP$21 + 1) +$DU$20," ")," ")</f>
        <v xml:space="preserve"> </v>
      </c>
      <c r="DV21" s="46" t="str">
        <f ca="1">IFERROR(IF(AND(ISNUMBER($DP$21),$DP$21&lt;=30),INDEX('2.Distances'!$D$2:$D$963,$DP$20*31+$DP$21+ 1) +$DV$20," ")," ")</f>
        <v xml:space="preserve"> </v>
      </c>
      <c r="DW21" s="47" t="str">
        <f ca="1">IFERROR(IF(AND(ISNUMBER($DP$21),$DP$21&lt;=30),INDEX('2.Distances'!$D$2:$D$963,$DP$20*31+$DP$21+ 1) +$DX$20," ")," ")</f>
        <v xml:space="preserve"> </v>
      </c>
      <c r="DX21" s="47" t="str">
        <f ca="1">IFERROR(IF(ISNUMBER($DW$21),INDEX('1.Locations'!$I$2:$I$32,$DP$21 + 1) + MAX($DW$21,INDEX('1.Locations'!$F$2:$F$32,$DP$21 + 1))," ")," ")</f>
        <v xml:space="preserve"> </v>
      </c>
      <c r="DY21" s="46" t="str">
        <f ca="1">IFERROR($DY$20 + INDEX('2.Distances'!$D$2:$D$963,$DP$20*31+$DP$21+ 1) + INDEX('1.Locations'!$I$2:$I$32,$DP$21 + 1)," ")</f>
        <v xml:space="preserve"> </v>
      </c>
      <c r="EA21" s="19">
        <v>16</v>
      </c>
      <c r="EB21" s="20"/>
      <c r="EC21" s="44" t="str">
        <f ca="1">IFERROR(MATCH(INDIRECT("$EB$21"),'1.Locations'!$B$2:$B$32, 0) - 1," ")</f>
        <v xml:space="preserve"> </v>
      </c>
      <c r="ED21" s="44" t="e">
        <f ca="1">IFERROR(IF(ISNUMBER($EC$21),INDEX('1.Locations'!$D$2:$D$32,$EC$21 + 1),NA()),NA())</f>
        <v>#N/A</v>
      </c>
      <c r="EE21" s="44" t="e">
        <f ca="1">IFERROR(IF(ISNUMBER($EC$21),INDEX('1.Locations'!$E$2:$E$32,$EC$21 + 1),NA()),NA())</f>
        <v>#N/A</v>
      </c>
      <c r="EF21" s="45" t="str">
        <f ca="1">IFERROR(IF(AND(ISNUMBER($EC$21),$EC$21&lt;=30),INDEX('2.Distances'!$C$2:$C$963,$EC$20*31+$EC$21+ 1) +$EF$20," ")," ")</f>
        <v xml:space="preserve"> </v>
      </c>
      <c r="EG21" s="44" t="str">
        <f ca="1">IFERROR(IF(ISNUMBER($EC$21),INDEX('1.Locations'!$J$2:$J$32,$EC$21 + 1) +$EG$20," ")," ")</f>
        <v xml:space="preserve"> </v>
      </c>
      <c r="EH21" s="44" t="str">
        <f ca="1">IFERROR(IF(ISNUMBER($EC$21),INDEX('1.Locations'!$K$2:$K$32,$EC$21 + 1) +$EH$20," ")," ")</f>
        <v xml:space="preserve"> </v>
      </c>
      <c r="EI21" s="46" t="str">
        <f ca="1">IFERROR(IF(AND(ISNUMBER($EC$21),$EC$21&lt;=30),INDEX('2.Distances'!$D$2:$D$963,$EC$20*31+$EC$21+ 1) +$EI$20," ")," ")</f>
        <v xml:space="preserve"> </v>
      </c>
      <c r="EJ21" s="47" t="str">
        <f ca="1">IFERROR(IF(AND(ISNUMBER($EC$21),$EC$21&lt;=30),INDEX('2.Distances'!$D$2:$D$963,$EC$20*31+$EC$21+ 1) +$EK$20," ")," ")</f>
        <v xml:space="preserve"> </v>
      </c>
      <c r="EK21" s="47" t="str">
        <f ca="1">IFERROR(IF(ISNUMBER($EJ$21),INDEX('1.Locations'!$I$2:$I$32,$EC$21 + 1) + MAX($EJ$21,INDEX('1.Locations'!$F$2:$F$32,$EC$21 + 1))," ")," ")</f>
        <v xml:space="preserve"> </v>
      </c>
      <c r="EL21" s="46" t="str">
        <f ca="1">IFERROR($EL$20 + INDEX('2.Distances'!$D$2:$D$963,$EC$20*31+$EC$21+ 1) + INDEX('1.Locations'!$I$2:$I$32,$EC$21 + 1)," ")</f>
        <v xml:space="preserve"> </v>
      </c>
      <c r="EN21" s="19">
        <v>16</v>
      </c>
      <c r="EO21" s="20"/>
      <c r="EP21" s="44" t="str">
        <f ca="1">IFERROR(MATCH(INDIRECT("$EO$21"),'1.Locations'!$B$2:$B$32, 0) - 1," ")</f>
        <v xml:space="preserve"> </v>
      </c>
      <c r="EQ21" s="44" t="e">
        <f ca="1">IFERROR(IF(ISNUMBER($EP$21),INDEX('1.Locations'!$D$2:$D$32,$EP$21 + 1),NA()),NA())</f>
        <v>#N/A</v>
      </c>
      <c r="ER21" s="44" t="e">
        <f ca="1">IFERROR(IF(ISNUMBER($EP$21),INDEX('1.Locations'!$E$2:$E$32,$EP$21 + 1),NA()),NA())</f>
        <v>#N/A</v>
      </c>
      <c r="ES21" s="45" t="str">
        <f ca="1">IFERROR(IF(AND(ISNUMBER($EP$21),$EP$21&lt;=30),INDEX('2.Distances'!$C$2:$C$963,$EP$20*31+$EP$21+ 1) +$ES$20," ")," ")</f>
        <v xml:space="preserve"> </v>
      </c>
      <c r="ET21" s="44" t="str">
        <f ca="1">IFERROR(IF(ISNUMBER($EP$21),INDEX('1.Locations'!$J$2:$J$32,$EP$21 + 1) +$ET$20," ")," ")</f>
        <v xml:space="preserve"> </v>
      </c>
      <c r="EU21" s="44" t="str">
        <f ca="1">IFERROR(IF(ISNUMBER($EP$21),INDEX('1.Locations'!$K$2:$K$32,$EP$21 + 1) +$EU$20," ")," ")</f>
        <v xml:space="preserve"> </v>
      </c>
      <c r="EV21" s="46" t="str">
        <f ca="1">IFERROR(IF(AND(ISNUMBER($EP$21),$EP$21&lt;=30),INDEX('2.Distances'!$D$2:$D$963,$EP$20*31+$EP$21+ 1) +$EV$20," ")," ")</f>
        <v xml:space="preserve"> </v>
      </c>
      <c r="EW21" s="47" t="str">
        <f ca="1">IFERROR(IF(AND(ISNUMBER($EP$21),$EP$21&lt;=30),INDEX('2.Distances'!$D$2:$D$963,$EP$20*31+$EP$21+ 1) +$EX$20," ")," ")</f>
        <v xml:space="preserve"> </v>
      </c>
      <c r="EX21" s="47" t="str">
        <f ca="1">IFERROR(IF(ISNUMBER($EW$21),INDEX('1.Locations'!$I$2:$I$32,$EP$21 + 1) + MAX($EW$21,INDEX('1.Locations'!$F$2:$F$32,$EP$21 + 1))," ")," ")</f>
        <v xml:space="preserve"> </v>
      </c>
      <c r="EY21" s="46" t="str">
        <f ca="1">IFERROR($EY$20 + INDEX('2.Distances'!$D$2:$D$963,$EP$20*31+$EP$21+ 1) + INDEX('1.Locations'!$I$2:$I$32,$EP$21 + 1)," ")</f>
        <v xml:space="preserve"> </v>
      </c>
    </row>
    <row r="22" spans="1:155" x14ac:dyDescent="0.2">
      <c r="A22" s="19">
        <v>17</v>
      </c>
      <c r="B22" s="20"/>
      <c r="C22" s="44" t="str">
        <f ca="1">IFERROR(MATCH(INDIRECT("$B$22"),'1.Locations'!$B$2:$B$32, 0) - 1," ")</f>
        <v xml:space="preserve"> </v>
      </c>
      <c r="D22" s="44" t="e">
        <f ca="1">IFERROR(IF(ISNUMBER($C$22),INDEX('1.Locations'!$D$2:$D$32,$C$22 + 1),NA()),NA())</f>
        <v>#N/A</v>
      </c>
      <c r="E22" s="44" t="e">
        <f ca="1">IFERROR(IF(ISNUMBER($C$22),INDEX('1.Locations'!$E$2:$E$32,$C$22 + 1),NA()),NA())</f>
        <v>#N/A</v>
      </c>
      <c r="F22" s="45" t="str">
        <f ca="1">IFERROR(IF(AND(ISNUMBER($C$22),$C$22&lt;=30),INDEX('2.Distances'!$C$2:$C$963,$C$21*31+$C$22+ 1) +$F$21," ")," ")</f>
        <v xml:space="preserve"> </v>
      </c>
      <c r="G22" s="44" t="str">
        <f ca="1">IFERROR(IF(ISNUMBER($C$22),INDEX('1.Locations'!$J$2:$J$32,$C$22 + 1) +$G$21," ")," ")</f>
        <v xml:space="preserve"> </v>
      </c>
      <c r="H22" s="44" t="str">
        <f ca="1">IFERROR(IF(ISNUMBER($C$22),INDEX('1.Locations'!$K$2:$K$32,$C$22 + 1) +$H$21," ")," ")</f>
        <v xml:space="preserve"> </v>
      </c>
      <c r="I22" s="46" t="str">
        <f ca="1">IFERROR(IF(AND(ISNUMBER($C$22),$C$22&lt;=30),INDEX('2.Distances'!$D$2:$D$963,$C$21*31+$C$22+ 1) +$I$21," ")," ")</f>
        <v xml:space="preserve"> </v>
      </c>
      <c r="J22" s="47" t="str">
        <f ca="1">IFERROR(IF(AND(ISNUMBER($C$22),$C$22&lt;=30),INDEX('2.Distances'!$D$2:$D$963,$C$21*31+$C$22+ 1) +$K$21," ")," ")</f>
        <v xml:space="preserve"> </v>
      </c>
      <c r="K22" s="47" t="str">
        <f ca="1">IFERROR(IF(ISNUMBER($J$22),INDEX('1.Locations'!$I$2:$I$32,$C$22 + 1) + MAX($J$22,INDEX('1.Locations'!$F$2:$F$32,$C$22 + 1))," ")," ")</f>
        <v xml:space="preserve"> </v>
      </c>
      <c r="L22" s="46" t="str">
        <f ca="1">IFERROR($L$21 + INDEX('2.Distances'!$D$2:$D$963,$C$21*31+$C$22+ 1) + INDEX('1.Locations'!$I$2:$I$32,$C$22 + 1)," ")</f>
        <v xml:space="preserve"> </v>
      </c>
      <c r="N22" s="19">
        <v>17</v>
      </c>
      <c r="O22" s="20"/>
      <c r="P22" s="44" t="str">
        <f ca="1">IFERROR(MATCH(INDIRECT("$O$22"),'1.Locations'!$B$2:$B$32, 0) - 1," ")</f>
        <v xml:space="preserve"> </v>
      </c>
      <c r="Q22" s="44" t="e">
        <f ca="1">IFERROR(IF(ISNUMBER($P$22),INDEX('1.Locations'!$D$2:$D$32,$P$22 + 1),NA()),NA())</f>
        <v>#N/A</v>
      </c>
      <c r="R22" s="44" t="e">
        <f ca="1">IFERROR(IF(ISNUMBER($P$22),INDEX('1.Locations'!$E$2:$E$32,$P$22 + 1),NA()),NA())</f>
        <v>#N/A</v>
      </c>
      <c r="S22" s="45" t="str">
        <f ca="1">IFERROR(IF(AND(ISNUMBER($P$22),$P$22&lt;=30),INDEX('2.Distances'!$C$2:$C$963,$P$21*31+$P$22+ 1) +$S$21," ")," ")</f>
        <v xml:space="preserve"> </v>
      </c>
      <c r="T22" s="44" t="str">
        <f ca="1">IFERROR(IF(ISNUMBER($P$22),INDEX('1.Locations'!$J$2:$J$32,$P$22 + 1) +$T$21," ")," ")</f>
        <v xml:space="preserve"> </v>
      </c>
      <c r="U22" s="44" t="str">
        <f ca="1">IFERROR(IF(ISNUMBER($P$22),INDEX('1.Locations'!$K$2:$K$32,$P$22 + 1) +$U$21," ")," ")</f>
        <v xml:space="preserve"> </v>
      </c>
      <c r="V22" s="46" t="str">
        <f ca="1">IFERROR(IF(AND(ISNUMBER($P$22),$P$22&lt;=30),INDEX('2.Distances'!$D$2:$D$963,$P$21*31+$P$22+ 1) +$V$21," ")," ")</f>
        <v xml:space="preserve"> </v>
      </c>
      <c r="W22" s="47" t="str">
        <f ca="1">IFERROR(IF(AND(ISNUMBER($P$22),$P$22&lt;=30),INDEX('2.Distances'!$D$2:$D$963,$P$21*31+$P$22+ 1) +$X$21," ")," ")</f>
        <v xml:space="preserve"> </v>
      </c>
      <c r="X22" s="47" t="str">
        <f ca="1">IFERROR(IF(ISNUMBER($W$22),INDEX('1.Locations'!$I$2:$I$32,$P$22 + 1) + MAX($W$22,INDEX('1.Locations'!$F$2:$F$32,$P$22 + 1))," ")," ")</f>
        <v xml:space="preserve"> </v>
      </c>
      <c r="Y22" s="46" t="str">
        <f ca="1">IFERROR($Y$21 + INDEX('2.Distances'!$D$2:$D$963,$P$21*31+$P$22+ 1) + INDEX('1.Locations'!$I$2:$I$32,$P$22 + 1)," ")</f>
        <v xml:space="preserve"> </v>
      </c>
      <c r="AA22" s="19">
        <v>17</v>
      </c>
      <c r="AB22" s="20"/>
      <c r="AC22" s="44" t="str">
        <f ca="1">IFERROR(MATCH(INDIRECT("$AB$22"),'1.Locations'!$B$2:$B$32, 0) - 1," ")</f>
        <v xml:space="preserve"> </v>
      </c>
      <c r="AD22" s="44" t="e">
        <f ca="1">IFERROR(IF(ISNUMBER($AC$22),INDEX('1.Locations'!$D$2:$D$32,$AC$22 + 1),NA()),NA())</f>
        <v>#N/A</v>
      </c>
      <c r="AE22" s="44" t="e">
        <f ca="1">IFERROR(IF(ISNUMBER($AC$22),INDEX('1.Locations'!$E$2:$E$32,$AC$22 + 1),NA()),NA())</f>
        <v>#N/A</v>
      </c>
      <c r="AF22" s="45" t="str">
        <f ca="1">IFERROR(IF(AND(ISNUMBER($AC$22),$AC$22&lt;=30),INDEX('2.Distances'!$C$2:$C$963,$AC$21*31+$AC$22+ 1) +$AF$21," ")," ")</f>
        <v xml:space="preserve"> </v>
      </c>
      <c r="AG22" s="44" t="str">
        <f ca="1">IFERROR(IF(ISNUMBER($AC$22),INDEX('1.Locations'!$J$2:$J$32,$AC$22 + 1) +$AG$21," ")," ")</f>
        <v xml:space="preserve"> </v>
      </c>
      <c r="AH22" s="44" t="str">
        <f ca="1">IFERROR(IF(ISNUMBER($AC$22),INDEX('1.Locations'!$K$2:$K$32,$AC$22 + 1) +$AH$21," ")," ")</f>
        <v xml:space="preserve"> </v>
      </c>
      <c r="AI22" s="46" t="str">
        <f ca="1">IFERROR(IF(AND(ISNUMBER($AC$22),$AC$22&lt;=30),INDEX('2.Distances'!$D$2:$D$963,$AC$21*31+$AC$22+ 1) +$AI$21," ")," ")</f>
        <v xml:space="preserve"> </v>
      </c>
      <c r="AJ22" s="47" t="str">
        <f ca="1">IFERROR(IF(AND(ISNUMBER($AC$22),$AC$22&lt;=30),INDEX('2.Distances'!$D$2:$D$963,$AC$21*31+$AC$22+ 1) +$AK$21," ")," ")</f>
        <v xml:space="preserve"> </v>
      </c>
      <c r="AK22" s="47" t="str">
        <f ca="1">IFERROR(IF(ISNUMBER($AJ$22),INDEX('1.Locations'!$I$2:$I$32,$AC$22 + 1) + MAX($AJ$22,INDEX('1.Locations'!$F$2:$F$32,$AC$22 + 1))," ")," ")</f>
        <v xml:space="preserve"> </v>
      </c>
      <c r="AL22" s="46" t="str">
        <f ca="1">IFERROR($AL$21 + INDEX('2.Distances'!$D$2:$D$963,$AC$21*31+$AC$22+ 1) + INDEX('1.Locations'!$I$2:$I$32,$AC$22 + 1)," ")</f>
        <v xml:space="preserve"> </v>
      </c>
      <c r="AN22" s="19">
        <v>17</v>
      </c>
      <c r="AO22" s="20"/>
      <c r="AP22" s="44" t="str">
        <f ca="1">IFERROR(MATCH(INDIRECT("$AO$22"),'1.Locations'!$B$2:$B$32, 0) - 1," ")</f>
        <v xml:space="preserve"> </v>
      </c>
      <c r="AQ22" s="44" t="e">
        <f ca="1">IFERROR(IF(ISNUMBER($AP$22),INDEX('1.Locations'!$D$2:$D$32,$AP$22 + 1),NA()),NA())</f>
        <v>#N/A</v>
      </c>
      <c r="AR22" s="44" t="e">
        <f ca="1">IFERROR(IF(ISNUMBER($AP$22),INDEX('1.Locations'!$E$2:$E$32,$AP$22 + 1),NA()),NA())</f>
        <v>#N/A</v>
      </c>
      <c r="AS22" s="45" t="str">
        <f ca="1">IFERROR(IF(AND(ISNUMBER($AP$22),$AP$22&lt;=30),INDEX('2.Distances'!$C$2:$C$963,$AP$21*31+$AP$22+ 1) +$AS$21," ")," ")</f>
        <v xml:space="preserve"> </v>
      </c>
      <c r="AT22" s="44" t="str">
        <f ca="1">IFERROR(IF(ISNUMBER($AP$22),INDEX('1.Locations'!$J$2:$J$32,$AP$22 + 1) +$AT$21," ")," ")</f>
        <v xml:space="preserve"> </v>
      </c>
      <c r="AU22" s="44" t="str">
        <f ca="1">IFERROR(IF(ISNUMBER($AP$22),INDEX('1.Locations'!$K$2:$K$32,$AP$22 + 1) +$AU$21," ")," ")</f>
        <v xml:space="preserve"> </v>
      </c>
      <c r="AV22" s="46" t="str">
        <f ca="1">IFERROR(IF(AND(ISNUMBER($AP$22),$AP$22&lt;=30),INDEX('2.Distances'!$D$2:$D$963,$AP$21*31+$AP$22+ 1) +$AV$21," ")," ")</f>
        <v xml:space="preserve"> </v>
      </c>
      <c r="AW22" s="47" t="str">
        <f ca="1">IFERROR(IF(AND(ISNUMBER($AP$22),$AP$22&lt;=30),INDEX('2.Distances'!$D$2:$D$963,$AP$21*31+$AP$22+ 1) +$AX$21," ")," ")</f>
        <v xml:space="preserve"> </v>
      </c>
      <c r="AX22" s="47" t="str">
        <f ca="1">IFERROR(IF(ISNUMBER($AW$22),INDEX('1.Locations'!$I$2:$I$32,$AP$22 + 1) + MAX($AW$22,INDEX('1.Locations'!$F$2:$F$32,$AP$22 + 1))," ")," ")</f>
        <v xml:space="preserve"> </v>
      </c>
      <c r="AY22" s="46" t="str">
        <f ca="1">IFERROR($AY$21 + INDEX('2.Distances'!$D$2:$D$963,$AP$21*31+$AP$22+ 1) + INDEX('1.Locations'!$I$2:$I$32,$AP$22 + 1)," ")</f>
        <v xml:space="preserve"> </v>
      </c>
      <c r="BA22" s="19">
        <v>17</v>
      </c>
      <c r="BB22" s="20"/>
      <c r="BC22" s="44" t="str">
        <f ca="1">IFERROR(MATCH(INDIRECT("$BB$22"),'1.Locations'!$B$2:$B$32, 0) - 1," ")</f>
        <v xml:space="preserve"> </v>
      </c>
      <c r="BD22" s="44" t="e">
        <f ca="1">IFERROR(IF(ISNUMBER($BC$22),INDEX('1.Locations'!$D$2:$D$32,$BC$22 + 1),NA()),NA())</f>
        <v>#N/A</v>
      </c>
      <c r="BE22" s="44" t="e">
        <f ca="1">IFERROR(IF(ISNUMBER($BC$22),INDEX('1.Locations'!$E$2:$E$32,$BC$22 + 1),NA()),NA())</f>
        <v>#N/A</v>
      </c>
      <c r="BF22" s="45" t="str">
        <f ca="1">IFERROR(IF(AND(ISNUMBER($BC$22),$BC$22&lt;=30),INDEX('2.Distances'!$C$2:$C$963,$BC$21*31+$BC$22+ 1) +$BF$21," ")," ")</f>
        <v xml:space="preserve"> </v>
      </c>
      <c r="BG22" s="44" t="str">
        <f ca="1">IFERROR(IF(ISNUMBER($BC$22),INDEX('1.Locations'!$J$2:$J$32,$BC$22 + 1) +$BG$21," ")," ")</f>
        <v xml:space="preserve"> </v>
      </c>
      <c r="BH22" s="44" t="str">
        <f ca="1">IFERROR(IF(ISNUMBER($BC$22),INDEX('1.Locations'!$K$2:$K$32,$BC$22 + 1) +$BH$21," ")," ")</f>
        <v xml:space="preserve"> </v>
      </c>
      <c r="BI22" s="46" t="str">
        <f ca="1">IFERROR(IF(AND(ISNUMBER($BC$22),$BC$22&lt;=30),INDEX('2.Distances'!$D$2:$D$963,$BC$21*31+$BC$22+ 1) +$BI$21," ")," ")</f>
        <v xml:space="preserve"> </v>
      </c>
      <c r="BJ22" s="47" t="str">
        <f ca="1">IFERROR(IF(AND(ISNUMBER($BC$22),$BC$22&lt;=30),INDEX('2.Distances'!$D$2:$D$963,$BC$21*31+$BC$22+ 1) +$BK$21," ")," ")</f>
        <v xml:space="preserve"> </v>
      </c>
      <c r="BK22" s="47" t="str">
        <f ca="1">IFERROR(IF(ISNUMBER($BJ$22),INDEX('1.Locations'!$I$2:$I$32,$BC$22 + 1) + MAX($BJ$22,INDEX('1.Locations'!$F$2:$F$32,$BC$22 + 1))," ")," ")</f>
        <v xml:space="preserve"> </v>
      </c>
      <c r="BL22" s="46" t="str">
        <f ca="1">IFERROR($BL$21 + INDEX('2.Distances'!$D$2:$D$963,$BC$21*31+$BC$22+ 1) + INDEX('1.Locations'!$I$2:$I$32,$BC$22 + 1)," ")</f>
        <v xml:space="preserve"> </v>
      </c>
      <c r="BN22" s="19">
        <v>17</v>
      </c>
      <c r="BO22" s="20"/>
      <c r="BP22" s="44" t="str">
        <f ca="1">IFERROR(MATCH(INDIRECT("$BO$22"),'1.Locations'!$B$2:$B$32, 0) - 1," ")</f>
        <v xml:space="preserve"> </v>
      </c>
      <c r="BQ22" s="44" t="e">
        <f ca="1">IFERROR(IF(ISNUMBER($BP$22),INDEX('1.Locations'!$D$2:$D$32,$BP$22 + 1),NA()),NA())</f>
        <v>#N/A</v>
      </c>
      <c r="BR22" s="44" t="e">
        <f ca="1">IFERROR(IF(ISNUMBER($BP$22),INDEX('1.Locations'!$E$2:$E$32,$BP$22 + 1),NA()),NA())</f>
        <v>#N/A</v>
      </c>
      <c r="BS22" s="45" t="str">
        <f ca="1">IFERROR(IF(AND(ISNUMBER($BP$22),$BP$22&lt;=30),INDEX('2.Distances'!$C$2:$C$963,$BP$21*31+$BP$22+ 1) +$BS$21," ")," ")</f>
        <v xml:space="preserve"> </v>
      </c>
      <c r="BT22" s="44" t="str">
        <f ca="1">IFERROR(IF(ISNUMBER($BP$22),INDEX('1.Locations'!$J$2:$J$32,$BP$22 + 1) +$BT$21," ")," ")</f>
        <v xml:space="preserve"> </v>
      </c>
      <c r="BU22" s="44" t="str">
        <f ca="1">IFERROR(IF(ISNUMBER($BP$22),INDEX('1.Locations'!$K$2:$K$32,$BP$22 + 1) +$BU$21," ")," ")</f>
        <v xml:space="preserve"> </v>
      </c>
      <c r="BV22" s="46" t="str">
        <f ca="1">IFERROR(IF(AND(ISNUMBER($BP$22),$BP$22&lt;=30),INDEX('2.Distances'!$D$2:$D$963,$BP$21*31+$BP$22+ 1) +$BV$21," ")," ")</f>
        <v xml:space="preserve"> </v>
      </c>
      <c r="BW22" s="47" t="str">
        <f ca="1">IFERROR(IF(AND(ISNUMBER($BP$22),$BP$22&lt;=30),INDEX('2.Distances'!$D$2:$D$963,$BP$21*31+$BP$22+ 1) +$BX$21," ")," ")</f>
        <v xml:space="preserve"> </v>
      </c>
      <c r="BX22" s="47" t="str">
        <f ca="1">IFERROR(IF(ISNUMBER($BW$22),INDEX('1.Locations'!$I$2:$I$32,$BP$22 + 1) + MAX($BW$22,INDEX('1.Locations'!$F$2:$F$32,$BP$22 + 1))," ")," ")</f>
        <v xml:space="preserve"> </v>
      </c>
      <c r="BY22" s="46" t="str">
        <f ca="1">IFERROR($BY$21 + INDEX('2.Distances'!$D$2:$D$963,$BP$21*31+$BP$22+ 1) + INDEX('1.Locations'!$I$2:$I$32,$BP$22 + 1)," ")</f>
        <v xml:space="preserve"> </v>
      </c>
      <c r="CA22" s="19">
        <v>17</v>
      </c>
      <c r="CB22" s="20"/>
      <c r="CC22" s="44" t="str">
        <f ca="1">IFERROR(MATCH(INDIRECT("$CB$22"),'1.Locations'!$B$2:$B$32, 0) - 1," ")</f>
        <v xml:space="preserve"> </v>
      </c>
      <c r="CD22" s="44" t="e">
        <f ca="1">IFERROR(IF(ISNUMBER($CC$22),INDEX('1.Locations'!$D$2:$D$32,$CC$22 + 1),NA()),NA())</f>
        <v>#N/A</v>
      </c>
      <c r="CE22" s="44" t="e">
        <f ca="1">IFERROR(IF(ISNUMBER($CC$22),INDEX('1.Locations'!$E$2:$E$32,$CC$22 + 1),NA()),NA())</f>
        <v>#N/A</v>
      </c>
      <c r="CF22" s="45" t="str">
        <f ca="1">IFERROR(IF(AND(ISNUMBER($CC$22),$CC$22&lt;=30),INDEX('2.Distances'!$C$2:$C$963,$CC$21*31+$CC$22+ 1) +$CF$21," ")," ")</f>
        <v xml:space="preserve"> </v>
      </c>
      <c r="CG22" s="44" t="str">
        <f ca="1">IFERROR(IF(ISNUMBER($CC$22),INDEX('1.Locations'!$J$2:$J$32,$CC$22 + 1) +$CG$21," ")," ")</f>
        <v xml:space="preserve"> </v>
      </c>
      <c r="CH22" s="44" t="str">
        <f ca="1">IFERROR(IF(ISNUMBER($CC$22),INDEX('1.Locations'!$K$2:$K$32,$CC$22 + 1) +$CH$21," ")," ")</f>
        <v xml:space="preserve"> </v>
      </c>
      <c r="CI22" s="46" t="str">
        <f ca="1">IFERROR(IF(AND(ISNUMBER($CC$22),$CC$22&lt;=30),INDEX('2.Distances'!$D$2:$D$963,$CC$21*31+$CC$22+ 1) +$CI$21," ")," ")</f>
        <v xml:space="preserve"> </v>
      </c>
      <c r="CJ22" s="47" t="str">
        <f ca="1">IFERROR(IF(AND(ISNUMBER($CC$22),$CC$22&lt;=30),INDEX('2.Distances'!$D$2:$D$963,$CC$21*31+$CC$22+ 1) +$CK$21," ")," ")</f>
        <v xml:space="preserve"> </v>
      </c>
      <c r="CK22" s="47" t="str">
        <f ca="1">IFERROR(IF(ISNUMBER($CJ$22),INDEX('1.Locations'!$I$2:$I$32,$CC$22 + 1) + MAX($CJ$22,INDEX('1.Locations'!$F$2:$F$32,$CC$22 + 1))," ")," ")</f>
        <v xml:space="preserve"> </v>
      </c>
      <c r="CL22" s="46" t="str">
        <f ca="1">IFERROR($CL$21 + INDEX('2.Distances'!$D$2:$D$963,$CC$21*31+$CC$22+ 1) + INDEX('1.Locations'!$I$2:$I$32,$CC$22 + 1)," ")</f>
        <v xml:space="preserve"> </v>
      </c>
      <c r="CN22" s="19">
        <v>17</v>
      </c>
      <c r="CO22" s="20"/>
      <c r="CP22" s="44" t="str">
        <f ca="1">IFERROR(MATCH(INDIRECT("$CO$22"),'1.Locations'!$B$2:$B$32, 0) - 1," ")</f>
        <v xml:space="preserve"> </v>
      </c>
      <c r="CQ22" s="44" t="e">
        <f ca="1">IFERROR(IF(ISNUMBER($CP$22),INDEX('1.Locations'!$D$2:$D$32,$CP$22 + 1),NA()),NA())</f>
        <v>#N/A</v>
      </c>
      <c r="CR22" s="44" t="e">
        <f ca="1">IFERROR(IF(ISNUMBER($CP$22),INDEX('1.Locations'!$E$2:$E$32,$CP$22 + 1),NA()),NA())</f>
        <v>#N/A</v>
      </c>
      <c r="CS22" s="45" t="str">
        <f ca="1">IFERROR(IF(AND(ISNUMBER($CP$22),$CP$22&lt;=30),INDEX('2.Distances'!$C$2:$C$963,$CP$21*31+$CP$22+ 1) +$CS$21," ")," ")</f>
        <v xml:space="preserve"> </v>
      </c>
      <c r="CT22" s="44" t="str">
        <f ca="1">IFERROR(IF(ISNUMBER($CP$22),INDEX('1.Locations'!$J$2:$J$32,$CP$22 + 1) +$CT$21," ")," ")</f>
        <v xml:space="preserve"> </v>
      </c>
      <c r="CU22" s="44" t="str">
        <f ca="1">IFERROR(IF(ISNUMBER($CP$22),INDEX('1.Locations'!$K$2:$K$32,$CP$22 + 1) +$CU$21," ")," ")</f>
        <v xml:space="preserve"> </v>
      </c>
      <c r="CV22" s="46" t="str">
        <f ca="1">IFERROR(IF(AND(ISNUMBER($CP$22),$CP$22&lt;=30),INDEX('2.Distances'!$D$2:$D$963,$CP$21*31+$CP$22+ 1) +$CV$21," ")," ")</f>
        <v xml:space="preserve"> </v>
      </c>
      <c r="CW22" s="47" t="str">
        <f ca="1">IFERROR(IF(AND(ISNUMBER($CP$22),$CP$22&lt;=30),INDEX('2.Distances'!$D$2:$D$963,$CP$21*31+$CP$22+ 1) +$CX$21," ")," ")</f>
        <v xml:space="preserve"> </v>
      </c>
      <c r="CX22" s="47" t="str">
        <f ca="1">IFERROR(IF(ISNUMBER($CW$22),INDEX('1.Locations'!$I$2:$I$32,$CP$22 + 1) + MAX($CW$22,INDEX('1.Locations'!$F$2:$F$32,$CP$22 + 1))," ")," ")</f>
        <v xml:space="preserve"> </v>
      </c>
      <c r="CY22" s="46" t="str">
        <f ca="1">IFERROR($CY$21 + INDEX('2.Distances'!$D$2:$D$963,$CP$21*31+$CP$22+ 1) + INDEX('1.Locations'!$I$2:$I$32,$CP$22 + 1)," ")</f>
        <v xml:space="preserve"> </v>
      </c>
      <c r="DA22" s="19">
        <v>17</v>
      </c>
      <c r="DB22" s="20"/>
      <c r="DC22" s="44" t="str">
        <f ca="1">IFERROR(MATCH(INDIRECT("$DB$22"),'1.Locations'!$B$2:$B$32, 0) - 1," ")</f>
        <v xml:space="preserve"> </v>
      </c>
      <c r="DD22" s="44" t="e">
        <f ca="1">IFERROR(IF(ISNUMBER($DC$22),INDEX('1.Locations'!$D$2:$D$32,$DC$22 + 1),NA()),NA())</f>
        <v>#N/A</v>
      </c>
      <c r="DE22" s="44" t="e">
        <f ca="1">IFERROR(IF(ISNUMBER($DC$22),INDEX('1.Locations'!$E$2:$E$32,$DC$22 + 1),NA()),NA())</f>
        <v>#N/A</v>
      </c>
      <c r="DF22" s="45" t="str">
        <f ca="1">IFERROR(IF(AND(ISNUMBER($DC$22),$DC$22&lt;=30),INDEX('2.Distances'!$C$2:$C$963,$DC$21*31+$DC$22+ 1) +$DF$21," ")," ")</f>
        <v xml:space="preserve"> </v>
      </c>
      <c r="DG22" s="44" t="str">
        <f ca="1">IFERROR(IF(ISNUMBER($DC$22),INDEX('1.Locations'!$J$2:$J$32,$DC$22 + 1) +$DG$21," ")," ")</f>
        <v xml:space="preserve"> </v>
      </c>
      <c r="DH22" s="44" t="str">
        <f ca="1">IFERROR(IF(ISNUMBER($DC$22),INDEX('1.Locations'!$K$2:$K$32,$DC$22 + 1) +$DH$21," ")," ")</f>
        <v xml:space="preserve"> </v>
      </c>
      <c r="DI22" s="46" t="str">
        <f ca="1">IFERROR(IF(AND(ISNUMBER($DC$22),$DC$22&lt;=30),INDEX('2.Distances'!$D$2:$D$963,$DC$21*31+$DC$22+ 1) +$DI$21," ")," ")</f>
        <v xml:space="preserve"> </v>
      </c>
      <c r="DJ22" s="47" t="str">
        <f ca="1">IFERROR(IF(AND(ISNUMBER($DC$22),$DC$22&lt;=30),INDEX('2.Distances'!$D$2:$D$963,$DC$21*31+$DC$22+ 1) +$DK$21," ")," ")</f>
        <v xml:space="preserve"> </v>
      </c>
      <c r="DK22" s="47" t="str">
        <f ca="1">IFERROR(IF(ISNUMBER($DJ$22),INDEX('1.Locations'!$I$2:$I$32,$DC$22 + 1) + MAX($DJ$22,INDEX('1.Locations'!$F$2:$F$32,$DC$22 + 1))," ")," ")</f>
        <v xml:space="preserve"> </v>
      </c>
      <c r="DL22" s="46" t="str">
        <f ca="1">IFERROR($DL$21 + INDEX('2.Distances'!$D$2:$D$963,$DC$21*31+$DC$22+ 1) + INDEX('1.Locations'!$I$2:$I$32,$DC$22 + 1)," ")</f>
        <v xml:space="preserve"> </v>
      </c>
      <c r="DN22" s="19">
        <v>17</v>
      </c>
      <c r="DO22" s="20"/>
      <c r="DP22" s="44" t="str">
        <f ca="1">IFERROR(MATCH(INDIRECT("$DO$22"),'1.Locations'!$B$2:$B$32, 0) - 1," ")</f>
        <v xml:space="preserve"> </v>
      </c>
      <c r="DQ22" s="44" t="e">
        <f ca="1">IFERROR(IF(ISNUMBER($DP$22),INDEX('1.Locations'!$D$2:$D$32,$DP$22 + 1),NA()),NA())</f>
        <v>#N/A</v>
      </c>
      <c r="DR22" s="44" t="e">
        <f ca="1">IFERROR(IF(ISNUMBER($DP$22),INDEX('1.Locations'!$E$2:$E$32,$DP$22 + 1),NA()),NA())</f>
        <v>#N/A</v>
      </c>
      <c r="DS22" s="45" t="str">
        <f ca="1">IFERROR(IF(AND(ISNUMBER($DP$22),$DP$22&lt;=30),INDEX('2.Distances'!$C$2:$C$963,$DP$21*31+$DP$22+ 1) +$DS$21," ")," ")</f>
        <v xml:space="preserve"> </v>
      </c>
      <c r="DT22" s="44" t="str">
        <f ca="1">IFERROR(IF(ISNUMBER($DP$22),INDEX('1.Locations'!$J$2:$J$32,$DP$22 + 1) +$DT$21," ")," ")</f>
        <v xml:space="preserve"> </v>
      </c>
      <c r="DU22" s="44" t="str">
        <f ca="1">IFERROR(IF(ISNUMBER($DP$22),INDEX('1.Locations'!$K$2:$K$32,$DP$22 + 1) +$DU$21," ")," ")</f>
        <v xml:space="preserve"> </v>
      </c>
      <c r="DV22" s="46" t="str">
        <f ca="1">IFERROR(IF(AND(ISNUMBER($DP$22),$DP$22&lt;=30),INDEX('2.Distances'!$D$2:$D$963,$DP$21*31+$DP$22+ 1) +$DV$21," ")," ")</f>
        <v xml:space="preserve"> </v>
      </c>
      <c r="DW22" s="47" t="str">
        <f ca="1">IFERROR(IF(AND(ISNUMBER($DP$22),$DP$22&lt;=30),INDEX('2.Distances'!$D$2:$D$963,$DP$21*31+$DP$22+ 1) +$DX$21," ")," ")</f>
        <v xml:space="preserve"> </v>
      </c>
      <c r="DX22" s="47" t="str">
        <f ca="1">IFERROR(IF(ISNUMBER($DW$22),INDEX('1.Locations'!$I$2:$I$32,$DP$22 + 1) + MAX($DW$22,INDEX('1.Locations'!$F$2:$F$32,$DP$22 + 1))," ")," ")</f>
        <v xml:space="preserve"> </v>
      </c>
      <c r="DY22" s="46" t="str">
        <f ca="1">IFERROR($DY$21 + INDEX('2.Distances'!$D$2:$D$963,$DP$21*31+$DP$22+ 1) + INDEX('1.Locations'!$I$2:$I$32,$DP$22 + 1)," ")</f>
        <v xml:space="preserve"> </v>
      </c>
      <c r="EA22" s="19">
        <v>17</v>
      </c>
      <c r="EB22" s="20"/>
      <c r="EC22" s="44" t="str">
        <f ca="1">IFERROR(MATCH(INDIRECT("$EB$22"),'1.Locations'!$B$2:$B$32, 0) - 1," ")</f>
        <v xml:space="preserve"> </v>
      </c>
      <c r="ED22" s="44" t="e">
        <f ca="1">IFERROR(IF(ISNUMBER($EC$22),INDEX('1.Locations'!$D$2:$D$32,$EC$22 + 1),NA()),NA())</f>
        <v>#N/A</v>
      </c>
      <c r="EE22" s="44" t="e">
        <f ca="1">IFERROR(IF(ISNUMBER($EC$22),INDEX('1.Locations'!$E$2:$E$32,$EC$22 + 1),NA()),NA())</f>
        <v>#N/A</v>
      </c>
      <c r="EF22" s="45" t="str">
        <f ca="1">IFERROR(IF(AND(ISNUMBER($EC$22),$EC$22&lt;=30),INDEX('2.Distances'!$C$2:$C$963,$EC$21*31+$EC$22+ 1) +$EF$21," ")," ")</f>
        <v xml:space="preserve"> </v>
      </c>
      <c r="EG22" s="44" t="str">
        <f ca="1">IFERROR(IF(ISNUMBER($EC$22),INDEX('1.Locations'!$J$2:$J$32,$EC$22 + 1) +$EG$21," ")," ")</f>
        <v xml:space="preserve"> </v>
      </c>
      <c r="EH22" s="44" t="str">
        <f ca="1">IFERROR(IF(ISNUMBER($EC$22),INDEX('1.Locations'!$K$2:$K$32,$EC$22 + 1) +$EH$21," ")," ")</f>
        <v xml:space="preserve"> </v>
      </c>
      <c r="EI22" s="46" t="str">
        <f ca="1">IFERROR(IF(AND(ISNUMBER($EC$22),$EC$22&lt;=30),INDEX('2.Distances'!$D$2:$D$963,$EC$21*31+$EC$22+ 1) +$EI$21," ")," ")</f>
        <v xml:space="preserve"> </v>
      </c>
      <c r="EJ22" s="47" t="str">
        <f ca="1">IFERROR(IF(AND(ISNUMBER($EC$22),$EC$22&lt;=30),INDEX('2.Distances'!$D$2:$D$963,$EC$21*31+$EC$22+ 1) +$EK$21," ")," ")</f>
        <v xml:space="preserve"> </v>
      </c>
      <c r="EK22" s="47" t="str">
        <f ca="1">IFERROR(IF(ISNUMBER($EJ$22),INDEX('1.Locations'!$I$2:$I$32,$EC$22 + 1) + MAX($EJ$22,INDEX('1.Locations'!$F$2:$F$32,$EC$22 + 1))," ")," ")</f>
        <v xml:space="preserve"> </v>
      </c>
      <c r="EL22" s="46" t="str">
        <f ca="1">IFERROR($EL$21 + INDEX('2.Distances'!$D$2:$D$963,$EC$21*31+$EC$22+ 1) + INDEX('1.Locations'!$I$2:$I$32,$EC$22 + 1)," ")</f>
        <v xml:space="preserve"> </v>
      </c>
      <c r="EN22" s="19">
        <v>17</v>
      </c>
      <c r="EO22" s="20"/>
      <c r="EP22" s="44" t="str">
        <f ca="1">IFERROR(MATCH(INDIRECT("$EO$22"),'1.Locations'!$B$2:$B$32, 0) - 1," ")</f>
        <v xml:space="preserve"> </v>
      </c>
      <c r="EQ22" s="44" t="e">
        <f ca="1">IFERROR(IF(ISNUMBER($EP$22),INDEX('1.Locations'!$D$2:$D$32,$EP$22 + 1),NA()),NA())</f>
        <v>#N/A</v>
      </c>
      <c r="ER22" s="44" t="e">
        <f ca="1">IFERROR(IF(ISNUMBER($EP$22),INDEX('1.Locations'!$E$2:$E$32,$EP$22 + 1),NA()),NA())</f>
        <v>#N/A</v>
      </c>
      <c r="ES22" s="45" t="str">
        <f ca="1">IFERROR(IF(AND(ISNUMBER($EP$22),$EP$22&lt;=30),INDEX('2.Distances'!$C$2:$C$963,$EP$21*31+$EP$22+ 1) +$ES$21," ")," ")</f>
        <v xml:space="preserve"> </v>
      </c>
      <c r="ET22" s="44" t="str">
        <f ca="1">IFERROR(IF(ISNUMBER($EP$22),INDEX('1.Locations'!$J$2:$J$32,$EP$22 + 1) +$ET$21," ")," ")</f>
        <v xml:space="preserve"> </v>
      </c>
      <c r="EU22" s="44" t="str">
        <f ca="1">IFERROR(IF(ISNUMBER($EP$22),INDEX('1.Locations'!$K$2:$K$32,$EP$22 + 1) +$EU$21," ")," ")</f>
        <v xml:space="preserve"> </v>
      </c>
      <c r="EV22" s="46" t="str">
        <f ca="1">IFERROR(IF(AND(ISNUMBER($EP$22),$EP$22&lt;=30),INDEX('2.Distances'!$D$2:$D$963,$EP$21*31+$EP$22+ 1) +$EV$21," ")," ")</f>
        <v xml:space="preserve"> </v>
      </c>
      <c r="EW22" s="47" t="str">
        <f ca="1">IFERROR(IF(AND(ISNUMBER($EP$22),$EP$22&lt;=30),INDEX('2.Distances'!$D$2:$D$963,$EP$21*31+$EP$22+ 1) +$EX$21," ")," ")</f>
        <v xml:space="preserve"> </v>
      </c>
      <c r="EX22" s="47" t="str">
        <f ca="1">IFERROR(IF(ISNUMBER($EW$22),INDEX('1.Locations'!$I$2:$I$32,$EP$22 + 1) + MAX($EW$22,INDEX('1.Locations'!$F$2:$F$32,$EP$22 + 1))," ")," ")</f>
        <v xml:space="preserve"> </v>
      </c>
      <c r="EY22" s="46" t="str">
        <f ca="1">IFERROR($EY$21 + INDEX('2.Distances'!$D$2:$D$963,$EP$21*31+$EP$22+ 1) + INDEX('1.Locations'!$I$2:$I$32,$EP$22 + 1)," ")</f>
        <v xml:space="preserve"> </v>
      </c>
    </row>
    <row r="23" spans="1:155" x14ac:dyDescent="0.2">
      <c r="A23" s="19">
        <v>18</v>
      </c>
      <c r="B23" s="20"/>
      <c r="C23" s="44" t="str">
        <f ca="1">IFERROR(MATCH(INDIRECT("$B$23"),'1.Locations'!$B$2:$B$32, 0) - 1," ")</f>
        <v xml:space="preserve"> </v>
      </c>
      <c r="D23" s="44" t="e">
        <f ca="1">IFERROR(IF(ISNUMBER($C$23),INDEX('1.Locations'!$D$2:$D$32,$C$23 + 1),NA()),NA())</f>
        <v>#N/A</v>
      </c>
      <c r="E23" s="44" t="e">
        <f ca="1">IFERROR(IF(ISNUMBER($C$23),INDEX('1.Locations'!$E$2:$E$32,$C$23 + 1),NA()),NA())</f>
        <v>#N/A</v>
      </c>
      <c r="F23" s="45" t="str">
        <f ca="1">IFERROR(IF(AND(ISNUMBER($C$23),$C$23&lt;=30),INDEX('2.Distances'!$C$2:$C$963,$C$22*31+$C$23+ 1) +$F$22," ")," ")</f>
        <v xml:space="preserve"> </v>
      </c>
      <c r="G23" s="44" t="str">
        <f ca="1">IFERROR(IF(ISNUMBER($C$23),INDEX('1.Locations'!$J$2:$J$32,$C$23 + 1) +$G$22," ")," ")</f>
        <v xml:space="preserve"> </v>
      </c>
      <c r="H23" s="44" t="str">
        <f ca="1">IFERROR(IF(ISNUMBER($C$23),INDEX('1.Locations'!$K$2:$K$32,$C$23 + 1) +$H$22," ")," ")</f>
        <v xml:space="preserve"> </v>
      </c>
      <c r="I23" s="46" t="str">
        <f ca="1">IFERROR(IF(AND(ISNUMBER($C$23),$C$23&lt;=30),INDEX('2.Distances'!$D$2:$D$963,$C$22*31+$C$23+ 1) +$I$22," ")," ")</f>
        <v xml:space="preserve"> </v>
      </c>
      <c r="J23" s="47" t="str">
        <f ca="1">IFERROR(IF(AND(ISNUMBER($C$23),$C$23&lt;=30),INDEX('2.Distances'!$D$2:$D$963,$C$22*31+$C$23+ 1) +$K$22," ")," ")</f>
        <v xml:space="preserve"> </v>
      </c>
      <c r="K23" s="47" t="str">
        <f ca="1">IFERROR(IF(ISNUMBER($J$23),INDEX('1.Locations'!$I$2:$I$32,$C$23 + 1) + MAX($J$23,INDEX('1.Locations'!$F$2:$F$32,$C$23 + 1))," ")," ")</f>
        <v xml:space="preserve"> </v>
      </c>
      <c r="L23" s="46" t="str">
        <f ca="1">IFERROR($L$22 + INDEX('2.Distances'!$D$2:$D$963,$C$22*31+$C$23+ 1) + INDEX('1.Locations'!$I$2:$I$32,$C$23 + 1)," ")</f>
        <v xml:space="preserve"> </v>
      </c>
      <c r="N23" s="19">
        <v>18</v>
      </c>
      <c r="O23" s="20"/>
      <c r="P23" s="44" t="str">
        <f ca="1">IFERROR(MATCH(INDIRECT("$O$23"),'1.Locations'!$B$2:$B$32, 0) - 1," ")</f>
        <v xml:space="preserve"> </v>
      </c>
      <c r="Q23" s="44" t="e">
        <f ca="1">IFERROR(IF(ISNUMBER($P$23),INDEX('1.Locations'!$D$2:$D$32,$P$23 + 1),NA()),NA())</f>
        <v>#N/A</v>
      </c>
      <c r="R23" s="44" t="e">
        <f ca="1">IFERROR(IF(ISNUMBER($P$23),INDEX('1.Locations'!$E$2:$E$32,$P$23 + 1),NA()),NA())</f>
        <v>#N/A</v>
      </c>
      <c r="S23" s="45" t="str">
        <f ca="1">IFERROR(IF(AND(ISNUMBER($P$23),$P$23&lt;=30),INDEX('2.Distances'!$C$2:$C$963,$P$22*31+$P$23+ 1) +$S$22," ")," ")</f>
        <v xml:space="preserve"> </v>
      </c>
      <c r="T23" s="44" t="str">
        <f ca="1">IFERROR(IF(ISNUMBER($P$23),INDEX('1.Locations'!$J$2:$J$32,$P$23 + 1) +$T$22," ")," ")</f>
        <v xml:space="preserve"> </v>
      </c>
      <c r="U23" s="44" t="str">
        <f ca="1">IFERROR(IF(ISNUMBER($P$23),INDEX('1.Locations'!$K$2:$K$32,$P$23 + 1) +$U$22," ")," ")</f>
        <v xml:space="preserve"> </v>
      </c>
      <c r="V23" s="46" t="str">
        <f ca="1">IFERROR(IF(AND(ISNUMBER($P$23),$P$23&lt;=30),INDEX('2.Distances'!$D$2:$D$963,$P$22*31+$P$23+ 1) +$V$22," ")," ")</f>
        <v xml:space="preserve"> </v>
      </c>
      <c r="W23" s="47" t="str">
        <f ca="1">IFERROR(IF(AND(ISNUMBER($P$23),$P$23&lt;=30),INDEX('2.Distances'!$D$2:$D$963,$P$22*31+$P$23+ 1) +$X$22," ")," ")</f>
        <v xml:space="preserve"> </v>
      </c>
      <c r="X23" s="47" t="str">
        <f ca="1">IFERROR(IF(ISNUMBER($W$23),INDEX('1.Locations'!$I$2:$I$32,$P$23 + 1) + MAX($W$23,INDEX('1.Locations'!$F$2:$F$32,$P$23 + 1))," ")," ")</f>
        <v xml:space="preserve"> </v>
      </c>
      <c r="Y23" s="46" t="str">
        <f ca="1">IFERROR($Y$22 + INDEX('2.Distances'!$D$2:$D$963,$P$22*31+$P$23+ 1) + INDEX('1.Locations'!$I$2:$I$32,$P$23 + 1)," ")</f>
        <v xml:space="preserve"> </v>
      </c>
      <c r="AA23" s="19">
        <v>18</v>
      </c>
      <c r="AB23" s="20"/>
      <c r="AC23" s="44" t="str">
        <f ca="1">IFERROR(MATCH(INDIRECT("$AB$23"),'1.Locations'!$B$2:$B$32, 0) - 1," ")</f>
        <v xml:space="preserve"> </v>
      </c>
      <c r="AD23" s="44" t="e">
        <f ca="1">IFERROR(IF(ISNUMBER($AC$23),INDEX('1.Locations'!$D$2:$D$32,$AC$23 + 1),NA()),NA())</f>
        <v>#N/A</v>
      </c>
      <c r="AE23" s="44" t="e">
        <f ca="1">IFERROR(IF(ISNUMBER($AC$23),INDEX('1.Locations'!$E$2:$E$32,$AC$23 + 1),NA()),NA())</f>
        <v>#N/A</v>
      </c>
      <c r="AF23" s="45" t="str">
        <f ca="1">IFERROR(IF(AND(ISNUMBER($AC$23),$AC$23&lt;=30),INDEX('2.Distances'!$C$2:$C$963,$AC$22*31+$AC$23+ 1) +$AF$22," ")," ")</f>
        <v xml:space="preserve"> </v>
      </c>
      <c r="AG23" s="44" t="str">
        <f ca="1">IFERROR(IF(ISNUMBER($AC$23),INDEX('1.Locations'!$J$2:$J$32,$AC$23 + 1) +$AG$22," ")," ")</f>
        <v xml:space="preserve"> </v>
      </c>
      <c r="AH23" s="44" t="str">
        <f ca="1">IFERROR(IF(ISNUMBER($AC$23),INDEX('1.Locations'!$K$2:$K$32,$AC$23 + 1) +$AH$22," ")," ")</f>
        <v xml:space="preserve"> </v>
      </c>
      <c r="AI23" s="46" t="str">
        <f ca="1">IFERROR(IF(AND(ISNUMBER($AC$23),$AC$23&lt;=30),INDEX('2.Distances'!$D$2:$D$963,$AC$22*31+$AC$23+ 1) +$AI$22," ")," ")</f>
        <v xml:space="preserve"> </v>
      </c>
      <c r="AJ23" s="47" t="str">
        <f ca="1">IFERROR(IF(AND(ISNUMBER($AC$23),$AC$23&lt;=30),INDEX('2.Distances'!$D$2:$D$963,$AC$22*31+$AC$23+ 1) +$AK$22," ")," ")</f>
        <v xml:space="preserve"> </v>
      </c>
      <c r="AK23" s="47" t="str">
        <f ca="1">IFERROR(IF(ISNUMBER($AJ$23),INDEX('1.Locations'!$I$2:$I$32,$AC$23 + 1) + MAX($AJ$23,INDEX('1.Locations'!$F$2:$F$32,$AC$23 + 1))," ")," ")</f>
        <v xml:space="preserve"> </v>
      </c>
      <c r="AL23" s="46" t="str">
        <f ca="1">IFERROR($AL$22 + INDEX('2.Distances'!$D$2:$D$963,$AC$22*31+$AC$23+ 1) + INDEX('1.Locations'!$I$2:$I$32,$AC$23 + 1)," ")</f>
        <v xml:space="preserve"> </v>
      </c>
      <c r="AN23" s="19">
        <v>18</v>
      </c>
      <c r="AO23" s="20"/>
      <c r="AP23" s="44" t="str">
        <f ca="1">IFERROR(MATCH(INDIRECT("$AO$23"),'1.Locations'!$B$2:$B$32, 0) - 1," ")</f>
        <v xml:space="preserve"> </v>
      </c>
      <c r="AQ23" s="44" t="e">
        <f ca="1">IFERROR(IF(ISNUMBER($AP$23),INDEX('1.Locations'!$D$2:$D$32,$AP$23 + 1),NA()),NA())</f>
        <v>#N/A</v>
      </c>
      <c r="AR23" s="44" t="e">
        <f ca="1">IFERROR(IF(ISNUMBER($AP$23),INDEX('1.Locations'!$E$2:$E$32,$AP$23 + 1),NA()),NA())</f>
        <v>#N/A</v>
      </c>
      <c r="AS23" s="45" t="str">
        <f ca="1">IFERROR(IF(AND(ISNUMBER($AP$23),$AP$23&lt;=30),INDEX('2.Distances'!$C$2:$C$963,$AP$22*31+$AP$23+ 1) +$AS$22," ")," ")</f>
        <v xml:space="preserve"> </v>
      </c>
      <c r="AT23" s="44" t="str">
        <f ca="1">IFERROR(IF(ISNUMBER($AP$23),INDEX('1.Locations'!$J$2:$J$32,$AP$23 + 1) +$AT$22," ")," ")</f>
        <v xml:space="preserve"> </v>
      </c>
      <c r="AU23" s="44" t="str">
        <f ca="1">IFERROR(IF(ISNUMBER($AP$23),INDEX('1.Locations'!$K$2:$K$32,$AP$23 + 1) +$AU$22," ")," ")</f>
        <v xml:space="preserve"> </v>
      </c>
      <c r="AV23" s="46" t="str">
        <f ca="1">IFERROR(IF(AND(ISNUMBER($AP$23),$AP$23&lt;=30),INDEX('2.Distances'!$D$2:$D$963,$AP$22*31+$AP$23+ 1) +$AV$22," ")," ")</f>
        <v xml:space="preserve"> </v>
      </c>
      <c r="AW23" s="47" t="str">
        <f ca="1">IFERROR(IF(AND(ISNUMBER($AP$23),$AP$23&lt;=30),INDEX('2.Distances'!$D$2:$D$963,$AP$22*31+$AP$23+ 1) +$AX$22," ")," ")</f>
        <v xml:space="preserve"> </v>
      </c>
      <c r="AX23" s="47" t="str">
        <f ca="1">IFERROR(IF(ISNUMBER($AW$23),INDEX('1.Locations'!$I$2:$I$32,$AP$23 + 1) + MAX($AW$23,INDEX('1.Locations'!$F$2:$F$32,$AP$23 + 1))," ")," ")</f>
        <v xml:space="preserve"> </v>
      </c>
      <c r="AY23" s="46" t="str">
        <f ca="1">IFERROR($AY$22 + INDEX('2.Distances'!$D$2:$D$963,$AP$22*31+$AP$23+ 1) + INDEX('1.Locations'!$I$2:$I$32,$AP$23 + 1)," ")</f>
        <v xml:space="preserve"> </v>
      </c>
      <c r="BA23" s="19">
        <v>18</v>
      </c>
      <c r="BB23" s="20"/>
      <c r="BC23" s="44" t="str">
        <f ca="1">IFERROR(MATCH(INDIRECT("$BB$23"),'1.Locations'!$B$2:$B$32, 0) - 1," ")</f>
        <v xml:space="preserve"> </v>
      </c>
      <c r="BD23" s="44" t="e">
        <f ca="1">IFERROR(IF(ISNUMBER($BC$23),INDEX('1.Locations'!$D$2:$D$32,$BC$23 + 1),NA()),NA())</f>
        <v>#N/A</v>
      </c>
      <c r="BE23" s="44" t="e">
        <f ca="1">IFERROR(IF(ISNUMBER($BC$23),INDEX('1.Locations'!$E$2:$E$32,$BC$23 + 1),NA()),NA())</f>
        <v>#N/A</v>
      </c>
      <c r="BF23" s="45" t="str">
        <f ca="1">IFERROR(IF(AND(ISNUMBER($BC$23),$BC$23&lt;=30),INDEX('2.Distances'!$C$2:$C$963,$BC$22*31+$BC$23+ 1) +$BF$22," ")," ")</f>
        <v xml:space="preserve"> </v>
      </c>
      <c r="BG23" s="44" t="str">
        <f ca="1">IFERROR(IF(ISNUMBER($BC$23),INDEX('1.Locations'!$J$2:$J$32,$BC$23 + 1) +$BG$22," ")," ")</f>
        <v xml:space="preserve"> </v>
      </c>
      <c r="BH23" s="44" t="str">
        <f ca="1">IFERROR(IF(ISNUMBER($BC$23),INDEX('1.Locations'!$K$2:$K$32,$BC$23 + 1) +$BH$22," ")," ")</f>
        <v xml:space="preserve"> </v>
      </c>
      <c r="BI23" s="46" t="str">
        <f ca="1">IFERROR(IF(AND(ISNUMBER($BC$23),$BC$23&lt;=30),INDEX('2.Distances'!$D$2:$D$963,$BC$22*31+$BC$23+ 1) +$BI$22," ")," ")</f>
        <v xml:space="preserve"> </v>
      </c>
      <c r="BJ23" s="47" t="str">
        <f ca="1">IFERROR(IF(AND(ISNUMBER($BC$23),$BC$23&lt;=30),INDEX('2.Distances'!$D$2:$D$963,$BC$22*31+$BC$23+ 1) +$BK$22," ")," ")</f>
        <v xml:space="preserve"> </v>
      </c>
      <c r="BK23" s="47" t="str">
        <f ca="1">IFERROR(IF(ISNUMBER($BJ$23),INDEX('1.Locations'!$I$2:$I$32,$BC$23 + 1) + MAX($BJ$23,INDEX('1.Locations'!$F$2:$F$32,$BC$23 + 1))," ")," ")</f>
        <v xml:space="preserve"> </v>
      </c>
      <c r="BL23" s="46" t="str">
        <f ca="1">IFERROR($BL$22 + INDEX('2.Distances'!$D$2:$D$963,$BC$22*31+$BC$23+ 1) + INDEX('1.Locations'!$I$2:$I$32,$BC$23 + 1)," ")</f>
        <v xml:space="preserve"> </v>
      </c>
      <c r="BN23" s="19">
        <v>18</v>
      </c>
      <c r="BO23" s="20"/>
      <c r="BP23" s="44" t="str">
        <f ca="1">IFERROR(MATCH(INDIRECT("$BO$23"),'1.Locations'!$B$2:$B$32, 0) - 1," ")</f>
        <v xml:space="preserve"> </v>
      </c>
      <c r="BQ23" s="44" t="e">
        <f ca="1">IFERROR(IF(ISNUMBER($BP$23),INDEX('1.Locations'!$D$2:$D$32,$BP$23 + 1),NA()),NA())</f>
        <v>#N/A</v>
      </c>
      <c r="BR23" s="44" t="e">
        <f ca="1">IFERROR(IF(ISNUMBER($BP$23),INDEX('1.Locations'!$E$2:$E$32,$BP$23 + 1),NA()),NA())</f>
        <v>#N/A</v>
      </c>
      <c r="BS23" s="45" t="str">
        <f ca="1">IFERROR(IF(AND(ISNUMBER($BP$23),$BP$23&lt;=30),INDEX('2.Distances'!$C$2:$C$963,$BP$22*31+$BP$23+ 1) +$BS$22," ")," ")</f>
        <v xml:space="preserve"> </v>
      </c>
      <c r="BT23" s="44" t="str">
        <f ca="1">IFERROR(IF(ISNUMBER($BP$23),INDEX('1.Locations'!$J$2:$J$32,$BP$23 + 1) +$BT$22," ")," ")</f>
        <v xml:space="preserve"> </v>
      </c>
      <c r="BU23" s="44" t="str">
        <f ca="1">IFERROR(IF(ISNUMBER($BP$23),INDEX('1.Locations'!$K$2:$K$32,$BP$23 + 1) +$BU$22," ")," ")</f>
        <v xml:space="preserve"> </v>
      </c>
      <c r="BV23" s="46" t="str">
        <f ca="1">IFERROR(IF(AND(ISNUMBER($BP$23),$BP$23&lt;=30),INDEX('2.Distances'!$D$2:$D$963,$BP$22*31+$BP$23+ 1) +$BV$22," ")," ")</f>
        <v xml:space="preserve"> </v>
      </c>
      <c r="BW23" s="47" t="str">
        <f ca="1">IFERROR(IF(AND(ISNUMBER($BP$23),$BP$23&lt;=30),INDEX('2.Distances'!$D$2:$D$963,$BP$22*31+$BP$23+ 1) +$BX$22," ")," ")</f>
        <v xml:space="preserve"> </v>
      </c>
      <c r="BX23" s="47" t="str">
        <f ca="1">IFERROR(IF(ISNUMBER($BW$23),INDEX('1.Locations'!$I$2:$I$32,$BP$23 + 1) + MAX($BW$23,INDEX('1.Locations'!$F$2:$F$32,$BP$23 + 1))," ")," ")</f>
        <v xml:space="preserve"> </v>
      </c>
      <c r="BY23" s="46" t="str">
        <f ca="1">IFERROR($BY$22 + INDEX('2.Distances'!$D$2:$D$963,$BP$22*31+$BP$23+ 1) + INDEX('1.Locations'!$I$2:$I$32,$BP$23 + 1)," ")</f>
        <v xml:space="preserve"> </v>
      </c>
      <c r="CA23" s="19">
        <v>18</v>
      </c>
      <c r="CB23" s="20"/>
      <c r="CC23" s="44" t="str">
        <f ca="1">IFERROR(MATCH(INDIRECT("$CB$23"),'1.Locations'!$B$2:$B$32, 0) - 1," ")</f>
        <v xml:space="preserve"> </v>
      </c>
      <c r="CD23" s="44" t="e">
        <f ca="1">IFERROR(IF(ISNUMBER($CC$23),INDEX('1.Locations'!$D$2:$D$32,$CC$23 + 1),NA()),NA())</f>
        <v>#N/A</v>
      </c>
      <c r="CE23" s="44" t="e">
        <f ca="1">IFERROR(IF(ISNUMBER($CC$23),INDEX('1.Locations'!$E$2:$E$32,$CC$23 + 1),NA()),NA())</f>
        <v>#N/A</v>
      </c>
      <c r="CF23" s="45" t="str">
        <f ca="1">IFERROR(IF(AND(ISNUMBER($CC$23),$CC$23&lt;=30),INDEX('2.Distances'!$C$2:$C$963,$CC$22*31+$CC$23+ 1) +$CF$22," ")," ")</f>
        <v xml:space="preserve"> </v>
      </c>
      <c r="CG23" s="44" t="str">
        <f ca="1">IFERROR(IF(ISNUMBER($CC$23),INDEX('1.Locations'!$J$2:$J$32,$CC$23 + 1) +$CG$22," ")," ")</f>
        <v xml:space="preserve"> </v>
      </c>
      <c r="CH23" s="44" t="str">
        <f ca="1">IFERROR(IF(ISNUMBER($CC$23),INDEX('1.Locations'!$K$2:$K$32,$CC$23 + 1) +$CH$22," ")," ")</f>
        <v xml:space="preserve"> </v>
      </c>
      <c r="CI23" s="46" t="str">
        <f ca="1">IFERROR(IF(AND(ISNUMBER($CC$23),$CC$23&lt;=30),INDEX('2.Distances'!$D$2:$D$963,$CC$22*31+$CC$23+ 1) +$CI$22," ")," ")</f>
        <v xml:space="preserve"> </v>
      </c>
      <c r="CJ23" s="47" t="str">
        <f ca="1">IFERROR(IF(AND(ISNUMBER($CC$23),$CC$23&lt;=30),INDEX('2.Distances'!$D$2:$D$963,$CC$22*31+$CC$23+ 1) +$CK$22," ")," ")</f>
        <v xml:space="preserve"> </v>
      </c>
      <c r="CK23" s="47" t="str">
        <f ca="1">IFERROR(IF(ISNUMBER($CJ$23),INDEX('1.Locations'!$I$2:$I$32,$CC$23 + 1) + MAX($CJ$23,INDEX('1.Locations'!$F$2:$F$32,$CC$23 + 1))," ")," ")</f>
        <v xml:space="preserve"> </v>
      </c>
      <c r="CL23" s="46" t="str">
        <f ca="1">IFERROR($CL$22 + INDEX('2.Distances'!$D$2:$D$963,$CC$22*31+$CC$23+ 1) + INDEX('1.Locations'!$I$2:$I$32,$CC$23 + 1)," ")</f>
        <v xml:space="preserve"> </v>
      </c>
      <c r="CN23" s="19">
        <v>18</v>
      </c>
      <c r="CO23" s="20"/>
      <c r="CP23" s="44" t="str">
        <f ca="1">IFERROR(MATCH(INDIRECT("$CO$23"),'1.Locations'!$B$2:$B$32, 0) - 1," ")</f>
        <v xml:space="preserve"> </v>
      </c>
      <c r="CQ23" s="44" t="e">
        <f ca="1">IFERROR(IF(ISNUMBER($CP$23),INDEX('1.Locations'!$D$2:$D$32,$CP$23 + 1),NA()),NA())</f>
        <v>#N/A</v>
      </c>
      <c r="CR23" s="44" t="e">
        <f ca="1">IFERROR(IF(ISNUMBER($CP$23),INDEX('1.Locations'!$E$2:$E$32,$CP$23 + 1),NA()),NA())</f>
        <v>#N/A</v>
      </c>
      <c r="CS23" s="45" t="str">
        <f ca="1">IFERROR(IF(AND(ISNUMBER($CP$23),$CP$23&lt;=30),INDEX('2.Distances'!$C$2:$C$963,$CP$22*31+$CP$23+ 1) +$CS$22," ")," ")</f>
        <v xml:space="preserve"> </v>
      </c>
      <c r="CT23" s="44" t="str">
        <f ca="1">IFERROR(IF(ISNUMBER($CP$23),INDEX('1.Locations'!$J$2:$J$32,$CP$23 + 1) +$CT$22," ")," ")</f>
        <v xml:space="preserve"> </v>
      </c>
      <c r="CU23" s="44" t="str">
        <f ca="1">IFERROR(IF(ISNUMBER($CP$23),INDEX('1.Locations'!$K$2:$K$32,$CP$23 + 1) +$CU$22," ")," ")</f>
        <v xml:space="preserve"> </v>
      </c>
      <c r="CV23" s="46" t="str">
        <f ca="1">IFERROR(IF(AND(ISNUMBER($CP$23),$CP$23&lt;=30),INDEX('2.Distances'!$D$2:$D$963,$CP$22*31+$CP$23+ 1) +$CV$22," ")," ")</f>
        <v xml:space="preserve"> </v>
      </c>
      <c r="CW23" s="47" t="str">
        <f ca="1">IFERROR(IF(AND(ISNUMBER($CP$23),$CP$23&lt;=30),INDEX('2.Distances'!$D$2:$D$963,$CP$22*31+$CP$23+ 1) +$CX$22," ")," ")</f>
        <v xml:space="preserve"> </v>
      </c>
      <c r="CX23" s="47" t="str">
        <f ca="1">IFERROR(IF(ISNUMBER($CW$23),INDEX('1.Locations'!$I$2:$I$32,$CP$23 + 1) + MAX($CW$23,INDEX('1.Locations'!$F$2:$F$32,$CP$23 + 1))," ")," ")</f>
        <v xml:space="preserve"> </v>
      </c>
      <c r="CY23" s="46" t="str">
        <f ca="1">IFERROR($CY$22 + INDEX('2.Distances'!$D$2:$D$963,$CP$22*31+$CP$23+ 1) + INDEX('1.Locations'!$I$2:$I$32,$CP$23 + 1)," ")</f>
        <v xml:space="preserve"> </v>
      </c>
      <c r="DA23" s="19">
        <v>18</v>
      </c>
      <c r="DB23" s="20"/>
      <c r="DC23" s="44" t="str">
        <f ca="1">IFERROR(MATCH(INDIRECT("$DB$23"),'1.Locations'!$B$2:$B$32, 0) - 1," ")</f>
        <v xml:space="preserve"> </v>
      </c>
      <c r="DD23" s="44" t="e">
        <f ca="1">IFERROR(IF(ISNUMBER($DC$23),INDEX('1.Locations'!$D$2:$D$32,$DC$23 + 1),NA()),NA())</f>
        <v>#N/A</v>
      </c>
      <c r="DE23" s="44" t="e">
        <f ca="1">IFERROR(IF(ISNUMBER($DC$23),INDEX('1.Locations'!$E$2:$E$32,$DC$23 + 1),NA()),NA())</f>
        <v>#N/A</v>
      </c>
      <c r="DF23" s="45" t="str">
        <f ca="1">IFERROR(IF(AND(ISNUMBER($DC$23),$DC$23&lt;=30),INDEX('2.Distances'!$C$2:$C$963,$DC$22*31+$DC$23+ 1) +$DF$22," ")," ")</f>
        <v xml:space="preserve"> </v>
      </c>
      <c r="DG23" s="44" t="str">
        <f ca="1">IFERROR(IF(ISNUMBER($DC$23),INDEX('1.Locations'!$J$2:$J$32,$DC$23 + 1) +$DG$22," ")," ")</f>
        <v xml:space="preserve"> </v>
      </c>
      <c r="DH23" s="44" t="str">
        <f ca="1">IFERROR(IF(ISNUMBER($DC$23),INDEX('1.Locations'!$K$2:$K$32,$DC$23 + 1) +$DH$22," ")," ")</f>
        <v xml:space="preserve"> </v>
      </c>
      <c r="DI23" s="46" t="str">
        <f ca="1">IFERROR(IF(AND(ISNUMBER($DC$23),$DC$23&lt;=30),INDEX('2.Distances'!$D$2:$D$963,$DC$22*31+$DC$23+ 1) +$DI$22," ")," ")</f>
        <v xml:space="preserve"> </v>
      </c>
      <c r="DJ23" s="47" t="str">
        <f ca="1">IFERROR(IF(AND(ISNUMBER($DC$23),$DC$23&lt;=30),INDEX('2.Distances'!$D$2:$D$963,$DC$22*31+$DC$23+ 1) +$DK$22," ")," ")</f>
        <v xml:space="preserve"> </v>
      </c>
      <c r="DK23" s="47" t="str">
        <f ca="1">IFERROR(IF(ISNUMBER($DJ$23),INDEX('1.Locations'!$I$2:$I$32,$DC$23 + 1) + MAX($DJ$23,INDEX('1.Locations'!$F$2:$F$32,$DC$23 + 1))," ")," ")</f>
        <v xml:space="preserve"> </v>
      </c>
      <c r="DL23" s="46" t="str">
        <f ca="1">IFERROR($DL$22 + INDEX('2.Distances'!$D$2:$D$963,$DC$22*31+$DC$23+ 1) + INDEX('1.Locations'!$I$2:$I$32,$DC$23 + 1)," ")</f>
        <v xml:space="preserve"> </v>
      </c>
      <c r="DN23" s="19">
        <v>18</v>
      </c>
      <c r="DO23" s="20"/>
      <c r="DP23" s="44" t="str">
        <f ca="1">IFERROR(MATCH(INDIRECT("$DO$23"),'1.Locations'!$B$2:$B$32, 0) - 1," ")</f>
        <v xml:space="preserve"> </v>
      </c>
      <c r="DQ23" s="44" t="e">
        <f ca="1">IFERROR(IF(ISNUMBER($DP$23),INDEX('1.Locations'!$D$2:$D$32,$DP$23 + 1),NA()),NA())</f>
        <v>#N/A</v>
      </c>
      <c r="DR23" s="44" t="e">
        <f ca="1">IFERROR(IF(ISNUMBER($DP$23),INDEX('1.Locations'!$E$2:$E$32,$DP$23 + 1),NA()),NA())</f>
        <v>#N/A</v>
      </c>
      <c r="DS23" s="45" t="str">
        <f ca="1">IFERROR(IF(AND(ISNUMBER($DP$23),$DP$23&lt;=30),INDEX('2.Distances'!$C$2:$C$963,$DP$22*31+$DP$23+ 1) +$DS$22," ")," ")</f>
        <v xml:space="preserve"> </v>
      </c>
      <c r="DT23" s="44" t="str">
        <f ca="1">IFERROR(IF(ISNUMBER($DP$23),INDEX('1.Locations'!$J$2:$J$32,$DP$23 + 1) +$DT$22," ")," ")</f>
        <v xml:space="preserve"> </v>
      </c>
      <c r="DU23" s="44" t="str">
        <f ca="1">IFERROR(IF(ISNUMBER($DP$23),INDEX('1.Locations'!$K$2:$K$32,$DP$23 + 1) +$DU$22," ")," ")</f>
        <v xml:space="preserve"> </v>
      </c>
      <c r="DV23" s="46" t="str">
        <f ca="1">IFERROR(IF(AND(ISNUMBER($DP$23),$DP$23&lt;=30),INDEX('2.Distances'!$D$2:$D$963,$DP$22*31+$DP$23+ 1) +$DV$22," ")," ")</f>
        <v xml:space="preserve"> </v>
      </c>
      <c r="DW23" s="47" t="str">
        <f ca="1">IFERROR(IF(AND(ISNUMBER($DP$23),$DP$23&lt;=30),INDEX('2.Distances'!$D$2:$D$963,$DP$22*31+$DP$23+ 1) +$DX$22," ")," ")</f>
        <v xml:space="preserve"> </v>
      </c>
      <c r="DX23" s="47" t="str">
        <f ca="1">IFERROR(IF(ISNUMBER($DW$23),INDEX('1.Locations'!$I$2:$I$32,$DP$23 + 1) + MAX($DW$23,INDEX('1.Locations'!$F$2:$F$32,$DP$23 + 1))," ")," ")</f>
        <v xml:space="preserve"> </v>
      </c>
      <c r="DY23" s="46" t="str">
        <f ca="1">IFERROR($DY$22 + INDEX('2.Distances'!$D$2:$D$963,$DP$22*31+$DP$23+ 1) + INDEX('1.Locations'!$I$2:$I$32,$DP$23 + 1)," ")</f>
        <v xml:space="preserve"> </v>
      </c>
      <c r="EA23" s="19">
        <v>18</v>
      </c>
      <c r="EB23" s="20"/>
      <c r="EC23" s="44" t="str">
        <f ca="1">IFERROR(MATCH(INDIRECT("$EB$23"),'1.Locations'!$B$2:$B$32, 0) - 1," ")</f>
        <v xml:space="preserve"> </v>
      </c>
      <c r="ED23" s="44" t="e">
        <f ca="1">IFERROR(IF(ISNUMBER($EC$23),INDEX('1.Locations'!$D$2:$D$32,$EC$23 + 1),NA()),NA())</f>
        <v>#N/A</v>
      </c>
      <c r="EE23" s="44" t="e">
        <f ca="1">IFERROR(IF(ISNUMBER($EC$23),INDEX('1.Locations'!$E$2:$E$32,$EC$23 + 1),NA()),NA())</f>
        <v>#N/A</v>
      </c>
      <c r="EF23" s="45" t="str">
        <f ca="1">IFERROR(IF(AND(ISNUMBER($EC$23),$EC$23&lt;=30),INDEX('2.Distances'!$C$2:$C$963,$EC$22*31+$EC$23+ 1) +$EF$22," ")," ")</f>
        <v xml:space="preserve"> </v>
      </c>
      <c r="EG23" s="44" t="str">
        <f ca="1">IFERROR(IF(ISNUMBER($EC$23),INDEX('1.Locations'!$J$2:$J$32,$EC$23 + 1) +$EG$22," ")," ")</f>
        <v xml:space="preserve"> </v>
      </c>
      <c r="EH23" s="44" t="str">
        <f ca="1">IFERROR(IF(ISNUMBER($EC$23),INDEX('1.Locations'!$K$2:$K$32,$EC$23 + 1) +$EH$22," ")," ")</f>
        <v xml:space="preserve"> </v>
      </c>
      <c r="EI23" s="46" t="str">
        <f ca="1">IFERROR(IF(AND(ISNUMBER($EC$23),$EC$23&lt;=30),INDEX('2.Distances'!$D$2:$D$963,$EC$22*31+$EC$23+ 1) +$EI$22," ")," ")</f>
        <v xml:space="preserve"> </v>
      </c>
      <c r="EJ23" s="47" t="str">
        <f ca="1">IFERROR(IF(AND(ISNUMBER($EC$23),$EC$23&lt;=30),INDEX('2.Distances'!$D$2:$D$963,$EC$22*31+$EC$23+ 1) +$EK$22," ")," ")</f>
        <v xml:space="preserve"> </v>
      </c>
      <c r="EK23" s="47" t="str">
        <f ca="1">IFERROR(IF(ISNUMBER($EJ$23),INDEX('1.Locations'!$I$2:$I$32,$EC$23 + 1) + MAX($EJ$23,INDEX('1.Locations'!$F$2:$F$32,$EC$23 + 1))," ")," ")</f>
        <v xml:space="preserve"> </v>
      </c>
      <c r="EL23" s="46" t="str">
        <f ca="1">IFERROR($EL$22 + INDEX('2.Distances'!$D$2:$D$963,$EC$22*31+$EC$23+ 1) + INDEX('1.Locations'!$I$2:$I$32,$EC$23 + 1)," ")</f>
        <v xml:space="preserve"> </v>
      </c>
      <c r="EN23" s="19">
        <v>18</v>
      </c>
      <c r="EO23" s="20"/>
      <c r="EP23" s="44" t="str">
        <f ca="1">IFERROR(MATCH(INDIRECT("$EO$23"),'1.Locations'!$B$2:$B$32, 0) - 1," ")</f>
        <v xml:space="preserve"> </v>
      </c>
      <c r="EQ23" s="44" t="e">
        <f ca="1">IFERROR(IF(ISNUMBER($EP$23),INDEX('1.Locations'!$D$2:$D$32,$EP$23 + 1),NA()),NA())</f>
        <v>#N/A</v>
      </c>
      <c r="ER23" s="44" t="e">
        <f ca="1">IFERROR(IF(ISNUMBER($EP$23),INDEX('1.Locations'!$E$2:$E$32,$EP$23 + 1),NA()),NA())</f>
        <v>#N/A</v>
      </c>
      <c r="ES23" s="45" t="str">
        <f ca="1">IFERROR(IF(AND(ISNUMBER($EP$23),$EP$23&lt;=30),INDEX('2.Distances'!$C$2:$C$963,$EP$22*31+$EP$23+ 1) +$ES$22," ")," ")</f>
        <v xml:space="preserve"> </v>
      </c>
      <c r="ET23" s="44" t="str">
        <f ca="1">IFERROR(IF(ISNUMBER($EP$23),INDEX('1.Locations'!$J$2:$J$32,$EP$23 + 1) +$ET$22," ")," ")</f>
        <v xml:space="preserve"> </v>
      </c>
      <c r="EU23" s="44" t="str">
        <f ca="1">IFERROR(IF(ISNUMBER($EP$23),INDEX('1.Locations'!$K$2:$K$32,$EP$23 + 1) +$EU$22," ")," ")</f>
        <v xml:space="preserve"> </v>
      </c>
      <c r="EV23" s="46" t="str">
        <f ca="1">IFERROR(IF(AND(ISNUMBER($EP$23),$EP$23&lt;=30),INDEX('2.Distances'!$D$2:$D$963,$EP$22*31+$EP$23+ 1) +$EV$22," ")," ")</f>
        <v xml:space="preserve"> </v>
      </c>
      <c r="EW23" s="47" t="str">
        <f ca="1">IFERROR(IF(AND(ISNUMBER($EP$23),$EP$23&lt;=30),INDEX('2.Distances'!$D$2:$D$963,$EP$22*31+$EP$23+ 1) +$EX$22," ")," ")</f>
        <v xml:space="preserve"> </v>
      </c>
      <c r="EX23" s="47" t="str">
        <f ca="1">IFERROR(IF(ISNUMBER($EW$23),INDEX('1.Locations'!$I$2:$I$32,$EP$23 + 1) + MAX($EW$23,INDEX('1.Locations'!$F$2:$F$32,$EP$23 + 1))," ")," ")</f>
        <v xml:space="preserve"> </v>
      </c>
      <c r="EY23" s="46" t="str">
        <f ca="1">IFERROR($EY$22 + INDEX('2.Distances'!$D$2:$D$963,$EP$22*31+$EP$23+ 1) + INDEX('1.Locations'!$I$2:$I$32,$EP$23 + 1)," ")</f>
        <v xml:space="preserve"> </v>
      </c>
    </row>
    <row r="24" spans="1:155" x14ac:dyDescent="0.2">
      <c r="A24" s="19">
        <v>19</v>
      </c>
      <c r="B24" s="20"/>
      <c r="C24" s="44" t="str">
        <f ca="1">IFERROR(MATCH(INDIRECT("$B$24"),'1.Locations'!$B$2:$B$32, 0) - 1," ")</f>
        <v xml:space="preserve"> </v>
      </c>
      <c r="D24" s="44" t="e">
        <f ca="1">IFERROR(IF(ISNUMBER($C$24),INDEX('1.Locations'!$D$2:$D$32,$C$24 + 1),NA()),NA())</f>
        <v>#N/A</v>
      </c>
      <c r="E24" s="44" t="e">
        <f ca="1">IFERROR(IF(ISNUMBER($C$24),INDEX('1.Locations'!$E$2:$E$32,$C$24 + 1),NA()),NA())</f>
        <v>#N/A</v>
      </c>
      <c r="F24" s="45" t="str">
        <f ca="1">IFERROR(IF(AND(ISNUMBER($C$24),$C$24&lt;=30),INDEX('2.Distances'!$C$2:$C$963,$C$23*31+$C$24+ 1) +$F$23," ")," ")</f>
        <v xml:space="preserve"> </v>
      </c>
      <c r="G24" s="44" t="str">
        <f ca="1">IFERROR(IF(ISNUMBER($C$24),INDEX('1.Locations'!$J$2:$J$32,$C$24 + 1) +$G$23," ")," ")</f>
        <v xml:space="preserve"> </v>
      </c>
      <c r="H24" s="44" t="str">
        <f ca="1">IFERROR(IF(ISNUMBER($C$24),INDEX('1.Locations'!$K$2:$K$32,$C$24 + 1) +$H$23," ")," ")</f>
        <v xml:space="preserve"> </v>
      </c>
      <c r="I24" s="46" t="str">
        <f ca="1">IFERROR(IF(AND(ISNUMBER($C$24),$C$24&lt;=30),INDEX('2.Distances'!$D$2:$D$963,$C$23*31+$C$24+ 1) +$I$23," ")," ")</f>
        <v xml:space="preserve"> </v>
      </c>
      <c r="J24" s="47" t="str">
        <f ca="1">IFERROR(IF(AND(ISNUMBER($C$24),$C$24&lt;=30),INDEX('2.Distances'!$D$2:$D$963,$C$23*31+$C$24+ 1) +$K$23," ")," ")</f>
        <v xml:space="preserve"> </v>
      </c>
      <c r="K24" s="47" t="str">
        <f ca="1">IFERROR(IF(ISNUMBER($J$24),INDEX('1.Locations'!$I$2:$I$32,$C$24 + 1) + MAX($J$24,INDEX('1.Locations'!$F$2:$F$32,$C$24 + 1))," ")," ")</f>
        <v xml:space="preserve"> </v>
      </c>
      <c r="L24" s="46" t="str">
        <f ca="1">IFERROR($L$23 + INDEX('2.Distances'!$D$2:$D$963,$C$23*31+$C$24+ 1) + INDEX('1.Locations'!$I$2:$I$32,$C$24 + 1)," ")</f>
        <v xml:space="preserve"> </v>
      </c>
      <c r="N24" s="19">
        <v>19</v>
      </c>
      <c r="O24" s="20"/>
      <c r="P24" s="44" t="str">
        <f ca="1">IFERROR(MATCH(INDIRECT("$O$24"),'1.Locations'!$B$2:$B$32, 0) - 1," ")</f>
        <v xml:space="preserve"> </v>
      </c>
      <c r="Q24" s="44" t="e">
        <f ca="1">IFERROR(IF(ISNUMBER($P$24),INDEX('1.Locations'!$D$2:$D$32,$P$24 + 1),NA()),NA())</f>
        <v>#N/A</v>
      </c>
      <c r="R24" s="44" t="e">
        <f ca="1">IFERROR(IF(ISNUMBER($P$24),INDEX('1.Locations'!$E$2:$E$32,$P$24 + 1),NA()),NA())</f>
        <v>#N/A</v>
      </c>
      <c r="S24" s="45" t="str">
        <f ca="1">IFERROR(IF(AND(ISNUMBER($P$24),$P$24&lt;=30),INDEX('2.Distances'!$C$2:$C$963,$P$23*31+$P$24+ 1) +$S$23," ")," ")</f>
        <v xml:space="preserve"> </v>
      </c>
      <c r="T24" s="44" t="str">
        <f ca="1">IFERROR(IF(ISNUMBER($P$24),INDEX('1.Locations'!$J$2:$J$32,$P$24 + 1) +$T$23," ")," ")</f>
        <v xml:space="preserve"> </v>
      </c>
      <c r="U24" s="44" t="str">
        <f ca="1">IFERROR(IF(ISNUMBER($P$24),INDEX('1.Locations'!$K$2:$K$32,$P$24 + 1) +$U$23," ")," ")</f>
        <v xml:space="preserve"> </v>
      </c>
      <c r="V24" s="46" t="str">
        <f ca="1">IFERROR(IF(AND(ISNUMBER($P$24),$P$24&lt;=30),INDEX('2.Distances'!$D$2:$D$963,$P$23*31+$P$24+ 1) +$V$23," ")," ")</f>
        <v xml:space="preserve"> </v>
      </c>
      <c r="W24" s="47" t="str">
        <f ca="1">IFERROR(IF(AND(ISNUMBER($P$24),$P$24&lt;=30),INDEX('2.Distances'!$D$2:$D$963,$P$23*31+$P$24+ 1) +$X$23," ")," ")</f>
        <v xml:space="preserve"> </v>
      </c>
      <c r="X24" s="47" t="str">
        <f ca="1">IFERROR(IF(ISNUMBER($W$24),INDEX('1.Locations'!$I$2:$I$32,$P$24 + 1) + MAX($W$24,INDEX('1.Locations'!$F$2:$F$32,$P$24 + 1))," ")," ")</f>
        <v xml:space="preserve"> </v>
      </c>
      <c r="Y24" s="46" t="str">
        <f ca="1">IFERROR($Y$23 + INDEX('2.Distances'!$D$2:$D$963,$P$23*31+$P$24+ 1) + INDEX('1.Locations'!$I$2:$I$32,$P$24 + 1)," ")</f>
        <v xml:space="preserve"> </v>
      </c>
      <c r="AA24" s="19">
        <v>19</v>
      </c>
      <c r="AB24" s="20"/>
      <c r="AC24" s="44" t="str">
        <f ca="1">IFERROR(MATCH(INDIRECT("$AB$24"),'1.Locations'!$B$2:$B$32, 0) - 1," ")</f>
        <v xml:space="preserve"> </v>
      </c>
      <c r="AD24" s="44" t="e">
        <f ca="1">IFERROR(IF(ISNUMBER($AC$24),INDEX('1.Locations'!$D$2:$D$32,$AC$24 + 1),NA()),NA())</f>
        <v>#N/A</v>
      </c>
      <c r="AE24" s="44" t="e">
        <f ca="1">IFERROR(IF(ISNUMBER($AC$24),INDEX('1.Locations'!$E$2:$E$32,$AC$24 + 1),NA()),NA())</f>
        <v>#N/A</v>
      </c>
      <c r="AF24" s="45" t="str">
        <f ca="1">IFERROR(IF(AND(ISNUMBER($AC$24),$AC$24&lt;=30),INDEX('2.Distances'!$C$2:$C$963,$AC$23*31+$AC$24+ 1) +$AF$23," ")," ")</f>
        <v xml:space="preserve"> </v>
      </c>
      <c r="AG24" s="44" t="str">
        <f ca="1">IFERROR(IF(ISNUMBER($AC$24),INDEX('1.Locations'!$J$2:$J$32,$AC$24 + 1) +$AG$23," ")," ")</f>
        <v xml:space="preserve"> </v>
      </c>
      <c r="AH24" s="44" t="str">
        <f ca="1">IFERROR(IF(ISNUMBER($AC$24),INDEX('1.Locations'!$K$2:$K$32,$AC$24 + 1) +$AH$23," ")," ")</f>
        <v xml:space="preserve"> </v>
      </c>
      <c r="AI24" s="46" t="str">
        <f ca="1">IFERROR(IF(AND(ISNUMBER($AC$24),$AC$24&lt;=30),INDEX('2.Distances'!$D$2:$D$963,$AC$23*31+$AC$24+ 1) +$AI$23," ")," ")</f>
        <v xml:space="preserve"> </v>
      </c>
      <c r="AJ24" s="47" t="str">
        <f ca="1">IFERROR(IF(AND(ISNUMBER($AC$24),$AC$24&lt;=30),INDEX('2.Distances'!$D$2:$D$963,$AC$23*31+$AC$24+ 1) +$AK$23," ")," ")</f>
        <v xml:space="preserve"> </v>
      </c>
      <c r="AK24" s="47" t="str">
        <f ca="1">IFERROR(IF(ISNUMBER($AJ$24),INDEX('1.Locations'!$I$2:$I$32,$AC$24 + 1) + MAX($AJ$24,INDEX('1.Locations'!$F$2:$F$32,$AC$24 + 1))," ")," ")</f>
        <v xml:space="preserve"> </v>
      </c>
      <c r="AL24" s="46" t="str">
        <f ca="1">IFERROR($AL$23 + INDEX('2.Distances'!$D$2:$D$963,$AC$23*31+$AC$24+ 1) + INDEX('1.Locations'!$I$2:$I$32,$AC$24 + 1)," ")</f>
        <v xml:space="preserve"> </v>
      </c>
      <c r="AN24" s="19">
        <v>19</v>
      </c>
      <c r="AO24" s="20"/>
      <c r="AP24" s="44" t="str">
        <f ca="1">IFERROR(MATCH(INDIRECT("$AO$24"),'1.Locations'!$B$2:$B$32, 0) - 1," ")</f>
        <v xml:space="preserve"> </v>
      </c>
      <c r="AQ24" s="44" t="e">
        <f ca="1">IFERROR(IF(ISNUMBER($AP$24),INDEX('1.Locations'!$D$2:$D$32,$AP$24 + 1),NA()),NA())</f>
        <v>#N/A</v>
      </c>
      <c r="AR24" s="44" t="e">
        <f ca="1">IFERROR(IF(ISNUMBER($AP$24),INDEX('1.Locations'!$E$2:$E$32,$AP$24 + 1),NA()),NA())</f>
        <v>#N/A</v>
      </c>
      <c r="AS24" s="45" t="str">
        <f ca="1">IFERROR(IF(AND(ISNUMBER($AP$24),$AP$24&lt;=30),INDEX('2.Distances'!$C$2:$C$963,$AP$23*31+$AP$24+ 1) +$AS$23," ")," ")</f>
        <v xml:space="preserve"> </v>
      </c>
      <c r="AT24" s="44" t="str">
        <f ca="1">IFERROR(IF(ISNUMBER($AP$24),INDEX('1.Locations'!$J$2:$J$32,$AP$24 + 1) +$AT$23," ")," ")</f>
        <v xml:space="preserve"> </v>
      </c>
      <c r="AU24" s="44" t="str">
        <f ca="1">IFERROR(IF(ISNUMBER($AP$24),INDEX('1.Locations'!$K$2:$K$32,$AP$24 + 1) +$AU$23," ")," ")</f>
        <v xml:space="preserve"> </v>
      </c>
      <c r="AV24" s="46" t="str">
        <f ca="1">IFERROR(IF(AND(ISNUMBER($AP$24),$AP$24&lt;=30),INDEX('2.Distances'!$D$2:$D$963,$AP$23*31+$AP$24+ 1) +$AV$23," ")," ")</f>
        <v xml:space="preserve"> </v>
      </c>
      <c r="AW24" s="47" t="str">
        <f ca="1">IFERROR(IF(AND(ISNUMBER($AP$24),$AP$24&lt;=30),INDEX('2.Distances'!$D$2:$D$963,$AP$23*31+$AP$24+ 1) +$AX$23," ")," ")</f>
        <v xml:space="preserve"> </v>
      </c>
      <c r="AX24" s="47" t="str">
        <f ca="1">IFERROR(IF(ISNUMBER($AW$24),INDEX('1.Locations'!$I$2:$I$32,$AP$24 + 1) + MAX($AW$24,INDEX('1.Locations'!$F$2:$F$32,$AP$24 + 1))," ")," ")</f>
        <v xml:space="preserve"> </v>
      </c>
      <c r="AY24" s="46" t="str">
        <f ca="1">IFERROR($AY$23 + INDEX('2.Distances'!$D$2:$D$963,$AP$23*31+$AP$24+ 1) + INDEX('1.Locations'!$I$2:$I$32,$AP$24 + 1)," ")</f>
        <v xml:space="preserve"> </v>
      </c>
      <c r="BA24" s="19">
        <v>19</v>
      </c>
      <c r="BB24" s="20"/>
      <c r="BC24" s="44" t="str">
        <f ca="1">IFERROR(MATCH(INDIRECT("$BB$24"),'1.Locations'!$B$2:$B$32, 0) - 1," ")</f>
        <v xml:space="preserve"> </v>
      </c>
      <c r="BD24" s="44" t="e">
        <f ca="1">IFERROR(IF(ISNUMBER($BC$24),INDEX('1.Locations'!$D$2:$D$32,$BC$24 + 1),NA()),NA())</f>
        <v>#N/A</v>
      </c>
      <c r="BE24" s="44" t="e">
        <f ca="1">IFERROR(IF(ISNUMBER($BC$24),INDEX('1.Locations'!$E$2:$E$32,$BC$24 + 1),NA()),NA())</f>
        <v>#N/A</v>
      </c>
      <c r="BF24" s="45" t="str">
        <f ca="1">IFERROR(IF(AND(ISNUMBER($BC$24),$BC$24&lt;=30),INDEX('2.Distances'!$C$2:$C$963,$BC$23*31+$BC$24+ 1) +$BF$23," ")," ")</f>
        <v xml:space="preserve"> </v>
      </c>
      <c r="BG24" s="44" t="str">
        <f ca="1">IFERROR(IF(ISNUMBER($BC$24),INDEX('1.Locations'!$J$2:$J$32,$BC$24 + 1) +$BG$23," ")," ")</f>
        <v xml:space="preserve"> </v>
      </c>
      <c r="BH24" s="44" t="str">
        <f ca="1">IFERROR(IF(ISNUMBER($BC$24),INDEX('1.Locations'!$K$2:$K$32,$BC$24 + 1) +$BH$23," ")," ")</f>
        <v xml:space="preserve"> </v>
      </c>
      <c r="BI24" s="46" t="str">
        <f ca="1">IFERROR(IF(AND(ISNUMBER($BC$24),$BC$24&lt;=30),INDEX('2.Distances'!$D$2:$D$963,$BC$23*31+$BC$24+ 1) +$BI$23," ")," ")</f>
        <v xml:space="preserve"> </v>
      </c>
      <c r="BJ24" s="47" t="str">
        <f ca="1">IFERROR(IF(AND(ISNUMBER($BC$24),$BC$24&lt;=30),INDEX('2.Distances'!$D$2:$D$963,$BC$23*31+$BC$24+ 1) +$BK$23," ")," ")</f>
        <v xml:space="preserve"> </v>
      </c>
      <c r="BK24" s="47" t="str">
        <f ca="1">IFERROR(IF(ISNUMBER($BJ$24),INDEX('1.Locations'!$I$2:$I$32,$BC$24 + 1) + MAX($BJ$24,INDEX('1.Locations'!$F$2:$F$32,$BC$24 + 1))," ")," ")</f>
        <v xml:space="preserve"> </v>
      </c>
      <c r="BL24" s="46" t="str">
        <f ca="1">IFERROR($BL$23 + INDEX('2.Distances'!$D$2:$D$963,$BC$23*31+$BC$24+ 1) + INDEX('1.Locations'!$I$2:$I$32,$BC$24 + 1)," ")</f>
        <v xml:space="preserve"> </v>
      </c>
      <c r="BN24" s="19">
        <v>19</v>
      </c>
      <c r="BO24" s="20"/>
      <c r="BP24" s="44" t="str">
        <f ca="1">IFERROR(MATCH(INDIRECT("$BO$24"),'1.Locations'!$B$2:$B$32, 0) - 1," ")</f>
        <v xml:space="preserve"> </v>
      </c>
      <c r="BQ24" s="44" t="e">
        <f ca="1">IFERROR(IF(ISNUMBER($BP$24),INDEX('1.Locations'!$D$2:$D$32,$BP$24 + 1),NA()),NA())</f>
        <v>#N/A</v>
      </c>
      <c r="BR24" s="44" t="e">
        <f ca="1">IFERROR(IF(ISNUMBER($BP$24),INDEX('1.Locations'!$E$2:$E$32,$BP$24 + 1),NA()),NA())</f>
        <v>#N/A</v>
      </c>
      <c r="BS24" s="45" t="str">
        <f ca="1">IFERROR(IF(AND(ISNUMBER($BP$24),$BP$24&lt;=30),INDEX('2.Distances'!$C$2:$C$963,$BP$23*31+$BP$24+ 1) +$BS$23," ")," ")</f>
        <v xml:space="preserve"> </v>
      </c>
      <c r="BT24" s="44" t="str">
        <f ca="1">IFERROR(IF(ISNUMBER($BP$24),INDEX('1.Locations'!$J$2:$J$32,$BP$24 + 1) +$BT$23," ")," ")</f>
        <v xml:space="preserve"> </v>
      </c>
      <c r="BU24" s="44" t="str">
        <f ca="1">IFERROR(IF(ISNUMBER($BP$24),INDEX('1.Locations'!$K$2:$K$32,$BP$24 + 1) +$BU$23," ")," ")</f>
        <v xml:space="preserve"> </v>
      </c>
      <c r="BV24" s="46" t="str">
        <f ca="1">IFERROR(IF(AND(ISNUMBER($BP$24),$BP$24&lt;=30),INDEX('2.Distances'!$D$2:$D$963,$BP$23*31+$BP$24+ 1) +$BV$23," ")," ")</f>
        <v xml:space="preserve"> </v>
      </c>
      <c r="BW24" s="47" t="str">
        <f ca="1">IFERROR(IF(AND(ISNUMBER($BP$24),$BP$24&lt;=30),INDEX('2.Distances'!$D$2:$D$963,$BP$23*31+$BP$24+ 1) +$BX$23," ")," ")</f>
        <v xml:space="preserve"> </v>
      </c>
      <c r="BX24" s="47" t="str">
        <f ca="1">IFERROR(IF(ISNUMBER($BW$24),INDEX('1.Locations'!$I$2:$I$32,$BP$24 + 1) + MAX($BW$24,INDEX('1.Locations'!$F$2:$F$32,$BP$24 + 1))," ")," ")</f>
        <v xml:space="preserve"> </v>
      </c>
      <c r="BY24" s="46" t="str">
        <f ca="1">IFERROR($BY$23 + INDEX('2.Distances'!$D$2:$D$963,$BP$23*31+$BP$24+ 1) + INDEX('1.Locations'!$I$2:$I$32,$BP$24 + 1)," ")</f>
        <v xml:space="preserve"> </v>
      </c>
      <c r="CA24" s="19">
        <v>19</v>
      </c>
      <c r="CB24" s="20"/>
      <c r="CC24" s="44" t="str">
        <f ca="1">IFERROR(MATCH(INDIRECT("$CB$24"),'1.Locations'!$B$2:$B$32, 0) - 1," ")</f>
        <v xml:space="preserve"> </v>
      </c>
      <c r="CD24" s="44" t="e">
        <f ca="1">IFERROR(IF(ISNUMBER($CC$24),INDEX('1.Locations'!$D$2:$D$32,$CC$24 + 1),NA()),NA())</f>
        <v>#N/A</v>
      </c>
      <c r="CE24" s="44" t="e">
        <f ca="1">IFERROR(IF(ISNUMBER($CC$24),INDEX('1.Locations'!$E$2:$E$32,$CC$24 + 1),NA()),NA())</f>
        <v>#N/A</v>
      </c>
      <c r="CF24" s="45" t="str">
        <f ca="1">IFERROR(IF(AND(ISNUMBER($CC$24),$CC$24&lt;=30),INDEX('2.Distances'!$C$2:$C$963,$CC$23*31+$CC$24+ 1) +$CF$23," ")," ")</f>
        <v xml:space="preserve"> </v>
      </c>
      <c r="CG24" s="44" t="str">
        <f ca="1">IFERROR(IF(ISNUMBER($CC$24),INDEX('1.Locations'!$J$2:$J$32,$CC$24 + 1) +$CG$23," ")," ")</f>
        <v xml:space="preserve"> </v>
      </c>
      <c r="CH24" s="44" t="str">
        <f ca="1">IFERROR(IF(ISNUMBER($CC$24),INDEX('1.Locations'!$K$2:$K$32,$CC$24 + 1) +$CH$23," ")," ")</f>
        <v xml:space="preserve"> </v>
      </c>
      <c r="CI24" s="46" t="str">
        <f ca="1">IFERROR(IF(AND(ISNUMBER($CC$24),$CC$24&lt;=30),INDEX('2.Distances'!$D$2:$D$963,$CC$23*31+$CC$24+ 1) +$CI$23," ")," ")</f>
        <v xml:space="preserve"> </v>
      </c>
      <c r="CJ24" s="47" t="str">
        <f ca="1">IFERROR(IF(AND(ISNUMBER($CC$24),$CC$24&lt;=30),INDEX('2.Distances'!$D$2:$D$963,$CC$23*31+$CC$24+ 1) +$CK$23," ")," ")</f>
        <v xml:space="preserve"> </v>
      </c>
      <c r="CK24" s="47" t="str">
        <f ca="1">IFERROR(IF(ISNUMBER($CJ$24),INDEX('1.Locations'!$I$2:$I$32,$CC$24 + 1) + MAX($CJ$24,INDEX('1.Locations'!$F$2:$F$32,$CC$24 + 1))," ")," ")</f>
        <v xml:space="preserve"> </v>
      </c>
      <c r="CL24" s="46" t="str">
        <f ca="1">IFERROR($CL$23 + INDEX('2.Distances'!$D$2:$D$963,$CC$23*31+$CC$24+ 1) + INDEX('1.Locations'!$I$2:$I$32,$CC$24 + 1)," ")</f>
        <v xml:space="preserve"> </v>
      </c>
      <c r="CN24" s="19">
        <v>19</v>
      </c>
      <c r="CO24" s="20"/>
      <c r="CP24" s="44" t="str">
        <f ca="1">IFERROR(MATCH(INDIRECT("$CO$24"),'1.Locations'!$B$2:$B$32, 0) - 1," ")</f>
        <v xml:space="preserve"> </v>
      </c>
      <c r="CQ24" s="44" t="e">
        <f ca="1">IFERROR(IF(ISNUMBER($CP$24),INDEX('1.Locations'!$D$2:$D$32,$CP$24 + 1),NA()),NA())</f>
        <v>#N/A</v>
      </c>
      <c r="CR24" s="44" t="e">
        <f ca="1">IFERROR(IF(ISNUMBER($CP$24),INDEX('1.Locations'!$E$2:$E$32,$CP$24 + 1),NA()),NA())</f>
        <v>#N/A</v>
      </c>
      <c r="CS24" s="45" t="str">
        <f ca="1">IFERROR(IF(AND(ISNUMBER($CP$24),$CP$24&lt;=30),INDEX('2.Distances'!$C$2:$C$963,$CP$23*31+$CP$24+ 1) +$CS$23," ")," ")</f>
        <v xml:space="preserve"> </v>
      </c>
      <c r="CT24" s="44" t="str">
        <f ca="1">IFERROR(IF(ISNUMBER($CP$24),INDEX('1.Locations'!$J$2:$J$32,$CP$24 + 1) +$CT$23," ")," ")</f>
        <v xml:space="preserve"> </v>
      </c>
      <c r="CU24" s="44" t="str">
        <f ca="1">IFERROR(IF(ISNUMBER($CP$24),INDEX('1.Locations'!$K$2:$K$32,$CP$24 + 1) +$CU$23," ")," ")</f>
        <v xml:space="preserve"> </v>
      </c>
      <c r="CV24" s="46" t="str">
        <f ca="1">IFERROR(IF(AND(ISNUMBER($CP$24),$CP$24&lt;=30),INDEX('2.Distances'!$D$2:$D$963,$CP$23*31+$CP$24+ 1) +$CV$23," ")," ")</f>
        <v xml:space="preserve"> </v>
      </c>
      <c r="CW24" s="47" t="str">
        <f ca="1">IFERROR(IF(AND(ISNUMBER($CP$24),$CP$24&lt;=30),INDEX('2.Distances'!$D$2:$D$963,$CP$23*31+$CP$24+ 1) +$CX$23," ")," ")</f>
        <v xml:space="preserve"> </v>
      </c>
      <c r="CX24" s="47" t="str">
        <f ca="1">IFERROR(IF(ISNUMBER($CW$24),INDEX('1.Locations'!$I$2:$I$32,$CP$24 + 1) + MAX($CW$24,INDEX('1.Locations'!$F$2:$F$32,$CP$24 + 1))," ")," ")</f>
        <v xml:space="preserve"> </v>
      </c>
      <c r="CY24" s="46" t="str">
        <f ca="1">IFERROR($CY$23 + INDEX('2.Distances'!$D$2:$D$963,$CP$23*31+$CP$24+ 1) + INDEX('1.Locations'!$I$2:$I$32,$CP$24 + 1)," ")</f>
        <v xml:space="preserve"> </v>
      </c>
      <c r="DA24" s="19">
        <v>19</v>
      </c>
      <c r="DB24" s="20"/>
      <c r="DC24" s="44" t="str">
        <f ca="1">IFERROR(MATCH(INDIRECT("$DB$24"),'1.Locations'!$B$2:$B$32, 0) - 1," ")</f>
        <v xml:space="preserve"> </v>
      </c>
      <c r="DD24" s="44" t="e">
        <f ca="1">IFERROR(IF(ISNUMBER($DC$24),INDEX('1.Locations'!$D$2:$D$32,$DC$24 + 1),NA()),NA())</f>
        <v>#N/A</v>
      </c>
      <c r="DE24" s="44" t="e">
        <f ca="1">IFERROR(IF(ISNUMBER($DC$24),INDEX('1.Locations'!$E$2:$E$32,$DC$24 + 1),NA()),NA())</f>
        <v>#N/A</v>
      </c>
      <c r="DF24" s="45" t="str">
        <f ca="1">IFERROR(IF(AND(ISNUMBER($DC$24),$DC$24&lt;=30),INDEX('2.Distances'!$C$2:$C$963,$DC$23*31+$DC$24+ 1) +$DF$23," ")," ")</f>
        <v xml:space="preserve"> </v>
      </c>
      <c r="DG24" s="44" t="str">
        <f ca="1">IFERROR(IF(ISNUMBER($DC$24),INDEX('1.Locations'!$J$2:$J$32,$DC$24 + 1) +$DG$23," ")," ")</f>
        <v xml:space="preserve"> </v>
      </c>
      <c r="DH24" s="44" t="str">
        <f ca="1">IFERROR(IF(ISNUMBER($DC$24),INDEX('1.Locations'!$K$2:$K$32,$DC$24 + 1) +$DH$23," ")," ")</f>
        <v xml:space="preserve"> </v>
      </c>
      <c r="DI24" s="46" t="str">
        <f ca="1">IFERROR(IF(AND(ISNUMBER($DC$24),$DC$24&lt;=30),INDEX('2.Distances'!$D$2:$D$963,$DC$23*31+$DC$24+ 1) +$DI$23," ")," ")</f>
        <v xml:space="preserve"> </v>
      </c>
      <c r="DJ24" s="47" t="str">
        <f ca="1">IFERROR(IF(AND(ISNUMBER($DC$24),$DC$24&lt;=30),INDEX('2.Distances'!$D$2:$D$963,$DC$23*31+$DC$24+ 1) +$DK$23," ")," ")</f>
        <v xml:space="preserve"> </v>
      </c>
      <c r="DK24" s="47" t="str">
        <f ca="1">IFERROR(IF(ISNUMBER($DJ$24),INDEX('1.Locations'!$I$2:$I$32,$DC$24 + 1) + MAX($DJ$24,INDEX('1.Locations'!$F$2:$F$32,$DC$24 + 1))," ")," ")</f>
        <v xml:space="preserve"> </v>
      </c>
      <c r="DL24" s="46" t="str">
        <f ca="1">IFERROR($DL$23 + INDEX('2.Distances'!$D$2:$D$963,$DC$23*31+$DC$24+ 1) + INDEX('1.Locations'!$I$2:$I$32,$DC$24 + 1)," ")</f>
        <v xml:space="preserve"> </v>
      </c>
      <c r="DN24" s="19">
        <v>19</v>
      </c>
      <c r="DO24" s="20"/>
      <c r="DP24" s="44" t="str">
        <f ca="1">IFERROR(MATCH(INDIRECT("$DO$24"),'1.Locations'!$B$2:$B$32, 0) - 1," ")</f>
        <v xml:space="preserve"> </v>
      </c>
      <c r="DQ24" s="44" t="e">
        <f ca="1">IFERROR(IF(ISNUMBER($DP$24),INDEX('1.Locations'!$D$2:$D$32,$DP$24 + 1),NA()),NA())</f>
        <v>#N/A</v>
      </c>
      <c r="DR24" s="44" t="e">
        <f ca="1">IFERROR(IF(ISNUMBER($DP$24),INDEX('1.Locations'!$E$2:$E$32,$DP$24 + 1),NA()),NA())</f>
        <v>#N/A</v>
      </c>
      <c r="DS24" s="45" t="str">
        <f ca="1">IFERROR(IF(AND(ISNUMBER($DP$24),$DP$24&lt;=30),INDEX('2.Distances'!$C$2:$C$963,$DP$23*31+$DP$24+ 1) +$DS$23," ")," ")</f>
        <v xml:space="preserve"> </v>
      </c>
      <c r="DT24" s="44" t="str">
        <f ca="1">IFERROR(IF(ISNUMBER($DP$24),INDEX('1.Locations'!$J$2:$J$32,$DP$24 + 1) +$DT$23," ")," ")</f>
        <v xml:space="preserve"> </v>
      </c>
      <c r="DU24" s="44" t="str">
        <f ca="1">IFERROR(IF(ISNUMBER($DP$24),INDEX('1.Locations'!$K$2:$K$32,$DP$24 + 1) +$DU$23," ")," ")</f>
        <v xml:space="preserve"> </v>
      </c>
      <c r="DV24" s="46" t="str">
        <f ca="1">IFERROR(IF(AND(ISNUMBER($DP$24),$DP$24&lt;=30),INDEX('2.Distances'!$D$2:$D$963,$DP$23*31+$DP$24+ 1) +$DV$23," ")," ")</f>
        <v xml:space="preserve"> </v>
      </c>
      <c r="DW24" s="47" t="str">
        <f ca="1">IFERROR(IF(AND(ISNUMBER($DP$24),$DP$24&lt;=30),INDEX('2.Distances'!$D$2:$D$963,$DP$23*31+$DP$24+ 1) +$DX$23," ")," ")</f>
        <v xml:space="preserve"> </v>
      </c>
      <c r="DX24" s="47" t="str">
        <f ca="1">IFERROR(IF(ISNUMBER($DW$24),INDEX('1.Locations'!$I$2:$I$32,$DP$24 + 1) + MAX($DW$24,INDEX('1.Locations'!$F$2:$F$32,$DP$24 + 1))," ")," ")</f>
        <v xml:space="preserve"> </v>
      </c>
      <c r="DY24" s="46" t="str">
        <f ca="1">IFERROR($DY$23 + INDEX('2.Distances'!$D$2:$D$963,$DP$23*31+$DP$24+ 1) + INDEX('1.Locations'!$I$2:$I$32,$DP$24 + 1)," ")</f>
        <v xml:space="preserve"> </v>
      </c>
      <c r="EA24" s="19">
        <v>19</v>
      </c>
      <c r="EB24" s="20"/>
      <c r="EC24" s="44" t="str">
        <f ca="1">IFERROR(MATCH(INDIRECT("$EB$24"),'1.Locations'!$B$2:$B$32, 0) - 1," ")</f>
        <v xml:space="preserve"> </v>
      </c>
      <c r="ED24" s="44" t="e">
        <f ca="1">IFERROR(IF(ISNUMBER($EC$24),INDEX('1.Locations'!$D$2:$D$32,$EC$24 + 1),NA()),NA())</f>
        <v>#N/A</v>
      </c>
      <c r="EE24" s="44" t="e">
        <f ca="1">IFERROR(IF(ISNUMBER($EC$24),INDEX('1.Locations'!$E$2:$E$32,$EC$24 + 1),NA()),NA())</f>
        <v>#N/A</v>
      </c>
      <c r="EF24" s="45" t="str">
        <f ca="1">IFERROR(IF(AND(ISNUMBER($EC$24),$EC$24&lt;=30),INDEX('2.Distances'!$C$2:$C$963,$EC$23*31+$EC$24+ 1) +$EF$23," ")," ")</f>
        <v xml:space="preserve"> </v>
      </c>
      <c r="EG24" s="44" t="str">
        <f ca="1">IFERROR(IF(ISNUMBER($EC$24),INDEX('1.Locations'!$J$2:$J$32,$EC$24 + 1) +$EG$23," ")," ")</f>
        <v xml:space="preserve"> </v>
      </c>
      <c r="EH24" s="44" t="str">
        <f ca="1">IFERROR(IF(ISNUMBER($EC$24),INDEX('1.Locations'!$K$2:$K$32,$EC$24 + 1) +$EH$23," ")," ")</f>
        <v xml:space="preserve"> </v>
      </c>
      <c r="EI24" s="46" t="str">
        <f ca="1">IFERROR(IF(AND(ISNUMBER($EC$24),$EC$24&lt;=30),INDEX('2.Distances'!$D$2:$D$963,$EC$23*31+$EC$24+ 1) +$EI$23," ")," ")</f>
        <v xml:space="preserve"> </v>
      </c>
      <c r="EJ24" s="47" t="str">
        <f ca="1">IFERROR(IF(AND(ISNUMBER($EC$24),$EC$24&lt;=30),INDEX('2.Distances'!$D$2:$D$963,$EC$23*31+$EC$24+ 1) +$EK$23," ")," ")</f>
        <v xml:space="preserve"> </v>
      </c>
      <c r="EK24" s="47" t="str">
        <f ca="1">IFERROR(IF(ISNUMBER($EJ$24),INDEX('1.Locations'!$I$2:$I$32,$EC$24 + 1) + MAX($EJ$24,INDEX('1.Locations'!$F$2:$F$32,$EC$24 + 1))," ")," ")</f>
        <v xml:space="preserve"> </v>
      </c>
      <c r="EL24" s="46" t="str">
        <f ca="1">IFERROR($EL$23 + INDEX('2.Distances'!$D$2:$D$963,$EC$23*31+$EC$24+ 1) + INDEX('1.Locations'!$I$2:$I$32,$EC$24 + 1)," ")</f>
        <v xml:space="preserve"> </v>
      </c>
      <c r="EN24" s="19">
        <v>19</v>
      </c>
      <c r="EO24" s="20"/>
      <c r="EP24" s="44" t="str">
        <f ca="1">IFERROR(MATCH(INDIRECT("$EO$24"),'1.Locations'!$B$2:$B$32, 0) - 1," ")</f>
        <v xml:space="preserve"> </v>
      </c>
      <c r="EQ24" s="44" t="e">
        <f ca="1">IFERROR(IF(ISNUMBER($EP$24),INDEX('1.Locations'!$D$2:$D$32,$EP$24 + 1),NA()),NA())</f>
        <v>#N/A</v>
      </c>
      <c r="ER24" s="44" t="e">
        <f ca="1">IFERROR(IF(ISNUMBER($EP$24),INDEX('1.Locations'!$E$2:$E$32,$EP$24 + 1),NA()),NA())</f>
        <v>#N/A</v>
      </c>
      <c r="ES24" s="45" t="str">
        <f ca="1">IFERROR(IF(AND(ISNUMBER($EP$24),$EP$24&lt;=30),INDEX('2.Distances'!$C$2:$C$963,$EP$23*31+$EP$24+ 1) +$ES$23," ")," ")</f>
        <v xml:space="preserve"> </v>
      </c>
      <c r="ET24" s="44" t="str">
        <f ca="1">IFERROR(IF(ISNUMBER($EP$24),INDEX('1.Locations'!$J$2:$J$32,$EP$24 + 1) +$ET$23," ")," ")</f>
        <v xml:space="preserve"> </v>
      </c>
      <c r="EU24" s="44" t="str">
        <f ca="1">IFERROR(IF(ISNUMBER($EP$24),INDEX('1.Locations'!$K$2:$K$32,$EP$24 + 1) +$EU$23," ")," ")</f>
        <v xml:space="preserve"> </v>
      </c>
      <c r="EV24" s="46" t="str">
        <f ca="1">IFERROR(IF(AND(ISNUMBER($EP$24),$EP$24&lt;=30),INDEX('2.Distances'!$D$2:$D$963,$EP$23*31+$EP$24+ 1) +$EV$23," ")," ")</f>
        <v xml:space="preserve"> </v>
      </c>
      <c r="EW24" s="47" t="str">
        <f ca="1">IFERROR(IF(AND(ISNUMBER($EP$24),$EP$24&lt;=30),INDEX('2.Distances'!$D$2:$D$963,$EP$23*31+$EP$24+ 1) +$EX$23," ")," ")</f>
        <v xml:space="preserve"> </v>
      </c>
      <c r="EX24" s="47" t="str">
        <f ca="1">IFERROR(IF(ISNUMBER($EW$24),INDEX('1.Locations'!$I$2:$I$32,$EP$24 + 1) + MAX($EW$24,INDEX('1.Locations'!$F$2:$F$32,$EP$24 + 1))," ")," ")</f>
        <v xml:space="preserve"> </v>
      </c>
      <c r="EY24" s="46" t="str">
        <f ca="1">IFERROR($EY$23 + INDEX('2.Distances'!$D$2:$D$963,$EP$23*31+$EP$24+ 1) + INDEX('1.Locations'!$I$2:$I$32,$EP$24 + 1)," ")</f>
        <v xml:space="preserve"> </v>
      </c>
    </row>
    <row r="25" spans="1:155" x14ac:dyDescent="0.2">
      <c r="A25" s="19">
        <v>20</v>
      </c>
      <c r="B25" s="20"/>
      <c r="C25" s="44" t="str">
        <f ca="1">IFERROR(MATCH(INDIRECT("$B$25"),'1.Locations'!$B$2:$B$32, 0) - 1," ")</f>
        <v xml:space="preserve"> </v>
      </c>
      <c r="D25" s="44" t="e">
        <f ca="1">IFERROR(IF(ISNUMBER($C$25),INDEX('1.Locations'!$D$2:$D$32,$C$25 + 1),NA()),NA())</f>
        <v>#N/A</v>
      </c>
      <c r="E25" s="44" t="e">
        <f ca="1">IFERROR(IF(ISNUMBER($C$25),INDEX('1.Locations'!$E$2:$E$32,$C$25 + 1),NA()),NA())</f>
        <v>#N/A</v>
      </c>
      <c r="F25" s="45" t="str">
        <f ca="1">IFERROR(IF(AND(ISNUMBER($C$25),$C$25&lt;=30),INDEX('2.Distances'!$C$2:$C$963,$C$24*31+$C$25+ 1) +$F$24," ")," ")</f>
        <v xml:space="preserve"> </v>
      </c>
      <c r="G25" s="44" t="str">
        <f ca="1">IFERROR(IF(ISNUMBER($C$25),INDEX('1.Locations'!$J$2:$J$32,$C$25 + 1) +$G$24," ")," ")</f>
        <v xml:space="preserve"> </v>
      </c>
      <c r="H25" s="44" t="str">
        <f ca="1">IFERROR(IF(ISNUMBER($C$25),INDEX('1.Locations'!$K$2:$K$32,$C$25 + 1) +$H$24," ")," ")</f>
        <v xml:space="preserve"> </v>
      </c>
      <c r="I25" s="46" t="str">
        <f ca="1">IFERROR(IF(AND(ISNUMBER($C$25),$C$25&lt;=30),INDEX('2.Distances'!$D$2:$D$963,$C$24*31+$C$25+ 1) +$I$24," ")," ")</f>
        <v xml:space="preserve"> </v>
      </c>
      <c r="J25" s="47" t="str">
        <f ca="1">IFERROR(IF(AND(ISNUMBER($C$25),$C$25&lt;=30),INDEX('2.Distances'!$D$2:$D$963,$C$24*31+$C$25+ 1) +$K$24," ")," ")</f>
        <v xml:space="preserve"> </v>
      </c>
      <c r="K25" s="47" t="str">
        <f ca="1">IFERROR(IF(ISNUMBER($J$25),INDEX('1.Locations'!$I$2:$I$32,$C$25 + 1) + MAX($J$25,INDEX('1.Locations'!$F$2:$F$32,$C$25 + 1))," ")," ")</f>
        <v xml:space="preserve"> </v>
      </c>
      <c r="L25" s="46" t="str">
        <f ca="1">IFERROR($L$24 + INDEX('2.Distances'!$D$2:$D$963,$C$24*31+$C$25+ 1) + INDEX('1.Locations'!$I$2:$I$32,$C$25 + 1)," ")</f>
        <v xml:space="preserve"> </v>
      </c>
      <c r="N25" s="19">
        <v>20</v>
      </c>
      <c r="O25" s="20"/>
      <c r="P25" s="44" t="str">
        <f ca="1">IFERROR(MATCH(INDIRECT("$O$25"),'1.Locations'!$B$2:$B$32, 0) - 1," ")</f>
        <v xml:space="preserve"> </v>
      </c>
      <c r="Q25" s="44" t="e">
        <f ca="1">IFERROR(IF(ISNUMBER($P$25),INDEX('1.Locations'!$D$2:$D$32,$P$25 + 1),NA()),NA())</f>
        <v>#N/A</v>
      </c>
      <c r="R25" s="44" t="e">
        <f ca="1">IFERROR(IF(ISNUMBER($P$25),INDEX('1.Locations'!$E$2:$E$32,$P$25 + 1),NA()),NA())</f>
        <v>#N/A</v>
      </c>
      <c r="S25" s="45" t="str">
        <f ca="1">IFERROR(IF(AND(ISNUMBER($P$25),$P$25&lt;=30),INDEX('2.Distances'!$C$2:$C$963,$P$24*31+$P$25+ 1) +$S$24," ")," ")</f>
        <v xml:space="preserve"> </v>
      </c>
      <c r="T25" s="44" t="str">
        <f ca="1">IFERROR(IF(ISNUMBER($P$25),INDEX('1.Locations'!$J$2:$J$32,$P$25 + 1) +$T$24," ")," ")</f>
        <v xml:space="preserve"> </v>
      </c>
      <c r="U25" s="44" t="str">
        <f ca="1">IFERROR(IF(ISNUMBER($P$25),INDEX('1.Locations'!$K$2:$K$32,$P$25 + 1) +$U$24," ")," ")</f>
        <v xml:space="preserve"> </v>
      </c>
      <c r="V25" s="46" t="str">
        <f ca="1">IFERROR(IF(AND(ISNUMBER($P$25),$P$25&lt;=30),INDEX('2.Distances'!$D$2:$D$963,$P$24*31+$P$25+ 1) +$V$24," ")," ")</f>
        <v xml:space="preserve"> </v>
      </c>
      <c r="W25" s="47" t="str">
        <f ca="1">IFERROR(IF(AND(ISNUMBER($P$25),$P$25&lt;=30),INDEX('2.Distances'!$D$2:$D$963,$P$24*31+$P$25+ 1) +$X$24," ")," ")</f>
        <v xml:space="preserve"> </v>
      </c>
      <c r="X25" s="47" t="str">
        <f ca="1">IFERROR(IF(ISNUMBER($W$25),INDEX('1.Locations'!$I$2:$I$32,$P$25 + 1) + MAX($W$25,INDEX('1.Locations'!$F$2:$F$32,$P$25 + 1))," ")," ")</f>
        <v xml:space="preserve"> </v>
      </c>
      <c r="Y25" s="46" t="str">
        <f ca="1">IFERROR($Y$24 + INDEX('2.Distances'!$D$2:$D$963,$P$24*31+$P$25+ 1) + INDEX('1.Locations'!$I$2:$I$32,$P$25 + 1)," ")</f>
        <v xml:space="preserve"> </v>
      </c>
      <c r="AA25" s="19">
        <v>20</v>
      </c>
      <c r="AB25" s="20"/>
      <c r="AC25" s="44" t="str">
        <f ca="1">IFERROR(MATCH(INDIRECT("$AB$25"),'1.Locations'!$B$2:$B$32, 0) - 1," ")</f>
        <v xml:space="preserve"> </v>
      </c>
      <c r="AD25" s="44" t="e">
        <f ca="1">IFERROR(IF(ISNUMBER($AC$25),INDEX('1.Locations'!$D$2:$D$32,$AC$25 + 1),NA()),NA())</f>
        <v>#N/A</v>
      </c>
      <c r="AE25" s="44" t="e">
        <f ca="1">IFERROR(IF(ISNUMBER($AC$25),INDEX('1.Locations'!$E$2:$E$32,$AC$25 + 1),NA()),NA())</f>
        <v>#N/A</v>
      </c>
      <c r="AF25" s="45" t="str">
        <f ca="1">IFERROR(IF(AND(ISNUMBER($AC$25),$AC$25&lt;=30),INDEX('2.Distances'!$C$2:$C$963,$AC$24*31+$AC$25+ 1) +$AF$24," ")," ")</f>
        <v xml:space="preserve"> </v>
      </c>
      <c r="AG25" s="44" t="str">
        <f ca="1">IFERROR(IF(ISNUMBER($AC$25),INDEX('1.Locations'!$J$2:$J$32,$AC$25 + 1) +$AG$24," ")," ")</f>
        <v xml:space="preserve"> </v>
      </c>
      <c r="AH25" s="44" t="str">
        <f ca="1">IFERROR(IF(ISNUMBER($AC$25),INDEX('1.Locations'!$K$2:$K$32,$AC$25 + 1) +$AH$24," ")," ")</f>
        <v xml:space="preserve"> </v>
      </c>
      <c r="AI25" s="46" t="str">
        <f ca="1">IFERROR(IF(AND(ISNUMBER($AC$25),$AC$25&lt;=30),INDEX('2.Distances'!$D$2:$D$963,$AC$24*31+$AC$25+ 1) +$AI$24," ")," ")</f>
        <v xml:space="preserve"> </v>
      </c>
      <c r="AJ25" s="47" t="str">
        <f ca="1">IFERROR(IF(AND(ISNUMBER($AC$25),$AC$25&lt;=30),INDEX('2.Distances'!$D$2:$D$963,$AC$24*31+$AC$25+ 1) +$AK$24," ")," ")</f>
        <v xml:space="preserve"> </v>
      </c>
      <c r="AK25" s="47" t="str">
        <f ca="1">IFERROR(IF(ISNUMBER($AJ$25),INDEX('1.Locations'!$I$2:$I$32,$AC$25 + 1) + MAX($AJ$25,INDEX('1.Locations'!$F$2:$F$32,$AC$25 + 1))," ")," ")</f>
        <v xml:space="preserve"> </v>
      </c>
      <c r="AL25" s="46" t="str">
        <f ca="1">IFERROR($AL$24 + INDEX('2.Distances'!$D$2:$D$963,$AC$24*31+$AC$25+ 1) + INDEX('1.Locations'!$I$2:$I$32,$AC$25 + 1)," ")</f>
        <v xml:space="preserve"> </v>
      </c>
      <c r="AN25" s="19">
        <v>20</v>
      </c>
      <c r="AO25" s="20"/>
      <c r="AP25" s="44" t="str">
        <f ca="1">IFERROR(MATCH(INDIRECT("$AO$25"),'1.Locations'!$B$2:$B$32, 0) - 1," ")</f>
        <v xml:space="preserve"> </v>
      </c>
      <c r="AQ25" s="44" t="e">
        <f ca="1">IFERROR(IF(ISNUMBER($AP$25),INDEX('1.Locations'!$D$2:$D$32,$AP$25 + 1),NA()),NA())</f>
        <v>#N/A</v>
      </c>
      <c r="AR25" s="44" t="e">
        <f ca="1">IFERROR(IF(ISNUMBER($AP$25),INDEX('1.Locations'!$E$2:$E$32,$AP$25 + 1),NA()),NA())</f>
        <v>#N/A</v>
      </c>
      <c r="AS25" s="45" t="str">
        <f ca="1">IFERROR(IF(AND(ISNUMBER($AP$25),$AP$25&lt;=30),INDEX('2.Distances'!$C$2:$C$963,$AP$24*31+$AP$25+ 1) +$AS$24," ")," ")</f>
        <v xml:space="preserve"> </v>
      </c>
      <c r="AT25" s="44" t="str">
        <f ca="1">IFERROR(IF(ISNUMBER($AP$25),INDEX('1.Locations'!$J$2:$J$32,$AP$25 + 1) +$AT$24," ")," ")</f>
        <v xml:space="preserve"> </v>
      </c>
      <c r="AU25" s="44" t="str">
        <f ca="1">IFERROR(IF(ISNUMBER($AP$25),INDEX('1.Locations'!$K$2:$K$32,$AP$25 + 1) +$AU$24," ")," ")</f>
        <v xml:space="preserve"> </v>
      </c>
      <c r="AV25" s="46" t="str">
        <f ca="1">IFERROR(IF(AND(ISNUMBER($AP$25),$AP$25&lt;=30),INDEX('2.Distances'!$D$2:$D$963,$AP$24*31+$AP$25+ 1) +$AV$24," ")," ")</f>
        <v xml:space="preserve"> </v>
      </c>
      <c r="AW25" s="47" t="str">
        <f ca="1">IFERROR(IF(AND(ISNUMBER($AP$25),$AP$25&lt;=30),INDEX('2.Distances'!$D$2:$D$963,$AP$24*31+$AP$25+ 1) +$AX$24," ")," ")</f>
        <v xml:space="preserve"> </v>
      </c>
      <c r="AX25" s="47" t="str">
        <f ca="1">IFERROR(IF(ISNUMBER($AW$25),INDEX('1.Locations'!$I$2:$I$32,$AP$25 + 1) + MAX($AW$25,INDEX('1.Locations'!$F$2:$F$32,$AP$25 + 1))," ")," ")</f>
        <v xml:space="preserve"> </v>
      </c>
      <c r="AY25" s="46" t="str">
        <f ca="1">IFERROR($AY$24 + INDEX('2.Distances'!$D$2:$D$963,$AP$24*31+$AP$25+ 1) + INDEX('1.Locations'!$I$2:$I$32,$AP$25 + 1)," ")</f>
        <v xml:space="preserve"> </v>
      </c>
      <c r="BA25" s="19">
        <v>20</v>
      </c>
      <c r="BB25" s="20"/>
      <c r="BC25" s="44" t="str">
        <f ca="1">IFERROR(MATCH(INDIRECT("$BB$25"),'1.Locations'!$B$2:$B$32, 0) - 1," ")</f>
        <v xml:space="preserve"> </v>
      </c>
      <c r="BD25" s="44" t="e">
        <f ca="1">IFERROR(IF(ISNUMBER($BC$25),INDEX('1.Locations'!$D$2:$D$32,$BC$25 + 1),NA()),NA())</f>
        <v>#N/A</v>
      </c>
      <c r="BE25" s="44" t="e">
        <f ca="1">IFERROR(IF(ISNUMBER($BC$25),INDEX('1.Locations'!$E$2:$E$32,$BC$25 + 1),NA()),NA())</f>
        <v>#N/A</v>
      </c>
      <c r="BF25" s="45" t="str">
        <f ca="1">IFERROR(IF(AND(ISNUMBER($BC$25),$BC$25&lt;=30),INDEX('2.Distances'!$C$2:$C$963,$BC$24*31+$BC$25+ 1) +$BF$24," ")," ")</f>
        <v xml:space="preserve"> </v>
      </c>
      <c r="BG25" s="44" t="str">
        <f ca="1">IFERROR(IF(ISNUMBER($BC$25),INDEX('1.Locations'!$J$2:$J$32,$BC$25 + 1) +$BG$24," ")," ")</f>
        <v xml:space="preserve"> </v>
      </c>
      <c r="BH25" s="44" t="str">
        <f ca="1">IFERROR(IF(ISNUMBER($BC$25),INDEX('1.Locations'!$K$2:$K$32,$BC$25 + 1) +$BH$24," ")," ")</f>
        <v xml:space="preserve"> </v>
      </c>
      <c r="BI25" s="46" t="str">
        <f ca="1">IFERROR(IF(AND(ISNUMBER($BC$25),$BC$25&lt;=30),INDEX('2.Distances'!$D$2:$D$963,$BC$24*31+$BC$25+ 1) +$BI$24," ")," ")</f>
        <v xml:space="preserve"> </v>
      </c>
      <c r="BJ25" s="47" t="str">
        <f ca="1">IFERROR(IF(AND(ISNUMBER($BC$25),$BC$25&lt;=30),INDEX('2.Distances'!$D$2:$D$963,$BC$24*31+$BC$25+ 1) +$BK$24," ")," ")</f>
        <v xml:space="preserve"> </v>
      </c>
      <c r="BK25" s="47" t="str">
        <f ca="1">IFERROR(IF(ISNUMBER($BJ$25),INDEX('1.Locations'!$I$2:$I$32,$BC$25 + 1) + MAX($BJ$25,INDEX('1.Locations'!$F$2:$F$32,$BC$25 + 1))," ")," ")</f>
        <v xml:space="preserve"> </v>
      </c>
      <c r="BL25" s="46" t="str">
        <f ca="1">IFERROR($BL$24 + INDEX('2.Distances'!$D$2:$D$963,$BC$24*31+$BC$25+ 1) + INDEX('1.Locations'!$I$2:$I$32,$BC$25 + 1)," ")</f>
        <v xml:space="preserve"> </v>
      </c>
      <c r="BN25" s="19">
        <v>20</v>
      </c>
      <c r="BO25" s="20"/>
      <c r="BP25" s="44" t="str">
        <f ca="1">IFERROR(MATCH(INDIRECT("$BO$25"),'1.Locations'!$B$2:$B$32, 0) - 1," ")</f>
        <v xml:space="preserve"> </v>
      </c>
      <c r="BQ25" s="44" t="e">
        <f ca="1">IFERROR(IF(ISNUMBER($BP$25),INDEX('1.Locations'!$D$2:$D$32,$BP$25 + 1),NA()),NA())</f>
        <v>#N/A</v>
      </c>
      <c r="BR25" s="44" t="e">
        <f ca="1">IFERROR(IF(ISNUMBER($BP$25),INDEX('1.Locations'!$E$2:$E$32,$BP$25 + 1),NA()),NA())</f>
        <v>#N/A</v>
      </c>
      <c r="BS25" s="45" t="str">
        <f ca="1">IFERROR(IF(AND(ISNUMBER($BP$25),$BP$25&lt;=30),INDEX('2.Distances'!$C$2:$C$963,$BP$24*31+$BP$25+ 1) +$BS$24," ")," ")</f>
        <v xml:space="preserve"> </v>
      </c>
      <c r="BT25" s="44" t="str">
        <f ca="1">IFERROR(IF(ISNUMBER($BP$25),INDEX('1.Locations'!$J$2:$J$32,$BP$25 + 1) +$BT$24," ")," ")</f>
        <v xml:space="preserve"> </v>
      </c>
      <c r="BU25" s="44" t="str">
        <f ca="1">IFERROR(IF(ISNUMBER($BP$25),INDEX('1.Locations'!$K$2:$K$32,$BP$25 + 1) +$BU$24," ")," ")</f>
        <v xml:space="preserve"> </v>
      </c>
      <c r="BV25" s="46" t="str">
        <f ca="1">IFERROR(IF(AND(ISNUMBER($BP$25),$BP$25&lt;=30),INDEX('2.Distances'!$D$2:$D$963,$BP$24*31+$BP$25+ 1) +$BV$24," ")," ")</f>
        <v xml:space="preserve"> </v>
      </c>
      <c r="BW25" s="47" t="str">
        <f ca="1">IFERROR(IF(AND(ISNUMBER($BP$25),$BP$25&lt;=30),INDEX('2.Distances'!$D$2:$D$963,$BP$24*31+$BP$25+ 1) +$BX$24," ")," ")</f>
        <v xml:space="preserve"> </v>
      </c>
      <c r="BX25" s="47" t="str">
        <f ca="1">IFERROR(IF(ISNUMBER($BW$25),INDEX('1.Locations'!$I$2:$I$32,$BP$25 + 1) + MAX($BW$25,INDEX('1.Locations'!$F$2:$F$32,$BP$25 + 1))," ")," ")</f>
        <v xml:space="preserve"> </v>
      </c>
      <c r="BY25" s="46" t="str">
        <f ca="1">IFERROR($BY$24 + INDEX('2.Distances'!$D$2:$D$963,$BP$24*31+$BP$25+ 1) + INDEX('1.Locations'!$I$2:$I$32,$BP$25 + 1)," ")</f>
        <v xml:space="preserve"> </v>
      </c>
      <c r="CA25" s="19">
        <v>20</v>
      </c>
      <c r="CB25" s="20"/>
      <c r="CC25" s="44" t="str">
        <f ca="1">IFERROR(MATCH(INDIRECT("$CB$25"),'1.Locations'!$B$2:$B$32, 0) - 1," ")</f>
        <v xml:space="preserve"> </v>
      </c>
      <c r="CD25" s="44" t="e">
        <f ca="1">IFERROR(IF(ISNUMBER($CC$25),INDEX('1.Locations'!$D$2:$D$32,$CC$25 + 1),NA()),NA())</f>
        <v>#N/A</v>
      </c>
      <c r="CE25" s="44" t="e">
        <f ca="1">IFERROR(IF(ISNUMBER($CC$25),INDEX('1.Locations'!$E$2:$E$32,$CC$25 + 1),NA()),NA())</f>
        <v>#N/A</v>
      </c>
      <c r="CF25" s="45" t="str">
        <f ca="1">IFERROR(IF(AND(ISNUMBER($CC$25),$CC$25&lt;=30),INDEX('2.Distances'!$C$2:$C$963,$CC$24*31+$CC$25+ 1) +$CF$24," ")," ")</f>
        <v xml:space="preserve"> </v>
      </c>
      <c r="CG25" s="44" t="str">
        <f ca="1">IFERROR(IF(ISNUMBER($CC$25),INDEX('1.Locations'!$J$2:$J$32,$CC$25 + 1) +$CG$24," ")," ")</f>
        <v xml:space="preserve"> </v>
      </c>
      <c r="CH25" s="44" t="str">
        <f ca="1">IFERROR(IF(ISNUMBER($CC$25),INDEX('1.Locations'!$K$2:$K$32,$CC$25 + 1) +$CH$24," ")," ")</f>
        <v xml:space="preserve"> </v>
      </c>
      <c r="CI25" s="46" t="str">
        <f ca="1">IFERROR(IF(AND(ISNUMBER($CC$25),$CC$25&lt;=30),INDEX('2.Distances'!$D$2:$D$963,$CC$24*31+$CC$25+ 1) +$CI$24," ")," ")</f>
        <v xml:space="preserve"> </v>
      </c>
      <c r="CJ25" s="47" t="str">
        <f ca="1">IFERROR(IF(AND(ISNUMBER($CC$25),$CC$25&lt;=30),INDEX('2.Distances'!$D$2:$D$963,$CC$24*31+$CC$25+ 1) +$CK$24," ")," ")</f>
        <v xml:space="preserve"> </v>
      </c>
      <c r="CK25" s="47" t="str">
        <f ca="1">IFERROR(IF(ISNUMBER($CJ$25),INDEX('1.Locations'!$I$2:$I$32,$CC$25 + 1) + MAX($CJ$25,INDEX('1.Locations'!$F$2:$F$32,$CC$25 + 1))," ")," ")</f>
        <v xml:space="preserve"> </v>
      </c>
      <c r="CL25" s="46" t="str">
        <f ca="1">IFERROR($CL$24 + INDEX('2.Distances'!$D$2:$D$963,$CC$24*31+$CC$25+ 1) + INDEX('1.Locations'!$I$2:$I$32,$CC$25 + 1)," ")</f>
        <v xml:space="preserve"> </v>
      </c>
      <c r="CN25" s="19">
        <v>20</v>
      </c>
      <c r="CO25" s="20"/>
      <c r="CP25" s="44" t="str">
        <f ca="1">IFERROR(MATCH(INDIRECT("$CO$25"),'1.Locations'!$B$2:$B$32, 0) - 1," ")</f>
        <v xml:space="preserve"> </v>
      </c>
      <c r="CQ25" s="44" t="e">
        <f ca="1">IFERROR(IF(ISNUMBER($CP$25),INDEX('1.Locations'!$D$2:$D$32,$CP$25 + 1),NA()),NA())</f>
        <v>#N/A</v>
      </c>
      <c r="CR25" s="44" t="e">
        <f ca="1">IFERROR(IF(ISNUMBER($CP$25),INDEX('1.Locations'!$E$2:$E$32,$CP$25 + 1),NA()),NA())</f>
        <v>#N/A</v>
      </c>
      <c r="CS25" s="45" t="str">
        <f ca="1">IFERROR(IF(AND(ISNUMBER($CP$25),$CP$25&lt;=30),INDEX('2.Distances'!$C$2:$C$963,$CP$24*31+$CP$25+ 1) +$CS$24," ")," ")</f>
        <v xml:space="preserve"> </v>
      </c>
      <c r="CT25" s="44" t="str">
        <f ca="1">IFERROR(IF(ISNUMBER($CP$25),INDEX('1.Locations'!$J$2:$J$32,$CP$25 + 1) +$CT$24," ")," ")</f>
        <v xml:space="preserve"> </v>
      </c>
      <c r="CU25" s="44" t="str">
        <f ca="1">IFERROR(IF(ISNUMBER($CP$25),INDEX('1.Locations'!$K$2:$K$32,$CP$25 + 1) +$CU$24," ")," ")</f>
        <v xml:space="preserve"> </v>
      </c>
      <c r="CV25" s="46" t="str">
        <f ca="1">IFERROR(IF(AND(ISNUMBER($CP$25),$CP$25&lt;=30),INDEX('2.Distances'!$D$2:$D$963,$CP$24*31+$CP$25+ 1) +$CV$24," ")," ")</f>
        <v xml:space="preserve"> </v>
      </c>
      <c r="CW25" s="47" t="str">
        <f ca="1">IFERROR(IF(AND(ISNUMBER($CP$25),$CP$25&lt;=30),INDEX('2.Distances'!$D$2:$D$963,$CP$24*31+$CP$25+ 1) +$CX$24," ")," ")</f>
        <v xml:space="preserve"> </v>
      </c>
      <c r="CX25" s="47" t="str">
        <f ca="1">IFERROR(IF(ISNUMBER($CW$25),INDEX('1.Locations'!$I$2:$I$32,$CP$25 + 1) + MAX($CW$25,INDEX('1.Locations'!$F$2:$F$32,$CP$25 + 1))," ")," ")</f>
        <v xml:space="preserve"> </v>
      </c>
      <c r="CY25" s="46" t="str">
        <f ca="1">IFERROR($CY$24 + INDEX('2.Distances'!$D$2:$D$963,$CP$24*31+$CP$25+ 1) + INDEX('1.Locations'!$I$2:$I$32,$CP$25 + 1)," ")</f>
        <v xml:space="preserve"> </v>
      </c>
      <c r="DA25" s="19">
        <v>20</v>
      </c>
      <c r="DB25" s="20"/>
      <c r="DC25" s="44" t="str">
        <f ca="1">IFERROR(MATCH(INDIRECT("$DB$25"),'1.Locations'!$B$2:$B$32, 0) - 1," ")</f>
        <v xml:space="preserve"> </v>
      </c>
      <c r="DD25" s="44" t="e">
        <f ca="1">IFERROR(IF(ISNUMBER($DC$25),INDEX('1.Locations'!$D$2:$D$32,$DC$25 + 1),NA()),NA())</f>
        <v>#N/A</v>
      </c>
      <c r="DE25" s="44" t="e">
        <f ca="1">IFERROR(IF(ISNUMBER($DC$25),INDEX('1.Locations'!$E$2:$E$32,$DC$25 + 1),NA()),NA())</f>
        <v>#N/A</v>
      </c>
      <c r="DF25" s="45" t="str">
        <f ca="1">IFERROR(IF(AND(ISNUMBER($DC$25),$DC$25&lt;=30),INDEX('2.Distances'!$C$2:$C$963,$DC$24*31+$DC$25+ 1) +$DF$24," ")," ")</f>
        <v xml:space="preserve"> </v>
      </c>
      <c r="DG25" s="44" t="str">
        <f ca="1">IFERROR(IF(ISNUMBER($DC$25),INDEX('1.Locations'!$J$2:$J$32,$DC$25 + 1) +$DG$24," ")," ")</f>
        <v xml:space="preserve"> </v>
      </c>
      <c r="DH25" s="44" t="str">
        <f ca="1">IFERROR(IF(ISNUMBER($DC$25),INDEX('1.Locations'!$K$2:$K$32,$DC$25 + 1) +$DH$24," ")," ")</f>
        <v xml:space="preserve"> </v>
      </c>
      <c r="DI25" s="46" t="str">
        <f ca="1">IFERROR(IF(AND(ISNUMBER($DC$25),$DC$25&lt;=30),INDEX('2.Distances'!$D$2:$D$963,$DC$24*31+$DC$25+ 1) +$DI$24," ")," ")</f>
        <v xml:space="preserve"> </v>
      </c>
      <c r="DJ25" s="47" t="str">
        <f ca="1">IFERROR(IF(AND(ISNUMBER($DC$25),$DC$25&lt;=30),INDEX('2.Distances'!$D$2:$D$963,$DC$24*31+$DC$25+ 1) +$DK$24," ")," ")</f>
        <v xml:space="preserve"> </v>
      </c>
      <c r="DK25" s="47" t="str">
        <f ca="1">IFERROR(IF(ISNUMBER($DJ$25),INDEX('1.Locations'!$I$2:$I$32,$DC$25 + 1) + MAX($DJ$25,INDEX('1.Locations'!$F$2:$F$32,$DC$25 + 1))," ")," ")</f>
        <v xml:space="preserve"> </v>
      </c>
      <c r="DL25" s="46" t="str">
        <f ca="1">IFERROR($DL$24 + INDEX('2.Distances'!$D$2:$D$963,$DC$24*31+$DC$25+ 1) + INDEX('1.Locations'!$I$2:$I$32,$DC$25 + 1)," ")</f>
        <v xml:space="preserve"> </v>
      </c>
      <c r="DN25" s="19">
        <v>20</v>
      </c>
      <c r="DO25" s="20"/>
      <c r="DP25" s="44" t="str">
        <f ca="1">IFERROR(MATCH(INDIRECT("$DO$25"),'1.Locations'!$B$2:$B$32, 0) - 1," ")</f>
        <v xml:space="preserve"> </v>
      </c>
      <c r="DQ25" s="44" t="e">
        <f ca="1">IFERROR(IF(ISNUMBER($DP$25),INDEX('1.Locations'!$D$2:$D$32,$DP$25 + 1),NA()),NA())</f>
        <v>#N/A</v>
      </c>
      <c r="DR25" s="44" t="e">
        <f ca="1">IFERROR(IF(ISNUMBER($DP$25),INDEX('1.Locations'!$E$2:$E$32,$DP$25 + 1),NA()),NA())</f>
        <v>#N/A</v>
      </c>
      <c r="DS25" s="45" t="str">
        <f ca="1">IFERROR(IF(AND(ISNUMBER($DP$25),$DP$25&lt;=30),INDEX('2.Distances'!$C$2:$C$963,$DP$24*31+$DP$25+ 1) +$DS$24," ")," ")</f>
        <v xml:space="preserve"> </v>
      </c>
      <c r="DT25" s="44" t="str">
        <f ca="1">IFERROR(IF(ISNUMBER($DP$25),INDEX('1.Locations'!$J$2:$J$32,$DP$25 + 1) +$DT$24," ")," ")</f>
        <v xml:space="preserve"> </v>
      </c>
      <c r="DU25" s="44" t="str">
        <f ca="1">IFERROR(IF(ISNUMBER($DP$25),INDEX('1.Locations'!$K$2:$K$32,$DP$25 + 1) +$DU$24," ")," ")</f>
        <v xml:space="preserve"> </v>
      </c>
      <c r="DV25" s="46" t="str">
        <f ca="1">IFERROR(IF(AND(ISNUMBER($DP$25),$DP$25&lt;=30),INDEX('2.Distances'!$D$2:$D$963,$DP$24*31+$DP$25+ 1) +$DV$24," ")," ")</f>
        <v xml:space="preserve"> </v>
      </c>
      <c r="DW25" s="47" t="str">
        <f ca="1">IFERROR(IF(AND(ISNUMBER($DP$25),$DP$25&lt;=30),INDEX('2.Distances'!$D$2:$D$963,$DP$24*31+$DP$25+ 1) +$DX$24," ")," ")</f>
        <v xml:space="preserve"> </v>
      </c>
      <c r="DX25" s="47" t="str">
        <f ca="1">IFERROR(IF(ISNUMBER($DW$25),INDEX('1.Locations'!$I$2:$I$32,$DP$25 + 1) + MAX($DW$25,INDEX('1.Locations'!$F$2:$F$32,$DP$25 + 1))," ")," ")</f>
        <v xml:space="preserve"> </v>
      </c>
      <c r="DY25" s="46" t="str">
        <f ca="1">IFERROR($DY$24 + INDEX('2.Distances'!$D$2:$D$963,$DP$24*31+$DP$25+ 1) + INDEX('1.Locations'!$I$2:$I$32,$DP$25 + 1)," ")</f>
        <v xml:space="preserve"> </v>
      </c>
      <c r="EA25" s="19">
        <v>20</v>
      </c>
      <c r="EB25" s="20"/>
      <c r="EC25" s="44" t="str">
        <f ca="1">IFERROR(MATCH(INDIRECT("$EB$25"),'1.Locations'!$B$2:$B$32, 0) - 1," ")</f>
        <v xml:space="preserve"> </v>
      </c>
      <c r="ED25" s="44" t="e">
        <f ca="1">IFERROR(IF(ISNUMBER($EC$25),INDEX('1.Locations'!$D$2:$D$32,$EC$25 + 1),NA()),NA())</f>
        <v>#N/A</v>
      </c>
      <c r="EE25" s="44" t="e">
        <f ca="1">IFERROR(IF(ISNUMBER($EC$25),INDEX('1.Locations'!$E$2:$E$32,$EC$25 + 1),NA()),NA())</f>
        <v>#N/A</v>
      </c>
      <c r="EF25" s="45" t="str">
        <f ca="1">IFERROR(IF(AND(ISNUMBER($EC$25),$EC$25&lt;=30),INDEX('2.Distances'!$C$2:$C$963,$EC$24*31+$EC$25+ 1) +$EF$24," ")," ")</f>
        <v xml:space="preserve"> </v>
      </c>
      <c r="EG25" s="44" t="str">
        <f ca="1">IFERROR(IF(ISNUMBER($EC$25),INDEX('1.Locations'!$J$2:$J$32,$EC$25 + 1) +$EG$24," ")," ")</f>
        <v xml:space="preserve"> </v>
      </c>
      <c r="EH25" s="44" t="str">
        <f ca="1">IFERROR(IF(ISNUMBER($EC$25),INDEX('1.Locations'!$K$2:$K$32,$EC$25 + 1) +$EH$24," ")," ")</f>
        <v xml:space="preserve"> </v>
      </c>
      <c r="EI25" s="46" t="str">
        <f ca="1">IFERROR(IF(AND(ISNUMBER($EC$25),$EC$25&lt;=30),INDEX('2.Distances'!$D$2:$D$963,$EC$24*31+$EC$25+ 1) +$EI$24," ")," ")</f>
        <v xml:space="preserve"> </v>
      </c>
      <c r="EJ25" s="47" t="str">
        <f ca="1">IFERROR(IF(AND(ISNUMBER($EC$25),$EC$25&lt;=30),INDEX('2.Distances'!$D$2:$D$963,$EC$24*31+$EC$25+ 1) +$EK$24," ")," ")</f>
        <v xml:space="preserve"> </v>
      </c>
      <c r="EK25" s="47" t="str">
        <f ca="1">IFERROR(IF(ISNUMBER($EJ$25),INDEX('1.Locations'!$I$2:$I$32,$EC$25 + 1) + MAX($EJ$25,INDEX('1.Locations'!$F$2:$F$32,$EC$25 + 1))," ")," ")</f>
        <v xml:space="preserve"> </v>
      </c>
      <c r="EL25" s="46" t="str">
        <f ca="1">IFERROR($EL$24 + INDEX('2.Distances'!$D$2:$D$963,$EC$24*31+$EC$25+ 1) + INDEX('1.Locations'!$I$2:$I$32,$EC$25 + 1)," ")</f>
        <v xml:space="preserve"> </v>
      </c>
      <c r="EN25" s="19">
        <v>20</v>
      </c>
      <c r="EO25" s="20"/>
      <c r="EP25" s="44" t="str">
        <f ca="1">IFERROR(MATCH(INDIRECT("$EO$25"),'1.Locations'!$B$2:$B$32, 0) - 1," ")</f>
        <v xml:space="preserve"> </v>
      </c>
      <c r="EQ25" s="44" t="e">
        <f ca="1">IFERROR(IF(ISNUMBER($EP$25),INDEX('1.Locations'!$D$2:$D$32,$EP$25 + 1),NA()),NA())</f>
        <v>#N/A</v>
      </c>
      <c r="ER25" s="44" t="e">
        <f ca="1">IFERROR(IF(ISNUMBER($EP$25),INDEX('1.Locations'!$E$2:$E$32,$EP$25 + 1),NA()),NA())</f>
        <v>#N/A</v>
      </c>
      <c r="ES25" s="45" t="str">
        <f ca="1">IFERROR(IF(AND(ISNUMBER($EP$25),$EP$25&lt;=30),INDEX('2.Distances'!$C$2:$C$963,$EP$24*31+$EP$25+ 1) +$ES$24," ")," ")</f>
        <v xml:space="preserve"> </v>
      </c>
      <c r="ET25" s="44" t="str">
        <f ca="1">IFERROR(IF(ISNUMBER($EP$25),INDEX('1.Locations'!$J$2:$J$32,$EP$25 + 1) +$ET$24," ")," ")</f>
        <v xml:space="preserve"> </v>
      </c>
      <c r="EU25" s="44" t="str">
        <f ca="1">IFERROR(IF(ISNUMBER($EP$25),INDEX('1.Locations'!$K$2:$K$32,$EP$25 + 1) +$EU$24," ")," ")</f>
        <v xml:space="preserve"> </v>
      </c>
      <c r="EV25" s="46" t="str">
        <f ca="1">IFERROR(IF(AND(ISNUMBER($EP$25),$EP$25&lt;=30),INDEX('2.Distances'!$D$2:$D$963,$EP$24*31+$EP$25+ 1) +$EV$24," ")," ")</f>
        <v xml:space="preserve"> </v>
      </c>
      <c r="EW25" s="47" t="str">
        <f ca="1">IFERROR(IF(AND(ISNUMBER($EP$25),$EP$25&lt;=30),INDEX('2.Distances'!$D$2:$D$963,$EP$24*31+$EP$25+ 1) +$EX$24," ")," ")</f>
        <v xml:space="preserve"> </v>
      </c>
      <c r="EX25" s="47" t="str">
        <f ca="1">IFERROR(IF(ISNUMBER($EW$25),INDEX('1.Locations'!$I$2:$I$32,$EP$25 + 1) + MAX($EW$25,INDEX('1.Locations'!$F$2:$F$32,$EP$25 + 1))," ")," ")</f>
        <v xml:space="preserve"> </v>
      </c>
      <c r="EY25" s="46" t="str">
        <f ca="1">IFERROR($EY$24 + INDEX('2.Distances'!$D$2:$D$963,$EP$24*31+$EP$25+ 1) + INDEX('1.Locations'!$I$2:$I$32,$EP$25 + 1)," ")</f>
        <v xml:space="preserve"> </v>
      </c>
    </row>
    <row r="26" spans="1:155" x14ac:dyDescent="0.2">
      <c r="A26" s="19">
        <v>21</v>
      </c>
      <c r="B26" s="20"/>
      <c r="C26" s="44" t="str">
        <f ca="1">IFERROR(MATCH(INDIRECT("$B$26"),'1.Locations'!$B$2:$B$32, 0) - 1," ")</f>
        <v xml:space="preserve"> </v>
      </c>
      <c r="D26" s="44" t="e">
        <f ca="1">IFERROR(IF(ISNUMBER($C$26),INDEX('1.Locations'!$D$2:$D$32,$C$26 + 1),NA()),NA())</f>
        <v>#N/A</v>
      </c>
      <c r="E26" s="44" t="e">
        <f ca="1">IFERROR(IF(ISNUMBER($C$26),INDEX('1.Locations'!$E$2:$E$32,$C$26 + 1),NA()),NA())</f>
        <v>#N/A</v>
      </c>
      <c r="F26" s="45" t="str">
        <f ca="1">IFERROR(IF(AND(ISNUMBER($C$26),$C$26&lt;=30),INDEX('2.Distances'!$C$2:$C$963,$C$25*31+$C$26+ 1) +$F$25," ")," ")</f>
        <v xml:space="preserve"> </v>
      </c>
      <c r="G26" s="44" t="str">
        <f ca="1">IFERROR(IF(ISNUMBER($C$26),INDEX('1.Locations'!$J$2:$J$32,$C$26 + 1) +$G$25," ")," ")</f>
        <v xml:space="preserve"> </v>
      </c>
      <c r="H26" s="44" t="str">
        <f ca="1">IFERROR(IF(ISNUMBER($C$26),INDEX('1.Locations'!$K$2:$K$32,$C$26 + 1) +$H$25," ")," ")</f>
        <v xml:space="preserve"> </v>
      </c>
      <c r="I26" s="46" t="str">
        <f ca="1">IFERROR(IF(AND(ISNUMBER($C$26),$C$26&lt;=30),INDEX('2.Distances'!$D$2:$D$963,$C$25*31+$C$26+ 1) +$I$25," ")," ")</f>
        <v xml:space="preserve"> </v>
      </c>
      <c r="J26" s="47" t="str">
        <f ca="1">IFERROR(IF(AND(ISNUMBER($C$26),$C$26&lt;=30),INDEX('2.Distances'!$D$2:$D$963,$C$25*31+$C$26+ 1) +$K$25," ")," ")</f>
        <v xml:space="preserve"> </v>
      </c>
      <c r="K26" s="47" t="str">
        <f ca="1">IFERROR(IF(ISNUMBER($J$26),INDEX('1.Locations'!$I$2:$I$32,$C$26 + 1) + MAX($J$26,INDEX('1.Locations'!$F$2:$F$32,$C$26 + 1))," ")," ")</f>
        <v xml:space="preserve"> </v>
      </c>
      <c r="L26" s="46" t="str">
        <f ca="1">IFERROR($L$25 + INDEX('2.Distances'!$D$2:$D$963,$C$25*31+$C$26+ 1) + INDEX('1.Locations'!$I$2:$I$32,$C$26 + 1)," ")</f>
        <v xml:space="preserve"> </v>
      </c>
      <c r="N26" s="19">
        <v>21</v>
      </c>
      <c r="O26" s="20"/>
      <c r="P26" s="44" t="str">
        <f ca="1">IFERROR(MATCH(INDIRECT("$O$26"),'1.Locations'!$B$2:$B$32, 0) - 1," ")</f>
        <v xml:space="preserve"> </v>
      </c>
      <c r="Q26" s="44" t="e">
        <f ca="1">IFERROR(IF(ISNUMBER($P$26),INDEX('1.Locations'!$D$2:$D$32,$P$26 + 1),NA()),NA())</f>
        <v>#N/A</v>
      </c>
      <c r="R26" s="44" t="e">
        <f ca="1">IFERROR(IF(ISNUMBER($P$26),INDEX('1.Locations'!$E$2:$E$32,$P$26 + 1),NA()),NA())</f>
        <v>#N/A</v>
      </c>
      <c r="S26" s="45" t="str">
        <f ca="1">IFERROR(IF(AND(ISNUMBER($P$26),$P$26&lt;=30),INDEX('2.Distances'!$C$2:$C$963,$P$25*31+$P$26+ 1) +$S$25," ")," ")</f>
        <v xml:space="preserve"> </v>
      </c>
      <c r="T26" s="44" t="str">
        <f ca="1">IFERROR(IF(ISNUMBER($P$26),INDEX('1.Locations'!$J$2:$J$32,$P$26 + 1) +$T$25," ")," ")</f>
        <v xml:space="preserve"> </v>
      </c>
      <c r="U26" s="44" t="str">
        <f ca="1">IFERROR(IF(ISNUMBER($P$26),INDEX('1.Locations'!$K$2:$K$32,$P$26 + 1) +$U$25," ")," ")</f>
        <v xml:space="preserve"> </v>
      </c>
      <c r="V26" s="46" t="str">
        <f ca="1">IFERROR(IF(AND(ISNUMBER($P$26),$P$26&lt;=30),INDEX('2.Distances'!$D$2:$D$963,$P$25*31+$P$26+ 1) +$V$25," ")," ")</f>
        <v xml:space="preserve"> </v>
      </c>
      <c r="W26" s="47" t="str">
        <f ca="1">IFERROR(IF(AND(ISNUMBER($P$26),$P$26&lt;=30),INDEX('2.Distances'!$D$2:$D$963,$P$25*31+$P$26+ 1) +$X$25," ")," ")</f>
        <v xml:space="preserve"> </v>
      </c>
      <c r="X26" s="47" t="str">
        <f ca="1">IFERROR(IF(ISNUMBER($W$26),INDEX('1.Locations'!$I$2:$I$32,$P$26 + 1) + MAX($W$26,INDEX('1.Locations'!$F$2:$F$32,$P$26 + 1))," ")," ")</f>
        <v xml:space="preserve"> </v>
      </c>
      <c r="Y26" s="46" t="str">
        <f ca="1">IFERROR($Y$25 + INDEX('2.Distances'!$D$2:$D$963,$P$25*31+$P$26+ 1) + INDEX('1.Locations'!$I$2:$I$32,$P$26 + 1)," ")</f>
        <v xml:space="preserve"> </v>
      </c>
      <c r="AA26" s="19">
        <v>21</v>
      </c>
      <c r="AB26" s="20"/>
      <c r="AC26" s="44" t="str">
        <f ca="1">IFERROR(MATCH(INDIRECT("$AB$26"),'1.Locations'!$B$2:$B$32, 0) - 1," ")</f>
        <v xml:space="preserve"> </v>
      </c>
      <c r="AD26" s="44" t="e">
        <f ca="1">IFERROR(IF(ISNUMBER($AC$26),INDEX('1.Locations'!$D$2:$D$32,$AC$26 + 1),NA()),NA())</f>
        <v>#N/A</v>
      </c>
      <c r="AE26" s="44" t="e">
        <f ca="1">IFERROR(IF(ISNUMBER($AC$26),INDEX('1.Locations'!$E$2:$E$32,$AC$26 + 1),NA()),NA())</f>
        <v>#N/A</v>
      </c>
      <c r="AF26" s="45" t="str">
        <f ca="1">IFERROR(IF(AND(ISNUMBER($AC$26),$AC$26&lt;=30),INDEX('2.Distances'!$C$2:$C$963,$AC$25*31+$AC$26+ 1) +$AF$25," ")," ")</f>
        <v xml:space="preserve"> </v>
      </c>
      <c r="AG26" s="44" t="str">
        <f ca="1">IFERROR(IF(ISNUMBER($AC$26),INDEX('1.Locations'!$J$2:$J$32,$AC$26 + 1) +$AG$25," ")," ")</f>
        <v xml:space="preserve"> </v>
      </c>
      <c r="AH26" s="44" t="str">
        <f ca="1">IFERROR(IF(ISNUMBER($AC$26),INDEX('1.Locations'!$K$2:$K$32,$AC$26 + 1) +$AH$25," ")," ")</f>
        <v xml:space="preserve"> </v>
      </c>
      <c r="AI26" s="46" t="str">
        <f ca="1">IFERROR(IF(AND(ISNUMBER($AC$26),$AC$26&lt;=30),INDEX('2.Distances'!$D$2:$D$963,$AC$25*31+$AC$26+ 1) +$AI$25," ")," ")</f>
        <v xml:space="preserve"> </v>
      </c>
      <c r="AJ26" s="47" t="str">
        <f ca="1">IFERROR(IF(AND(ISNUMBER($AC$26),$AC$26&lt;=30),INDEX('2.Distances'!$D$2:$D$963,$AC$25*31+$AC$26+ 1) +$AK$25," ")," ")</f>
        <v xml:space="preserve"> </v>
      </c>
      <c r="AK26" s="47" t="str">
        <f ca="1">IFERROR(IF(ISNUMBER($AJ$26),INDEX('1.Locations'!$I$2:$I$32,$AC$26 + 1) + MAX($AJ$26,INDEX('1.Locations'!$F$2:$F$32,$AC$26 + 1))," ")," ")</f>
        <v xml:space="preserve"> </v>
      </c>
      <c r="AL26" s="46" t="str">
        <f ca="1">IFERROR($AL$25 + INDEX('2.Distances'!$D$2:$D$963,$AC$25*31+$AC$26+ 1) + INDEX('1.Locations'!$I$2:$I$32,$AC$26 + 1)," ")</f>
        <v xml:space="preserve"> </v>
      </c>
      <c r="AN26" s="19">
        <v>21</v>
      </c>
      <c r="AO26" s="20"/>
      <c r="AP26" s="44" t="str">
        <f ca="1">IFERROR(MATCH(INDIRECT("$AO$26"),'1.Locations'!$B$2:$B$32, 0) - 1," ")</f>
        <v xml:space="preserve"> </v>
      </c>
      <c r="AQ26" s="44" t="e">
        <f ca="1">IFERROR(IF(ISNUMBER($AP$26),INDEX('1.Locations'!$D$2:$D$32,$AP$26 + 1),NA()),NA())</f>
        <v>#N/A</v>
      </c>
      <c r="AR26" s="44" t="e">
        <f ca="1">IFERROR(IF(ISNUMBER($AP$26),INDEX('1.Locations'!$E$2:$E$32,$AP$26 + 1),NA()),NA())</f>
        <v>#N/A</v>
      </c>
      <c r="AS26" s="45" t="str">
        <f ca="1">IFERROR(IF(AND(ISNUMBER($AP$26),$AP$26&lt;=30),INDEX('2.Distances'!$C$2:$C$963,$AP$25*31+$AP$26+ 1) +$AS$25," ")," ")</f>
        <v xml:space="preserve"> </v>
      </c>
      <c r="AT26" s="44" t="str">
        <f ca="1">IFERROR(IF(ISNUMBER($AP$26),INDEX('1.Locations'!$J$2:$J$32,$AP$26 + 1) +$AT$25," ")," ")</f>
        <v xml:space="preserve"> </v>
      </c>
      <c r="AU26" s="44" t="str">
        <f ca="1">IFERROR(IF(ISNUMBER($AP$26),INDEX('1.Locations'!$K$2:$K$32,$AP$26 + 1) +$AU$25," ")," ")</f>
        <v xml:space="preserve"> </v>
      </c>
      <c r="AV26" s="46" t="str">
        <f ca="1">IFERROR(IF(AND(ISNUMBER($AP$26),$AP$26&lt;=30),INDEX('2.Distances'!$D$2:$D$963,$AP$25*31+$AP$26+ 1) +$AV$25," ")," ")</f>
        <v xml:space="preserve"> </v>
      </c>
      <c r="AW26" s="47" t="str">
        <f ca="1">IFERROR(IF(AND(ISNUMBER($AP$26),$AP$26&lt;=30),INDEX('2.Distances'!$D$2:$D$963,$AP$25*31+$AP$26+ 1) +$AX$25," ")," ")</f>
        <v xml:space="preserve"> </v>
      </c>
      <c r="AX26" s="47" t="str">
        <f ca="1">IFERROR(IF(ISNUMBER($AW$26),INDEX('1.Locations'!$I$2:$I$32,$AP$26 + 1) + MAX($AW$26,INDEX('1.Locations'!$F$2:$F$32,$AP$26 + 1))," ")," ")</f>
        <v xml:space="preserve"> </v>
      </c>
      <c r="AY26" s="46" t="str">
        <f ca="1">IFERROR($AY$25 + INDEX('2.Distances'!$D$2:$D$963,$AP$25*31+$AP$26+ 1) + INDEX('1.Locations'!$I$2:$I$32,$AP$26 + 1)," ")</f>
        <v xml:space="preserve"> </v>
      </c>
      <c r="BA26" s="19">
        <v>21</v>
      </c>
      <c r="BB26" s="20"/>
      <c r="BC26" s="44" t="str">
        <f ca="1">IFERROR(MATCH(INDIRECT("$BB$26"),'1.Locations'!$B$2:$B$32, 0) - 1," ")</f>
        <v xml:space="preserve"> </v>
      </c>
      <c r="BD26" s="44" t="e">
        <f ca="1">IFERROR(IF(ISNUMBER($BC$26),INDEX('1.Locations'!$D$2:$D$32,$BC$26 + 1),NA()),NA())</f>
        <v>#N/A</v>
      </c>
      <c r="BE26" s="44" t="e">
        <f ca="1">IFERROR(IF(ISNUMBER($BC$26),INDEX('1.Locations'!$E$2:$E$32,$BC$26 + 1),NA()),NA())</f>
        <v>#N/A</v>
      </c>
      <c r="BF26" s="45" t="str">
        <f ca="1">IFERROR(IF(AND(ISNUMBER($BC$26),$BC$26&lt;=30),INDEX('2.Distances'!$C$2:$C$963,$BC$25*31+$BC$26+ 1) +$BF$25," ")," ")</f>
        <v xml:space="preserve"> </v>
      </c>
      <c r="BG26" s="44" t="str">
        <f ca="1">IFERROR(IF(ISNUMBER($BC$26),INDEX('1.Locations'!$J$2:$J$32,$BC$26 + 1) +$BG$25," ")," ")</f>
        <v xml:space="preserve"> </v>
      </c>
      <c r="BH26" s="44" t="str">
        <f ca="1">IFERROR(IF(ISNUMBER($BC$26),INDEX('1.Locations'!$K$2:$K$32,$BC$26 + 1) +$BH$25," ")," ")</f>
        <v xml:space="preserve"> </v>
      </c>
      <c r="BI26" s="46" t="str">
        <f ca="1">IFERROR(IF(AND(ISNUMBER($BC$26),$BC$26&lt;=30),INDEX('2.Distances'!$D$2:$D$963,$BC$25*31+$BC$26+ 1) +$BI$25," ")," ")</f>
        <v xml:space="preserve"> </v>
      </c>
      <c r="BJ26" s="47" t="str">
        <f ca="1">IFERROR(IF(AND(ISNUMBER($BC$26),$BC$26&lt;=30),INDEX('2.Distances'!$D$2:$D$963,$BC$25*31+$BC$26+ 1) +$BK$25," ")," ")</f>
        <v xml:space="preserve"> </v>
      </c>
      <c r="BK26" s="47" t="str">
        <f ca="1">IFERROR(IF(ISNUMBER($BJ$26),INDEX('1.Locations'!$I$2:$I$32,$BC$26 + 1) + MAX($BJ$26,INDEX('1.Locations'!$F$2:$F$32,$BC$26 + 1))," ")," ")</f>
        <v xml:space="preserve"> </v>
      </c>
      <c r="BL26" s="46" t="str">
        <f ca="1">IFERROR($BL$25 + INDEX('2.Distances'!$D$2:$D$963,$BC$25*31+$BC$26+ 1) + INDEX('1.Locations'!$I$2:$I$32,$BC$26 + 1)," ")</f>
        <v xml:space="preserve"> </v>
      </c>
      <c r="BN26" s="19">
        <v>21</v>
      </c>
      <c r="BO26" s="20"/>
      <c r="BP26" s="44" t="str">
        <f ca="1">IFERROR(MATCH(INDIRECT("$BO$26"),'1.Locations'!$B$2:$B$32, 0) - 1," ")</f>
        <v xml:space="preserve"> </v>
      </c>
      <c r="BQ26" s="44" t="e">
        <f ca="1">IFERROR(IF(ISNUMBER($BP$26),INDEX('1.Locations'!$D$2:$D$32,$BP$26 + 1),NA()),NA())</f>
        <v>#N/A</v>
      </c>
      <c r="BR26" s="44" t="e">
        <f ca="1">IFERROR(IF(ISNUMBER($BP$26),INDEX('1.Locations'!$E$2:$E$32,$BP$26 + 1),NA()),NA())</f>
        <v>#N/A</v>
      </c>
      <c r="BS26" s="45" t="str">
        <f ca="1">IFERROR(IF(AND(ISNUMBER($BP$26),$BP$26&lt;=30),INDEX('2.Distances'!$C$2:$C$963,$BP$25*31+$BP$26+ 1) +$BS$25," ")," ")</f>
        <v xml:space="preserve"> </v>
      </c>
      <c r="BT26" s="44" t="str">
        <f ca="1">IFERROR(IF(ISNUMBER($BP$26),INDEX('1.Locations'!$J$2:$J$32,$BP$26 + 1) +$BT$25," ")," ")</f>
        <v xml:space="preserve"> </v>
      </c>
      <c r="BU26" s="44" t="str">
        <f ca="1">IFERROR(IF(ISNUMBER($BP$26),INDEX('1.Locations'!$K$2:$K$32,$BP$26 + 1) +$BU$25," ")," ")</f>
        <v xml:space="preserve"> </v>
      </c>
      <c r="BV26" s="46" t="str">
        <f ca="1">IFERROR(IF(AND(ISNUMBER($BP$26),$BP$26&lt;=30),INDEX('2.Distances'!$D$2:$D$963,$BP$25*31+$BP$26+ 1) +$BV$25," ")," ")</f>
        <v xml:space="preserve"> </v>
      </c>
      <c r="BW26" s="47" t="str">
        <f ca="1">IFERROR(IF(AND(ISNUMBER($BP$26),$BP$26&lt;=30),INDEX('2.Distances'!$D$2:$D$963,$BP$25*31+$BP$26+ 1) +$BX$25," ")," ")</f>
        <v xml:space="preserve"> </v>
      </c>
      <c r="BX26" s="47" t="str">
        <f ca="1">IFERROR(IF(ISNUMBER($BW$26),INDEX('1.Locations'!$I$2:$I$32,$BP$26 + 1) + MAX($BW$26,INDEX('1.Locations'!$F$2:$F$32,$BP$26 + 1))," ")," ")</f>
        <v xml:space="preserve"> </v>
      </c>
      <c r="BY26" s="46" t="str">
        <f ca="1">IFERROR($BY$25 + INDEX('2.Distances'!$D$2:$D$963,$BP$25*31+$BP$26+ 1) + INDEX('1.Locations'!$I$2:$I$32,$BP$26 + 1)," ")</f>
        <v xml:space="preserve"> </v>
      </c>
      <c r="CA26" s="19">
        <v>21</v>
      </c>
      <c r="CB26" s="20"/>
      <c r="CC26" s="44" t="str">
        <f ca="1">IFERROR(MATCH(INDIRECT("$CB$26"),'1.Locations'!$B$2:$B$32, 0) - 1," ")</f>
        <v xml:space="preserve"> </v>
      </c>
      <c r="CD26" s="44" t="e">
        <f ca="1">IFERROR(IF(ISNUMBER($CC$26),INDEX('1.Locations'!$D$2:$D$32,$CC$26 + 1),NA()),NA())</f>
        <v>#N/A</v>
      </c>
      <c r="CE26" s="44" t="e">
        <f ca="1">IFERROR(IF(ISNUMBER($CC$26),INDEX('1.Locations'!$E$2:$E$32,$CC$26 + 1),NA()),NA())</f>
        <v>#N/A</v>
      </c>
      <c r="CF26" s="45" t="str">
        <f ca="1">IFERROR(IF(AND(ISNUMBER($CC$26),$CC$26&lt;=30),INDEX('2.Distances'!$C$2:$C$963,$CC$25*31+$CC$26+ 1) +$CF$25," ")," ")</f>
        <v xml:space="preserve"> </v>
      </c>
      <c r="CG26" s="44" t="str">
        <f ca="1">IFERROR(IF(ISNUMBER($CC$26),INDEX('1.Locations'!$J$2:$J$32,$CC$26 + 1) +$CG$25," ")," ")</f>
        <v xml:space="preserve"> </v>
      </c>
      <c r="CH26" s="44" t="str">
        <f ca="1">IFERROR(IF(ISNUMBER($CC$26),INDEX('1.Locations'!$K$2:$K$32,$CC$26 + 1) +$CH$25," ")," ")</f>
        <v xml:space="preserve"> </v>
      </c>
      <c r="CI26" s="46" t="str">
        <f ca="1">IFERROR(IF(AND(ISNUMBER($CC$26),$CC$26&lt;=30),INDEX('2.Distances'!$D$2:$D$963,$CC$25*31+$CC$26+ 1) +$CI$25," ")," ")</f>
        <v xml:space="preserve"> </v>
      </c>
      <c r="CJ26" s="47" t="str">
        <f ca="1">IFERROR(IF(AND(ISNUMBER($CC$26),$CC$26&lt;=30),INDEX('2.Distances'!$D$2:$D$963,$CC$25*31+$CC$26+ 1) +$CK$25," ")," ")</f>
        <v xml:space="preserve"> </v>
      </c>
      <c r="CK26" s="47" t="str">
        <f ca="1">IFERROR(IF(ISNUMBER($CJ$26),INDEX('1.Locations'!$I$2:$I$32,$CC$26 + 1) + MAX($CJ$26,INDEX('1.Locations'!$F$2:$F$32,$CC$26 + 1))," ")," ")</f>
        <v xml:space="preserve"> </v>
      </c>
      <c r="CL26" s="46" t="str">
        <f ca="1">IFERROR($CL$25 + INDEX('2.Distances'!$D$2:$D$963,$CC$25*31+$CC$26+ 1) + INDEX('1.Locations'!$I$2:$I$32,$CC$26 + 1)," ")</f>
        <v xml:space="preserve"> </v>
      </c>
      <c r="CN26" s="19">
        <v>21</v>
      </c>
      <c r="CO26" s="20"/>
      <c r="CP26" s="44" t="str">
        <f ca="1">IFERROR(MATCH(INDIRECT("$CO$26"),'1.Locations'!$B$2:$B$32, 0) - 1," ")</f>
        <v xml:space="preserve"> </v>
      </c>
      <c r="CQ26" s="44" t="e">
        <f ca="1">IFERROR(IF(ISNUMBER($CP$26),INDEX('1.Locations'!$D$2:$D$32,$CP$26 + 1),NA()),NA())</f>
        <v>#N/A</v>
      </c>
      <c r="CR26" s="44" t="e">
        <f ca="1">IFERROR(IF(ISNUMBER($CP$26),INDEX('1.Locations'!$E$2:$E$32,$CP$26 + 1),NA()),NA())</f>
        <v>#N/A</v>
      </c>
      <c r="CS26" s="45" t="str">
        <f ca="1">IFERROR(IF(AND(ISNUMBER($CP$26),$CP$26&lt;=30),INDEX('2.Distances'!$C$2:$C$963,$CP$25*31+$CP$26+ 1) +$CS$25," ")," ")</f>
        <v xml:space="preserve"> </v>
      </c>
      <c r="CT26" s="44" t="str">
        <f ca="1">IFERROR(IF(ISNUMBER($CP$26),INDEX('1.Locations'!$J$2:$J$32,$CP$26 + 1) +$CT$25," ")," ")</f>
        <v xml:space="preserve"> </v>
      </c>
      <c r="CU26" s="44" t="str">
        <f ca="1">IFERROR(IF(ISNUMBER($CP$26),INDEX('1.Locations'!$K$2:$K$32,$CP$26 + 1) +$CU$25," ")," ")</f>
        <v xml:space="preserve"> </v>
      </c>
      <c r="CV26" s="46" t="str">
        <f ca="1">IFERROR(IF(AND(ISNUMBER($CP$26),$CP$26&lt;=30),INDEX('2.Distances'!$D$2:$D$963,$CP$25*31+$CP$26+ 1) +$CV$25," ")," ")</f>
        <v xml:space="preserve"> </v>
      </c>
      <c r="CW26" s="47" t="str">
        <f ca="1">IFERROR(IF(AND(ISNUMBER($CP$26),$CP$26&lt;=30),INDEX('2.Distances'!$D$2:$D$963,$CP$25*31+$CP$26+ 1) +$CX$25," ")," ")</f>
        <v xml:space="preserve"> </v>
      </c>
      <c r="CX26" s="47" t="str">
        <f ca="1">IFERROR(IF(ISNUMBER($CW$26),INDEX('1.Locations'!$I$2:$I$32,$CP$26 + 1) + MAX($CW$26,INDEX('1.Locations'!$F$2:$F$32,$CP$26 + 1))," ")," ")</f>
        <v xml:space="preserve"> </v>
      </c>
      <c r="CY26" s="46" t="str">
        <f ca="1">IFERROR($CY$25 + INDEX('2.Distances'!$D$2:$D$963,$CP$25*31+$CP$26+ 1) + INDEX('1.Locations'!$I$2:$I$32,$CP$26 + 1)," ")</f>
        <v xml:space="preserve"> </v>
      </c>
      <c r="DA26" s="19">
        <v>21</v>
      </c>
      <c r="DB26" s="20"/>
      <c r="DC26" s="44" t="str">
        <f ca="1">IFERROR(MATCH(INDIRECT("$DB$26"),'1.Locations'!$B$2:$B$32, 0) - 1," ")</f>
        <v xml:space="preserve"> </v>
      </c>
      <c r="DD26" s="44" t="e">
        <f ca="1">IFERROR(IF(ISNUMBER($DC$26),INDEX('1.Locations'!$D$2:$D$32,$DC$26 + 1),NA()),NA())</f>
        <v>#N/A</v>
      </c>
      <c r="DE26" s="44" t="e">
        <f ca="1">IFERROR(IF(ISNUMBER($DC$26),INDEX('1.Locations'!$E$2:$E$32,$DC$26 + 1),NA()),NA())</f>
        <v>#N/A</v>
      </c>
      <c r="DF26" s="45" t="str">
        <f ca="1">IFERROR(IF(AND(ISNUMBER($DC$26),$DC$26&lt;=30),INDEX('2.Distances'!$C$2:$C$963,$DC$25*31+$DC$26+ 1) +$DF$25," ")," ")</f>
        <v xml:space="preserve"> </v>
      </c>
      <c r="DG26" s="44" t="str">
        <f ca="1">IFERROR(IF(ISNUMBER($DC$26),INDEX('1.Locations'!$J$2:$J$32,$DC$26 + 1) +$DG$25," ")," ")</f>
        <v xml:space="preserve"> </v>
      </c>
      <c r="DH26" s="44" t="str">
        <f ca="1">IFERROR(IF(ISNUMBER($DC$26),INDEX('1.Locations'!$K$2:$K$32,$DC$26 + 1) +$DH$25," ")," ")</f>
        <v xml:space="preserve"> </v>
      </c>
      <c r="DI26" s="46" t="str">
        <f ca="1">IFERROR(IF(AND(ISNUMBER($DC$26),$DC$26&lt;=30),INDEX('2.Distances'!$D$2:$D$963,$DC$25*31+$DC$26+ 1) +$DI$25," ")," ")</f>
        <v xml:space="preserve"> </v>
      </c>
      <c r="DJ26" s="47" t="str">
        <f ca="1">IFERROR(IF(AND(ISNUMBER($DC$26),$DC$26&lt;=30),INDEX('2.Distances'!$D$2:$D$963,$DC$25*31+$DC$26+ 1) +$DK$25," ")," ")</f>
        <v xml:space="preserve"> </v>
      </c>
      <c r="DK26" s="47" t="str">
        <f ca="1">IFERROR(IF(ISNUMBER($DJ$26),INDEX('1.Locations'!$I$2:$I$32,$DC$26 + 1) + MAX($DJ$26,INDEX('1.Locations'!$F$2:$F$32,$DC$26 + 1))," ")," ")</f>
        <v xml:space="preserve"> </v>
      </c>
      <c r="DL26" s="46" t="str">
        <f ca="1">IFERROR($DL$25 + INDEX('2.Distances'!$D$2:$D$963,$DC$25*31+$DC$26+ 1) + INDEX('1.Locations'!$I$2:$I$32,$DC$26 + 1)," ")</f>
        <v xml:space="preserve"> </v>
      </c>
      <c r="DN26" s="19">
        <v>21</v>
      </c>
      <c r="DO26" s="20"/>
      <c r="DP26" s="44" t="str">
        <f ca="1">IFERROR(MATCH(INDIRECT("$DO$26"),'1.Locations'!$B$2:$B$32, 0) - 1," ")</f>
        <v xml:space="preserve"> </v>
      </c>
      <c r="DQ26" s="44" t="e">
        <f ca="1">IFERROR(IF(ISNUMBER($DP$26),INDEX('1.Locations'!$D$2:$D$32,$DP$26 + 1),NA()),NA())</f>
        <v>#N/A</v>
      </c>
      <c r="DR26" s="44" t="e">
        <f ca="1">IFERROR(IF(ISNUMBER($DP$26),INDEX('1.Locations'!$E$2:$E$32,$DP$26 + 1),NA()),NA())</f>
        <v>#N/A</v>
      </c>
      <c r="DS26" s="45" t="str">
        <f ca="1">IFERROR(IF(AND(ISNUMBER($DP$26),$DP$26&lt;=30),INDEX('2.Distances'!$C$2:$C$963,$DP$25*31+$DP$26+ 1) +$DS$25," ")," ")</f>
        <v xml:space="preserve"> </v>
      </c>
      <c r="DT26" s="44" t="str">
        <f ca="1">IFERROR(IF(ISNUMBER($DP$26),INDEX('1.Locations'!$J$2:$J$32,$DP$26 + 1) +$DT$25," ")," ")</f>
        <v xml:space="preserve"> </v>
      </c>
      <c r="DU26" s="44" t="str">
        <f ca="1">IFERROR(IF(ISNUMBER($DP$26),INDEX('1.Locations'!$K$2:$K$32,$DP$26 + 1) +$DU$25," ")," ")</f>
        <v xml:space="preserve"> </v>
      </c>
      <c r="DV26" s="46" t="str">
        <f ca="1">IFERROR(IF(AND(ISNUMBER($DP$26),$DP$26&lt;=30),INDEX('2.Distances'!$D$2:$D$963,$DP$25*31+$DP$26+ 1) +$DV$25," ")," ")</f>
        <v xml:space="preserve"> </v>
      </c>
      <c r="DW26" s="47" t="str">
        <f ca="1">IFERROR(IF(AND(ISNUMBER($DP$26),$DP$26&lt;=30),INDEX('2.Distances'!$D$2:$D$963,$DP$25*31+$DP$26+ 1) +$DX$25," ")," ")</f>
        <v xml:space="preserve"> </v>
      </c>
      <c r="DX26" s="47" t="str">
        <f ca="1">IFERROR(IF(ISNUMBER($DW$26),INDEX('1.Locations'!$I$2:$I$32,$DP$26 + 1) + MAX($DW$26,INDEX('1.Locations'!$F$2:$F$32,$DP$26 + 1))," ")," ")</f>
        <v xml:space="preserve"> </v>
      </c>
      <c r="DY26" s="46" t="str">
        <f ca="1">IFERROR($DY$25 + INDEX('2.Distances'!$D$2:$D$963,$DP$25*31+$DP$26+ 1) + INDEX('1.Locations'!$I$2:$I$32,$DP$26 + 1)," ")</f>
        <v xml:space="preserve"> </v>
      </c>
      <c r="EA26" s="19">
        <v>21</v>
      </c>
      <c r="EB26" s="20"/>
      <c r="EC26" s="44" t="str">
        <f ca="1">IFERROR(MATCH(INDIRECT("$EB$26"),'1.Locations'!$B$2:$B$32, 0) - 1," ")</f>
        <v xml:space="preserve"> </v>
      </c>
      <c r="ED26" s="44" t="e">
        <f ca="1">IFERROR(IF(ISNUMBER($EC$26),INDEX('1.Locations'!$D$2:$D$32,$EC$26 + 1),NA()),NA())</f>
        <v>#N/A</v>
      </c>
      <c r="EE26" s="44" t="e">
        <f ca="1">IFERROR(IF(ISNUMBER($EC$26),INDEX('1.Locations'!$E$2:$E$32,$EC$26 + 1),NA()),NA())</f>
        <v>#N/A</v>
      </c>
      <c r="EF26" s="45" t="str">
        <f ca="1">IFERROR(IF(AND(ISNUMBER($EC$26),$EC$26&lt;=30),INDEX('2.Distances'!$C$2:$C$963,$EC$25*31+$EC$26+ 1) +$EF$25," ")," ")</f>
        <v xml:space="preserve"> </v>
      </c>
      <c r="EG26" s="44" t="str">
        <f ca="1">IFERROR(IF(ISNUMBER($EC$26),INDEX('1.Locations'!$J$2:$J$32,$EC$26 + 1) +$EG$25," ")," ")</f>
        <v xml:space="preserve"> </v>
      </c>
      <c r="EH26" s="44" t="str">
        <f ca="1">IFERROR(IF(ISNUMBER($EC$26),INDEX('1.Locations'!$K$2:$K$32,$EC$26 + 1) +$EH$25," ")," ")</f>
        <v xml:space="preserve"> </v>
      </c>
      <c r="EI26" s="46" t="str">
        <f ca="1">IFERROR(IF(AND(ISNUMBER($EC$26),$EC$26&lt;=30),INDEX('2.Distances'!$D$2:$D$963,$EC$25*31+$EC$26+ 1) +$EI$25," ")," ")</f>
        <v xml:space="preserve"> </v>
      </c>
      <c r="EJ26" s="47" t="str">
        <f ca="1">IFERROR(IF(AND(ISNUMBER($EC$26),$EC$26&lt;=30),INDEX('2.Distances'!$D$2:$D$963,$EC$25*31+$EC$26+ 1) +$EK$25," ")," ")</f>
        <v xml:space="preserve"> </v>
      </c>
      <c r="EK26" s="47" t="str">
        <f ca="1">IFERROR(IF(ISNUMBER($EJ$26),INDEX('1.Locations'!$I$2:$I$32,$EC$26 + 1) + MAX($EJ$26,INDEX('1.Locations'!$F$2:$F$32,$EC$26 + 1))," ")," ")</f>
        <v xml:space="preserve"> </v>
      </c>
      <c r="EL26" s="46" t="str">
        <f ca="1">IFERROR($EL$25 + INDEX('2.Distances'!$D$2:$D$963,$EC$25*31+$EC$26+ 1) + INDEX('1.Locations'!$I$2:$I$32,$EC$26 + 1)," ")</f>
        <v xml:space="preserve"> </v>
      </c>
      <c r="EN26" s="19">
        <v>21</v>
      </c>
      <c r="EO26" s="20"/>
      <c r="EP26" s="44" t="str">
        <f ca="1">IFERROR(MATCH(INDIRECT("$EO$26"),'1.Locations'!$B$2:$B$32, 0) - 1," ")</f>
        <v xml:space="preserve"> </v>
      </c>
      <c r="EQ26" s="44" t="e">
        <f ca="1">IFERROR(IF(ISNUMBER($EP$26),INDEX('1.Locations'!$D$2:$D$32,$EP$26 + 1),NA()),NA())</f>
        <v>#N/A</v>
      </c>
      <c r="ER26" s="44" t="e">
        <f ca="1">IFERROR(IF(ISNUMBER($EP$26),INDEX('1.Locations'!$E$2:$E$32,$EP$26 + 1),NA()),NA())</f>
        <v>#N/A</v>
      </c>
      <c r="ES26" s="45" t="str">
        <f ca="1">IFERROR(IF(AND(ISNUMBER($EP$26),$EP$26&lt;=30),INDEX('2.Distances'!$C$2:$C$963,$EP$25*31+$EP$26+ 1) +$ES$25," ")," ")</f>
        <v xml:space="preserve"> </v>
      </c>
      <c r="ET26" s="44" t="str">
        <f ca="1">IFERROR(IF(ISNUMBER($EP$26),INDEX('1.Locations'!$J$2:$J$32,$EP$26 + 1) +$ET$25," ")," ")</f>
        <v xml:space="preserve"> </v>
      </c>
      <c r="EU26" s="44" t="str">
        <f ca="1">IFERROR(IF(ISNUMBER($EP$26),INDEX('1.Locations'!$K$2:$K$32,$EP$26 + 1) +$EU$25," ")," ")</f>
        <v xml:space="preserve"> </v>
      </c>
      <c r="EV26" s="46" t="str">
        <f ca="1">IFERROR(IF(AND(ISNUMBER($EP$26),$EP$26&lt;=30),INDEX('2.Distances'!$D$2:$D$963,$EP$25*31+$EP$26+ 1) +$EV$25," ")," ")</f>
        <v xml:space="preserve"> </v>
      </c>
      <c r="EW26" s="47" t="str">
        <f ca="1">IFERROR(IF(AND(ISNUMBER($EP$26),$EP$26&lt;=30),INDEX('2.Distances'!$D$2:$D$963,$EP$25*31+$EP$26+ 1) +$EX$25," ")," ")</f>
        <v xml:space="preserve"> </v>
      </c>
      <c r="EX26" s="47" t="str">
        <f ca="1">IFERROR(IF(ISNUMBER($EW$26),INDEX('1.Locations'!$I$2:$I$32,$EP$26 + 1) + MAX($EW$26,INDEX('1.Locations'!$F$2:$F$32,$EP$26 + 1))," ")," ")</f>
        <v xml:space="preserve"> </v>
      </c>
      <c r="EY26" s="46" t="str">
        <f ca="1">IFERROR($EY$25 + INDEX('2.Distances'!$D$2:$D$963,$EP$25*31+$EP$26+ 1) + INDEX('1.Locations'!$I$2:$I$32,$EP$26 + 1)," ")</f>
        <v xml:space="preserve"> </v>
      </c>
    </row>
    <row r="27" spans="1:155" x14ac:dyDescent="0.2">
      <c r="A27" s="19">
        <v>22</v>
      </c>
      <c r="B27" s="20"/>
      <c r="C27" s="44" t="str">
        <f ca="1">IFERROR(MATCH(INDIRECT("$B$27"),'1.Locations'!$B$2:$B$32, 0) - 1," ")</f>
        <v xml:space="preserve"> </v>
      </c>
      <c r="D27" s="44" t="e">
        <f ca="1">IFERROR(IF(ISNUMBER($C$27),INDEX('1.Locations'!$D$2:$D$32,$C$27 + 1),NA()),NA())</f>
        <v>#N/A</v>
      </c>
      <c r="E27" s="44" t="e">
        <f ca="1">IFERROR(IF(ISNUMBER($C$27),INDEX('1.Locations'!$E$2:$E$32,$C$27 + 1),NA()),NA())</f>
        <v>#N/A</v>
      </c>
      <c r="F27" s="45" t="str">
        <f ca="1">IFERROR(IF(AND(ISNUMBER($C$27),$C$27&lt;=30),INDEX('2.Distances'!$C$2:$C$963,$C$26*31+$C$27+ 1) +$F$26," ")," ")</f>
        <v xml:space="preserve"> </v>
      </c>
      <c r="G27" s="44" t="str">
        <f ca="1">IFERROR(IF(ISNUMBER($C$27),INDEX('1.Locations'!$J$2:$J$32,$C$27 + 1) +$G$26," ")," ")</f>
        <v xml:space="preserve"> </v>
      </c>
      <c r="H27" s="44" t="str">
        <f ca="1">IFERROR(IF(ISNUMBER($C$27),INDEX('1.Locations'!$K$2:$K$32,$C$27 + 1) +$H$26," ")," ")</f>
        <v xml:space="preserve"> </v>
      </c>
      <c r="I27" s="46" t="str">
        <f ca="1">IFERROR(IF(AND(ISNUMBER($C$27),$C$27&lt;=30),INDEX('2.Distances'!$D$2:$D$963,$C$26*31+$C$27+ 1) +$I$26," ")," ")</f>
        <v xml:space="preserve"> </v>
      </c>
      <c r="J27" s="47" t="str">
        <f ca="1">IFERROR(IF(AND(ISNUMBER($C$27),$C$27&lt;=30),INDEX('2.Distances'!$D$2:$D$963,$C$26*31+$C$27+ 1) +$K$26," ")," ")</f>
        <v xml:space="preserve"> </v>
      </c>
      <c r="K27" s="47" t="str">
        <f ca="1">IFERROR(IF(ISNUMBER($J$27),INDEX('1.Locations'!$I$2:$I$32,$C$27 + 1) + MAX($J$27,INDEX('1.Locations'!$F$2:$F$32,$C$27 + 1))," ")," ")</f>
        <v xml:space="preserve"> </v>
      </c>
      <c r="L27" s="46" t="str">
        <f ca="1">IFERROR($L$26 + INDEX('2.Distances'!$D$2:$D$963,$C$26*31+$C$27+ 1) + INDEX('1.Locations'!$I$2:$I$32,$C$27 + 1)," ")</f>
        <v xml:space="preserve"> </v>
      </c>
      <c r="N27" s="19">
        <v>22</v>
      </c>
      <c r="O27" s="20"/>
      <c r="P27" s="44" t="str">
        <f ca="1">IFERROR(MATCH(INDIRECT("$O$27"),'1.Locations'!$B$2:$B$32, 0) - 1," ")</f>
        <v xml:space="preserve"> </v>
      </c>
      <c r="Q27" s="44" t="e">
        <f ca="1">IFERROR(IF(ISNUMBER($P$27),INDEX('1.Locations'!$D$2:$D$32,$P$27 + 1),NA()),NA())</f>
        <v>#N/A</v>
      </c>
      <c r="R27" s="44" t="e">
        <f ca="1">IFERROR(IF(ISNUMBER($P$27),INDEX('1.Locations'!$E$2:$E$32,$P$27 + 1),NA()),NA())</f>
        <v>#N/A</v>
      </c>
      <c r="S27" s="45" t="str">
        <f ca="1">IFERROR(IF(AND(ISNUMBER($P$27),$P$27&lt;=30),INDEX('2.Distances'!$C$2:$C$963,$P$26*31+$P$27+ 1) +$S$26," ")," ")</f>
        <v xml:space="preserve"> </v>
      </c>
      <c r="T27" s="44" t="str">
        <f ca="1">IFERROR(IF(ISNUMBER($P$27),INDEX('1.Locations'!$J$2:$J$32,$P$27 + 1) +$T$26," ")," ")</f>
        <v xml:space="preserve"> </v>
      </c>
      <c r="U27" s="44" t="str">
        <f ca="1">IFERROR(IF(ISNUMBER($P$27),INDEX('1.Locations'!$K$2:$K$32,$P$27 + 1) +$U$26," ")," ")</f>
        <v xml:space="preserve"> </v>
      </c>
      <c r="V27" s="46" t="str">
        <f ca="1">IFERROR(IF(AND(ISNUMBER($P$27),$P$27&lt;=30),INDEX('2.Distances'!$D$2:$D$963,$P$26*31+$P$27+ 1) +$V$26," ")," ")</f>
        <v xml:space="preserve"> </v>
      </c>
      <c r="W27" s="47" t="str">
        <f ca="1">IFERROR(IF(AND(ISNUMBER($P$27),$P$27&lt;=30),INDEX('2.Distances'!$D$2:$D$963,$P$26*31+$P$27+ 1) +$X$26," ")," ")</f>
        <v xml:space="preserve"> </v>
      </c>
      <c r="X27" s="47" t="str">
        <f ca="1">IFERROR(IF(ISNUMBER($W$27),INDEX('1.Locations'!$I$2:$I$32,$P$27 + 1) + MAX($W$27,INDEX('1.Locations'!$F$2:$F$32,$P$27 + 1))," ")," ")</f>
        <v xml:space="preserve"> </v>
      </c>
      <c r="Y27" s="46" t="str">
        <f ca="1">IFERROR($Y$26 + INDEX('2.Distances'!$D$2:$D$963,$P$26*31+$P$27+ 1) + INDEX('1.Locations'!$I$2:$I$32,$P$27 + 1)," ")</f>
        <v xml:space="preserve"> </v>
      </c>
      <c r="AA27" s="19">
        <v>22</v>
      </c>
      <c r="AB27" s="20"/>
      <c r="AC27" s="44" t="str">
        <f ca="1">IFERROR(MATCH(INDIRECT("$AB$27"),'1.Locations'!$B$2:$B$32, 0) - 1," ")</f>
        <v xml:space="preserve"> </v>
      </c>
      <c r="AD27" s="44" t="e">
        <f ca="1">IFERROR(IF(ISNUMBER($AC$27),INDEX('1.Locations'!$D$2:$D$32,$AC$27 + 1),NA()),NA())</f>
        <v>#N/A</v>
      </c>
      <c r="AE27" s="44" t="e">
        <f ca="1">IFERROR(IF(ISNUMBER($AC$27),INDEX('1.Locations'!$E$2:$E$32,$AC$27 + 1),NA()),NA())</f>
        <v>#N/A</v>
      </c>
      <c r="AF27" s="45" t="str">
        <f ca="1">IFERROR(IF(AND(ISNUMBER($AC$27),$AC$27&lt;=30),INDEX('2.Distances'!$C$2:$C$963,$AC$26*31+$AC$27+ 1) +$AF$26," ")," ")</f>
        <v xml:space="preserve"> </v>
      </c>
      <c r="AG27" s="44" t="str">
        <f ca="1">IFERROR(IF(ISNUMBER($AC$27),INDEX('1.Locations'!$J$2:$J$32,$AC$27 + 1) +$AG$26," ")," ")</f>
        <v xml:space="preserve"> </v>
      </c>
      <c r="AH27" s="44" t="str">
        <f ca="1">IFERROR(IF(ISNUMBER($AC$27),INDEX('1.Locations'!$K$2:$K$32,$AC$27 + 1) +$AH$26," ")," ")</f>
        <v xml:space="preserve"> </v>
      </c>
      <c r="AI27" s="46" t="str">
        <f ca="1">IFERROR(IF(AND(ISNUMBER($AC$27),$AC$27&lt;=30),INDEX('2.Distances'!$D$2:$D$963,$AC$26*31+$AC$27+ 1) +$AI$26," ")," ")</f>
        <v xml:space="preserve"> </v>
      </c>
      <c r="AJ27" s="47" t="str">
        <f ca="1">IFERROR(IF(AND(ISNUMBER($AC$27),$AC$27&lt;=30),INDEX('2.Distances'!$D$2:$D$963,$AC$26*31+$AC$27+ 1) +$AK$26," ")," ")</f>
        <v xml:space="preserve"> </v>
      </c>
      <c r="AK27" s="47" t="str">
        <f ca="1">IFERROR(IF(ISNUMBER($AJ$27),INDEX('1.Locations'!$I$2:$I$32,$AC$27 + 1) + MAX($AJ$27,INDEX('1.Locations'!$F$2:$F$32,$AC$27 + 1))," ")," ")</f>
        <v xml:space="preserve"> </v>
      </c>
      <c r="AL27" s="46" t="str">
        <f ca="1">IFERROR($AL$26 + INDEX('2.Distances'!$D$2:$D$963,$AC$26*31+$AC$27+ 1) + INDEX('1.Locations'!$I$2:$I$32,$AC$27 + 1)," ")</f>
        <v xml:space="preserve"> </v>
      </c>
      <c r="AN27" s="19">
        <v>22</v>
      </c>
      <c r="AO27" s="20"/>
      <c r="AP27" s="44" t="str">
        <f ca="1">IFERROR(MATCH(INDIRECT("$AO$27"),'1.Locations'!$B$2:$B$32, 0) - 1," ")</f>
        <v xml:space="preserve"> </v>
      </c>
      <c r="AQ27" s="44" t="e">
        <f ca="1">IFERROR(IF(ISNUMBER($AP$27),INDEX('1.Locations'!$D$2:$D$32,$AP$27 + 1),NA()),NA())</f>
        <v>#N/A</v>
      </c>
      <c r="AR27" s="44" t="e">
        <f ca="1">IFERROR(IF(ISNUMBER($AP$27),INDEX('1.Locations'!$E$2:$E$32,$AP$27 + 1),NA()),NA())</f>
        <v>#N/A</v>
      </c>
      <c r="AS27" s="45" t="str">
        <f ca="1">IFERROR(IF(AND(ISNUMBER($AP$27),$AP$27&lt;=30),INDEX('2.Distances'!$C$2:$C$963,$AP$26*31+$AP$27+ 1) +$AS$26," ")," ")</f>
        <v xml:space="preserve"> </v>
      </c>
      <c r="AT27" s="44" t="str">
        <f ca="1">IFERROR(IF(ISNUMBER($AP$27),INDEX('1.Locations'!$J$2:$J$32,$AP$27 + 1) +$AT$26," ")," ")</f>
        <v xml:space="preserve"> </v>
      </c>
      <c r="AU27" s="44" t="str">
        <f ca="1">IFERROR(IF(ISNUMBER($AP$27),INDEX('1.Locations'!$K$2:$K$32,$AP$27 + 1) +$AU$26," ")," ")</f>
        <v xml:space="preserve"> </v>
      </c>
      <c r="AV27" s="46" t="str">
        <f ca="1">IFERROR(IF(AND(ISNUMBER($AP$27),$AP$27&lt;=30),INDEX('2.Distances'!$D$2:$D$963,$AP$26*31+$AP$27+ 1) +$AV$26," ")," ")</f>
        <v xml:space="preserve"> </v>
      </c>
      <c r="AW27" s="47" t="str">
        <f ca="1">IFERROR(IF(AND(ISNUMBER($AP$27),$AP$27&lt;=30),INDEX('2.Distances'!$D$2:$D$963,$AP$26*31+$AP$27+ 1) +$AX$26," ")," ")</f>
        <v xml:space="preserve"> </v>
      </c>
      <c r="AX27" s="47" t="str">
        <f ca="1">IFERROR(IF(ISNUMBER($AW$27),INDEX('1.Locations'!$I$2:$I$32,$AP$27 + 1) + MAX($AW$27,INDEX('1.Locations'!$F$2:$F$32,$AP$27 + 1))," ")," ")</f>
        <v xml:space="preserve"> </v>
      </c>
      <c r="AY27" s="46" t="str">
        <f ca="1">IFERROR($AY$26 + INDEX('2.Distances'!$D$2:$D$963,$AP$26*31+$AP$27+ 1) + INDEX('1.Locations'!$I$2:$I$32,$AP$27 + 1)," ")</f>
        <v xml:space="preserve"> </v>
      </c>
      <c r="BA27" s="19">
        <v>22</v>
      </c>
      <c r="BB27" s="20"/>
      <c r="BC27" s="44" t="str">
        <f ca="1">IFERROR(MATCH(INDIRECT("$BB$27"),'1.Locations'!$B$2:$B$32, 0) - 1," ")</f>
        <v xml:space="preserve"> </v>
      </c>
      <c r="BD27" s="44" t="e">
        <f ca="1">IFERROR(IF(ISNUMBER($BC$27),INDEX('1.Locations'!$D$2:$D$32,$BC$27 + 1),NA()),NA())</f>
        <v>#N/A</v>
      </c>
      <c r="BE27" s="44" t="e">
        <f ca="1">IFERROR(IF(ISNUMBER($BC$27),INDEX('1.Locations'!$E$2:$E$32,$BC$27 + 1),NA()),NA())</f>
        <v>#N/A</v>
      </c>
      <c r="BF27" s="45" t="str">
        <f ca="1">IFERROR(IF(AND(ISNUMBER($BC$27),$BC$27&lt;=30),INDEX('2.Distances'!$C$2:$C$963,$BC$26*31+$BC$27+ 1) +$BF$26," ")," ")</f>
        <v xml:space="preserve"> </v>
      </c>
      <c r="BG27" s="44" t="str">
        <f ca="1">IFERROR(IF(ISNUMBER($BC$27),INDEX('1.Locations'!$J$2:$J$32,$BC$27 + 1) +$BG$26," ")," ")</f>
        <v xml:space="preserve"> </v>
      </c>
      <c r="BH27" s="44" t="str">
        <f ca="1">IFERROR(IF(ISNUMBER($BC$27),INDEX('1.Locations'!$K$2:$K$32,$BC$27 + 1) +$BH$26," ")," ")</f>
        <v xml:space="preserve"> </v>
      </c>
      <c r="BI27" s="46" t="str">
        <f ca="1">IFERROR(IF(AND(ISNUMBER($BC$27),$BC$27&lt;=30),INDEX('2.Distances'!$D$2:$D$963,$BC$26*31+$BC$27+ 1) +$BI$26," ")," ")</f>
        <v xml:space="preserve"> </v>
      </c>
      <c r="BJ27" s="47" t="str">
        <f ca="1">IFERROR(IF(AND(ISNUMBER($BC$27),$BC$27&lt;=30),INDEX('2.Distances'!$D$2:$D$963,$BC$26*31+$BC$27+ 1) +$BK$26," ")," ")</f>
        <v xml:space="preserve"> </v>
      </c>
      <c r="BK27" s="47" t="str">
        <f ca="1">IFERROR(IF(ISNUMBER($BJ$27),INDEX('1.Locations'!$I$2:$I$32,$BC$27 + 1) + MAX($BJ$27,INDEX('1.Locations'!$F$2:$F$32,$BC$27 + 1))," ")," ")</f>
        <v xml:space="preserve"> </v>
      </c>
      <c r="BL27" s="46" t="str">
        <f ca="1">IFERROR($BL$26 + INDEX('2.Distances'!$D$2:$D$963,$BC$26*31+$BC$27+ 1) + INDEX('1.Locations'!$I$2:$I$32,$BC$27 + 1)," ")</f>
        <v xml:space="preserve"> </v>
      </c>
      <c r="BN27" s="19">
        <v>22</v>
      </c>
      <c r="BO27" s="20"/>
      <c r="BP27" s="44" t="str">
        <f ca="1">IFERROR(MATCH(INDIRECT("$BO$27"),'1.Locations'!$B$2:$B$32, 0) - 1," ")</f>
        <v xml:space="preserve"> </v>
      </c>
      <c r="BQ27" s="44" t="e">
        <f ca="1">IFERROR(IF(ISNUMBER($BP$27),INDEX('1.Locations'!$D$2:$D$32,$BP$27 + 1),NA()),NA())</f>
        <v>#N/A</v>
      </c>
      <c r="BR27" s="44" t="e">
        <f ca="1">IFERROR(IF(ISNUMBER($BP$27),INDEX('1.Locations'!$E$2:$E$32,$BP$27 + 1),NA()),NA())</f>
        <v>#N/A</v>
      </c>
      <c r="BS27" s="45" t="str">
        <f ca="1">IFERROR(IF(AND(ISNUMBER($BP$27),$BP$27&lt;=30),INDEX('2.Distances'!$C$2:$C$963,$BP$26*31+$BP$27+ 1) +$BS$26," ")," ")</f>
        <v xml:space="preserve"> </v>
      </c>
      <c r="BT27" s="44" t="str">
        <f ca="1">IFERROR(IF(ISNUMBER($BP$27),INDEX('1.Locations'!$J$2:$J$32,$BP$27 + 1) +$BT$26," ")," ")</f>
        <v xml:space="preserve"> </v>
      </c>
      <c r="BU27" s="44" t="str">
        <f ca="1">IFERROR(IF(ISNUMBER($BP$27),INDEX('1.Locations'!$K$2:$K$32,$BP$27 + 1) +$BU$26," ")," ")</f>
        <v xml:space="preserve"> </v>
      </c>
      <c r="BV27" s="46" t="str">
        <f ca="1">IFERROR(IF(AND(ISNUMBER($BP$27),$BP$27&lt;=30),INDEX('2.Distances'!$D$2:$D$963,$BP$26*31+$BP$27+ 1) +$BV$26," ")," ")</f>
        <v xml:space="preserve"> </v>
      </c>
      <c r="BW27" s="47" t="str">
        <f ca="1">IFERROR(IF(AND(ISNUMBER($BP$27),$BP$27&lt;=30),INDEX('2.Distances'!$D$2:$D$963,$BP$26*31+$BP$27+ 1) +$BX$26," ")," ")</f>
        <v xml:space="preserve"> </v>
      </c>
      <c r="BX27" s="47" t="str">
        <f ca="1">IFERROR(IF(ISNUMBER($BW$27),INDEX('1.Locations'!$I$2:$I$32,$BP$27 + 1) + MAX($BW$27,INDEX('1.Locations'!$F$2:$F$32,$BP$27 + 1))," ")," ")</f>
        <v xml:space="preserve"> </v>
      </c>
      <c r="BY27" s="46" t="str">
        <f ca="1">IFERROR($BY$26 + INDEX('2.Distances'!$D$2:$D$963,$BP$26*31+$BP$27+ 1) + INDEX('1.Locations'!$I$2:$I$32,$BP$27 + 1)," ")</f>
        <v xml:space="preserve"> </v>
      </c>
      <c r="CA27" s="19">
        <v>22</v>
      </c>
      <c r="CB27" s="20"/>
      <c r="CC27" s="44" t="str">
        <f ca="1">IFERROR(MATCH(INDIRECT("$CB$27"),'1.Locations'!$B$2:$B$32, 0) - 1," ")</f>
        <v xml:space="preserve"> </v>
      </c>
      <c r="CD27" s="44" t="e">
        <f ca="1">IFERROR(IF(ISNUMBER($CC$27),INDEX('1.Locations'!$D$2:$D$32,$CC$27 + 1),NA()),NA())</f>
        <v>#N/A</v>
      </c>
      <c r="CE27" s="44" t="e">
        <f ca="1">IFERROR(IF(ISNUMBER($CC$27),INDEX('1.Locations'!$E$2:$E$32,$CC$27 + 1),NA()),NA())</f>
        <v>#N/A</v>
      </c>
      <c r="CF27" s="45" t="str">
        <f ca="1">IFERROR(IF(AND(ISNUMBER($CC$27),$CC$27&lt;=30),INDEX('2.Distances'!$C$2:$C$963,$CC$26*31+$CC$27+ 1) +$CF$26," ")," ")</f>
        <v xml:space="preserve"> </v>
      </c>
      <c r="CG27" s="44" t="str">
        <f ca="1">IFERROR(IF(ISNUMBER($CC$27),INDEX('1.Locations'!$J$2:$J$32,$CC$27 + 1) +$CG$26," ")," ")</f>
        <v xml:space="preserve"> </v>
      </c>
      <c r="CH27" s="44" t="str">
        <f ca="1">IFERROR(IF(ISNUMBER($CC$27),INDEX('1.Locations'!$K$2:$K$32,$CC$27 + 1) +$CH$26," ")," ")</f>
        <v xml:space="preserve"> </v>
      </c>
      <c r="CI27" s="46" t="str">
        <f ca="1">IFERROR(IF(AND(ISNUMBER($CC$27),$CC$27&lt;=30),INDEX('2.Distances'!$D$2:$D$963,$CC$26*31+$CC$27+ 1) +$CI$26," ")," ")</f>
        <v xml:space="preserve"> </v>
      </c>
      <c r="CJ27" s="47" t="str">
        <f ca="1">IFERROR(IF(AND(ISNUMBER($CC$27),$CC$27&lt;=30),INDEX('2.Distances'!$D$2:$D$963,$CC$26*31+$CC$27+ 1) +$CK$26," ")," ")</f>
        <v xml:space="preserve"> </v>
      </c>
      <c r="CK27" s="47" t="str">
        <f ca="1">IFERROR(IF(ISNUMBER($CJ$27),INDEX('1.Locations'!$I$2:$I$32,$CC$27 + 1) + MAX($CJ$27,INDEX('1.Locations'!$F$2:$F$32,$CC$27 + 1))," ")," ")</f>
        <v xml:space="preserve"> </v>
      </c>
      <c r="CL27" s="46" t="str">
        <f ca="1">IFERROR($CL$26 + INDEX('2.Distances'!$D$2:$D$963,$CC$26*31+$CC$27+ 1) + INDEX('1.Locations'!$I$2:$I$32,$CC$27 + 1)," ")</f>
        <v xml:space="preserve"> </v>
      </c>
      <c r="CN27" s="19">
        <v>22</v>
      </c>
      <c r="CO27" s="20"/>
      <c r="CP27" s="44" t="str">
        <f ca="1">IFERROR(MATCH(INDIRECT("$CO$27"),'1.Locations'!$B$2:$B$32, 0) - 1," ")</f>
        <v xml:space="preserve"> </v>
      </c>
      <c r="CQ27" s="44" t="e">
        <f ca="1">IFERROR(IF(ISNUMBER($CP$27),INDEX('1.Locations'!$D$2:$D$32,$CP$27 + 1),NA()),NA())</f>
        <v>#N/A</v>
      </c>
      <c r="CR27" s="44" t="e">
        <f ca="1">IFERROR(IF(ISNUMBER($CP$27),INDEX('1.Locations'!$E$2:$E$32,$CP$27 + 1),NA()),NA())</f>
        <v>#N/A</v>
      </c>
      <c r="CS27" s="45" t="str">
        <f ca="1">IFERROR(IF(AND(ISNUMBER($CP$27),$CP$27&lt;=30),INDEX('2.Distances'!$C$2:$C$963,$CP$26*31+$CP$27+ 1) +$CS$26," ")," ")</f>
        <v xml:space="preserve"> </v>
      </c>
      <c r="CT27" s="44" t="str">
        <f ca="1">IFERROR(IF(ISNUMBER($CP$27),INDEX('1.Locations'!$J$2:$J$32,$CP$27 + 1) +$CT$26," ")," ")</f>
        <v xml:space="preserve"> </v>
      </c>
      <c r="CU27" s="44" t="str">
        <f ca="1">IFERROR(IF(ISNUMBER($CP$27),INDEX('1.Locations'!$K$2:$K$32,$CP$27 + 1) +$CU$26," ")," ")</f>
        <v xml:space="preserve"> </v>
      </c>
      <c r="CV27" s="46" t="str">
        <f ca="1">IFERROR(IF(AND(ISNUMBER($CP$27),$CP$27&lt;=30),INDEX('2.Distances'!$D$2:$D$963,$CP$26*31+$CP$27+ 1) +$CV$26," ")," ")</f>
        <v xml:space="preserve"> </v>
      </c>
      <c r="CW27" s="47" t="str">
        <f ca="1">IFERROR(IF(AND(ISNUMBER($CP$27),$CP$27&lt;=30),INDEX('2.Distances'!$D$2:$D$963,$CP$26*31+$CP$27+ 1) +$CX$26," ")," ")</f>
        <v xml:space="preserve"> </v>
      </c>
      <c r="CX27" s="47" t="str">
        <f ca="1">IFERROR(IF(ISNUMBER($CW$27),INDEX('1.Locations'!$I$2:$I$32,$CP$27 + 1) + MAX($CW$27,INDEX('1.Locations'!$F$2:$F$32,$CP$27 + 1))," ")," ")</f>
        <v xml:space="preserve"> </v>
      </c>
      <c r="CY27" s="46" t="str">
        <f ca="1">IFERROR($CY$26 + INDEX('2.Distances'!$D$2:$D$963,$CP$26*31+$CP$27+ 1) + INDEX('1.Locations'!$I$2:$I$32,$CP$27 + 1)," ")</f>
        <v xml:space="preserve"> </v>
      </c>
      <c r="DA27" s="19">
        <v>22</v>
      </c>
      <c r="DB27" s="20"/>
      <c r="DC27" s="44" t="str">
        <f ca="1">IFERROR(MATCH(INDIRECT("$DB$27"),'1.Locations'!$B$2:$B$32, 0) - 1," ")</f>
        <v xml:space="preserve"> </v>
      </c>
      <c r="DD27" s="44" t="e">
        <f ca="1">IFERROR(IF(ISNUMBER($DC$27),INDEX('1.Locations'!$D$2:$D$32,$DC$27 + 1),NA()),NA())</f>
        <v>#N/A</v>
      </c>
      <c r="DE27" s="44" t="e">
        <f ca="1">IFERROR(IF(ISNUMBER($DC$27),INDEX('1.Locations'!$E$2:$E$32,$DC$27 + 1),NA()),NA())</f>
        <v>#N/A</v>
      </c>
      <c r="DF27" s="45" t="str">
        <f ca="1">IFERROR(IF(AND(ISNUMBER($DC$27),$DC$27&lt;=30),INDEX('2.Distances'!$C$2:$C$963,$DC$26*31+$DC$27+ 1) +$DF$26," ")," ")</f>
        <v xml:space="preserve"> </v>
      </c>
      <c r="DG27" s="44" t="str">
        <f ca="1">IFERROR(IF(ISNUMBER($DC$27),INDEX('1.Locations'!$J$2:$J$32,$DC$27 + 1) +$DG$26," ")," ")</f>
        <v xml:space="preserve"> </v>
      </c>
      <c r="DH27" s="44" t="str">
        <f ca="1">IFERROR(IF(ISNUMBER($DC$27),INDEX('1.Locations'!$K$2:$K$32,$DC$27 + 1) +$DH$26," ")," ")</f>
        <v xml:space="preserve"> </v>
      </c>
      <c r="DI27" s="46" t="str">
        <f ca="1">IFERROR(IF(AND(ISNUMBER($DC$27),$DC$27&lt;=30),INDEX('2.Distances'!$D$2:$D$963,$DC$26*31+$DC$27+ 1) +$DI$26," ")," ")</f>
        <v xml:space="preserve"> </v>
      </c>
      <c r="DJ27" s="47" t="str">
        <f ca="1">IFERROR(IF(AND(ISNUMBER($DC$27),$DC$27&lt;=30),INDEX('2.Distances'!$D$2:$D$963,$DC$26*31+$DC$27+ 1) +$DK$26," ")," ")</f>
        <v xml:space="preserve"> </v>
      </c>
      <c r="DK27" s="47" t="str">
        <f ca="1">IFERROR(IF(ISNUMBER($DJ$27),INDEX('1.Locations'!$I$2:$I$32,$DC$27 + 1) + MAX($DJ$27,INDEX('1.Locations'!$F$2:$F$32,$DC$27 + 1))," ")," ")</f>
        <v xml:space="preserve"> </v>
      </c>
      <c r="DL27" s="46" t="str">
        <f ca="1">IFERROR($DL$26 + INDEX('2.Distances'!$D$2:$D$963,$DC$26*31+$DC$27+ 1) + INDEX('1.Locations'!$I$2:$I$32,$DC$27 + 1)," ")</f>
        <v xml:space="preserve"> </v>
      </c>
      <c r="DN27" s="19">
        <v>22</v>
      </c>
      <c r="DO27" s="20"/>
      <c r="DP27" s="44" t="str">
        <f ca="1">IFERROR(MATCH(INDIRECT("$DO$27"),'1.Locations'!$B$2:$B$32, 0) - 1," ")</f>
        <v xml:space="preserve"> </v>
      </c>
      <c r="DQ27" s="44" t="e">
        <f ca="1">IFERROR(IF(ISNUMBER($DP$27),INDEX('1.Locations'!$D$2:$D$32,$DP$27 + 1),NA()),NA())</f>
        <v>#N/A</v>
      </c>
      <c r="DR27" s="44" t="e">
        <f ca="1">IFERROR(IF(ISNUMBER($DP$27),INDEX('1.Locations'!$E$2:$E$32,$DP$27 + 1),NA()),NA())</f>
        <v>#N/A</v>
      </c>
      <c r="DS27" s="45" t="str">
        <f ca="1">IFERROR(IF(AND(ISNUMBER($DP$27),$DP$27&lt;=30),INDEX('2.Distances'!$C$2:$C$963,$DP$26*31+$DP$27+ 1) +$DS$26," ")," ")</f>
        <v xml:space="preserve"> </v>
      </c>
      <c r="DT27" s="44" t="str">
        <f ca="1">IFERROR(IF(ISNUMBER($DP$27),INDEX('1.Locations'!$J$2:$J$32,$DP$27 + 1) +$DT$26," ")," ")</f>
        <v xml:space="preserve"> </v>
      </c>
      <c r="DU27" s="44" t="str">
        <f ca="1">IFERROR(IF(ISNUMBER($DP$27),INDEX('1.Locations'!$K$2:$K$32,$DP$27 + 1) +$DU$26," ")," ")</f>
        <v xml:space="preserve"> </v>
      </c>
      <c r="DV27" s="46" t="str">
        <f ca="1">IFERROR(IF(AND(ISNUMBER($DP$27),$DP$27&lt;=30),INDEX('2.Distances'!$D$2:$D$963,$DP$26*31+$DP$27+ 1) +$DV$26," ")," ")</f>
        <v xml:space="preserve"> </v>
      </c>
      <c r="DW27" s="47" t="str">
        <f ca="1">IFERROR(IF(AND(ISNUMBER($DP$27),$DP$27&lt;=30),INDEX('2.Distances'!$D$2:$D$963,$DP$26*31+$DP$27+ 1) +$DX$26," ")," ")</f>
        <v xml:space="preserve"> </v>
      </c>
      <c r="DX27" s="47" t="str">
        <f ca="1">IFERROR(IF(ISNUMBER($DW$27),INDEX('1.Locations'!$I$2:$I$32,$DP$27 + 1) + MAX($DW$27,INDEX('1.Locations'!$F$2:$F$32,$DP$27 + 1))," ")," ")</f>
        <v xml:space="preserve"> </v>
      </c>
      <c r="DY27" s="46" t="str">
        <f ca="1">IFERROR($DY$26 + INDEX('2.Distances'!$D$2:$D$963,$DP$26*31+$DP$27+ 1) + INDEX('1.Locations'!$I$2:$I$32,$DP$27 + 1)," ")</f>
        <v xml:space="preserve"> </v>
      </c>
      <c r="EA27" s="19">
        <v>22</v>
      </c>
      <c r="EB27" s="20"/>
      <c r="EC27" s="44" t="str">
        <f ca="1">IFERROR(MATCH(INDIRECT("$EB$27"),'1.Locations'!$B$2:$B$32, 0) - 1," ")</f>
        <v xml:space="preserve"> </v>
      </c>
      <c r="ED27" s="44" t="e">
        <f ca="1">IFERROR(IF(ISNUMBER($EC$27),INDEX('1.Locations'!$D$2:$D$32,$EC$27 + 1),NA()),NA())</f>
        <v>#N/A</v>
      </c>
      <c r="EE27" s="44" t="e">
        <f ca="1">IFERROR(IF(ISNUMBER($EC$27),INDEX('1.Locations'!$E$2:$E$32,$EC$27 + 1),NA()),NA())</f>
        <v>#N/A</v>
      </c>
      <c r="EF27" s="45" t="str">
        <f ca="1">IFERROR(IF(AND(ISNUMBER($EC$27),$EC$27&lt;=30),INDEX('2.Distances'!$C$2:$C$963,$EC$26*31+$EC$27+ 1) +$EF$26," ")," ")</f>
        <v xml:space="preserve"> </v>
      </c>
      <c r="EG27" s="44" t="str">
        <f ca="1">IFERROR(IF(ISNUMBER($EC$27),INDEX('1.Locations'!$J$2:$J$32,$EC$27 + 1) +$EG$26," ")," ")</f>
        <v xml:space="preserve"> </v>
      </c>
      <c r="EH27" s="44" t="str">
        <f ca="1">IFERROR(IF(ISNUMBER($EC$27),INDEX('1.Locations'!$K$2:$K$32,$EC$27 + 1) +$EH$26," ")," ")</f>
        <v xml:space="preserve"> </v>
      </c>
      <c r="EI27" s="46" t="str">
        <f ca="1">IFERROR(IF(AND(ISNUMBER($EC$27),$EC$27&lt;=30),INDEX('2.Distances'!$D$2:$D$963,$EC$26*31+$EC$27+ 1) +$EI$26," ")," ")</f>
        <v xml:space="preserve"> </v>
      </c>
      <c r="EJ27" s="47" t="str">
        <f ca="1">IFERROR(IF(AND(ISNUMBER($EC$27),$EC$27&lt;=30),INDEX('2.Distances'!$D$2:$D$963,$EC$26*31+$EC$27+ 1) +$EK$26," ")," ")</f>
        <v xml:space="preserve"> </v>
      </c>
      <c r="EK27" s="47" t="str">
        <f ca="1">IFERROR(IF(ISNUMBER($EJ$27),INDEX('1.Locations'!$I$2:$I$32,$EC$27 + 1) + MAX($EJ$27,INDEX('1.Locations'!$F$2:$F$32,$EC$27 + 1))," ")," ")</f>
        <v xml:space="preserve"> </v>
      </c>
      <c r="EL27" s="46" t="str">
        <f ca="1">IFERROR($EL$26 + INDEX('2.Distances'!$D$2:$D$963,$EC$26*31+$EC$27+ 1) + INDEX('1.Locations'!$I$2:$I$32,$EC$27 + 1)," ")</f>
        <v xml:space="preserve"> </v>
      </c>
      <c r="EN27" s="19">
        <v>22</v>
      </c>
      <c r="EO27" s="20"/>
      <c r="EP27" s="44" t="str">
        <f ca="1">IFERROR(MATCH(INDIRECT("$EO$27"),'1.Locations'!$B$2:$B$32, 0) - 1," ")</f>
        <v xml:space="preserve"> </v>
      </c>
      <c r="EQ27" s="44" t="e">
        <f ca="1">IFERROR(IF(ISNUMBER($EP$27),INDEX('1.Locations'!$D$2:$D$32,$EP$27 + 1),NA()),NA())</f>
        <v>#N/A</v>
      </c>
      <c r="ER27" s="44" t="e">
        <f ca="1">IFERROR(IF(ISNUMBER($EP$27),INDEX('1.Locations'!$E$2:$E$32,$EP$27 + 1),NA()),NA())</f>
        <v>#N/A</v>
      </c>
      <c r="ES27" s="45" t="str">
        <f ca="1">IFERROR(IF(AND(ISNUMBER($EP$27),$EP$27&lt;=30),INDEX('2.Distances'!$C$2:$C$963,$EP$26*31+$EP$27+ 1) +$ES$26," ")," ")</f>
        <v xml:space="preserve"> </v>
      </c>
      <c r="ET27" s="44" t="str">
        <f ca="1">IFERROR(IF(ISNUMBER($EP$27),INDEX('1.Locations'!$J$2:$J$32,$EP$27 + 1) +$ET$26," ")," ")</f>
        <v xml:space="preserve"> </v>
      </c>
      <c r="EU27" s="44" t="str">
        <f ca="1">IFERROR(IF(ISNUMBER($EP$27),INDEX('1.Locations'!$K$2:$K$32,$EP$27 + 1) +$EU$26," ")," ")</f>
        <v xml:space="preserve"> </v>
      </c>
      <c r="EV27" s="46" t="str">
        <f ca="1">IFERROR(IF(AND(ISNUMBER($EP$27),$EP$27&lt;=30),INDEX('2.Distances'!$D$2:$D$963,$EP$26*31+$EP$27+ 1) +$EV$26," ")," ")</f>
        <v xml:space="preserve"> </v>
      </c>
      <c r="EW27" s="47" t="str">
        <f ca="1">IFERROR(IF(AND(ISNUMBER($EP$27),$EP$27&lt;=30),INDEX('2.Distances'!$D$2:$D$963,$EP$26*31+$EP$27+ 1) +$EX$26," ")," ")</f>
        <v xml:space="preserve"> </v>
      </c>
      <c r="EX27" s="47" t="str">
        <f ca="1">IFERROR(IF(ISNUMBER($EW$27),INDEX('1.Locations'!$I$2:$I$32,$EP$27 + 1) + MAX($EW$27,INDEX('1.Locations'!$F$2:$F$32,$EP$27 + 1))," ")," ")</f>
        <v xml:space="preserve"> </v>
      </c>
      <c r="EY27" s="46" t="str">
        <f ca="1">IFERROR($EY$26 + INDEX('2.Distances'!$D$2:$D$963,$EP$26*31+$EP$27+ 1) + INDEX('1.Locations'!$I$2:$I$32,$EP$27 + 1)," ")</f>
        <v xml:space="preserve"> </v>
      </c>
    </row>
    <row r="28" spans="1:155" x14ac:dyDescent="0.2">
      <c r="A28" s="19">
        <v>23</v>
      </c>
      <c r="B28" s="20"/>
      <c r="C28" s="44" t="str">
        <f ca="1">IFERROR(MATCH(INDIRECT("$B$28"),'1.Locations'!$B$2:$B$32, 0) - 1," ")</f>
        <v xml:space="preserve"> </v>
      </c>
      <c r="D28" s="44" t="e">
        <f ca="1">IFERROR(IF(ISNUMBER($C$28),INDEX('1.Locations'!$D$2:$D$32,$C$28 + 1),NA()),NA())</f>
        <v>#N/A</v>
      </c>
      <c r="E28" s="44" t="e">
        <f ca="1">IFERROR(IF(ISNUMBER($C$28),INDEX('1.Locations'!$E$2:$E$32,$C$28 + 1),NA()),NA())</f>
        <v>#N/A</v>
      </c>
      <c r="F28" s="45" t="str">
        <f ca="1">IFERROR(IF(AND(ISNUMBER($C$28),$C$28&lt;=30),INDEX('2.Distances'!$C$2:$C$963,$C$27*31+$C$28+ 1) +$F$27," ")," ")</f>
        <v xml:space="preserve"> </v>
      </c>
      <c r="G28" s="44" t="str">
        <f ca="1">IFERROR(IF(ISNUMBER($C$28),INDEX('1.Locations'!$J$2:$J$32,$C$28 + 1) +$G$27," ")," ")</f>
        <v xml:space="preserve"> </v>
      </c>
      <c r="H28" s="44" t="str">
        <f ca="1">IFERROR(IF(ISNUMBER($C$28),INDEX('1.Locations'!$K$2:$K$32,$C$28 + 1) +$H$27," ")," ")</f>
        <v xml:space="preserve"> </v>
      </c>
      <c r="I28" s="46" t="str">
        <f ca="1">IFERROR(IF(AND(ISNUMBER($C$28),$C$28&lt;=30),INDEX('2.Distances'!$D$2:$D$963,$C$27*31+$C$28+ 1) +$I$27," ")," ")</f>
        <v xml:space="preserve"> </v>
      </c>
      <c r="J28" s="47" t="str">
        <f ca="1">IFERROR(IF(AND(ISNUMBER($C$28),$C$28&lt;=30),INDEX('2.Distances'!$D$2:$D$963,$C$27*31+$C$28+ 1) +$K$27," ")," ")</f>
        <v xml:space="preserve"> </v>
      </c>
      <c r="K28" s="47" t="str">
        <f ca="1">IFERROR(IF(ISNUMBER($J$28),INDEX('1.Locations'!$I$2:$I$32,$C$28 + 1) + MAX($J$28,INDEX('1.Locations'!$F$2:$F$32,$C$28 + 1))," ")," ")</f>
        <v xml:space="preserve"> </v>
      </c>
      <c r="L28" s="46" t="str">
        <f ca="1">IFERROR($L$27 + INDEX('2.Distances'!$D$2:$D$963,$C$27*31+$C$28+ 1) + INDEX('1.Locations'!$I$2:$I$32,$C$28 + 1)," ")</f>
        <v xml:space="preserve"> </v>
      </c>
      <c r="N28" s="19">
        <v>23</v>
      </c>
      <c r="O28" s="20"/>
      <c r="P28" s="44" t="str">
        <f ca="1">IFERROR(MATCH(INDIRECT("$O$28"),'1.Locations'!$B$2:$B$32, 0) - 1," ")</f>
        <v xml:space="preserve"> </v>
      </c>
      <c r="Q28" s="44" t="e">
        <f ca="1">IFERROR(IF(ISNUMBER($P$28),INDEX('1.Locations'!$D$2:$D$32,$P$28 + 1),NA()),NA())</f>
        <v>#N/A</v>
      </c>
      <c r="R28" s="44" t="e">
        <f ca="1">IFERROR(IF(ISNUMBER($P$28),INDEX('1.Locations'!$E$2:$E$32,$P$28 + 1),NA()),NA())</f>
        <v>#N/A</v>
      </c>
      <c r="S28" s="45" t="str">
        <f ca="1">IFERROR(IF(AND(ISNUMBER($P$28),$P$28&lt;=30),INDEX('2.Distances'!$C$2:$C$963,$P$27*31+$P$28+ 1) +$S$27," ")," ")</f>
        <v xml:space="preserve"> </v>
      </c>
      <c r="T28" s="44" t="str">
        <f ca="1">IFERROR(IF(ISNUMBER($P$28),INDEX('1.Locations'!$J$2:$J$32,$P$28 + 1) +$T$27," ")," ")</f>
        <v xml:space="preserve"> </v>
      </c>
      <c r="U28" s="44" t="str">
        <f ca="1">IFERROR(IF(ISNUMBER($P$28),INDEX('1.Locations'!$K$2:$K$32,$P$28 + 1) +$U$27," ")," ")</f>
        <v xml:space="preserve"> </v>
      </c>
      <c r="V28" s="46" t="str">
        <f ca="1">IFERROR(IF(AND(ISNUMBER($P$28),$P$28&lt;=30),INDEX('2.Distances'!$D$2:$D$963,$P$27*31+$P$28+ 1) +$V$27," ")," ")</f>
        <v xml:space="preserve"> </v>
      </c>
      <c r="W28" s="47" t="str">
        <f ca="1">IFERROR(IF(AND(ISNUMBER($P$28),$P$28&lt;=30),INDEX('2.Distances'!$D$2:$D$963,$P$27*31+$P$28+ 1) +$X$27," ")," ")</f>
        <v xml:space="preserve"> </v>
      </c>
      <c r="X28" s="47" t="str">
        <f ca="1">IFERROR(IF(ISNUMBER($W$28),INDEX('1.Locations'!$I$2:$I$32,$P$28 + 1) + MAX($W$28,INDEX('1.Locations'!$F$2:$F$32,$P$28 + 1))," ")," ")</f>
        <v xml:space="preserve"> </v>
      </c>
      <c r="Y28" s="46" t="str">
        <f ca="1">IFERROR($Y$27 + INDEX('2.Distances'!$D$2:$D$963,$P$27*31+$P$28+ 1) + INDEX('1.Locations'!$I$2:$I$32,$P$28 + 1)," ")</f>
        <v xml:space="preserve"> </v>
      </c>
      <c r="AA28" s="19">
        <v>23</v>
      </c>
      <c r="AB28" s="20"/>
      <c r="AC28" s="44" t="str">
        <f ca="1">IFERROR(MATCH(INDIRECT("$AB$28"),'1.Locations'!$B$2:$B$32, 0) - 1," ")</f>
        <v xml:space="preserve"> </v>
      </c>
      <c r="AD28" s="44" t="e">
        <f ca="1">IFERROR(IF(ISNUMBER($AC$28),INDEX('1.Locations'!$D$2:$D$32,$AC$28 + 1),NA()),NA())</f>
        <v>#N/A</v>
      </c>
      <c r="AE28" s="44" t="e">
        <f ca="1">IFERROR(IF(ISNUMBER($AC$28),INDEX('1.Locations'!$E$2:$E$32,$AC$28 + 1),NA()),NA())</f>
        <v>#N/A</v>
      </c>
      <c r="AF28" s="45" t="str">
        <f ca="1">IFERROR(IF(AND(ISNUMBER($AC$28),$AC$28&lt;=30),INDEX('2.Distances'!$C$2:$C$963,$AC$27*31+$AC$28+ 1) +$AF$27," ")," ")</f>
        <v xml:space="preserve"> </v>
      </c>
      <c r="AG28" s="44" t="str">
        <f ca="1">IFERROR(IF(ISNUMBER($AC$28),INDEX('1.Locations'!$J$2:$J$32,$AC$28 + 1) +$AG$27," ")," ")</f>
        <v xml:space="preserve"> </v>
      </c>
      <c r="AH28" s="44" t="str">
        <f ca="1">IFERROR(IF(ISNUMBER($AC$28),INDEX('1.Locations'!$K$2:$K$32,$AC$28 + 1) +$AH$27," ")," ")</f>
        <v xml:space="preserve"> </v>
      </c>
      <c r="AI28" s="46" t="str">
        <f ca="1">IFERROR(IF(AND(ISNUMBER($AC$28),$AC$28&lt;=30),INDEX('2.Distances'!$D$2:$D$963,$AC$27*31+$AC$28+ 1) +$AI$27," ")," ")</f>
        <v xml:space="preserve"> </v>
      </c>
      <c r="AJ28" s="47" t="str">
        <f ca="1">IFERROR(IF(AND(ISNUMBER($AC$28),$AC$28&lt;=30),INDEX('2.Distances'!$D$2:$D$963,$AC$27*31+$AC$28+ 1) +$AK$27," ")," ")</f>
        <v xml:space="preserve"> </v>
      </c>
      <c r="AK28" s="47" t="str">
        <f ca="1">IFERROR(IF(ISNUMBER($AJ$28),INDEX('1.Locations'!$I$2:$I$32,$AC$28 + 1) + MAX($AJ$28,INDEX('1.Locations'!$F$2:$F$32,$AC$28 + 1))," ")," ")</f>
        <v xml:space="preserve"> </v>
      </c>
      <c r="AL28" s="46" t="str">
        <f ca="1">IFERROR($AL$27 + INDEX('2.Distances'!$D$2:$D$963,$AC$27*31+$AC$28+ 1) + INDEX('1.Locations'!$I$2:$I$32,$AC$28 + 1)," ")</f>
        <v xml:space="preserve"> </v>
      </c>
      <c r="AN28" s="19">
        <v>23</v>
      </c>
      <c r="AO28" s="20"/>
      <c r="AP28" s="44" t="str">
        <f ca="1">IFERROR(MATCH(INDIRECT("$AO$28"),'1.Locations'!$B$2:$B$32, 0) - 1," ")</f>
        <v xml:space="preserve"> </v>
      </c>
      <c r="AQ28" s="44" t="e">
        <f ca="1">IFERROR(IF(ISNUMBER($AP$28),INDEX('1.Locations'!$D$2:$D$32,$AP$28 + 1),NA()),NA())</f>
        <v>#N/A</v>
      </c>
      <c r="AR28" s="44" t="e">
        <f ca="1">IFERROR(IF(ISNUMBER($AP$28),INDEX('1.Locations'!$E$2:$E$32,$AP$28 + 1),NA()),NA())</f>
        <v>#N/A</v>
      </c>
      <c r="AS28" s="45" t="str">
        <f ca="1">IFERROR(IF(AND(ISNUMBER($AP$28),$AP$28&lt;=30),INDEX('2.Distances'!$C$2:$C$963,$AP$27*31+$AP$28+ 1) +$AS$27," ")," ")</f>
        <v xml:space="preserve"> </v>
      </c>
      <c r="AT28" s="44" t="str">
        <f ca="1">IFERROR(IF(ISNUMBER($AP$28),INDEX('1.Locations'!$J$2:$J$32,$AP$28 + 1) +$AT$27," ")," ")</f>
        <v xml:space="preserve"> </v>
      </c>
      <c r="AU28" s="44" t="str">
        <f ca="1">IFERROR(IF(ISNUMBER($AP$28),INDEX('1.Locations'!$K$2:$K$32,$AP$28 + 1) +$AU$27," ")," ")</f>
        <v xml:space="preserve"> </v>
      </c>
      <c r="AV28" s="46" t="str">
        <f ca="1">IFERROR(IF(AND(ISNUMBER($AP$28),$AP$28&lt;=30),INDEX('2.Distances'!$D$2:$D$963,$AP$27*31+$AP$28+ 1) +$AV$27," ")," ")</f>
        <v xml:space="preserve"> </v>
      </c>
      <c r="AW28" s="47" t="str">
        <f ca="1">IFERROR(IF(AND(ISNUMBER($AP$28),$AP$28&lt;=30),INDEX('2.Distances'!$D$2:$D$963,$AP$27*31+$AP$28+ 1) +$AX$27," ")," ")</f>
        <v xml:space="preserve"> </v>
      </c>
      <c r="AX28" s="47" t="str">
        <f ca="1">IFERROR(IF(ISNUMBER($AW$28),INDEX('1.Locations'!$I$2:$I$32,$AP$28 + 1) + MAX($AW$28,INDEX('1.Locations'!$F$2:$F$32,$AP$28 + 1))," ")," ")</f>
        <v xml:space="preserve"> </v>
      </c>
      <c r="AY28" s="46" t="str">
        <f ca="1">IFERROR($AY$27 + INDEX('2.Distances'!$D$2:$D$963,$AP$27*31+$AP$28+ 1) + INDEX('1.Locations'!$I$2:$I$32,$AP$28 + 1)," ")</f>
        <v xml:space="preserve"> </v>
      </c>
      <c r="BA28" s="19">
        <v>23</v>
      </c>
      <c r="BB28" s="20"/>
      <c r="BC28" s="44" t="str">
        <f ca="1">IFERROR(MATCH(INDIRECT("$BB$28"),'1.Locations'!$B$2:$B$32, 0) - 1," ")</f>
        <v xml:space="preserve"> </v>
      </c>
      <c r="BD28" s="44" t="e">
        <f ca="1">IFERROR(IF(ISNUMBER($BC$28),INDEX('1.Locations'!$D$2:$D$32,$BC$28 + 1),NA()),NA())</f>
        <v>#N/A</v>
      </c>
      <c r="BE28" s="44" t="e">
        <f ca="1">IFERROR(IF(ISNUMBER($BC$28),INDEX('1.Locations'!$E$2:$E$32,$BC$28 + 1),NA()),NA())</f>
        <v>#N/A</v>
      </c>
      <c r="BF28" s="45" t="str">
        <f ca="1">IFERROR(IF(AND(ISNUMBER($BC$28),$BC$28&lt;=30),INDEX('2.Distances'!$C$2:$C$963,$BC$27*31+$BC$28+ 1) +$BF$27," ")," ")</f>
        <v xml:space="preserve"> </v>
      </c>
      <c r="BG28" s="44" t="str">
        <f ca="1">IFERROR(IF(ISNUMBER($BC$28),INDEX('1.Locations'!$J$2:$J$32,$BC$28 + 1) +$BG$27," ")," ")</f>
        <v xml:space="preserve"> </v>
      </c>
      <c r="BH28" s="44" t="str">
        <f ca="1">IFERROR(IF(ISNUMBER($BC$28),INDEX('1.Locations'!$K$2:$K$32,$BC$28 + 1) +$BH$27," ")," ")</f>
        <v xml:space="preserve"> </v>
      </c>
      <c r="BI28" s="46" t="str">
        <f ca="1">IFERROR(IF(AND(ISNUMBER($BC$28),$BC$28&lt;=30),INDEX('2.Distances'!$D$2:$D$963,$BC$27*31+$BC$28+ 1) +$BI$27," ")," ")</f>
        <v xml:space="preserve"> </v>
      </c>
      <c r="BJ28" s="47" t="str">
        <f ca="1">IFERROR(IF(AND(ISNUMBER($BC$28),$BC$28&lt;=30),INDEX('2.Distances'!$D$2:$D$963,$BC$27*31+$BC$28+ 1) +$BK$27," ")," ")</f>
        <v xml:space="preserve"> </v>
      </c>
      <c r="BK28" s="47" t="str">
        <f ca="1">IFERROR(IF(ISNUMBER($BJ$28),INDEX('1.Locations'!$I$2:$I$32,$BC$28 + 1) + MAX($BJ$28,INDEX('1.Locations'!$F$2:$F$32,$BC$28 + 1))," ")," ")</f>
        <v xml:space="preserve"> </v>
      </c>
      <c r="BL28" s="46" t="str">
        <f ca="1">IFERROR($BL$27 + INDEX('2.Distances'!$D$2:$D$963,$BC$27*31+$BC$28+ 1) + INDEX('1.Locations'!$I$2:$I$32,$BC$28 + 1)," ")</f>
        <v xml:space="preserve"> </v>
      </c>
      <c r="BN28" s="19">
        <v>23</v>
      </c>
      <c r="BO28" s="20"/>
      <c r="BP28" s="44" t="str">
        <f ca="1">IFERROR(MATCH(INDIRECT("$BO$28"),'1.Locations'!$B$2:$B$32, 0) - 1," ")</f>
        <v xml:space="preserve"> </v>
      </c>
      <c r="BQ28" s="44" t="e">
        <f ca="1">IFERROR(IF(ISNUMBER($BP$28),INDEX('1.Locations'!$D$2:$D$32,$BP$28 + 1),NA()),NA())</f>
        <v>#N/A</v>
      </c>
      <c r="BR28" s="44" t="e">
        <f ca="1">IFERROR(IF(ISNUMBER($BP$28),INDEX('1.Locations'!$E$2:$E$32,$BP$28 + 1),NA()),NA())</f>
        <v>#N/A</v>
      </c>
      <c r="BS28" s="45" t="str">
        <f ca="1">IFERROR(IF(AND(ISNUMBER($BP$28),$BP$28&lt;=30),INDEX('2.Distances'!$C$2:$C$963,$BP$27*31+$BP$28+ 1) +$BS$27," ")," ")</f>
        <v xml:space="preserve"> </v>
      </c>
      <c r="BT28" s="44" t="str">
        <f ca="1">IFERROR(IF(ISNUMBER($BP$28),INDEX('1.Locations'!$J$2:$J$32,$BP$28 + 1) +$BT$27," ")," ")</f>
        <v xml:space="preserve"> </v>
      </c>
      <c r="BU28" s="44" t="str">
        <f ca="1">IFERROR(IF(ISNUMBER($BP$28),INDEX('1.Locations'!$K$2:$K$32,$BP$28 + 1) +$BU$27," ")," ")</f>
        <v xml:space="preserve"> </v>
      </c>
      <c r="BV28" s="46" t="str">
        <f ca="1">IFERROR(IF(AND(ISNUMBER($BP$28),$BP$28&lt;=30),INDEX('2.Distances'!$D$2:$D$963,$BP$27*31+$BP$28+ 1) +$BV$27," ")," ")</f>
        <v xml:space="preserve"> </v>
      </c>
      <c r="BW28" s="47" t="str">
        <f ca="1">IFERROR(IF(AND(ISNUMBER($BP$28),$BP$28&lt;=30),INDEX('2.Distances'!$D$2:$D$963,$BP$27*31+$BP$28+ 1) +$BX$27," ")," ")</f>
        <v xml:space="preserve"> </v>
      </c>
      <c r="BX28" s="47" t="str">
        <f ca="1">IFERROR(IF(ISNUMBER($BW$28),INDEX('1.Locations'!$I$2:$I$32,$BP$28 + 1) + MAX($BW$28,INDEX('1.Locations'!$F$2:$F$32,$BP$28 + 1))," ")," ")</f>
        <v xml:space="preserve"> </v>
      </c>
      <c r="BY28" s="46" t="str">
        <f ca="1">IFERROR($BY$27 + INDEX('2.Distances'!$D$2:$D$963,$BP$27*31+$BP$28+ 1) + INDEX('1.Locations'!$I$2:$I$32,$BP$28 + 1)," ")</f>
        <v xml:space="preserve"> </v>
      </c>
      <c r="CA28" s="19">
        <v>23</v>
      </c>
      <c r="CB28" s="20"/>
      <c r="CC28" s="44" t="str">
        <f ca="1">IFERROR(MATCH(INDIRECT("$CB$28"),'1.Locations'!$B$2:$B$32, 0) - 1," ")</f>
        <v xml:space="preserve"> </v>
      </c>
      <c r="CD28" s="44" t="e">
        <f ca="1">IFERROR(IF(ISNUMBER($CC$28),INDEX('1.Locations'!$D$2:$D$32,$CC$28 + 1),NA()),NA())</f>
        <v>#N/A</v>
      </c>
      <c r="CE28" s="44" t="e">
        <f ca="1">IFERROR(IF(ISNUMBER($CC$28),INDEX('1.Locations'!$E$2:$E$32,$CC$28 + 1),NA()),NA())</f>
        <v>#N/A</v>
      </c>
      <c r="CF28" s="45" t="str">
        <f ca="1">IFERROR(IF(AND(ISNUMBER($CC$28),$CC$28&lt;=30),INDEX('2.Distances'!$C$2:$C$963,$CC$27*31+$CC$28+ 1) +$CF$27," ")," ")</f>
        <v xml:space="preserve"> </v>
      </c>
      <c r="CG28" s="44" t="str">
        <f ca="1">IFERROR(IF(ISNUMBER($CC$28),INDEX('1.Locations'!$J$2:$J$32,$CC$28 + 1) +$CG$27," ")," ")</f>
        <v xml:space="preserve"> </v>
      </c>
      <c r="CH28" s="44" t="str">
        <f ca="1">IFERROR(IF(ISNUMBER($CC$28),INDEX('1.Locations'!$K$2:$K$32,$CC$28 + 1) +$CH$27," ")," ")</f>
        <v xml:space="preserve"> </v>
      </c>
      <c r="CI28" s="46" t="str">
        <f ca="1">IFERROR(IF(AND(ISNUMBER($CC$28),$CC$28&lt;=30),INDEX('2.Distances'!$D$2:$D$963,$CC$27*31+$CC$28+ 1) +$CI$27," ")," ")</f>
        <v xml:space="preserve"> </v>
      </c>
      <c r="CJ28" s="47" t="str">
        <f ca="1">IFERROR(IF(AND(ISNUMBER($CC$28),$CC$28&lt;=30),INDEX('2.Distances'!$D$2:$D$963,$CC$27*31+$CC$28+ 1) +$CK$27," ")," ")</f>
        <v xml:space="preserve"> </v>
      </c>
      <c r="CK28" s="47" t="str">
        <f ca="1">IFERROR(IF(ISNUMBER($CJ$28),INDEX('1.Locations'!$I$2:$I$32,$CC$28 + 1) + MAX($CJ$28,INDEX('1.Locations'!$F$2:$F$32,$CC$28 + 1))," ")," ")</f>
        <v xml:space="preserve"> </v>
      </c>
      <c r="CL28" s="46" t="str">
        <f ca="1">IFERROR($CL$27 + INDEX('2.Distances'!$D$2:$D$963,$CC$27*31+$CC$28+ 1) + INDEX('1.Locations'!$I$2:$I$32,$CC$28 + 1)," ")</f>
        <v xml:space="preserve"> </v>
      </c>
      <c r="CN28" s="19">
        <v>23</v>
      </c>
      <c r="CO28" s="20"/>
      <c r="CP28" s="44" t="str">
        <f ca="1">IFERROR(MATCH(INDIRECT("$CO$28"),'1.Locations'!$B$2:$B$32, 0) - 1," ")</f>
        <v xml:space="preserve"> </v>
      </c>
      <c r="CQ28" s="44" t="e">
        <f ca="1">IFERROR(IF(ISNUMBER($CP$28),INDEX('1.Locations'!$D$2:$D$32,$CP$28 + 1),NA()),NA())</f>
        <v>#N/A</v>
      </c>
      <c r="CR28" s="44" t="e">
        <f ca="1">IFERROR(IF(ISNUMBER($CP$28),INDEX('1.Locations'!$E$2:$E$32,$CP$28 + 1),NA()),NA())</f>
        <v>#N/A</v>
      </c>
      <c r="CS28" s="45" t="str">
        <f ca="1">IFERROR(IF(AND(ISNUMBER($CP$28),$CP$28&lt;=30),INDEX('2.Distances'!$C$2:$C$963,$CP$27*31+$CP$28+ 1) +$CS$27," ")," ")</f>
        <v xml:space="preserve"> </v>
      </c>
      <c r="CT28" s="44" t="str">
        <f ca="1">IFERROR(IF(ISNUMBER($CP$28),INDEX('1.Locations'!$J$2:$J$32,$CP$28 + 1) +$CT$27," ")," ")</f>
        <v xml:space="preserve"> </v>
      </c>
      <c r="CU28" s="44" t="str">
        <f ca="1">IFERROR(IF(ISNUMBER($CP$28),INDEX('1.Locations'!$K$2:$K$32,$CP$28 + 1) +$CU$27," ")," ")</f>
        <v xml:space="preserve"> </v>
      </c>
      <c r="CV28" s="46" t="str">
        <f ca="1">IFERROR(IF(AND(ISNUMBER($CP$28),$CP$28&lt;=30),INDEX('2.Distances'!$D$2:$D$963,$CP$27*31+$CP$28+ 1) +$CV$27," ")," ")</f>
        <v xml:space="preserve"> </v>
      </c>
      <c r="CW28" s="47" t="str">
        <f ca="1">IFERROR(IF(AND(ISNUMBER($CP$28),$CP$28&lt;=30),INDEX('2.Distances'!$D$2:$D$963,$CP$27*31+$CP$28+ 1) +$CX$27," ")," ")</f>
        <v xml:space="preserve"> </v>
      </c>
      <c r="CX28" s="47" t="str">
        <f ca="1">IFERROR(IF(ISNUMBER($CW$28),INDEX('1.Locations'!$I$2:$I$32,$CP$28 + 1) + MAX($CW$28,INDEX('1.Locations'!$F$2:$F$32,$CP$28 + 1))," ")," ")</f>
        <v xml:space="preserve"> </v>
      </c>
      <c r="CY28" s="46" t="str">
        <f ca="1">IFERROR($CY$27 + INDEX('2.Distances'!$D$2:$D$963,$CP$27*31+$CP$28+ 1) + INDEX('1.Locations'!$I$2:$I$32,$CP$28 + 1)," ")</f>
        <v xml:space="preserve"> </v>
      </c>
      <c r="DA28" s="19">
        <v>23</v>
      </c>
      <c r="DB28" s="20"/>
      <c r="DC28" s="44" t="str">
        <f ca="1">IFERROR(MATCH(INDIRECT("$DB$28"),'1.Locations'!$B$2:$B$32, 0) - 1," ")</f>
        <v xml:space="preserve"> </v>
      </c>
      <c r="DD28" s="44" t="e">
        <f ca="1">IFERROR(IF(ISNUMBER($DC$28),INDEX('1.Locations'!$D$2:$D$32,$DC$28 + 1),NA()),NA())</f>
        <v>#N/A</v>
      </c>
      <c r="DE28" s="44" t="e">
        <f ca="1">IFERROR(IF(ISNUMBER($DC$28),INDEX('1.Locations'!$E$2:$E$32,$DC$28 + 1),NA()),NA())</f>
        <v>#N/A</v>
      </c>
      <c r="DF28" s="45" t="str">
        <f ca="1">IFERROR(IF(AND(ISNUMBER($DC$28),$DC$28&lt;=30),INDEX('2.Distances'!$C$2:$C$963,$DC$27*31+$DC$28+ 1) +$DF$27," ")," ")</f>
        <v xml:space="preserve"> </v>
      </c>
      <c r="DG28" s="44" t="str">
        <f ca="1">IFERROR(IF(ISNUMBER($DC$28),INDEX('1.Locations'!$J$2:$J$32,$DC$28 + 1) +$DG$27," ")," ")</f>
        <v xml:space="preserve"> </v>
      </c>
      <c r="DH28" s="44" t="str">
        <f ca="1">IFERROR(IF(ISNUMBER($DC$28),INDEX('1.Locations'!$K$2:$K$32,$DC$28 + 1) +$DH$27," ")," ")</f>
        <v xml:space="preserve"> </v>
      </c>
      <c r="DI28" s="46" t="str">
        <f ca="1">IFERROR(IF(AND(ISNUMBER($DC$28),$DC$28&lt;=30),INDEX('2.Distances'!$D$2:$D$963,$DC$27*31+$DC$28+ 1) +$DI$27," ")," ")</f>
        <v xml:space="preserve"> </v>
      </c>
      <c r="DJ28" s="47" t="str">
        <f ca="1">IFERROR(IF(AND(ISNUMBER($DC$28),$DC$28&lt;=30),INDEX('2.Distances'!$D$2:$D$963,$DC$27*31+$DC$28+ 1) +$DK$27," ")," ")</f>
        <v xml:space="preserve"> </v>
      </c>
      <c r="DK28" s="47" t="str">
        <f ca="1">IFERROR(IF(ISNUMBER($DJ$28),INDEX('1.Locations'!$I$2:$I$32,$DC$28 + 1) + MAX($DJ$28,INDEX('1.Locations'!$F$2:$F$32,$DC$28 + 1))," ")," ")</f>
        <v xml:space="preserve"> </v>
      </c>
      <c r="DL28" s="46" t="str">
        <f ca="1">IFERROR($DL$27 + INDEX('2.Distances'!$D$2:$D$963,$DC$27*31+$DC$28+ 1) + INDEX('1.Locations'!$I$2:$I$32,$DC$28 + 1)," ")</f>
        <v xml:space="preserve"> </v>
      </c>
      <c r="DN28" s="19">
        <v>23</v>
      </c>
      <c r="DO28" s="20"/>
      <c r="DP28" s="44" t="str">
        <f ca="1">IFERROR(MATCH(INDIRECT("$DO$28"),'1.Locations'!$B$2:$B$32, 0) - 1," ")</f>
        <v xml:space="preserve"> </v>
      </c>
      <c r="DQ28" s="44" t="e">
        <f ca="1">IFERROR(IF(ISNUMBER($DP$28),INDEX('1.Locations'!$D$2:$D$32,$DP$28 + 1),NA()),NA())</f>
        <v>#N/A</v>
      </c>
      <c r="DR28" s="44" t="e">
        <f ca="1">IFERROR(IF(ISNUMBER($DP$28),INDEX('1.Locations'!$E$2:$E$32,$DP$28 + 1),NA()),NA())</f>
        <v>#N/A</v>
      </c>
      <c r="DS28" s="45" t="str">
        <f ca="1">IFERROR(IF(AND(ISNUMBER($DP$28),$DP$28&lt;=30),INDEX('2.Distances'!$C$2:$C$963,$DP$27*31+$DP$28+ 1) +$DS$27," ")," ")</f>
        <v xml:space="preserve"> </v>
      </c>
      <c r="DT28" s="44" t="str">
        <f ca="1">IFERROR(IF(ISNUMBER($DP$28),INDEX('1.Locations'!$J$2:$J$32,$DP$28 + 1) +$DT$27," ")," ")</f>
        <v xml:space="preserve"> </v>
      </c>
      <c r="DU28" s="44" t="str">
        <f ca="1">IFERROR(IF(ISNUMBER($DP$28),INDEX('1.Locations'!$K$2:$K$32,$DP$28 + 1) +$DU$27," ")," ")</f>
        <v xml:space="preserve"> </v>
      </c>
      <c r="DV28" s="46" t="str">
        <f ca="1">IFERROR(IF(AND(ISNUMBER($DP$28),$DP$28&lt;=30),INDEX('2.Distances'!$D$2:$D$963,$DP$27*31+$DP$28+ 1) +$DV$27," ")," ")</f>
        <v xml:space="preserve"> </v>
      </c>
      <c r="DW28" s="47" t="str">
        <f ca="1">IFERROR(IF(AND(ISNUMBER($DP$28),$DP$28&lt;=30),INDEX('2.Distances'!$D$2:$D$963,$DP$27*31+$DP$28+ 1) +$DX$27," ")," ")</f>
        <v xml:space="preserve"> </v>
      </c>
      <c r="DX28" s="47" t="str">
        <f ca="1">IFERROR(IF(ISNUMBER($DW$28),INDEX('1.Locations'!$I$2:$I$32,$DP$28 + 1) + MAX($DW$28,INDEX('1.Locations'!$F$2:$F$32,$DP$28 + 1))," ")," ")</f>
        <v xml:space="preserve"> </v>
      </c>
      <c r="DY28" s="46" t="str">
        <f ca="1">IFERROR($DY$27 + INDEX('2.Distances'!$D$2:$D$963,$DP$27*31+$DP$28+ 1) + INDEX('1.Locations'!$I$2:$I$32,$DP$28 + 1)," ")</f>
        <v xml:space="preserve"> </v>
      </c>
      <c r="EA28" s="19">
        <v>23</v>
      </c>
      <c r="EB28" s="20"/>
      <c r="EC28" s="44" t="str">
        <f ca="1">IFERROR(MATCH(INDIRECT("$EB$28"),'1.Locations'!$B$2:$B$32, 0) - 1," ")</f>
        <v xml:space="preserve"> </v>
      </c>
      <c r="ED28" s="44" t="e">
        <f ca="1">IFERROR(IF(ISNUMBER($EC$28),INDEX('1.Locations'!$D$2:$D$32,$EC$28 + 1),NA()),NA())</f>
        <v>#N/A</v>
      </c>
      <c r="EE28" s="44" t="e">
        <f ca="1">IFERROR(IF(ISNUMBER($EC$28),INDEX('1.Locations'!$E$2:$E$32,$EC$28 + 1),NA()),NA())</f>
        <v>#N/A</v>
      </c>
      <c r="EF28" s="45" t="str">
        <f ca="1">IFERROR(IF(AND(ISNUMBER($EC$28),$EC$28&lt;=30),INDEX('2.Distances'!$C$2:$C$963,$EC$27*31+$EC$28+ 1) +$EF$27," ")," ")</f>
        <v xml:space="preserve"> </v>
      </c>
      <c r="EG28" s="44" t="str">
        <f ca="1">IFERROR(IF(ISNUMBER($EC$28),INDEX('1.Locations'!$J$2:$J$32,$EC$28 + 1) +$EG$27," ")," ")</f>
        <v xml:space="preserve"> </v>
      </c>
      <c r="EH28" s="44" t="str">
        <f ca="1">IFERROR(IF(ISNUMBER($EC$28),INDEX('1.Locations'!$K$2:$K$32,$EC$28 + 1) +$EH$27," ")," ")</f>
        <v xml:space="preserve"> </v>
      </c>
      <c r="EI28" s="46" t="str">
        <f ca="1">IFERROR(IF(AND(ISNUMBER($EC$28),$EC$28&lt;=30),INDEX('2.Distances'!$D$2:$D$963,$EC$27*31+$EC$28+ 1) +$EI$27," ")," ")</f>
        <v xml:space="preserve"> </v>
      </c>
      <c r="EJ28" s="47" t="str">
        <f ca="1">IFERROR(IF(AND(ISNUMBER($EC$28),$EC$28&lt;=30),INDEX('2.Distances'!$D$2:$D$963,$EC$27*31+$EC$28+ 1) +$EK$27," ")," ")</f>
        <v xml:space="preserve"> </v>
      </c>
      <c r="EK28" s="47" t="str">
        <f ca="1">IFERROR(IF(ISNUMBER($EJ$28),INDEX('1.Locations'!$I$2:$I$32,$EC$28 + 1) + MAX($EJ$28,INDEX('1.Locations'!$F$2:$F$32,$EC$28 + 1))," ")," ")</f>
        <v xml:space="preserve"> </v>
      </c>
      <c r="EL28" s="46" t="str">
        <f ca="1">IFERROR($EL$27 + INDEX('2.Distances'!$D$2:$D$963,$EC$27*31+$EC$28+ 1) + INDEX('1.Locations'!$I$2:$I$32,$EC$28 + 1)," ")</f>
        <v xml:space="preserve"> </v>
      </c>
      <c r="EN28" s="19">
        <v>23</v>
      </c>
      <c r="EO28" s="20"/>
      <c r="EP28" s="44" t="str">
        <f ca="1">IFERROR(MATCH(INDIRECT("$EO$28"),'1.Locations'!$B$2:$B$32, 0) - 1," ")</f>
        <v xml:space="preserve"> </v>
      </c>
      <c r="EQ28" s="44" t="e">
        <f ca="1">IFERROR(IF(ISNUMBER($EP$28),INDEX('1.Locations'!$D$2:$D$32,$EP$28 + 1),NA()),NA())</f>
        <v>#N/A</v>
      </c>
      <c r="ER28" s="44" t="e">
        <f ca="1">IFERROR(IF(ISNUMBER($EP$28),INDEX('1.Locations'!$E$2:$E$32,$EP$28 + 1),NA()),NA())</f>
        <v>#N/A</v>
      </c>
      <c r="ES28" s="45" t="str">
        <f ca="1">IFERROR(IF(AND(ISNUMBER($EP$28),$EP$28&lt;=30),INDEX('2.Distances'!$C$2:$C$963,$EP$27*31+$EP$28+ 1) +$ES$27," ")," ")</f>
        <v xml:space="preserve"> </v>
      </c>
      <c r="ET28" s="44" t="str">
        <f ca="1">IFERROR(IF(ISNUMBER($EP$28),INDEX('1.Locations'!$J$2:$J$32,$EP$28 + 1) +$ET$27," ")," ")</f>
        <v xml:space="preserve"> </v>
      </c>
      <c r="EU28" s="44" t="str">
        <f ca="1">IFERROR(IF(ISNUMBER($EP$28),INDEX('1.Locations'!$K$2:$K$32,$EP$28 + 1) +$EU$27," ")," ")</f>
        <v xml:space="preserve"> </v>
      </c>
      <c r="EV28" s="46" t="str">
        <f ca="1">IFERROR(IF(AND(ISNUMBER($EP$28),$EP$28&lt;=30),INDEX('2.Distances'!$D$2:$D$963,$EP$27*31+$EP$28+ 1) +$EV$27," ")," ")</f>
        <v xml:space="preserve"> </v>
      </c>
      <c r="EW28" s="47" t="str">
        <f ca="1">IFERROR(IF(AND(ISNUMBER($EP$28),$EP$28&lt;=30),INDEX('2.Distances'!$D$2:$D$963,$EP$27*31+$EP$28+ 1) +$EX$27," ")," ")</f>
        <v xml:space="preserve"> </v>
      </c>
      <c r="EX28" s="47" t="str">
        <f ca="1">IFERROR(IF(ISNUMBER($EW$28),INDEX('1.Locations'!$I$2:$I$32,$EP$28 + 1) + MAX($EW$28,INDEX('1.Locations'!$F$2:$F$32,$EP$28 + 1))," ")," ")</f>
        <v xml:space="preserve"> </v>
      </c>
      <c r="EY28" s="46" t="str">
        <f ca="1">IFERROR($EY$27 + INDEX('2.Distances'!$D$2:$D$963,$EP$27*31+$EP$28+ 1) + INDEX('1.Locations'!$I$2:$I$32,$EP$28 + 1)," ")</f>
        <v xml:space="preserve"> </v>
      </c>
    </row>
    <row r="29" spans="1:155" x14ac:dyDescent="0.2">
      <c r="A29" s="19">
        <v>24</v>
      </c>
      <c r="B29" s="20"/>
      <c r="C29" s="44" t="str">
        <f ca="1">IFERROR(MATCH(INDIRECT("$B$29"),'1.Locations'!$B$2:$B$32, 0) - 1," ")</f>
        <v xml:space="preserve"> </v>
      </c>
      <c r="D29" s="44" t="e">
        <f ca="1">IFERROR(IF(ISNUMBER($C$29),INDEX('1.Locations'!$D$2:$D$32,$C$29 + 1),NA()),NA())</f>
        <v>#N/A</v>
      </c>
      <c r="E29" s="44" t="e">
        <f ca="1">IFERROR(IF(ISNUMBER($C$29),INDEX('1.Locations'!$E$2:$E$32,$C$29 + 1),NA()),NA())</f>
        <v>#N/A</v>
      </c>
      <c r="F29" s="45" t="str">
        <f ca="1">IFERROR(IF(AND(ISNUMBER($C$29),$C$29&lt;=30),INDEX('2.Distances'!$C$2:$C$963,$C$28*31+$C$29+ 1) +$F$28," ")," ")</f>
        <v xml:space="preserve"> </v>
      </c>
      <c r="G29" s="44" t="str">
        <f ca="1">IFERROR(IF(ISNUMBER($C$29),INDEX('1.Locations'!$J$2:$J$32,$C$29 + 1) +$G$28," ")," ")</f>
        <v xml:space="preserve"> </v>
      </c>
      <c r="H29" s="44" t="str">
        <f ca="1">IFERROR(IF(ISNUMBER($C$29),INDEX('1.Locations'!$K$2:$K$32,$C$29 + 1) +$H$28," ")," ")</f>
        <v xml:space="preserve"> </v>
      </c>
      <c r="I29" s="46" t="str">
        <f ca="1">IFERROR(IF(AND(ISNUMBER($C$29),$C$29&lt;=30),INDEX('2.Distances'!$D$2:$D$963,$C$28*31+$C$29+ 1) +$I$28," ")," ")</f>
        <v xml:space="preserve"> </v>
      </c>
      <c r="J29" s="47" t="str">
        <f ca="1">IFERROR(IF(AND(ISNUMBER($C$29),$C$29&lt;=30),INDEX('2.Distances'!$D$2:$D$963,$C$28*31+$C$29+ 1) +$K$28," ")," ")</f>
        <v xml:space="preserve"> </v>
      </c>
      <c r="K29" s="47" t="str">
        <f ca="1">IFERROR(IF(ISNUMBER($J$29),INDEX('1.Locations'!$I$2:$I$32,$C$29 + 1) + MAX($J$29,INDEX('1.Locations'!$F$2:$F$32,$C$29 + 1))," ")," ")</f>
        <v xml:space="preserve"> </v>
      </c>
      <c r="L29" s="46" t="str">
        <f ca="1">IFERROR($L$28 + INDEX('2.Distances'!$D$2:$D$963,$C$28*31+$C$29+ 1) + INDEX('1.Locations'!$I$2:$I$32,$C$29 + 1)," ")</f>
        <v xml:space="preserve"> </v>
      </c>
      <c r="N29" s="19">
        <v>24</v>
      </c>
      <c r="O29" s="20"/>
      <c r="P29" s="44" t="str">
        <f ca="1">IFERROR(MATCH(INDIRECT("$O$29"),'1.Locations'!$B$2:$B$32, 0) - 1," ")</f>
        <v xml:space="preserve"> </v>
      </c>
      <c r="Q29" s="44" t="e">
        <f ca="1">IFERROR(IF(ISNUMBER($P$29),INDEX('1.Locations'!$D$2:$D$32,$P$29 + 1),NA()),NA())</f>
        <v>#N/A</v>
      </c>
      <c r="R29" s="44" t="e">
        <f ca="1">IFERROR(IF(ISNUMBER($P$29),INDEX('1.Locations'!$E$2:$E$32,$P$29 + 1),NA()),NA())</f>
        <v>#N/A</v>
      </c>
      <c r="S29" s="45" t="str">
        <f ca="1">IFERROR(IF(AND(ISNUMBER($P$29),$P$29&lt;=30),INDEX('2.Distances'!$C$2:$C$963,$P$28*31+$P$29+ 1) +$S$28," ")," ")</f>
        <v xml:space="preserve"> </v>
      </c>
      <c r="T29" s="44" t="str">
        <f ca="1">IFERROR(IF(ISNUMBER($P$29),INDEX('1.Locations'!$J$2:$J$32,$P$29 + 1) +$T$28," ")," ")</f>
        <v xml:space="preserve"> </v>
      </c>
      <c r="U29" s="44" t="str">
        <f ca="1">IFERROR(IF(ISNUMBER($P$29),INDEX('1.Locations'!$K$2:$K$32,$P$29 + 1) +$U$28," ")," ")</f>
        <v xml:space="preserve"> </v>
      </c>
      <c r="V29" s="46" t="str">
        <f ca="1">IFERROR(IF(AND(ISNUMBER($P$29),$P$29&lt;=30),INDEX('2.Distances'!$D$2:$D$963,$P$28*31+$P$29+ 1) +$V$28," ")," ")</f>
        <v xml:space="preserve"> </v>
      </c>
      <c r="W29" s="47" t="str">
        <f ca="1">IFERROR(IF(AND(ISNUMBER($P$29),$P$29&lt;=30),INDEX('2.Distances'!$D$2:$D$963,$P$28*31+$P$29+ 1) +$X$28," ")," ")</f>
        <v xml:space="preserve"> </v>
      </c>
      <c r="X29" s="47" t="str">
        <f ca="1">IFERROR(IF(ISNUMBER($W$29),INDEX('1.Locations'!$I$2:$I$32,$P$29 + 1) + MAX($W$29,INDEX('1.Locations'!$F$2:$F$32,$P$29 + 1))," ")," ")</f>
        <v xml:space="preserve"> </v>
      </c>
      <c r="Y29" s="46" t="str">
        <f ca="1">IFERROR($Y$28 + INDEX('2.Distances'!$D$2:$D$963,$P$28*31+$P$29+ 1) + INDEX('1.Locations'!$I$2:$I$32,$P$29 + 1)," ")</f>
        <v xml:space="preserve"> </v>
      </c>
      <c r="AA29" s="19">
        <v>24</v>
      </c>
      <c r="AB29" s="20"/>
      <c r="AC29" s="44" t="str">
        <f ca="1">IFERROR(MATCH(INDIRECT("$AB$29"),'1.Locations'!$B$2:$B$32, 0) - 1," ")</f>
        <v xml:space="preserve"> </v>
      </c>
      <c r="AD29" s="44" t="e">
        <f ca="1">IFERROR(IF(ISNUMBER($AC$29),INDEX('1.Locations'!$D$2:$D$32,$AC$29 + 1),NA()),NA())</f>
        <v>#N/A</v>
      </c>
      <c r="AE29" s="44" t="e">
        <f ca="1">IFERROR(IF(ISNUMBER($AC$29),INDEX('1.Locations'!$E$2:$E$32,$AC$29 + 1),NA()),NA())</f>
        <v>#N/A</v>
      </c>
      <c r="AF29" s="45" t="str">
        <f ca="1">IFERROR(IF(AND(ISNUMBER($AC$29),$AC$29&lt;=30),INDEX('2.Distances'!$C$2:$C$963,$AC$28*31+$AC$29+ 1) +$AF$28," ")," ")</f>
        <v xml:space="preserve"> </v>
      </c>
      <c r="AG29" s="44" t="str">
        <f ca="1">IFERROR(IF(ISNUMBER($AC$29),INDEX('1.Locations'!$J$2:$J$32,$AC$29 + 1) +$AG$28," ")," ")</f>
        <v xml:space="preserve"> </v>
      </c>
      <c r="AH29" s="44" t="str">
        <f ca="1">IFERROR(IF(ISNUMBER($AC$29),INDEX('1.Locations'!$K$2:$K$32,$AC$29 + 1) +$AH$28," ")," ")</f>
        <v xml:space="preserve"> </v>
      </c>
      <c r="AI29" s="46" t="str">
        <f ca="1">IFERROR(IF(AND(ISNUMBER($AC$29),$AC$29&lt;=30),INDEX('2.Distances'!$D$2:$D$963,$AC$28*31+$AC$29+ 1) +$AI$28," ")," ")</f>
        <v xml:space="preserve"> </v>
      </c>
      <c r="AJ29" s="47" t="str">
        <f ca="1">IFERROR(IF(AND(ISNUMBER($AC$29),$AC$29&lt;=30),INDEX('2.Distances'!$D$2:$D$963,$AC$28*31+$AC$29+ 1) +$AK$28," ")," ")</f>
        <v xml:space="preserve"> </v>
      </c>
      <c r="AK29" s="47" t="str">
        <f ca="1">IFERROR(IF(ISNUMBER($AJ$29),INDEX('1.Locations'!$I$2:$I$32,$AC$29 + 1) + MAX($AJ$29,INDEX('1.Locations'!$F$2:$F$32,$AC$29 + 1))," ")," ")</f>
        <v xml:space="preserve"> </v>
      </c>
      <c r="AL29" s="46" t="str">
        <f ca="1">IFERROR($AL$28 + INDEX('2.Distances'!$D$2:$D$963,$AC$28*31+$AC$29+ 1) + INDEX('1.Locations'!$I$2:$I$32,$AC$29 + 1)," ")</f>
        <v xml:space="preserve"> </v>
      </c>
      <c r="AN29" s="19">
        <v>24</v>
      </c>
      <c r="AO29" s="20"/>
      <c r="AP29" s="44" t="str">
        <f ca="1">IFERROR(MATCH(INDIRECT("$AO$29"),'1.Locations'!$B$2:$B$32, 0) - 1," ")</f>
        <v xml:space="preserve"> </v>
      </c>
      <c r="AQ29" s="44" t="e">
        <f ca="1">IFERROR(IF(ISNUMBER($AP$29),INDEX('1.Locations'!$D$2:$D$32,$AP$29 + 1),NA()),NA())</f>
        <v>#N/A</v>
      </c>
      <c r="AR29" s="44" t="e">
        <f ca="1">IFERROR(IF(ISNUMBER($AP$29),INDEX('1.Locations'!$E$2:$E$32,$AP$29 + 1),NA()),NA())</f>
        <v>#N/A</v>
      </c>
      <c r="AS29" s="45" t="str">
        <f ca="1">IFERROR(IF(AND(ISNUMBER($AP$29),$AP$29&lt;=30),INDEX('2.Distances'!$C$2:$C$963,$AP$28*31+$AP$29+ 1) +$AS$28," ")," ")</f>
        <v xml:space="preserve"> </v>
      </c>
      <c r="AT29" s="44" t="str">
        <f ca="1">IFERROR(IF(ISNUMBER($AP$29),INDEX('1.Locations'!$J$2:$J$32,$AP$29 + 1) +$AT$28," ")," ")</f>
        <v xml:space="preserve"> </v>
      </c>
      <c r="AU29" s="44" t="str">
        <f ca="1">IFERROR(IF(ISNUMBER($AP$29),INDEX('1.Locations'!$K$2:$K$32,$AP$29 + 1) +$AU$28," ")," ")</f>
        <v xml:space="preserve"> </v>
      </c>
      <c r="AV29" s="46" t="str">
        <f ca="1">IFERROR(IF(AND(ISNUMBER($AP$29),$AP$29&lt;=30),INDEX('2.Distances'!$D$2:$D$963,$AP$28*31+$AP$29+ 1) +$AV$28," ")," ")</f>
        <v xml:space="preserve"> </v>
      </c>
      <c r="AW29" s="47" t="str">
        <f ca="1">IFERROR(IF(AND(ISNUMBER($AP$29),$AP$29&lt;=30),INDEX('2.Distances'!$D$2:$D$963,$AP$28*31+$AP$29+ 1) +$AX$28," ")," ")</f>
        <v xml:space="preserve"> </v>
      </c>
      <c r="AX29" s="47" t="str">
        <f ca="1">IFERROR(IF(ISNUMBER($AW$29),INDEX('1.Locations'!$I$2:$I$32,$AP$29 + 1) + MAX($AW$29,INDEX('1.Locations'!$F$2:$F$32,$AP$29 + 1))," ")," ")</f>
        <v xml:space="preserve"> </v>
      </c>
      <c r="AY29" s="46" t="str">
        <f ca="1">IFERROR($AY$28 + INDEX('2.Distances'!$D$2:$D$963,$AP$28*31+$AP$29+ 1) + INDEX('1.Locations'!$I$2:$I$32,$AP$29 + 1)," ")</f>
        <v xml:space="preserve"> </v>
      </c>
      <c r="BA29" s="19">
        <v>24</v>
      </c>
      <c r="BB29" s="20"/>
      <c r="BC29" s="44" t="str">
        <f ca="1">IFERROR(MATCH(INDIRECT("$BB$29"),'1.Locations'!$B$2:$B$32, 0) - 1," ")</f>
        <v xml:space="preserve"> </v>
      </c>
      <c r="BD29" s="44" t="e">
        <f ca="1">IFERROR(IF(ISNUMBER($BC$29),INDEX('1.Locations'!$D$2:$D$32,$BC$29 + 1),NA()),NA())</f>
        <v>#N/A</v>
      </c>
      <c r="BE29" s="44" t="e">
        <f ca="1">IFERROR(IF(ISNUMBER($BC$29),INDEX('1.Locations'!$E$2:$E$32,$BC$29 + 1),NA()),NA())</f>
        <v>#N/A</v>
      </c>
      <c r="BF29" s="45" t="str">
        <f ca="1">IFERROR(IF(AND(ISNUMBER($BC$29),$BC$29&lt;=30),INDEX('2.Distances'!$C$2:$C$963,$BC$28*31+$BC$29+ 1) +$BF$28," ")," ")</f>
        <v xml:space="preserve"> </v>
      </c>
      <c r="BG29" s="44" t="str">
        <f ca="1">IFERROR(IF(ISNUMBER($BC$29),INDEX('1.Locations'!$J$2:$J$32,$BC$29 + 1) +$BG$28," ")," ")</f>
        <v xml:space="preserve"> </v>
      </c>
      <c r="BH29" s="44" t="str">
        <f ca="1">IFERROR(IF(ISNUMBER($BC$29),INDEX('1.Locations'!$K$2:$K$32,$BC$29 + 1) +$BH$28," ")," ")</f>
        <v xml:space="preserve"> </v>
      </c>
      <c r="BI29" s="46" t="str">
        <f ca="1">IFERROR(IF(AND(ISNUMBER($BC$29),$BC$29&lt;=30),INDEX('2.Distances'!$D$2:$D$963,$BC$28*31+$BC$29+ 1) +$BI$28," ")," ")</f>
        <v xml:space="preserve"> </v>
      </c>
      <c r="BJ29" s="47" t="str">
        <f ca="1">IFERROR(IF(AND(ISNUMBER($BC$29),$BC$29&lt;=30),INDEX('2.Distances'!$D$2:$D$963,$BC$28*31+$BC$29+ 1) +$BK$28," ")," ")</f>
        <v xml:space="preserve"> </v>
      </c>
      <c r="BK29" s="47" t="str">
        <f ca="1">IFERROR(IF(ISNUMBER($BJ$29),INDEX('1.Locations'!$I$2:$I$32,$BC$29 + 1) + MAX($BJ$29,INDEX('1.Locations'!$F$2:$F$32,$BC$29 + 1))," ")," ")</f>
        <v xml:space="preserve"> </v>
      </c>
      <c r="BL29" s="46" t="str">
        <f ca="1">IFERROR($BL$28 + INDEX('2.Distances'!$D$2:$D$963,$BC$28*31+$BC$29+ 1) + INDEX('1.Locations'!$I$2:$I$32,$BC$29 + 1)," ")</f>
        <v xml:space="preserve"> </v>
      </c>
      <c r="BN29" s="19">
        <v>24</v>
      </c>
      <c r="BO29" s="20"/>
      <c r="BP29" s="44" t="str">
        <f ca="1">IFERROR(MATCH(INDIRECT("$BO$29"),'1.Locations'!$B$2:$B$32, 0) - 1," ")</f>
        <v xml:space="preserve"> </v>
      </c>
      <c r="BQ29" s="44" t="e">
        <f ca="1">IFERROR(IF(ISNUMBER($BP$29),INDEX('1.Locations'!$D$2:$D$32,$BP$29 + 1),NA()),NA())</f>
        <v>#N/A</v>
      </c>
      <c r="BR29" s="44" t="e">
        <f ca="1">IFERROR(IF(ISNUMBER($BP$29),INDEX('1.Locations'!$E$2:$E$32,$BP$29 + 1),NA()),NA())</f>
        <v>#N/A</v>
      </c>
      <c r="BS29" s="45" t="str">
        <f ca="1">IFERROR(IF(AND(ISNUMBER($BP$29),$BP$29&lt;=30),INDEX('2.Distances'!$C$2:$C$963,$BP$28*31+$BP$29+ 1) +$BS$28," ")," ")</f>
        <v xml:space="preserve"> </v>
      </c>
      <c r="BT29" s="44" t="str">
        <f ca="1">IFERROR(IF(ISNUMBER($BP$29),INDEX('1.Locations'!$J$2:$J$32,$BP$29 + 1) +$BT$28," ")," ")</f>
        <v xml:space="preserve"> </v>
      </c>
      <c r="BU29" s="44" t="str">
        <f ca="1">IFERROR(IF(ISNUMBER($BP$29),INDEX('1.Locations'!$K$2:$K$32,$BP$29 + 1) +$BU$28," ")," ")</f>
        <v xml:space="preserve"> </v>
      </c>
      <c r="BV29" s="46" t="str">
        <f ca="1">IFERROR(IF(AND(ISNUMBER($BP$29),$BP$29&lt;=30),INDEX('2.Distances'!$D$2:$D$963,$BP$28*31+$BP$29+ 1) +$BV$28," ")," ")</f>
        <v xml:space="preserve"> </v>
      </c>
      <c r="BW29" s="47" t="str">
        <f ca="1">IFERROR(IF(AND(ISNUMBER($BP$29),$BP$29&lt;=30),INDEX('2.Distances'!$D$2:$D$963,$BP$28*31+$BP$29+ 1) +$BX$28," ")," ")</f>
        <v xml:space="preserve"> </v>
      </c>
      <c r="BX29" s="47" t="str">
        <f ca="1">IFERROR(IF(ISNUMBER($BW$29),INDEX('1.Locations'!$I$2:$I$32,$BP$29 + 1) + MAX($BW$29,INDEX('1.Locations'!$F$2:$F$32,$BP$29 + 1))," ")," ")</f>
        <v xml:space="preserve"> </v>
      </c>
      <c r="BY29" s="46" t="str">
        <f ca="1">IFERROR($BY$28 + INDEX('2.Distances'!$D$2:$D$963,$BP$28*31+$BP$29+ 1) + INDEX('1.Locations'!$I$2:$I$32,$BP$29 + 1)," ")</f>
        <v xml:space="preserve"> </v>
      </c>
      <c r="CA29" s="19">
        <v>24</v>
      </c>
      <c r="CB29" s="20"/>
      <c r="CC29" s="44" t="str">
        <f ca="1">IFERROR(MATCH(INDIRECT("$CB$29"),'1.Locations'!$B$2:$B$32, 0) - 1," ")</f>
        <v xml:space="preserve"> </v>
      </c>
      <c r="CD29" s="44" t="e">
        <f ca="1">IFERROR(IF(ISNUMBER($CC$29),INDEX('1.Locations'!$D$2:$D$32,$CC$29 + 1),NA()),NA())</f>
        <v>#N/A</v>
      </c>
      <c r="CE29" s="44" t="e">
        <f ca="1">IFERROR(IF(ISNUMBER($CC$29),INDEX('1.Locations'!$E$2:$E$32,$CC$29 + 1),NA()),NA())</f>
        <v>#N/A</v>
      </c>
      <c r="CF29" s="45" t="str">
        <f ca="1">IFERROR(IF(AND(ISNUMBER($CC$29),$CC$29&lt;=30),INDEX('2.Distances'!$C$2:$C$963,$CC$28*31+$CC$29+ 1) +$CF$28," ")," ")</f>
        <v xml:space="preserve"> </v>
      </c>
      <c r="CG29" s="44" t="str">
        <f ca="1">IFERROR(IF(ISNUMBER($CC$29),INDEX('1.Locations'!$J$2:$J$32,$CC$29 + 1) +$CG$28," ")," ")</f>
        <v xml:space="preserve"> </v>
      </c>
      <c r="CH29" s="44" t="str">
        <f ca="1">IFERROR(IF(ISNUMBER($CC$29),INDEX('1.Locations'!$K$2:$K$32,$CC$29 + 1) +$CH$28," ")," ")</f>
        <v xml:space="preserve"> </v>
      </c>
      <c r="CI29" s="46" t="str">
        <f ca="1">IFERROR(IF(AND(ISNUMBER($CC$29),$CC$29&lt;=30),INDEX('2.Distances'!$D$2:$D$963,$CC$28*31+$CC$29+ 1) +$CI$28," ")," ")</f>
        <v xml:space="preserve"> </v>
      </c>
      <c r="CJ29" s="47" t="str">
        <f ca="1">IFERROR(IF(AND(ISNUMBER($CC$29),$CC$29&lt;=30),INDEX('2.Distances'!$D$2:$D$963,$CC$28*31+$CC$29+ 1) +$CK$28," ")," ")</f>
        <v xml:space="preserve"> </v>
      </c>
      <c r="CK29" s="47" t="str">
        <f ca="1">IFERROR(IF(ISNUMBER($CJ$29),INDEX('1.Locations'!$I$2:$I$32,$CC$29 + 1) + MAX($CJ$29,INDEX('1.Locations'!$F$2:$F$32,$CC$29 + 1))," ")," ")</f>
        <v xml:space="preserve"> </v>
      </c>
      <c r="CL29" s="46" t="str">
        <f ca="1">IFERROR($CL$28 + INDEX('2.Distances'!$D$2:$D$963,$CC$28*31+$CC$29+ 1) + INDEX('1.Locations'!$I$2:$I$32,$CC$29 + 1)," ")</f>
        <v xml:space="preserve"> </v>
      </c>
      <c r="CN29" s="19">
        <v>24</v>
      </c>
      <c r="CO29" s="20"/>
      <c r="CP29" s="44" t="str">
        <f ca="1">IFERROR(MATCH(INDIRECT("$CO$29"),'1.Locations'!$B$2:$B$32, 0) - 1," ")</f>
        <v xml:space="preserve"> </v>
      </c>
      <c r="CQ29" s="44" t="e">
        <f ca="1">IFERROR(IF(ISNUMBER($CP$29),INDEX('1.Locations'!$D$2:$D$32,$CP$29 + 1),NA()),NA())</f>
        <v>#N/A</v>
      </c>
      <c r="CR29" s="44" t="e">
        <f ca="1">IFERROR(IF(ISNUMBER($CP$29),INDEX('1.Locations'!$E$2:$E$32,$CP$29 + 1),NA()),NA())</f>
        <v>#N/A</v>
      </c>
      <c r="CS29" s="45" t="str">
        <f ca="1">IFERROR(IF(AND(ISNUMBER($CP$29),$CP$29&lt;=30),INDEX('2.Distances'!$C$2:$C$963,$CP$28*31+$CP$29+ 1) +$CS$28," ")," ")</f>
        <v xml:space="preserve"> </v>
      </c>
      <c r="CT29" s="44" t="str">
        <f ca="1">IFERROR(IF(ISNUMBER($CP$29),INDEX('1.Locations'!$J$2:$J$32,$CP$29 + 1) +$CT$28," ")," ")</f>
        <v xml:space="preserve"> </v>
      </c>
      <c r="CU29" s="44" t="str">
        <f ca="1">IFERROR(IF(ISNUMBER($CP$29),INDEX('1.Locations'!$K$2:$K$32,$CP$29 + 1) +$CU$28," ")," ")</f>
        <v xml:space="preserve"> </v>
      </c>
      <c r="CV29" s="46" t="str">
        <f ca="1">IFERROR(IF(AND(ISNUMBER($CP$29),$CP$29&lt;=30),INDEX('2.Distances'!$D$2:$D$963,$CP$28*31+$CP$29+ 1) +$CV$28," ")," ")</f>
        <v xml:space="preserve"> </v>
      </c>
      <c r="CW29" s="47" t="str">
        <f ca="1">IFERROR(IF(AND(ISNUMBER($CP$29),$CP$29&lt;=30),INDEX('2.Distances'!$D$2:$D$963,$CP$28*31+$CP$29+ 1) +$CX$28," ")," ")</f>
        <v xml:space="preserve"> </v>
      </c>
      <c r="CX29" s="47" t="str">
        <f ca="1">IFERROR(IF(ISNUMBER($CW$29),INDEX('1.Locations'!$I$2:$I$32,$CP$29 + 1) + MAX($CW$29,INDEX('1.Locations'!$F$2:$F$32,$CP$29 + 1))," ")," ")</f>
        <v xml:space="preserve"> </v>
      </c>
      <c r="CY29" s="46" t="str">
        <f ca="1">IFERROR($CY$28 + INDEX('2.Distances'!$D$2:$D$963,$CP$28*31+$CP$29+ 1) + INDEX('1.Locations'!$I$2:$I$32,$CP$29 + 1)," ")</f>
        <v xml:space="preserve"> </v>
      </c>
      <c r="DA29" s="19">
        <v>24</v>
      </c>
      <c r="DB29" s="20"/>
      <c r="DC29" s="44" t="str">
        <f ca="1">IFERROR(MATCH(INDIRECT("$DB$29"),'1.Locations'!$B$2:$B$32, 0) - 1," ")</f>
        <v xml:space="preserve"> </v>
      </c>
      <c r="DD29" s="44" t="e">
        <f ca="1">IFERROR(IF(ISNUMBER($DC$29),INDEX('1.Locations'!$D$2:$D$32,$DC$29 + 1),NA()),NA())</f>
        <v>#N/A</v>
      </c>
      <c r="DE29" s="44" t="e">
        <f ca="1">IFERROR(IF(ISNUMBER($DC$29),INDEX('1.Locations'!$E$2:$E$32,$DC$29 + 1),NA()),NA())</f>
        <v>#N/A</v>
      </c>
      <c r="DF29" s="45" t="str">
        <f ca="1">IFERROR(IF(AND(ISNUMBER($DC$29),$DC$29&lt;=30),INDEX('2.Distances'!$C$2:$C$963,$DC$28*31+$DC$29+ 1) +$DF$28," ")," ")</f>
        <v xml:space="preserve"> </v>
      </c>
      <c r="DG29" s="44" t="str">
        <f ca="1">IFERROR(IF(ISNUMBER($DC$29),INDEX('1.Locations'!$J$2:$J$32,$DC$29 + 1) +$DG$28," ")," ")</f>
        <v xml:space="preserve"> </v>
      </c>
      <c r="DH29" s="44" t="str">
        <f ca="1">IFERROR(IF(ISNUMBER($DC$29),INDEX('1.Locations'!$K$2:$K$32,$DC$29 + 1) +$DH$28," ")," ")</f>
        <v xml:space="preserve"> </v>
      </c>
      <c r="DI29" s="46" t="str">
        <f ca="1">IFERROR(IF(AND(ISNUMBER($DC$29),$DC$29&lt;=30),INDEX('2.Distances'!$D$2:$D$963,$DC$28*31+$DC$29+ 1) +$DI$28," ")," ")</f>
        <v xml:space="preserve"> </v>
      </c>
      <c r="DJ29" s="47" t="str">
        <f ca="1">IFERROR(IF(AND(ISNUMBER($DC$29),$DC$29&lt;=30),INDEX('2.Distances'!$D$2:$D$963,$DC$28*31+$DC$29+ 1) +$DK$28," ")," ")</f>
        <v xml:space="preserve"> </v>
      </c>
      <c r="DK29" s="47" t="str">
        <f ca="1">IFERROR(IF(ISNUMBER($DJ$29),INDEX('1.Locations'!$I$2:$I$32,$DC$29 + 1) + MAX($DJ$29,INDEX('1.Locations'!$F$2:$F$32,$DC$29 + 1))," ")," ")</f>
        <v xml:space="preserve"> </v>
      </c>
      <c r="DL29" s="46" t="str">
        <f ca="1">IFERROR($DL$28 + INDEX('2.Distances'!$D$2:$D$963,$DC$28*31+$DC$29+ 1) + INDEX('1.Locations'!$I$2:$I$32,$DC$29 + 1)," ")</f>
        <v xml:space="preserve"> </v>
      </c>
      <c r="DN29" s="19">
        <v>24</v>
      </c>
      <c r="DO29" s="20"/>
      <c r="DP29" s="44" t="str">
        <f ca="1">IFERROR(MATCH(INDIRECT("$DO$29"),'1.Locations'!$B$2:$B$32, 0) - 1," ")</f>
        <v xml:space="preserve"> </v>
      </c>
      <c r="DQ29" s="44" t="e">
        <f ca="1">IFERROR(IF(ISNUMBER($DP$29),INDEX('1.Locations'!$D$2:$D$32,$DP$29 + 1),NA()),NA())</f>
        <v>#N/A</v>
      </c>
      <c r="DR29" s="44" t="e">
        <f ca="1">IFERROR(IF(ISNUMBER($DP$29),INDEX('1.Locations'!$E$2:$E$32,$DP$29 + 1),NA()),NA())</f>
        <v>#N/A</v>
      </c>
      <c r="DS29" s="45" t="str">
        <f ca="1">IFERROR(IF(AND(ISNUMBER($DP$29),$DP$29&lt;=30),INDEX('2.Distances'!$C$2:$C$963,$DP$28*31+$DP$29+ 1) +$DS$28," ")," ")</f>
        <v xml:space="preserve"> </v>
      </c>
      <c r="DT29" s="44" t="str">
        <f ca="1">IFERROR(IF(ISNUMBER($DP$29),INDEX('1.Locations'!$J$2:$J$32,$DP$29 + 1) +$DT$28," ")," ")</f>
        <v xml:space="preserve"> </v>
      </c>
      <c r="DU29" s="44" t="str">
        <f ca="1">IFERROR(IF(ISNUMBER($DP$29),INDEX('1.Locations'!$K$2:$K$32,$DP$29 + 1) +$DU$28," ")," ")</f>
        <v xml:space="preserve"> </v>
      </c>
      <c r="DV29" s="46" t="str">
        <f ca="1">IFERROR(IF(AND(ISNUMBER($DP$29),$DP$29&lt;=30),INDEX('2.Distances'!$D$2:$D$963,$DP$28*31+$DP$29+ 1) +$DV$28," ")," ")</f>
        <v xml:space="preserve"> </v>
      </c>
      <c r="DW29" s="47" t="str">
        <f ca="1">IFERROR(IF(AND(ISNUMBER($DP$29),$DP$29&lt;=30),INDEX('2.Distances'!$D$2:$D$963,$DP$28*31+$DP$29+ 1) +$DX$28," ")," ")</f>
        <v xml:space="preserve"> </v>
      </c>
      <c r="DX29" s="47" t="str">
        <f ca="1">IFERROR(IF(ISNUMBER($DW$29),INDEX('1.Locations'!$I$2:$I$32,$DP$29 + 1) + MAX($DW$29,INDEX('1.Locations'!$F$2:$F$32,$DP$29 + 1))," ")," ")</f>
        <v xml:space="preserve"> </v>
      </c>
      <c r="DY29" s="46" t="str">
        <f ca="1">IFERROR($DY$28 + INDEX('2.Distances'!$D$2:$D$963,$DP$28*31+$DP$29+ 1) + INDEX('1.Locations'!$I$2:$I$32,$DP$29 + 1)," ")</f>
        <v xml:space="preserve"> </v>
      </c>
      <c r="EA29" s="19">
        <v>24</v>
      </c>
      <c r="EB29" s="20"/>
      <c r="EC29" s="44" t="str">
        <f ca="1">IFERROR(MATCH(INDIRECT("$EB$29"),'1.Locations'!$B$2:$B$32, 0) - 1," ")</f>
        <v xml:space="preserve"> </v>
      </c>
      <c r="ED29" s="44" t="e">
        <f ca="1">IFERROR(IF(ISNUMBER($EC$29),INDEX('1.Locations'!$D$2:$D$32,$EC$29 + 1),NA()),NA())</f>
        <v>#N/A</v>
      </c>
      <c r="EE29" s="44" t="e">
        <f ca="1">IFERROR(IF(ISNUMBER($EC$29),INDEX('1.Locations'!$E$2:$E$32,$EC$29 + 1),NA()),NA())</f>
        <v>#N/A</v>
      </c>
      <c r="EF29" s="45" t="str">
        <f ca="1">IFERROR(IF(AND(ISNUMBER($EC$29),$EC$29&lt;=30),INDEX('2.Distances'!$C$2:$C$963,$EC$28*31+$EC$29+ 1) +$EF$28," ")," ")</f>
        <v xml:space="preserve"> </v>
      </c>
      <c r="EG29" s="44" t="str">
        <f ca="1">IFERROR(IF(ISNUMBER($EC$29),INDEX('1.Locations'!$J$2:$J$32,$EC$29 + 1) +$EG$28," ")," ")</f>
        <v xml:space="preserve"> </v>
      </c>
      <c r="EH29" s="44" t="str">
        <f ca="1">IFERROR(IF(ISNUMBER($EC$29),INDEX('1.Locations'!$K$2:$K$32,$EC$29 + 1) +$EH$28," ")," ")</f>
        <v xml:space="preserve"> </v>
      </c>
      <c r="EI29" s="46" t="str">
        <f ca="1">IFERROR(IF(AND(ISNUMBER($EC$29),$EC$29&lt;=30),INDEX('2.Distances'!$D$2:$D$963,$EC$28*31+$EC$29+ 1) +$EI$28," ")," ")</f>
        <v xml:space="preserve"> </v>
      </c>
      <c r="EJ29" s="47" t="str">
        <f ca="1">IFERROR(IF(AND(ISNUMBER($EC$29),$EC$29&lt;=30),INDEX('2.Distances'!$D$2:$D$963,$EC$28*31+$EC$29+ 1) +$EK$28," ")," ")</f>
        <v xml:space="preserve"> </v>
      </c>
      <c r="EK29" s="47" t="str">
        <f ca="1">IFERROR(IF(ISNUMBER($EJ$29),INDEX('1.Locations'!$I$2:$I$32,$EC$29 + 1) + MAX($EJ$29,INDEX('1.Locations'!$F$2:$F$32,$EC$29 + 1))," ")," ")</f>
        <v xml:space="preserve"> </v>
      </c>
      <c r="EL29" s="46" t="str">
        <f ca="1">IFERROR($EL$28 + INDEX('2.Distances'!$D$2:$D$963,$EC$28*31+$EC$29+ 1) + INDEX('1.Locations'!$I$2:$I$32,$EC$29 + 1)," ")</f>
        <v xml:space="preserve"> </v>
      </c>
      <c r="EN29" s="19">
        <v>24</v>
      </c>
      <c r="EO29" s="20"/>
      <c r="EP29" s="44" t="str">
        <f ca="1">IFERROR(MATCH(INDIRECT("$EO$29"),'1.Locations'!$B$2:$B$32, 0) - 1," ")</f>
        <v xml:space="preserve"> </v>
      </c>
      <c r="EQ29" s="44" t="e">
        <f ca="1">IFERROR(IF(ISNUMBER($EP$29),INDEX('1.Locations'!$D$2:$D$32,$EP$29 + 1),NA()),NA())</f>
        <v>#N/A</v>
      </c>
      <c r="ER29" s="44" t="e">
        <f ca="1">IFERROR(IF(ISNUMBER($EP$29),INDEX('1.Locations'!$E$2:$E$32,$EP$29 + 1),NA()),NA())</f>
        <v>#N/A</v>
      </c>
      <c r="ES29" s="45" t="str">
        <f ca="1">IFERROR(IF(AND(ISNUMBER($EP$29),$EP$29&lt;=30),INDEX('2.Distances'!$C$2:$C$963,$EP$28*31+$EP$29+ 1) +$ES$28," ")," ")</f>
        <v xml:space="preserve"> </v>
      </c>
      <c r="ET29" s="44" t="str">
        <f ca="1">IFERROR(IF(ISNUMBER($EP$29),INDEX('1.Locations'!$J$2:$J$32,$EP$29 + 1) +$ET$28," ")," ")</f>
        <v xml:space="preserve"> </v>
      </c>
      <c r="EU29" s="44" t="str">
        <f ca="1">IFERROR(IF(ISNUMBER($EP$29),INDEX('1.Locations'!$K$2:$K$32,$EP$29 + 1) +$EU$28," ")," ")</f>
        <v xml:space="preserve"> </v>
      </c>
      <c r="EV29" s="46" t="str">
        <f ca="1">IFERROR(IF(AND(ISNUMBER($EP$29),$EP$29&lt;=30),INDEX('2.Distances'!$D$2:$D$963,$EP$28*31+$EP$29+ 1) +$EV$28," ")," ")</f>
        <v xml:space="preserve"> </v>
      </c>
      <c r="EW29" s="47" t="str">
        <f ca="1">IFERROR(IF(AND(ISNUMBER($EP$29),$EP$29&lt;=30),INDEX('2.Distances'!$D$2:$D$963,$EP$28*31+$EP$29+ 1) +$EX$28," ")," ")</f>
        <v xml:space="preserve"> </v>
      </c>
      <c r="EX29" s="47" t="str">
        <f ca="1">IFERROR(IF(ISNUMBER($EW$29),INDEX('1.Locations'!$I$2:$I$32,$EP$29 + 1) + MAX($EW$29,INDEX('1.Locations'!$F$2:$F$32,$EP$29 + 1))," ")," ")</f>
        <v xml:space="preserve"> </v>
      </c>
      <c r="EY29" s="46" t="str">
        <f ca="1">IFERROR($EY$28 + INDEX('2.Distances'!$D$2:$D$963,$EP$28*31+$EP$29+ 1) + INDEX('1.Locations'!$I$2:$I$32,$EP$29 + 1)," ")</f>
        <v xml:space="preserve"> </v>
      </c>
    </row>
    <row r="30" spans="1:155" x14ac:dyDescent="0.2">
      <c r="A30" s="19">
        <v>25</v>
      </c>
      <c r="B30" s="20"/>
      <c r="C30" s="44" t="str">
        <f ca="1">IFERROR(MATCH(INDIRECT("$B$30"),'1.Locations'!$B$2:$B$32, 0) - 1," ")</f>
        <v xml:space="preserve"> </v>
      </c>
      <c r="D30" s="44" t="e">
        <f ca="1">IFERROR(IF(ISNUMBER($C$30),INDEX('1.Locations'!$D$2:$D$32,$C$30 + 1),NA()),NA())</f>
        <v>#N/A</v>
      </c>
      <c r="E30" s="44" t="e">
        <f ca="1">IFERROR(IF(ISNUMBER($C$30),INDEX('1.Locations'!$E$2:$E$32,$C$30 + 1),NA()),NA())</f>
        <v>#N/A</v>
      </c>
      <c r="F30" s="45" t="str">
        <f ca="1">IFERROR(IF(AND(ISNUMBER($C$30),$C$30&lt;=30),INDEX('2.Distances'!$C$2:$C$963,$C$29*31+$C$30+ 1) +$F$29," ")," ")</f>
        <v xml:space="preserve"> </v>
      </c>
      <c r="G30" s="44" t="str">
        <f ca="1">IFERROR(IF(ISNUMBER($C$30),INDEX('1.Locations'!$J$2:$J$32,$C$30 + 1) +$G$29," ")," ")</f>
        <v xml:space="preserve"> </v>
      </c>
      <c r="H30" s="44" t="str">
        <f ca="1">IFERROR(IF(ISNUMBER($C$30),INDEX('1.Locations'!$K$2:$K$32,$C$30 + 1) +$H$29," ")," ")</f>
        <v xml:space="preserve"> </v>
      </c>
      <c r="I30" s="46" t="str">
        <f ca="1">IFERROR(IF(AND(ISNUMBER($C$30),$C$30&lt;=30),INDEX('2.Distances'!$D$2:$D$963,$C$29*31+$C$30+ 1) +$I$29," ")," ")</f>
        <v xml:space="preserve"> </v>
      </c>
      <c r="J30" s="47" t="str">
        <f ca="1">IFERROR(IF(AND(ISNUMBER($C$30),$C$30&lt;=30),INDEX('2.Distances'!$D$2:$D$963,$C$29*31+$C$30+ 1) +$K$29," ")," ")</f>
        <v xml:space="preserve"> </v>
      </c>
      <c r="K30" s="47" t="str">
        <f ca="1">IFERROR(IF(ISNUMBER($J$30),INDEX('1.Locations'!$I$2:$I$32,$C$30 + 1) + MAX($J$30,INDEX('1.Locations'!$F$2:$F$32,$C$30 + 1))," ")," ")</f>
        <v xml:space="preserve"> </v>
      </c>
      <c r="L30" s="46" t="str">
        <f ca="1">IFERROR($L$29 + INDEX('2.Distances'!$D$2:$D$963,$C$29*31+$C$30+ 1) + INDEX('1.Locations'!$I$2:$I$32,$C$30 + 1)," ")</f>
        <v xml:space="preserve"> </v>
      </c>
      <c r="N30" s="19">
        <v>25</v>
      </c>
      <c r="O30" s="20"/>
      <c r="P30" s="44" t="str">
        <f ca="1">IFERROR(MATCH(INDIRECT("$O$30"),'1.Locations'!$B$2:$B$32, 0) - 1," ")</f>
        <v xml:space="preserve"> </v>
      </c>
      <c r="Q30" s="44" t="e">
        <f ca="1">IFERROR(IF(ISNUMBER($P$30),INDEX('1.Locations'!$D$2:$D$32,$P$30 + 1),NA()),NA())</f>
        <v>#N/A</v>
      </c>
      <c r="R30" s="44" t="e">
        <f ca="1">IFERROR(IF(ISNUMBER($P$30),INDEX('1.Locations'!$E$2:$E$32,$P$30 + 1),NA()),NA())</f>
        <v>#N/A</v>
      </c>
      <c r="S30" s="45" t="str">
        <f ca="1">IFERROR(IF(AND(ISNUMBER($P$30),$P$30&lt;=30),INDEX('2.Distances'!$C$2:$C$963,$P$29*31+$P$30+ 1) +$S$29," ")," ")</f>
        <v xml:space="preserve"> </v>
      </c>
      <c r="T30" s="44" t="str">
        <f ca="1">IFERROR(IF(ISNUMBER($P$30),INDEX('1.Locations'!$J$2:$J$32,$P$30 + 1) +$T$29," ")," ")</f>
        <v xml:space="preserve"> </v>
      </c>
      <c r="U30" s="44" t="str">
        <f ca="1">IFERROR(IF(ISNUMBER($P$30),INDEX('1.Locations'!$K$2:$K$32,$P$30 + 1) +$U$29," ")," ")</f>
        <v xml:space="preserve"> </v>
      </c>
      <c r="V30" s="46" t="str">
        <f ca="1">IFERROR(IF(AND(ISNUMBER($P$30),$P$30&lt;=30),INDEX('2.Distances'!$D$2:$D$963,$P$29*31+$P$30+ 1) +$V$29," ")," ")</f>
        <v xml:space="preserve"> </v>
      </c>
      <c r="W30" s="47" t="str">
        <f ca="1">IFERROR(IF(AND(ISNUMBER($P$30),$P$30&lt;=30),INDEX('2.Distances'!$D$2:$D$963,$P$29*31+$P$30+ 1) +$X$29," ")," ")</f>
        <v xml:space="preserve"> </v>
      </c>
      <c r="X30" s="47" t="str">
        <f ca="1">IFERROR(IF(ISNUMBER($W$30),INDEX('1.Locations'!$I$2:$I$32,$P$30 + 1) + MAX($W$30,INDEX('1.Locations'!$F$2:$F$32,$P$30 + 1))," ")," ")</f>
        <v xml:space="preserve"> </v>
      </c>
      <c r="Y30" s="46" t="str">
        <f ca="1">IFERROR($Y$29 + INDEX('2.Distances'!$D$2:$D$963,$P$29*31+$P$30+ 1) + INDEX('1.Locations'!$I$2:$I$32,$P$30 + 1)," ")</f>
        <v xml:space="preserve"> </v>
      </c>
      <c r="AA30" s="19">
        <v>25</v>
      </c>
      <c r="AB30" s="20"/>
      <c r="AC30" s="44" t="str">
        <f ca="1">IFERROR(MATCH(INDIRECT("$AB$30"),'1.Locations'!$B$2:$B$32, 0) - 1," ")</f>
        <v xml:space="preserve"> </v>
      </c>
      <c r="AD30" s="44" t="e">
        <f ca="1">IFERROR(IF(ISNUMBER($AC$30),INDEX('1.Locations'!$D$2:$D$32,$AC$30 + 1),NA()),NA())</f>
        <v>#N/A</v>
      </c>
      <c r="AE30" s="44" t="e">
        <f ca="1">IFERROR(IF(ISNUMBER($AC$30),INDEX('1.Locations'!$E$2:$E$32,$AC$30 + 1),NA()),NA())</f>
        <v>#N/A</v>
      </c>
      <c r="AF30" s="45" t="str">
        <f ca="1">IFERROR(IF(AND(ISNUMBER($AC$30),$AC$30&lt;=30),INDEX('2.Distances'!$C$2:$C$963,$AC$29*31+$AC$30+ 1) +$AF$29," ")," ")</f>
        <v xml:space="preserve"> </v>
      </c>
      <c r="AG30" s="44" t="str">
        <f ca="1">IFERROR(IF(ISNUMBER($AC$30),INDEX('1.Locations'!$J$2:$J$32,$AC$30 + 1) +$AG$29," ")," ")</f>
        <v xml:space="preserve"> </v>
      </c>
      <c r="AH30" s="44" t="str">
        <f ca="1">IFERROR(IF(ISNUMBER($AC$30),INDEX('1.Locations'!$K$2:$K$32,$AC$30 + 1) +$AH$29," ")," ")</f>
        <v xml:space="preserve"> </v>
      </c>
      <c r="AI30" s="46" t="str">
        <f ca="1">IFERROR(IF(AND(ISNUMBER($AC$30),$AC$30&lt;=30),INDEX('2.Distances'!$D$2:$D$963,$AC$29*31+$AC$30+ 1) +$AI$29," ")," ")</f>
        <v xml:space="preserve"> </v>
      </c>
      <c r="AJ30" s="47" t="str">
        <f ca="1">IFERROR(IF(AND(ISNUMBER($AC$30),$AC$30&lt;=30),INDEX('2.Distances'!$D$2:$D$963,$AC$29*31+$AC$30+ 1) +$AK$29," ")," ")</f>
        <v xml:space="preserve"> </v>
      </c>
      <c r="AK30" s="47" t="str">
        <f ca="1">IFERROR(IF(ISNUMBER($AJ$30),INDEX('1.Locations'!$I$2:$I$32,$AC$30 + 1) + MAX($AJ$30,INDEX('1.Locations'!$F$2:$F$32,$AC$30 + 1))," ")," ")</f>
        <v xml:space="preserve"> </v>
      </c>
      <c r="AL30" s="46" t="str">
        <f ca="1">IFERROR($AL$29 + INDEX('2.Distances'!$D$2:$D$963,$AC$29*31+$AC$30+ 1) + INDEX('1.Locations'!$I$2:$I$32,$AC$30 + 1)," ")</f>
        <v xml:space="preserve"> </v>
      </c>
      <c r="AN30" s="19">
        <v>25</v>
      </c>
      <c r="AO30" s="20"/>
      <c r="AP30" s="44" t="str">
        <f ca="1">IFERROR(MATCH(INDIRECT("$AO$30"),'1.Locations'!$B$2:$B$32, 0) - 1," ")</f>
        <v xml:space="preserve"> </v>
      </c>
      <c r="AQ30" s="44" t="e">
        <f ca="1">IFERROR(IF(ISNUMBER($AP$30),INDEX('1.Locations'!$D$2:$D$32,$AP$30 + 1),NA()),NA())</f>
        <v>#N/A</v>
      </c>
      <c r="AR30" s="44" t="e">
        <f ca="1">IFERROR(IF(ISNUMBER($AP$30),INDEX('1.Locations'!$E$2:$E$32,$AP$30 + 1),NA()),NA())</f>
        <v>#N/A</v>
      </c>
      <c r="AS30" s="45" t="str">
        <f ca="1">IFERROR(IF(AND(ISNUMBER($AP$30),$AP$30&lt;=30),INDEX('2.Distances'!$C$2:$C$963,$AP$29*31+$AP$30+ 1) +$AS$29," ")," ")</f>
        <v xml:space="preserve"> </v>
      </c>
      <c r="AT30" s="44" t="str">
        <f ca="1">IFERROR(IF(ISNUMBER($AP$30),INDEX('1.Locations'!$J$2:$J$32,$AP$30 + 1) +$AT$29," ")," ")</f>
        <v xml:space="preserve"> </v>
      </c>
      <c r="AU30" s="44" t="str">
        <f ca="1">IFERROR(IF(ISNUMBER($AP$30),INDEX('1.Locations'!$K$2:$K$32,$AP$30 + 1) +$AU$29," ")," ")</f>
        <v xml:space="preserve"> </v>
      </c>
      <c r="AV30" s="46" t="str">
        <f ca="1">IFERROR(IF(AND(ISNUMBER($AP$30),$AP$30&lt;=30),INDEX('2.Distances'!$D$2:$D$963,$AP$29*31+$AP$30+ 1) +$AV$29," ")," ")</f>
        <v xml:space="preserve"> </v>
      </c>
      <c r="AW30" s="47" t="str">
        <f ca="1">IFERROR(IF(AND(ISNUMBER($AP$30),$AP$30&lt;=30),INDEX('2.Distances'!$D$2:$D$963,$AP$29*31+$AP$30+ 1) +$AX$29," ")," ")</f>
        <v xml:space="preserve"> </v>
      </c>
      <c r="AX30" s="47" t="str">
        <f ca="1">IFERROR(IF(ISNUMBER($AW$30),INDEX('1.Locations'!$I$2:$I$32,$AP$30 + 1) + MAX($AW$30,INDEX('1.Locations'!$F$2:$F$32,$AP$30 + 1))," ")," ")</f>
        <v xml:space="preserve"> </v>
      </c>
      <c r="AY30" s="46" t="str">
        <f ca="1">IFERROR($AY$29 + INDEX('2.Distances'!$D$2:$D$963,$AP$29*31+$AP$30+ 1) + INDEX('1.Locations'!$I$2:$I$32,$AP$30 + 1)," ")</f>
        <v xml:space="preserve"> </v>
      </c>
      <c r="BA30" s="19">
        <v>25</v>
      </c>
      <c r="BB30" s="20"/>
      <c r="BC30" s="44" t="str">
        <f ca="1">IFERROR(MATCH(INDIRECT("$BB$30"),'1.Locations'!$B$2:$B$32, 0) - 1," ")</f>
        <v xml:space="preserve"> </v>
      </c>
      <c r="BD30" s="44" t="e">
        <f ca="1">IFERROR(IF(ISNUMBER($BC$30),INDEX('1.Locations'!$D$2:$D$32,$BC$30 + 1),NA()),NA())</f>
        <v>#N/A</v>
      </c>
      <c r="BE30" s="44" t="e">
        <f ca="1">IFERROR(IF(ISNUMBER($BC$30),INDEX('1.Locations'!$E$2:$E$32,$BC$30 + 1),NA()),NA())</f>
        <v>#N/A</v>
      </c>
      <c r="BF30" s="45" t="str">
        <f ca="1">IFERROR(IF(AND(ISNUMBER($BC$30),$BC$30&lt;=30),INDEX('2.Distances'!$C$2:$C$963,$BC$29*31+$BC$30+ 1) +$BF$29," ")," ")</f>
        <v xml:space="preserve"> </v>
      </c>
      <c r="BG30" s="44" t="str">
        <f ca="1">IFERROR(IF(ISNUMBER($BC$30),INDEX('1.Locations'!$J$2:$J$32,$BC$30 + 1) +$BG$29," ")," ")</f>
        <v xml:space="preserve"> </v>
      </c>
      <c r="BH30" s="44" t="str">
        <f ca="1">IFERROR(IF(ISNUMBER($BC$30),INDEX('1.Locations'!$K$2:$K$32,$BC$30 + 1) +$BH$29," ")," ")</f>
        <v xml:space="preserve"> </v>
      </c>
      <c r="BI30" s="46" t="str">
        <f ca="1">IFERROR(IF(AND(ISNUMBER($BC$30),$BC$30&lt;=30),INDEX('2.Distances'!$D$2:$D$963,$BC$29*31+$BC$30+ 1) +$BI$29," ")," ")</f>
        <v xml:space="preserve"> </v>
      </c>
      <c r="BJ30" s="47" t="str">
        <f ca="1">IFERROR(IF(AND(ISNUMBER($BC$30),$BC$30&lt;=30),INDEX('2.Distances'!$D$2:$D$963,$BC$29*31+$BC$30+ 1) +$BK$29," ")," ")</f>
        <v xml:space="preserve"> </v>
      </c>
      <c r="BK30" s="47" t="str">
        <f ca="1">IFERROR(IF(ISNUMBER($BJ$30),INDEX('1.Locations'!$I$2:$I$32,$BC$30 + 1) + MAX($BJ$30,INDEX('1.Locations'!$F$2:$F$32,$BC$30 + 1))," ")," ")</f>
        <v xml:space="preserve"> </v>
      </c>
      <c r="BL30" s="46" t="str">
        <f ca="1">IFERROR($BL$29 + INDEX('2.Distances'!$D$2:$D$963,$BC$29*31+$BC$30+ 1) + INDEX('1.Locations'!$I$2:$I$32,$BC$30 + 1)," ")</f>
        <v xml:space="preserve"> </v>
      </c>
      <c r="BN30" s="19">
        <v>25</v>
      </c>
      <c r="BO30" s="20"/>
      <c r="BP30" s="44" t="str">
        <f ca="1">IFERROR(MATCH(INDIRECT("$BO$30"),'1.Locations'!$B$2:$B$32, 0) - 1," ")</f>
        <v xml:space="preserve"> </v>
      </c>
      <c r="BQ30" s="44" t="e">
        <f ca="1">IFERROR(IF(ISNUMBER($BP$30),INDEX('1.Locations'!$D$2:$D$32,$BP$30 + 1),NA()),NA())</f>
        <v>#N/A</v>
      </c>
      <c r="BR30" s="44" t="e">
        <f ca="1">IFERROR(IF(ISNUMBER($BP$30),INDEX('1.Locations'!$E$2:$E$32,$BP$30 + 1),NA()),NA())</f>
        <v>#N/A</v>
      </c>
      <c r="BS30" s="45" t="str">
        <f ca="1">IFERROR(IF(AND(ISNUMBER($BP$30),$BP$30&lt;=30),INDEX('2.Distances'!$C$2:$C$963,$BP$29*31+$BP$30+ 1) +$BS$29," ")," ")</f>
        <v xml:space="preserve"> </v>
      </c>
      <c r="BT30" s="44" t="str">
        <f ca="1">IFERROR(IF(ISNUMBER($BP$30),INDEX('1.Locations'!$J$2:$J$32,$BP$30 + 1) +$BT$29," ")," ")</f>
        <v xml:space="preserve"> </v>
      </c>
      <c r="BU30" s="44" t="str">
        <f ca="1">IFERROR(IF(ISNUMBER($BP$30),INDEX('1.Locations'!$K$2:$K$32,$BP$30 + 1) +$BU$29," ")," ")</f>
        <v xml:space="preserve"> </v>
      </c>
      <c r="BV30" s="46" t="str">
        <f ca="1">IFERROR(IF(AND(ISNUMBER($BP$30),$BP$30&lt;=30),INDEX('2.Distances'!$D$2:$D$963,$BP$29*31+$BP$30+ 1) +$BV$29," ")," ")</f>
        <v xml:space="preserve"> </v>
      </c>
      <c r="BW30" s="47" t="str">
        <f ca="1">IFERROR(IF(AND(ISNUMBER($BP$30),$BP$30&lt;=30),INDEX('2.Distances'!$D$2:$D$963,$BP$29*31+$BP$30+ 1) +$BX$29," ")," ")</f>
        <v xml:space="preserve"> </v>
      </c>
      <c r="BX30" s="47" t="str">
        <f ca="1">IFERROR(IF(ISNUMBER($BW$30),INDEX('1.Locations'!$I$2:$I$32,$BP$30 + 1) + MAX($BW$30,INDEX('1.Locations'!$F$2:$F$32,$BP$30 + 1))," ")," ")</f>
        <v xml:space="preserve"> </v>
      </c>
      <c r="BY30" s="46" t="str">
        <f ca="1">IFERROR($BY$29 + INDEX('2.Distances'!$D$2:$D$963,$BP$29*31+$BP$30+ 1) + INDEX('1.Locations'!$I$2:$I$32,$BP$30 + 1)," ")</f>
        <v xml:space="preserve"> </v>
      </c>
      <c r="CA30" s="19">
        <v>25</v>
      </c>
      <c r="CB30" s="20"/>
      <c r="CC30" s="44" t="str">
        <f ca="1">IFERROR(MATCH(INDIRECT("$CB$30"),'1.Locations'!$B$2:$B$32, 0) - 1," ")</f>
        <v xml:space="preserve"> </v>
      </c>
      <c r="CD30" s="44" t="e">
        <f ca="1">IFERROR(IF(ISNUMBER($CC$30),INDEX('1.Locations'!$D$2:$D$32,$CC$30 + 1),NA()),NA())</f>
        <v>#N/A</v>
      </c>
      <c r="CE30" s="44" t="e">
        <f ca="1">IFERROR(IF(ISNUMBER($CC$30),INDEX('1.Locations'!$E$2:$E$32,$CC$30 + 1),NA()),NA())</f>
        <v>#N/A</v>
      </c>
      <c r="CF30" s="45" t="str">
        <f ca="1">IFERROR(IF(AND(ISNUMBER($CC$30),$CC$30&lt;=30),INDEX('2.Distances'!$C$2:$C$963,$CC$29*31+$CC$30+ 1) +$CF$29," ")," ")</f>
        <v xml:space="preserve"> </v>
      </c>
      <c r="CG30" s="44" t="str">
        <f ca="1">IFERROR(IF(ISNUMBER($CC$30),INDEX('1.Locations'!$J$2:$J$32,$CC$30 + 1) +$CG$29," ")," ")</f>
        <v xml:space="preserve"> </v>
      </c>
      <c r="CH30" s="44" t="str">
        <f ca="1">IFERROR(IF(ISNUMBER($CC$30),INDEX('1.Locations'!$K$2:$K$32,$CC$30 + 1) +$CH$29," ")," ")</f>
        <v xml:space="preserve"> </v>
      </c>
      <c r="CI30" s="46" t="str">
        <f ca="1">IFERROR(IF(AND(ISNUMBER($CC$30),$CC$30&lt;=30),INDEX('2.Distances'!$D$2:$D$963,$CC$29*31+$CC$30+ 1) +$CI$29," ")," ")</f>
        <v xml:space="preserve"> </v>
      </c>
      <c r="CJ30" s="47" t="str">
        <f ca="1">IFERROR(IF(AND(ISNUMBER($CC$30),$CC$30&lt;=30),INDEX('2.Distances'!$D$2:$D$963,$CC$29*31+$CC$30+ 1) +$CK$29," ")," ")</f>
        <v xml:space="preserve"> </v>
      </c>
      <c r="CK30" s="47" t="str">
        <f ca="1">IFERROR(IF(ISNUMBER($CJ$30),INDEX('1.Locations'!$I$2:$I$32,$CC$30 + 1) + MAX($CJ$30,INDEX('1.Locations'!$F$2:$F$32,$CC$30 + 1))," ")," ")</f>
        <v xml:space="preserve"> </v>
      </c>
      <c r="CL30" s="46" t="str">
        <f ca="1">IFERROR($CL$29 + INDEX('2.Distances'!$D$2:$D$963,$CC$29*31+$CC$30+ 1) + INDEX('1.Locations'!$I$2:$I$32,$CC$30 + 1)," ")</f>
        <v xml:space="preserve"> </v>
      </c>
      <c r="CN30" s="19">
        <v>25</v>
      </c>
      <c r="CO30" s="20"/>
      <c r="CP30" s="44" t="str">
        <f ca="1">IFERROR(MATCH(INDIRECT("$CO$30"),'1.Locations'!$B$2:$B$32, 0) - 1," ")</f>
        <v xml:space="preserve"> </v>
      </c>
      <c r="CQ30" s="44" t="e">
        <f ca="1">IFERROR(IF(ISNUMBER($CP$30),INDEX('1.Locations'!$D$2:$D$32,$CP$30 + 1),NA()),NA())</f>
        <v>#N/A</v>
      </c>
      <c r="CR30" s="44" t="e">
        <f ca="1">IFERROR(IF(ISNUMBER($CP$30),INDEX('1.Locations'!$E$2:$E$32,$CP$30 + 1),NA()),NA())</f>
        <v>#N/A</v>
      </c>
      <c r="CS30" s="45" t="str">
        <f ca="1">IFERROR(IF(AND(ISNUMBER($CP$30),$CP$30&lt;=30),INDEX('2.Distances'!$C$2:$C$963,$CP$29*31+$CP$30+ 1) +$CS$29," ")," ")</f>
        <v xml:space="preserve"> </v>
      </c>
      <c r="CT30" s="44" t="str">
        <f ca="1">IFERROR(IF(ISNUMBER($CP$30),INDEX('1.Locations'!$J$2:$J$32,$CP$30 + 1) +$CT$29," ")," ")</f>
        <v xml:space="preserve"> </v>
      </c>
      <c r="CU30" s="44" t="str">
        <f ca="1">IFERROR(IF(ISNUMBER($CP$30),INDEX('1.Locations'!$K$2:$K$32,$CP$30 + 1) +$CU$29," ")," ")</f>
        <v xml:space="preserve"> </v>
      </c>
      <c r="CV30" s="46" t="str">
        <f ca="1">IFERROR(IF(AND(ISNUMBER($CP$30),$CP$30&lt;=30),INDEX('2.Distances'!$D$2:$D$963,$CP$29*31+$CP$30+ 1) +$CV$29," ")," ")</f>
        <v xml:space="preserve"> </v>
      </c>
      <c r="CW30" s="47" t="str">
        <f ca="1">IFERROR(IF(AND(ISNUMBER($CP$30),$CP$30&lt;=30),INDEX('2.Distances'!$D$2:$D$963,$CP$29*31+$CP$30+ 1) +$CX$29," ")," ")</f>
        <v xml:space="preserve"> </v>
      </c>
      <c r="CX30" s="47" t="str">
        <f ca="1">IFERROR(IF(ISNUMBER($CW$30),INDEX('1.Locations'!$I$2:$I$32,$CP$30 + 1) + MAX($CW$30,INDEX('1.Locations'!$F$2:$F$32,$CP$30 + 1))," ")," ")</f>
        <v xml:space="preserve"> </v>
      </c>
      <c r="CY30" s="46" t="str">
        <f ca="1">IFERROR($CY$29 + INDEX('2.Distances'!$D$2:$D$963,$CP$29*31+$CP$30+ 1) + INDEX('1.Locations'!$I$2:$I$32,$CP$30 + 1)," ")</f>
        <v xml:space="preserve"> </v>
      </c>
      <c r="DA30" s="19">
        <v>25</v>
      </c>
      <c r="DB30" s="20"/>
      <c r="DC30" s="44" t="str">
        <f ca="1">IFERROR(MATCH(INDIRECT("$DB$30"),'1.Locations'!$B$2:$B$32, 0) - 1," ")</f>
        <v xml:space="preserve"> </v>
      </c>
      <c r="DD30" s="44" t="e">
        <f ca="1">IFERROR(IF(ISNUMBER($DC$30),INDEX('1.Locations'!$D$2:$D$32,$DC$30 + 1),NA()),NA())</f>
        <v>#N/A</v>
      </c>
      <c r="DE30" s="44" t="e">
        <f ca="1">IFERROR(IF(ISNUMBER($DC$30),INDEX('1.Locations'!$E$2:$E$32,$DC$30 + 1),NA()),NA())</f>
        <v>#N/A</v>
      </c>
      <c r="DF30" s="45" t="str">
        <f ca="1">IFERROR(IF(AND(ISNUMBER($DC$30),$DC$30&lt;=30),INDEX('2.Distances'!$C$2:$C$963,$DC$29*31+$DC$30+ 1) +$DF$29," ")," ")</f>
        <v xml:space="preserve"> </v>
      </c>
      <c r="DG30" s="44" t="str">
        <f ca="1">IFERROR(IF(ISNUMBER($DC$30),INDEX('1.Locations'!$J$2:$J$32,$DC$30 + 1) +$DG$29," ")," ")</f>
        <v xml:space="preserve"> </v>
      </c>
      <c r="DH30" s="44" t="str">
        <f ca="1">IFERROR(IF(ISNUMBER($DC$30),INDEX('1.Locations'!$K$2:$K$32,$DC$30 + 1) +$DH$29," ")," ")</f>
        <v xml:space="preserve"> </v>
      </c>
      <c r="DI30" s="46" t="str">
        <f ca="1">IFERROR(IF(AND(ISNUMBER($DC$30),$DC$30&lt;=30),INDEX('2.Distances'!$D$2:$D$963,$DC$29*31+$DC$30+ 1) +$DI$29," ")," ")</f>
        <v xml:space="preserve"> </v>
      </c>
      <c r="DJ30" s="47" t="str">
        <f ca="1">IFERROR(IF(AND(ISNUMBER($DC$30),$DC$30&lt;=30),INDEX('2.Distances'!$D$2:$D$963,$DC$29*31+$DC$30+ 1) +$DK$29," ")," ")</f>
        <v xml:space="preserve"> </v>
      </c>
      <c r="DK30" s="47" t="str">
        <f ca="1">IFERROR(IF(ISNUMBER($DJ$30),INDEX('1.Locations'!$I$2:$I$32,$DC$30 + 1) + MAX($DJ$30,INDEX('1.Locations'!$F$2:$F$32,$DC$30 + 1))," ")," ")</f>
        <v xml:space="preserve"> </v>
      </c>
      <c r="DL30" s="46" t="str">
        <f ca="1">IFERROR($DL$29 + INDEX('2.Distances'!$D$2:$D$963,$DC$29*31+$DC$30+ 1) + INDEX('1.Locations'!$I$2:$I$32,$DC$30 + 1)," ")</f>
        <v xml:space="preserve"> </v>
      </c>
      <c r="DN30" s="19">
        <v>25</v>
      </c>
      <c r="DO30" s="20"/>
      <c r="DP30" s="44" t="str">
        <f ca="1">IFERROR(MATCH(INDIRECT("$DO$30"),'1.Locations'!$B$2:$B$32, 0) - 1," ")</f>
        <v xml:space="preserve"> </v>
      </c>
      <c r="DQ30" s="44" t="e">
        <f ca="1">IFERROR(IF(ISNUMBER($DP$30),INDEX('1.Locations'!$D$2:$D$32,$DP$30 + 1),NA()),NA())</f>
        <v>#N/A</v>
      </c>
      <c r="DR30" s="44" t="e">
        <f ca="1">IFERROR(IF(ISNUMBER($DP$30),INDEX('1.Locations'!$E$2:$E$32,$DP$30 + 1),NA()),NA())</f>
        <v>#N/A</v>
      </c>
      <c r="DS30" s="45" t="str">
        <f ca="1">IFERROR(IF(AND(ISNUMBER($DP$30),$DP$30&lt;=30),INDEX('2.Distances'!$C$2:$C$963,$DP$29*31+$DP$30+ 1) +$DS$29," ")," ")</f>
        <v xml:space="preserve"> </v>
      </c>
      <c r="DT30" s="44" t="str">
        <f ca="1">IFERROR(IF(ISNUMBER($DP$30),INDEX('1.Locations'!$J$2:$J$32,$DP$30 + 1) +$DT$29," ")," ")</f>
        <v xml:space="preserve"> </v>
      </c>
      <c r="DU30" s="44" t="str">
        <f ca="1">IFERROR(IF(ISNUMBER($DP$30),INDEX('1.Locations'!$K$2:$K$32,$DP$30 + 1) +$DU$29," ")," ")</f>
        <v xml:space="preserve"> </v>
      </c>
      <c r="DV30" s="46" t="str">
        <f ca="1">IFERROR(IF(AND(ISNUMBER($DP$30),$DP$30&lt;=30),INDEX('2.Distances'!$D$2:$D$963,$DP$29*31+$DP$30+ 1) +$DV$29," ")," ")</f>
        <v xml:space="preserve"> </v>
      </c>
      <c r="DW30" s="47" t="str">
        <f ca="1">IFERROR(IF(AND(ISNUMBER($DP$30),$DP$30&lt;=30),INDEX('2.Distances'!$D$2:$D$963,$DP$29*31+$DP$30+ 1) +$DX$29," ")," ")</f>
        <v xml:space="preserve"> </v>
      </c>
      <c r="DX30" s="47" t="str">
        <f ca="1">IFERROR(IF(ISNUMBER($DW$30),INDEX('1.Locations'!$I$2:$I$32,$DP$30 + 1) + MAX($DW$30,INDEX('1.Locations'!$F$2:$F$32,$DP$30 + 1))," ")," ")</f>
        <v xml:space="preserve"> </v>
      </c>
      <c r="DY30" s="46" t="str">
        <f ca="1">IFERROR($DY$29 + INDEX('2.Distances'!$D$2:$D$963,$DP$29*31+$DP$30+ 1) + INDEX('1.Locations'!$I$2:$I$32,$DP$30 + 1)," ")</f>
        <v xml:space="preserve"> </v>
      </c>
      <c r="EA30" s="19">
        <v>25</v>
      </c>
      <c r="EB30" s="20"/>
      <c r="EC30" s="44" t="str">
        <f ca="1">IFERROR(MATCH(INDIRECT("$EB$30"),'1.Locations'!$B$2:$B$32, 0) - 1," ")</f>
        <v xml:space="preserve"> </v>
      </c>
      <c r="ED30" s="44" t="e">
        <f ca="1">IFERROR(IF(ISNUMBER($EC$30),INDEX('1.Locations'!$D$2:$D$32,$EC$30 + 1),NA()),NA())</f>
        <v>#N/A</v>
      </c>
      <c r="EE30" s="44" t="e">
        <f ca="1">IFERROR(IF(ISNUMBER($EC$30),INDEX('1.Locations'!$E$2:$E$32,$EC$30 + 1),NA()),NA())</f>
        <v>#N/A</v>
      </c>
      <c r="EF30" s="45" t="str">
        <f ca="1">IFERROR(IF(AND(ISNUMBER($EC$30),$EC$30&lt;=30),INDEX('2.Distances'!$C$2:$C$963,$EC$29*31+$EC$30+ 1) +$EF$29," ")," ")</f>
        <v xml:space="preserve"> </v>
      </c>
      <c r="EG30" s="44" t="str">
        <f ca="1">IFERROR(IF(ISNUMBER($EC$30),INDEX('1.Locations'!$J$2:$J$32,$EC$30 + 1) +$EG$29," ")," ")</f>
        <v xml:space="preserve"> </v>
      </c>
      <c r="EH30" s="44" t="str">
        <f ca="1">IFERROR(IF(ISNUMBER($EC$30),INDEX('1.Locations'!$K$2:$K$32,$EC$30 + 1) +$EH$29," ")," ")</f>
        <v xml:space="preserve"> </v>
      </c>
      <c r="EI30" s="46" t="str">
        <f ca="1">IFERROR(IF(AND(ISNUMBER($EC$30),$EC$30&lt;=30),INDEX('2.Distances'!$D$2:$D$963,$EC$29*31+$EC$30+ 1) +$EI$29," ")," ")</f>
        <v xml:space="preserve"> </v>
      </c>
      <c r="EJ30" s="47" t="str">
        <f ca="1">IFERROR(IF(AND(ISNUMBER($EC$30),$EC$30&lt;=30),INDEX('2.Distances'!$D$2:$D$963,$EC$29*31+$EC$30+ 1) +$EK$29," ")," ")</f>
        <v xml:space="preserve"> </v>
      </c>
      <c r="EK30" s="47" t="str">
        <f ca="1">IFERROR(IF(ISNUMBER($EJ$30),INDEX('1.Locations'!$I$2:$I$32,$EC$30 + 1) + MAX($EJ$30,INDEX('1.Locations'!$F$2:$F$32,$EC$30 + 1))," ")," ")</f>
        <v xml:space="preserve"> </v>
      </c>
      <c r="EL30" s="46" t="str">
        <f ca="1">IFERROR($EL$29 + INDEX('2.Distances'!$D$2:$D$963,$EC$29*31+$EC$30+ 1) + INDEX('1.Locations'!$I$2:$I$32,$EC$30 + 1)," ")</f>
        <v xml:space="preserve"> </v>
      </c>
      <c r="EN30" s="19">
        <v>25</v>
      </c>
      <c r="EO30" s="20"/>
      <c r="EP30" s="44" t="str">
        <f ca="1">IFERROR(MATCH(INDIRECT("$EO$30"),'1.Locations'!$B$2:$B$32, 0) - 1," ")</f>
        <v xml:space="preserve"> </v>
      </c>
      <c r="EQ30" s="44" t="e">
        <f ca="1">IFERROR(IF(ISNUMBER($EP$30),INDEX('1.Locations'!$D$2:$D$32,$EP$30 + 1),NA()),NA())</f>
        <v>#N/A</v>
      </c>
      <c r="ER30" s="44" t="e">
        <f ca="1">IFERROR(IF(ISNUMBER($EP$30),INDEX('1.Locations'!$E$2:$E$32,$EP$30 + 1),NA()),NA())</f>
        <v>#N/A</v>
      </c>
      <c r="ES30" s="45" t="str">
        <f ca="1">IFERROR(IF(AND(ISNUMBER($EP$30),$EP$30&lt;=30),INDEX('2.Distances'!$C$2:$C$963,$EP$29*31+$EP$30+ 1) +$ES$29," ")," ")</f>
        <v xml:space="preserve"> </v>
      </c>
      <c r="ET30" s="44" t="str">
        <f ca="1">IFERROR(IF(ISNUMBER($EP$30),INDEX('1.Locations'!$J$2:$J$32,$EP$30 + 1) +$ET$29," ")," ")</f>
        <v xml:space="preserve"> </v>
      </c>
      <c r="EU30" s="44" t="str">
        <f ca="1">IFERROR(IF(ISNUMBER($EP$30),INDEX('1.Locations'!$K$2:$K$32,$EP$30 + 1) +$EU$29," ")," ")</f>
        <v xml:space="preserve"> </v>
      </c>
      <c r="EV30" s="46" t="str">
        <f ca="1">IFERROR(IF(AND(ISNUMBER($EP$30),$EP$30&lt;=30),INDEX('2.Distances'!$D$2:$D$963,$EP$29*31+$EP$30+ 1) +$EV$29," ")," ")</f>
        <v xml:space="preserve"> </v>
      </c>
      <c r="EW30" s="47" t="str">
        <f ca="1">IFERROR(IF(AND(ISNUMBER($EP$30),$EP$30&lt;=30),INDEX('2.Distances'!$D$2:$D$963,$EP$29*31+$EP$30+ 1) +$EX$29," ")," ")</f>
        <v xml:space="preserve"> </v>
      </c>
      <c r="EX30" s="47" t="str">
        <f ca="1">IFERROR(IF(ISNUMBER($EW$30),INDEX('1.Locations'!$I$2:$I$32,$EP$30 + 1) + MAX($EW$30,INDEX('1.Locations'!$F$2:$F$32,$EP$30 + 1))," ")," ")</f>
        <v xml:space="preserve"> </v>
      </c>
      <c r="EY30" s="46" t="str">
        <f ca="1">IFERROR($EY$29 + INDEX('2.Distances'!$D$2:$D$963,$EP$29*31+$EP$30+ 1) + INDEX('1.Locations'!$I$2:$I$32,$EP$30 + 1)," ")</f>
        <v xml:space="preserve"> </v>
      </c>
    </row>
    <row r="31" spans="1:155" x14ac:dyDescent="0.2">
      <c r="A31" s="19">
        <v>26</v>
      </c>
      <c r="B31" s="20"/>
      <c r="C31" s="44" t="str">
        <f ca="1">IFERROR(MATCH(INDIRECT("$B$31"),'1.Locations'!$B$2:$B$32, 0) - 1," ")</f>
        <v xml:space="preserve"> </v>
      </c>
      <c r="D31" s="44" t="e">
        <f ca="1">IFERROR(IF(ISNUMBER($C$31),INDEX('1.Locations'!$D$2:$D$32,$C$31 + 1),NA()),NA())</f>
        <v>#N/A</v>
      </c>
      <c r="E31" s="44" t="e">
        <f ca="1">IFERROR(IF(ISNUMBER($C$31),INDEX('1.Locations'!$E$2:$E$32,$C$31 + 1),NA()),NA())</f>
        <v>#N/A</v>
      </c>
      <c r="F31" s="45" t="str">
        <f ca="1">IFERROR(IF(AND(ISNUMBER($C$31),$C$31&lt;=30),INDEX('2.Distances'!$C$2:$C$963,$C$30*31+$C$31+ 1) +$F$30," ")," ")</f>
        <v xml:space="preserve"> </v>
      </c>
      <c r="G31" s="44" t="str">
        <f ca="1">IFERROR(IF(ISNUMBER($C$31),INDEX('1.Locations'!$J$2:$J$32,$C$31 + 1) +$G$30," ")," ")</f>
        <v xml:space="preserve"> </v>
      </c>
      <c r="H31" s="44" t="str">
        <f ca="1">IFERROR(IF(ISNUMBER($C$31),INDEX('1.Locations'!$K$2:$K$32,$C$31 + 1) +$H$30," ")," ")</f>
        <v xml:space="preserve"> </v>
      </c>
      <c r="I31" s="46" t="str">
        <f ca="1">IFERROR(IF(AND(ISNUMBER($C$31),$C$31&lt;=30),INDEX('2.Distances'!$D$2:$D$963,$C$30*31+$C$31+ 1) +$I$30," ")," ")</f>
        <v xml:space="preserve"> </v>
      </c>
      <c r="J31" s="47" t="str">
        <f ca="1">IFERROR(IF(AND(ISNUMBER($C$31),$C$31&lt;=30),INDEX('2.Distances'!$D$2:$D$963,$C$30*31+$C$31+ 1) +$K$30," ")," ")</f>
        <v xml:space="preserve"> </v>
      </c>
      <c r="K31" s="47" t="str">
        <f ca="1">IFERROR(IF(ISNUMBER($J$31),INDEX('1.Locations'!$I$2:$I$32,$C$31 + 1) + MAX($J$31,INDEX('1.Locations'!$F$2:$F$32,$C$31 + 1))," ")," ")</f>
        <v xml:space="preserve"> </v>
      </c>
      <c r="L31" s="46" t="str">
        <f ca="1">IFERROR($L$30 + INDEX('2.Distances'!$D$2:$D$963,$C$30*31+$C$31+ 1) + INDEX('1.Locations'!$I$2:$I$32,$C$31 + 1)," ")</f>
        <v xml:space="preserve"> </v>
      </c>
      <c r="N31" s="19">
        <v>26</v>
      </c>
      <c r="O31" s="20"/>
      <c r="P31" s="44" t="str">
        <f ca="1">IFERROR(MATCH(INDIRECT("$O$31"),'1.Locations'!$B$2:$B$32, 0) - 1," ")</f>
        <v xml:space="preserve"> </v>
      </c>
      <c r="Q31" s="44" t="e">
        <f ca="1">IFERROR(IF(ISNUMBER($P$31),INDEX('1.Locations'!$D$2:$D$32,$P$31 + 1),NA()),NA())</f>
        <v>#N/A</v>
      </c>
      <c r="R31" s="44" t="e">
        <f ca="1">IFERROR(IF(ISNUMBER($P$31),INDEX('1.Locations'!$E$2:$E$32,$P$31 + 1),NA()),NA())</f>
        <v>#N/A</v>
      </c>
      <c r="S31" s="45" t="str">
        <f ca="1">IFERROR(IF(AND(ISNUMBER($P$31),$P$31&lt;=30),INDEX('2.Distances'!$C$2:$C$963,$P$30*31+$P$31+ 1) +$S$30," ")," ")</f>
        <v xml:space="preserve"> </v>
      </c>
      <c r="T31" s="44" t="str">
        <f ca="1">IFERROR(IF(ISNUMBER($P$31),INDEX('1.Locations'!$J$2:$J$32,$P$31 + 1) +$T$30," ")," ")</f>
        <v xml:space="preserve"> </v>
      </c>
      <c r="U31" s="44" t="str">
        <f ca="1">IFERROR(IF(ISNUMBER($P$31),INDEX('1.Locations'!$K$2:$K$32,$P$31 + 1) +$U$30," ")," ")</f>
        <v xml:space="preserve"> </v>
      </c>
      <c r="V31" s="46" t="str">
        <f ca="1">IFERROR(IF(AND(ISNUMBER($P$31),$P$31&lt;=30),INDEX('2.Distances'!$D$2:$D$963,$P$30*31+$P$31+ 1) +$V$30," ")," ")</f>
        <v xml:space="preserve"> </v>
      </c>
      <c r="W31" s="47" t="str">
        <f ca="1">IFERROR(IF(AND(ISNUMBER($P$31),$P$31&lt;=30),INDEX('2.Distances'!$D$2:$D$963,$P$30*31+$P$31+ 1) +$X$30," ")," ")</f>
        <v xml:space="preserve"> </v>
      </c>
      <c r="X31" s="47" t="str">
        <f ca="1">IFERROR(IF(ISNUMBER($W$31),INDEX('1.Locations'!$I$2:$I$32,$P$31 + 1) + MAX($W$31,INDEX('1.Locations'!$F$2:$F$32,$P$31 + 1))," ")," ")</f>
        <v xml:space="preserve"> </v>
      </c>
      <c r="Y31" s="46" t="str">
        <f ca="1">IFERROR($Y$30 + INDEX('2.Distances'!$D$2:$D$963,$P$30*31+$P$31+ 1) + INDEX('1.Locations'!$I$2:$I$32,$P$31 + 1)," ")</f>
        <v xml:space="preserve"> </v>
      </c>
      <c r="AA31" s="19">
        <v>26</v>
      </c>
      <c r="AB31" s="20"/>
      <c r="AC31" s="44" t="str">
        <f ca="1">IFERROR(MATCH(INDIRECT("$AB$31"),'1.Locations'!$B$2:$B$32, 0) - 1," ")</f>
        <v xml:space="preserve"> </v>
      </c>
      <c r="AD31" s="44" t="e">
        <f ca="1">IFERROR(IF(ISNUMBER($AC$31),INDEX('1.Locations'!$D$2:$D$32,$AC$31 + 1),NA()),NA())</f>
        <v>#N/A</v>
      </c>
      <c r="AE31" s="44" t="e">
        <f ca="1">IFERROR(IF(ISNUMBER($AC$31),INDEX('1.Locations'!$E$2:$E$32,$AC$31 + 1),NA()),NA())</f>
        <v>#N/A</v>
      </c>
      <c r="AF31" s="45" t="str">
        <f ca="1">IFERROR(IF(AND(ISNUMBER($AC$31),$AC$31&lt;=30),INDEX('2.Distances'!$C$2:$C$963,$AC$30*31+$AC$31+ 1) +$AF$30," ")," ")</f>
        <v xml:space="preserve"> </v>
      </c>
      <c r="AG31" s="44" t="str">
        <f ca="1">IFERROR(IF(ISNUMBER($AC$31),INDEX('1.Locations'!$J$2:$J$32,$AC$31 + 1) +$AG$30," ")," ")</f>
        <v xml:space="preserve"> </v>
      </c>
      <c r="AH31" s="44" t="str">
        <f ca="1">IFERROR(IF(ISNUMBER($AC$31),INDEX('1.Locations'!$K$2:$K$32,$AC$31 + 1) +$AH$30," ")," ")</f>
        <v xml:space="preserve"> </v>
      </c>
      <c r="AI31" s="46" t="str">
        <f ca="1">IFERROR(IF(AND(ISNUMBER($AC$31),$AC$31&lt;=30),INDEX('2.Distances'!$D$2:$D$963,$AC$30*31+$AC$31+ 1) +$AI$30," ")," ")</f>
        <v xml:space="preserve"> </v>
      </c>
      <c r="AJ31" s="47" t="str">
        <f ca="1">IFERROR(IF(AND(ISNUMBER($AC$31),$AC$31&lt;=30),INDEX('2.Distances'!$D$2:$D$963,$AC$30*31+$AC$31+ 1) +$AK$30," ")," ")</f>
        <v xml:space="preserve"> </v>
      </c>
      <c r="AK31" s="47" t="str">
        <f ca="1">IFERROR(IF(ISNUMBER($AJ$31),INDEX('1.Locations'!$I$2:$I$32,$AC$31 + 1) + MAX($AJ$31,INDEX('1.Locations'!$F$2:$F$32,$AC$31 + 1))," ")," ")</f>
        <v xml:space="preserve"> </v>
      </c>
      <c r="AL31" s="46" t="str">
        <f ca="1">IFERROR($AL$30 + INDEX('2.Distances'!$D$2:$D$963,$AC$30*31+$AC$31+ 1) + INDEX('1.Locations'!$I$2:$I$32,$AC$31 + 1)," ")</f>
        <v xml:space="preserve"> </v>
      </c>
      <c r="AN31" s="19">
        <v>26</v>
      </c>
      <c r="AO31" s="20"/>
      <c r="AP31" s="44" t="str">
        <f ca="1">IFERROR(MATCH(INDIRECT("$AO$31"),'1.Locations'!$B$2:$B$32, 0) - 1," ")</f>
        <v xml:space="preserve"> </v>
      </c>
      <c r="AQ31" s="44" t="e">
        <f ca="1">IFERROR(IF(ISNUMBER($AP$31),INDEX('1.Locations'!$D$2:$D$32,$AP$31 + 1),NA()),NA())</f>
        <v>#N/A</v>
      </c>
      <c r="AR31" s="44" t="e">
        <f ca="1">IFERROR(IF(ISNUMBER($AP$31),INDEX('1.Locations'!$E$2:$E$32,$AP$31 + 1),NA()),NA())</f>
        <v>#N/A</v>
      </c>
      <c r="AS31" s="45" t="str">
        <f ca="1">IFERROR(IF(AND(ISNUMBER($AP$31),$AP$31&lt;=30),INDEX('2.Distances'!$C$2:$C$963,$AP$30*31+$AP$31+ 1) +$AS$30," ")," ")</f>
        <v xml:space="preserve"> </v>
      </c>
      <c r="AT31" s="44" t="str">
        <f ca="1">IFERROR(IF(ISNUMBER($AP$31),INDEX('1.Locations'!$J$2:$J$32,$AP$31 + 1) +$AT$30," ")," ")</f>
        <v xml:space="preserve"> </v>
      </c>
      <c r="AU31" s="44" t="str">
        <f ca="1">IFERROR(IF(ISNUMBER($AP$31),INDEX('1.Locations'!$K$2:$K$32,$AP$31 + 1) +$AU$30," ")," ")</f>
        <v xml:space="preserve"> </v>
      </c>
      <c r="AV31" s="46" t="str">
        <f ca="1">IFERROR(IF(AND(ISNUMBER($AP$31),$AP$31&lt;=30),INDEX('2.Distances'!$D$2:$D$963,$AP$30*31+$AP$31+ 1) +$AV$30," ")," ")</f>
        <v xml:space="preserve"> </v>
      </c>
      <c r="AW31" s="47" t="str">
        <f ca="1">IFERROR(IF(AND(ISNUMBER($AP$31),$AP$31&lt;=30),INDEX('2.Distances'!$D$2:$D$963,$AP$30*31+$AP$31+ 1) +$AX$30," ")," ")</f>
        <v xml:space="preserve"> </v>
      </c>
      <c r="AX31" s="47" t="str">
        <f ca="1">IFERROR(IF(ISNUMBER($AW$31),INDEX('1.Locations'!$I$2:$I$32,$AP$31 + 1) + MAX($AW$31,INDEX('1.Locations'!$F$2:$F$32,$AP$31 + 1))," ")," ")</f>
        <v xml:space="preserve"> </v>
      </c>
      <c r="AY31" s="46" t="str">
        <f ca="1">IFERROR($AY$30 + INDEX('2.Distances'!$D$2:$D$963,$AP$30*31+$AP$31+ 1) + INDEX('1.Locations'!$I$2:$I$32,$AP$31 + 1)," ")</f>
        <v xml:space="preserve"> </v>
      </c>
      <c r="BA31" s="19">
        <v>26</v>
      </c>
      <c r="BB31" s="20"/>
      <c r="BC31" s="44" t="str">
        <f ca="1">IFERROR(MATCH(INDIRECT("$BB$31"),'1.Locations'!$B$2:$B$32, 0) - 1," ")</f>
        <v xml:space="preserve"> </v>
      </c>
      <c r="BD31" s="44" t="e">
        <f ca="1">IFERROR(IF(ISNUMBER($BC$31),INDEX('1.Locations'!$D$2:$D$32,$BC$31 + 1),NA()),NA())</f>
        <v>#N/A</v>
      </c>
      <c r="BE31" s="44" t="e">
        <f ca="1">IFERROR(IF(ISNUMBER($BC$31),INDEX('1.Locations'!$E$2:$E$32,$BC$31 + 1),NA()),NA())</f>
        <v>#N/A</v>
      </c>
      <c r="BF31" s="45" t="str">
        <f ca="1">IFERROR(IF(AND(ISNUMBER($BC$31),$BC$31&lt;=30),INDEX('2.Distances'!$C$2:$C$963,$BC$30*31+$BC$31+ 1) +$BF$30," ")," ")</f>
        <v xml:space="preserve"> </v>
      </c>
      <c r="BG31" s="44" t="str">
        <f ca="1">IFERROR(IF(ISNUMBER($BC$31),INDEX('1.Locations'!$J$2:$J$32,$BC$31 + 1) +$BG$30," ")," ")</f>
        <v xml:space="preserve"> </v>
      </c>
      <c r="BH31" s="44" t="str">
        <f ca="1">IFERROR(IF(ISNUMBER($BC$31),INDEX('1.Locations'!$K$2:$K$32,$BC$31 + 1) +$BH$30," ")," ")</f>
        <v xml:space="preserve"> </v>
      </c>
      <c r="BI31" s="46" t="str">
        <f ca="1">IFERROR(IF(AND(ISNUMBER($BC$31),$BC$31&lt;=30),INDEX('2.Distances'!$D$2:$D$963,$BC$30*31+$BC$31+ 1) +$BI$30," ")," ")</f>
        <v xml:space="preserve"> </v>
      </c>
      <c r="BJ31" s="47" t="str">
        <f ca="1">IFERROR(IF(AND(ISNUMBER($BC$31),$BC$31&lt;=30),INDEX('2.Distances'!$D$2:$D$963,$BC$30*31+$BC$31+ 1) +$BK$30," ")," ")</f>
        <v xml:space="preserve"> </v>
      </c>
      <c r="BK31" s="47" t="str">
        <f ca="1">IFERROR(IF(ISNUMBER($BJ$31),INDEX('1.Locations'!$I$2:$I$32,$BC$31 + 1) + MAX($BJ$31,INDEX('1.Locations'!$F$2:$F$32,$BC$31 + 1))," ")," ")</f>
        <v xml:space="preserve"> </v>
      </c>
      <c r="BL31" s="46" t="str">
        <f ca="1">IFERROR($BL$30 + INDEX('2.Distances'!$D$2:$D$963,$BC$30*31+$BC$31+ 1) + INDEX('1.Locations'!$I$2:$I$32,$BC$31 + 1)," ")</f>
        <v xml:space="preserve"> </v>
      </c>
      <c r="BN31" s="19">
        <v>26</v>
      </c>
      <c r="BO31" s="20"/>
      <c r="BP31" s="44" t="str">
        <f ca="1">IFERROR(MATCH(INDIRECT("$BO$31"),'1.Locations'!$B$2:$B$32, 0) - 1," ")</f>
        <v xml:space="preserve"> </v>
      </c>
      <c r="BQ31" s="44" t="e">
        <f ca="1">IFERROR(IF(ISNUMBER($BP$31),INDEX('1.Locations'!$D$2:$D$32,$BP$31 + 1),NA()),NA())</f>
        <v>#N/A</v>
      </c>
      <c r="BR31" s="44" t="e">
        <f ca="1">IFERROR(IF(ISNUMBER($BP$31),INDEX('1.Locations'!$E$2:$E$32,$BP$31 + 1),NA()),NA())</f>
        <v>#N/A</v>
      </c>
      <c r="BS31" s="45" t="str">
        <f ca="1">IFERROR(IF(AND(ISNUMBER($BP$31),$BP$31&lt;=30),INDEX('2.Distances'!$C$2:$C$963,$BP$30*31+$BP$31+ 1) +$BS$30," ")," ")</f>
        <v xml:space="preserve"> </v>
      </c>
      <c r="BT31" s="44" t="str">
        <f ca="1">IFERROR(IF(ISNUMBER($BP$31),INDEX('1.Locations'!$J$2:$J$32,$BP$31 + 1) +$BT$30," ")," ")</f>
        <v xml:space="preserve"> </v>
      </c>
      <c r="BU31" s="44" t="str">
        <f ca="1">IFERROR(IF(ISNUMBER($BP$31),INDEX('1.Locations'!$K$2:$K$32,$BP$31 + 1) +$BU$30," ")," ")</f>
        <v xml:space="preserve"> </v>
      </c>
      <c r="BV31" s="46" t="str">
        <f ca="1">IFERROR(IF(AND(ISNUMBER($BP$31),$BP$31&lt;=30),INDEX('2.Distances'!$D$2:$D$963,$BP$30*31+$BP$31+ 1) +$BV$30," ")," ")</f>
        <v xml:space="preserve"> </v>
      </c>
      <c r="BW31" s="47" t="str">
        <f ca="1">IFERROR(IF(AND(ISNUMBER($BP$31),$BP$31&lt;=30),INDEX('2.Distances'!$D$2:$D$963,$BP$30*31+$BP$31+ 1) +$BX$30," ")," ")</f>
        <v xml:space="preserve"> </v>
      </c>
      <c r="BX31" s="47" t="str">
        <f ca="1">IFERROR(IF(ISNUMBER($BW$31),INDEX('1.Locations'!$I$2:$I$32,$BP$31 + 1) + MAX($BW$31,INDEX('1.Locations'!$F$2:$F$32,$BP$31 + 1))," ")," ")</f>
        <v xml:space="preserve"> </v>
      </c>
      <c r="BY31" s="46" t="str">
        <f ca="1">IFERROR($BY$30 + INDEX('2.Distances'!$D$2:$D$963,$BP$30*31+$BP$31+ 1) + INDEX('1.Locations'!$I$2:$I$32,$BP$31 + 1)," ")</f>
        <v xml:space="preserve"> </v>
      </c>
      <c r="CA31" s="19">
        <v>26</v>
      </c>
      <c r="CB31" s="20"/>
      <c r="CC31" s="44" t="str">
        <f ca="1">IFERROR(MATCH(INDIRECT("$CB$31"),'1.Locations'!$B$2:$B$32, 0) - 1," ")</f>
        <v xml:space="preserve"> </v>
      </c>
      <c r="CD31" s="44" t="e">
        <f ca="1">IFERROR(IF(ISNUMBER($CC$31),INDEX('1.Locations'!$D$2:$D$32,$CC$31 + 1),NA()),NA())</f>
        <v>#N/A</v>
      </c>
      <c r="CE31" s="44" t="e">
        <f ca="1">IFERROR(IF(ISNUMBER($CC$31),INDEX('1.Locations'!$E$2:$E$32,$CC$31 + 1),NA()),NA())</f>
        <v>#N/A</v>
      </c>
      <c r="CF31" s="45" t="str">
        <f ca="1">IFERROR(IF(AND(ISNUMBER($CC$31),$CC$31&lt;=30),INDEX('2.Distances'!$C$2:$C$963,$CC$30*31+$CC$31+ 1) +$CF$30," ")," ")</f>
        <v xml:space="preserve"> </v>
      </c>
      <c r="CG31" s="44" t="str">
        <f ca="1">IFERROR(IF(ISNUMBER($CC$31),INDEX('1.Locations'!$J$2:$J$32,$CC$31 + 1) +$CG$30," ")," ")</f>
        <v xml:space="preserve"> </v>
      </c>
      <c r="CH31" s="44" t="str">
        <f ca="1">IFERROR(IF(ISNUMBER($CC$31),INDEX('1.Locations'!$K$2:$K$32,$CC$31 + 1) +$CH$30," ")," ")</f>
        <v xml:space="preserve"> </v>
      </c>
      <c r="CI31" s="46" t="str">
        <f ca="1">IFERROR(IF(AND(ISNUMBER($CC$31),$CC$31&lt;=30),INDEX('2.Distances'!$D$2:$D$963,$CC$30*31+$CC$31+ 1) +$CI$30," ")," ")</f>
        <v xml:space="preserve"> </v>
      </c>
      <c r="CJ31" s="47" t="str">
        <f ca="1">IFERROR(IF(AND(ISNUMBER($CC$31),$CC$31&lt;=30),INDEX('2.Distances'!$D$2:$D$963,$CC$30*31+$CC$31+ 1) +$CK$30," ")," ")</f>
        <v xml:space="preserve"> </v>
      </c>
      <c r="CK31" s="47" t="str">
        <f ca="1">IFERROR(IF(ISNUMBER($CJ$31),INDEX('1.Locations'!$I$2:$I$32,$CC$31 + 1) + MAX($CJ$31,INDEX('1.Locations'!$F$2:$F$32,$CC$31 + 1))," ")," ")</f>
        <v xml:space="preserve"> </v>
      </c>
      <c r="CL31" s="46" t="str">
        <f ca="1">IFERROR($CL$30 + INDEX('2.Distances'!$D$2:$D$963,$CC$30*31+$CC$31+ 1) + INDEX('1.Locations'!$I$2:$I$32,$CC$31 + 1)," ")</f>
        <v xml:space="preserve"> </v>
      </c>
      <c r="CN31" s="19">
        <v>26</v>
      </c>
      <c r="CO31" s="20"/>
      <c r="CP31" s="44" t="str">
        <f ca="1">IFERROR(MATCH(INDIRECT("$CO$31"),'1.Locations'!$B$2:$B$32, 0) - 1," ")</f>
        <v xml:space="preserve"> </v>
      </c>
      <c r="CQ31" s="44" t="e">
        <f ca="1">IFERROR(IF(ISNUMBER($CP$31),INDEX('1.Locations'!$D$2:$D$32,$CP$31 + 1),NA()),NA())</f>
        <v>#N/A</v>
      </c>
      <c r="CR31" s="44" t="e">
        <f ca="1">IFERROR(IF(ISNUMBER($CP$31),INDEX('1.Locations'!$E$2:$E$32,$CP$31 + 1),NA()),NA())</f>
        <v>#N/A</v>
      </c>
      <c r="CS31" s="45" t="str">
        <f ca="1">IFERROR(IF(AND(ISNUMBER($CP$31),$CP$31&lt;=30),INDEX('2.Distances'!$C$2:$C$963,$CP$30*31+$CP$31+ 1) +$CS$30," ")," ")</f>
        <v xml:space="preserve"> </v>
      </c>
      <c r="CT31" s="44" t="str">
        <f ca="1">IFERROR(IF(ISNUMBER($CP$31),INDEX('1.Locations'!$J$2:$J$32,$CP$31 + 1) +$CT$30," ")," ")</f>
        <v xml:space="preserve"> </v>
      </c>
      <c r="CU31" s="44" t="str">
        <f ca="1">IFERROR(IF(ISNUMBER($CP$31),INDEX('1.Locations'!$K$2:$K$32,$CP$31 + 1) +$CU$30," ")," ")</f>
        <v xml:space="preserve"> </v>
      </c>
      <c r="CV31" s="46" t="str">
        <f ca="1">IFERROR(IF(AND(ISNUMBER($CP$31),$CP$31&lt;=30),INDEX('2.Distances'!$D$2:$D$963,$CP$30*31+$CP$31+ 1) +$CV$30," ")," ")</f>
        <v xml:space="preserve"> </v>
      </c>
      <c r="CW31" s="47" t="str">
        <f ca="1">IFERROR(IF(AND(ISNUMBER($CP$31),$CP$31&lt;=30),INDEX('2.Distances'!$D$2:$D$963,$CP$30*31+$CP$31+ 1) +$CX$30," ")," ")</f>
        <v xml:space="preserve"> </v>
      </c>
      <c r="CX31" s="47" t="str">
        <f ca="1">IFERROR(IF(ISNUMBER($CW$31),INDEX('1.Locations'!$I$2:$I$32,$CP$31 + 1) + MAX($CW$31,INDEX('1.Locations'!$F$2:$F$32,$CP$31 + 1))," ")," ")</f>
        <v xml:space="preserve"> </v>
      </c>
      <c r="CY31" s="46" t="str">
        <f ca="1">IFERROR($CY$30 + INDEX('2.Distances'!$D$2:$D$963,$CP$30*31+$CP$31+ 1) + INDEX('1.Locations'!$I$2:$I$32,$CP$31 + 1)," ")</f>
        <v xml:space="preserve"> </v>
      </c>
      <c r="DA31" s="19">
        <v>26</v>
      </c>
      <c r="DB31" s="20"/>
      <c r="DC31" s="44" t="str">
        <f ca="1">IFERROR(MATCH(INDIRECT("$DB$31"),'1.Locations'!$B$2:$B$32, 0) - 1," ")</f>
        <v xml:space="preserve"> </v>
      </c>
      <c r="DD31" s="44" t="e">
        <f ca="1">IFERROR(IF(ISNUMBER($DC$31),INDEX('1.Locations'!$D$2:$D$32,$DC$31 + 1),NA()),NA())</f>
        <v>#N/A</v>
      </c>
      <c r="DE31" s="44" t="e">
        <f ca="1">IFERROR(IF(ISNUMBER($DC$31),INDEX('1.Locations'!$E$2:$E$32,$DC$31 + 1),NA()),NA())</f>
        <v>#N/A</v>
      </c>
      <c r="DF31" s="45" t="str">
        <f ca="1">IFERROR(IF(AND(ISNUMBER($DC$31),$DC$31&lt;=30),INDEX('2.Distances'!$C$2:$C$963,$DC$30*31+$DC$31+ 1) +$DF$30," ")," ")</f>
        <v xml:space="preserve"> </v>
      </c>
      <c r="DG31" s="44" t="str">
        <f ca="1">IFERROR(IF(ISNUMBER($DC$31),INDEX('1.Locations'!$J$2:$J$32,$DC$31 + 1) +$DG$30," ")," ")</f>
        <v xml:space="preserve"> </v>
      </c>
      <c r="DH31" s="44" t="str">
        <f ca="1">IFERROR(IF(ISNUMBER($DC$31),INDEX('1.Locations'!$K$2:$K$32,$DC$31 + 1) +$DH$30," ")," ")</f>
        <v xml:space="preserve"> </v>
      </c>
      <c r="DI31" s="46" t="str">
        <f ca="1">IFERROR(IF(AND(ISNUMBER($DC$31),$DC$31&lt;=30),INDEX('2.Distances'!$D$2:$D$963,$DC$30*31+$DC$31+ 1) +$DI$30," ")," ")</f>
        <v xml:space="preserve"> </v>
      </c>
      <c r="DJ31" s="47" t="str">
        <f ca="1">IFERROR(IF(AND(ISNUMBER($DC$31),$DC$31&lt;=30),INDEX('2.Distances'!$D$2:$D$963,$DC$30*31+$DC$31+ 1) +$DK$30," ")," ")</f>
        <v xml:space="preserve"> </v>
      </c>
      <c r="DK31" s="47" t="str">
        <f ca="1">IFERROR(IF(ISNUMBER($DJ$31),INDEX('1.Locations'!$I$2:$I$32,$DC$31 + 1) + MAX($DJ$31,INDEX('1.Locations'!$F$2:$F$32,$DC$31 + 1))," ")," ")</f>
        <v xml:space="preserve"> </v>
      </c>
      <c r="DL31" s="46" t="str">
        <f ca="1">IFERROR($DL$30 + INDEX('2.Distances'!$D$2:$D$963,$DC$30*31+$DC$31+ 1) + INDEX('1.Locations'!$I$2:$I$32,$DC$31 + 1)," ")</f>
        <v xml:space="preserve"> </v>
      </c>
      <c r="DN31" s="19">
        <v>26</v>
      </c>
      <c r="DO31" s="20"/>
      <c r="DP31" s="44" t="str">
        <f ca="1">IFERROR(MATCH(INDIRECT("$DO$31"),'1.Locations'!$B$2:$B$32, 0) - 1," ")</f>
        <v xml:space="preserve"> </v>
      </c>
      <c r="DQ31" s="44" t="e">
        <f ca="1">IFERROR(IF(ISNUMBER($DP$31),INDEX('1.Locations'!$D$2:$D$32,$DP$31 + 1),NA()),NA())</f>
        <v>#N/A</v>
      </c>
      <c r="DR31" s="44" t="e">
        <f ca="1">IFERROR(IF(ISNUMBER($DP$31),INDEX('1.Locations'!$E$2:$E$32,$DP$31 + 1),NA()),NA())</f>
        <v>#N/A</v>
      </c>
      <c r="DS31" s="45" t="str">
        <f ca="1">IFERROR(IF(AND(ISNUMBER($DP$31),$DP$31&lt;=30),INDEX('2.Distances'!$C$2:$C$963,$DP$30*31+$DP$31+ 1) +$DS$30," ")," ")</f>
        <v xml:space="preserve"> </v>
      </c>
      <c r="DT31" s="44" t="str">
        <f ca="1">IFERROR(IF(ISNUMBER($DP$31),INDEX('1.Locations'!$J$2:$J$32,$DP$31 + 1) +$DT$30," ")," ")</f>
        <v xml:space="preserve"> </v>
      </c>
      <c r="DU31" s="44" t="str">
        <f ca="1">IFERROR(IF(ISNUMBER($DP$31),INDEX('1.Locations'!$K$2:$K$32,$DP$31 + 1) +$DU$30," ")," ")</f>
        <v xml:space="preserve"> </v>
      </c>
      <c r="DV31" s="46" t="str">
        <f ca="1">IFERROR(IF(AND(ISNUMBER($DP$31),$DP$31&lt;=30),INDEX('2.Distances'!$D$2:$D$963,$DP$30*31+$DP$31+ 1) +$DV$30," ")," ")</f>
        <v xml:space="preserve"> </v>
      </c>
      <c r="DW31" s="47" t="str">
        <f ca="1">IFERROR(IF(AND(ISNUMBER($DP$31),$DP$31&lt;=30),INDEX('2.Distances'!$D$2:$D$963,$DP$30*31+$DP$31+ 1) +$DX$30," ")," ")</f>
        <v xml:space="preserve"> </v>
      </c>
      <c r="DX31" s="47" t="str">
        <f ca="1">IFERROR(IF(ISNUMBER($DW$31),INDEX('1.Locations'!$I$2:$I$32,$DP$31 + 1) + MAX($DW$31,INDEX('1.Locations'!$F$2:$F$32,$DP$31 + 1))," ")," ")</f>
        <v xml:space="preserve"> </v>
      </c>
      <c r="DY31" s="46" t="str">
        <f ca="1">IFERROR($DY$30 + INDEX('2.Distances'!$D$2:$D$963,$DP$30*31+$DP$31+ 1) + INDEX('1.Locations'!$I$2:$I$32,$DP$31 + 1)," ")</f>
        <v xml:space="preserve"> </v>
      </c>
      <c r="EA31" s="19">
        <v>26</v>
      </c>
      <c r="EB31" s="20"/>
      <c r="EC31" s="44" t="str">
        <f ca="1">IFERROR(MATCH(INDIRECT("$EB$31"),'1.Locations'!$B$2:$B$32, 0) - 1," ")</f>
        <v xml:space="preserve"> </v>
      </c>
      <c r="ED31" s="44" t="e">
        <f ca="1">IFERROR(IF(ISNUMBER($EC$31),INDEX('1.Locations'!$D$2:$D$32,$EC$31 + 1),NA()),NA())</f>
        <v>#N/A</v>
      </c>
      <c r="EE31" s="44" t="e">
        <f ca="1">IFERROR(IF(ISNUMBER($EC$31),INDEX('1.Locations'!$E$2:$E$32,$EC$31 + 1),NA()),NA())</f>
        <v>#N/A</v>
      </c>
      <c r="EF31" s="45" t="str">
        <f ca="1">IFERROR(IF(AND(ISNUMBER($EC$31),$EC$31&lt;=30),INDEX('2.Distances'!$C$2:$C$963,$EC$30*31+$EC$31+ 1) +$EF$30," ")," ")</f>
        <v xml:space="preserve"> </v>
      </c>
      <c r="EG31" s="44" t="str">
        <f ca="1">IFERROR(IF(ISNUMBER($EC$31),INDEX('1.Locations'!$J$2:$J$32,$EC$31 + 1) +$EG$30," ")," ")</f>
        <v xml:space="preserve"> </v>
      </c>
      <c r="EH31" s="44" t="str">
        <f ca="1">IFERROR(IF(ISNUMBER($EC$31),INDEX('1.Locations'!$K$2:$K$32,$EC$31 + 1) +$EH$30," ")," ")</f>
        <v xml:space="preserve"> </v>
      </c>
      <c r="EI31" s="46" t="str">
        <f ca="1">IFERROR(IF(AND(ISNUMBER($EC$31),$EC$31&lt;=30),INDEX('2.Distances'!$D$2:$D$963,$EC$30*31+$EC$31+ 1) +$EI$30," ")," ")</f>
        <v xml:space="preserve"> </v>
      </c>
      <c r="EJ31" s="47" t="str">
        <f ca="1">IFERROR(IF(AND(ISNUMBER($EC$31),$EC$31&lt;=30),INDEX('2.Distances'!$D$2:$D$963,$EC$30*31+$EC$31+ 1) +$EK$30," ")," ")</f>
        <v xml:space="preserve"> </v>
      </c>
      <c r="EK31" s="47" t="str">
        <f ca="1">IFERROR(IF(ISNUMBER($EJ$31),INDEX('1.Locations'!$I$2:$I$32,$EC$31 + 1) + MAX($EJ$31,INDEX('1.Locations'!$F$2:$F$32,$EC$31 + 1))," ")," ")</f>
        <v xml:space="preserve"> </v>
      </c>
      <c r="EL31" s="46" t="str">
        <f ca="1">IFERROR($EL$30 + INDEX('2.Distances'!$D$2:$D$963,$EC$30*31+$EC$31+ 1) + INDEX('1.Locations'!$I$2:$I$32,$EC$31 + 1)," ")</f>
        <v xml:space="preserve"> </v>
      </c>
      <c r="EN31" s="19">
        <v>26</v>
      </c>
      <c r="EO31" s="20"/>
      <c r="EP31" s="44" t="str">
        <f ca="1">IFERROR(MATCH(INDIRECT("$EO$31"),'1.Locations'!$B$2:$B$32, 0) - 1," ")</f>
        <v xml:space="preserve"> </v>
      </c>
      <c r="EQ31" s="44" t="e">
        <f ca="1">IFERROR(IF(ISNUMBER($EP$31),INDEX('1.Locations'!$D$2:$D$32,$EP$31 + 1),NA()),NA())</f>
        <v>#N/A</v>
      </c>
      <c r="ER31" s="44" t="e">
        <f ca="1">IFERROR(IF(ISNUMBER($EP$31),INDEX('1.Locations'!$E$2:$E$32,$EP$31 + 1),NA()),NA())</f>
        <v>#N/A</v>
      </c>
      <c r="ES31" s="45" t="str">
        <f ca="1">IFERROR(IF(AND(ISNUMBER($EP$31),$EP$31&lt;=30),INDEX('2.Distances'!$C$2:$C$963,$EP$30*31+$EP$31+ 1) +$ES$30," ")," ")</f>
        <v xml:space="preserve"> </v>
      </c>
      <c r="ET31" s="44" t="str">
        <f ca="1">IFERROR(IF(ISNUMBER($EP$31),INDEX('1.Locations'!$J$2:$J$32,$EP$31 + 1) +$ET$30," ")," ")</f>
        <v xml:space="preserve"> </v>
      </c>
      <c r="EU31" s="44" t="str">
        <f ca="1">IFERROR(IF(ISNUMBER($EP$31),INDEX('1.Locations'!$K$2:$K$32,$EP$31 + 1) +$EU$30," ")," ")</f>
        <v xml:space="preserve"> </v>
      </c>
      <c r="EV31" s="46" t="str">
        <f ca="1">IFERROR(IF(AND(ISNUMBER($EP$31),$EP$31&lt;=30),INDEX('2.Distances'!$D$2:$D$963,$EP$30*31+$EP$31+ 1) +$EV$30," ")," ")</f>
        <v xml:space="preserve"> </v>
      </c>
      <c r="EW31" s="47" t="str">
        <f ca="1">IFERROR(IF(AND(ISNUMBER($EP$31),$EP$31&lt;=30),INDEX('2.Distances'!$D$2:$D$963,$EP$30*31+$EP$31+ 1) +$EX$30," ")," ")</f>
        <v xml:space="preserve"> </v>
      </c>
      <c r="EX31" s="47" t="str">
        <f ca="1">IFERROR(IF(ISNUMBER($EW$31),INDEX('1.Locations'!$I$2:$I$32,$EP$31 + 1) + MAX($EW$31,INDEX('1.Locations'!$F$2:$F$32,$EP$31 + 1))," ")," ")</f>
        <v xml:space="preserve"> </v>
      </c>
      <c r="EY31" s="46" t="str">
        <f ca="1">IFERROR($EY$30 + INDEX('2.Distances'!$D$2:$D$963,$EP$30*31+$EP$31+ 1) + INDEX('1.Locations'!$I$2:$I$32,$EP$31 + 1)," ")</f>
        <v xml:space="preserve"> </v>
      </c>
    </row>
    <row r="32" spans="1:155" x14ac:dyDescent="0.2">
      <c r="A32" s="19">
        <v>27</v>
      </c>
      <c r="B32" s="20"/>
      <c r="C32" s="44" t="str">
        <f ca="1">IFERROR(MATCH(INDIRECT("$B$32"),'1.Locations'!$B$2:$B$32, 0) - 1," ")</f>
        <v xml:space="preserve"> </v>
      </c>
      <c r="D32" s="44" t="e">
        <f ca="1">IFERROR(IF(ISNUMBER($C$32),INDEX('1.Locations'!$D$2:$D$32,$C$32 + 1),NA()),NA())</f>
        <v>#N/A</v>
      </c>
      <c r="E32" s="44" t="e">
        <f ca="1">IFERROR(IF(ISNUMBER($C$32),INDEX('1.Locations'!$E$2:$E$32,$C$32 + 1),NA()),NA())</f>
        <v>#N/A</v>
      </c>
      <c r="F32" s="45" t="str">
        <f ca="1">IFERROR(IF(AND(ISNUMBER($C$32),$C$32&lt;=30),INDEX('2.Distances'!$C$2:$C$963,$C$31*31+$C$32+ 1) +$F$31," ")," ")</f>
        <v xml:space="preserve"> </v>
      </c>
      <c r="G32" s="44" t="str">
        <f ca="1">IFERROR(IF(ISNUMBER($C$32),INDEX('1.Locations'!$J$2:$J$32,$C$32 + 1) +$G$31," ")," ")</f>
        <v xml:space="preserve"> </v>
      </c>
      <c r="H32" s="44" t="str">
        <f ca="1">IFERROR(IF(ISNUMBER($C$32),INDEX('1.Locations'!$K$2:$K$32,$C$32 + 1) +$H$31," ")," ")</f>
        <v xml:space="preserve"> </v>
      </c>
      <c r="I32" s="46" t="str">
        <f ca="1">IFERROR(IF(AND(ISNUMBER($C$32),$C$32&lt;=30),INDEX('2.Distances'!$D$2:$D$963,$C$31*31+$C$32+ 1) +$I$31," ")," ")</f>
        <v xml:space="preserve"> </v>
      </c>
      <c r="J32" s="47" t="str">
        <f ca="1">IFERROR(IF(AND(ISNUMBER($C$32),$C$32&lt;=30),INDEX('2.Distances'!$D$2:$D$963,$C$31*31+$C$32+ 1) +$K$31," ")," ")</f>
        <v xml:space="preserve"> </v>
      </c>
      <c r="K32" s="47" t="str">
        <f ca="1">IFERROR(IF(ISNUMBER($J$32),INDEX('1.Locations'!$I$2:$I$32,$C$32 + 1) + MAX($J$32,INDEX('1.Locations'!$F$2:$F$32,$C$32 + 1))," ")," ")</f>
        <v xml:space="preserve"> </v>
      </c>
      <c r="L32" s="46" t="str">
        <f ca="1">IFERROR($L$31 + INDEX('2.Distances'!$D$2:$D$963,$C$31*31+$C$32+ 1) + INDEX('1.Locations'!$I$2:$I$32,$C$32 + 1)," ")</f>
        <v xml:space="preserve"> </v>
      </c>
      <c r="N32" s="19">
        <v>27</v>
      </c>
      <c r="O32" s="20"/>
      <c r="P32" s="44" t="str">
        <f ca="1">IFERROR(MATCH(INDIRECT("$O$32"),'1.Locations'!$B$2:$B$32, 0) - 1," ")</f>
        <v xml:space="preserve"> </v>
      </c>
      <c r="Q32" s="44" t="e">
        <f ca="1">IFERROR(IF(ISNUMBER($P$32),INDEX('1.Locations'!$D$2:$D$32,$P$32 + 1),NA()),NA())</f>
        <v>#N/A</v>
      </c>
      <c r="R32" s="44" t="e">
        <f ca="1">IFERROR(IF(ISNUMBER($P$32),INDEX('1.Locations'!$E$2:$E$32,$P$32 + 1),NA()),NA())</f>
        <v>#N/A</v>
      </c>
      <c r="S32" s="45" t="str">
        <f ca="1">IFERROR(IF(AND(ISNUMBER($P$32),$P$32&lt;=30),INDEX('2.Distances'!$C$2:$C$963,$P$31*31+$P$32+ 1) +$S$31," ")," ")</f>
        <v xml:space="preserve"> </v>
      </c>
      <c r="T32" s="44" t="str">
        <f ca="1">IFERROR(IF(ISNUMBER($P$32),INDEX('1.Locations'!$J$2:$J$32,$P$32 + 1) +$T$31," ")," ")</f>
        <v xml:space="preserve"> </v>
      </c>
      <c r="U32" s="44" t="str">
        <f ca="1">IFERROR(IF(ISNUMBER($P$32),INDEX('1.Locations'!$K$2:$K$32,$P$32 + 1) +$U$31," ")," ")</f>
        <v xml:space="preserve"> </v>
      </c>
      <c r="V32" s="46" t="str">
        <f ca="1">IFERROR(IF(AND(ISNUMBER($P$32),$P$32&lt;=30),INDEX('2.Distances'!$D$2:$D$963,$P$31*31+$P$32+ 1) +$V$31," ")," ")</f>
        <v xml:space="preserve"> </v>
      </c>
      <c r="W32" s="47" t="str">
        <f ca="1">IFERROR(IF(AND(ISNUMBER($P$32),$P$32&lt;=30),INDEX('2.Distances'!$D$2:$D$963,$P$31*31+$P$32+ 1) +$X$31," ")," ")</f>
        <v xml:space="preserve"> </v>
      </c>
      <c r="X32" s="47" t="str">
        <f ca="1">IFERROR(IF(ISNUMBER($W$32),INDEX('1.Locations'!$I$2:$I$32,$P$32 + 1) + MAX($W$32,INDEX('1.Locations'!$F$2:$F$32,$P$32 + 1))," ")," ")</f>
        <v xml:space="preserve"> </v>
      </c>
      <c r="Y32" s="46" t="str">
        <f ca="1">IFERROR($Y$31 + INDEX('2.Distances'!$D$2:$D$963,$P$31*31+$P$32+ 1) + INDEX('1.Locations'!$I$2:$I$32,$P$32 + 1)," ")</f>
        <v xml:space="preserve"> </v>
      </c>
      <c r="AA32" s="19">
        <v>27</v>
      </c>
      <c r="AB32" s="20"/>
      <c r="AC32" s="44" t="str">
        <f ca="1">IFERROR(MATCH(INDIRECT("$AB$32"),'1.Locations'!$B$2:$B$32, 0) - 1," ")</f>
        <v xml:space="preserve"> </v>
      </c>
      <c r="AD32" s="44" t="e">
        <f ca="1">IFERROR(IF(ISNUMBER($AC$32),INDEX('1.Locations'!$D$2:$D$32,$AC$32 + 1),NA()),NA())</f>
        <v>#N/A</v>
      </c>
      <c r="AE32" s="44" t="e">
        <f ca="1">IFERROR(IF(ISNUMBER($AC$32),INDEX('1.Locations'!$E$2:$E$32,$AC$32 + 1),NA()),NA())</f>
        <v>#N/A</v>
      </c>
      <c r="AF32" s="45" t="str">
        <f ca="1">IFERROR(IF(AND(ISNUMBER($AC$32),$AC$32&lt;=30),INDEX('2.Distances'!$C$2:$C$963,$AC$31*31+$AC$32+ 1) +$AF$31," ")," ")</f>
        <v xml:space="preserve"> </v>
      </c>
      <c r="AG32" s="44" t="str">
        <f ca="1">IFERROR(IF(ISNUMBER($AC$32),INDEX('1.Locations'!$J$2:$J$32,$AC$32 + 1) +$AG$31," ")," ")</f>
        <v xml:space="preserve"> </v>
      </c>
      <c r="AH32" s="44" t="str">
        <f ca="1">IFERROR(IF(ISNUMBER($AC$32),INDEX('1.Locations'!$K$2:$K$32,$AC$32 + 1) +$AH$31," ")," ")</f>
        <v xml:space="preserve"> </v>
      </c>
      <c r="AI32" s="46" t="str">
        <f ca="1">IFERROR(IF(AND(ISNUMBER($AC$32),$AC$32&lt;=30),INDEX('2.Distances'!$D$2:$D$963,$AC$31*31+$AC$32+ 1) +$AI$31," ")," ")</f>
        <v xml:space="preserve"> </v>
      </c>
      <c r="AJ32" s="47" t="str">
        <f ca="1">IFERROR(IF(AND(ISNUMBER($AC$32),$AC$32&lt;=30),INDEX('2.Distances'!$D$2:$D$963,$AC$31*31+$AC$32+ 1) +$AK$31," ")," ")</f>
        <v xml:space="preserve"> </v>
      </c>
      <c r="AK32" s="47" t="str">
        <f ca="1">IFERROR(IF(ISNUMBER($AJ$32),INDEX('1.Locations'!$I$2:$I$32,$AC$32 + 1) + MAX($AJ$32,INDEX('1.Locations'!$F$2:$F$32,$AC$32 + 1))," ")," ")</f>
        <v xml:space="preserve"> </v>
      </c>
      <c r="AL32" s="46" t="str">
        <f ca="1">IFERROR($AL$31 + INDEX('2.Distances'!$D$2:$D$963,$AC$31*31+$AC$32+ 1) + INDEX('1.Locations'!$I$2:$I$32,$AC$32 + 1)," ")</f>
        <v xml:space="preserve"> </v>
      </c>
      <c r="AN32" s="19">
        <v>27</v>
      </c>
      <c r="AO32" s="20"/>
      <c r="AP32" s="44" t="str">
        <f ca="1">IFERROR(MATCH(INDIRECT("$AO$32"),'1.Locations'!$B$2:$B$32, 0) - 1," ")</f>
        <v xml:space="preserve"> </v>
      </c>
      <c r="AQ32" s="44" t="e">
        <f ca="1">IFERROR(IF(ISNUMBER($AP$32),INDEX('1.Locations'!$D$2:$D$32,$AP$32 + 1),NA()),NA())</f>
        <v>#N/A</v>
      </c>
      <c r="AR32" s="44" t="e">
        <f ca="1">IFERROR(IF(ISNUMBER($AP$32),INDEX('1.Locations'!$E$2:$E$32,$AP$32 + 1),NA()),NA())</f>
        <v>#N/A</v>
      </c>
      <c r="AS32" s="45" t="str">
        <f ca="1">IFERROR(IF(AND(ISNUMBER($AP$32),$AP$32&lt;=30),INDEX('2.Distances'!$C$2:$C$963,$AP$31*31+$AP$32+ 1) +$AS$31," ")," ")</f>
        <v xml:space="preserve"> </v>
      </c>
      <c r="AT32" s="44" t="str">
        <f ca="1">IFERROR(IF(ISNUMBER($AP$32),INDEX('1.Locations'!$J$2:$J$32,$AP$32 + 1) +$AT$31," ")," ")</f>
        <v xml:space="preserve"> </v>
      </c>
      <c r="AU32" s="44" t="str">
        <f ca="1">IFERROR(IF(ISNUMBER($AP$32),INDEX('1.Locations'!$K$2:$K$32,$AP$32 + 1) +$AU$31," ")," ")</f>
        <v xml:space="preserve"> </v>
      </c>
      <c r="AV32" s="46" t="str">
        <f ca="1">IFERROR(IF(AND(ISNUMBER($AP$32),$AP$32&lt;=30),INDEX('2.Distances'!$D$2:$D$963,$AP$31*31+$AP$32+ 1) +$AV$31," ")," ")</f>
        <v xml:space="preserve"> </v>
      </c>
      <c r="AW32" s="47" t="str">
        <f ca="1">IFERROR(IF(AND(ISNUMBER($AP$32),$AP$32&lt;=30),INDEX('2.Distances'!$D$2:$D$963,$AP$31*31+$AP$32+ 1) +$AX$31," ")," ")</f>
        <v xml:space="preserve"> </v>
      </c>
      <c r="AX32" s="47" t="str">
        <f ca="1">IFERROR(IF(ISNUMBER($AW$32),INDEX('1.Locations'!$I$2:$I$32,$AP$32 + 1) + MAX($AW$32,INDEX('1.Locations'!$F$2:$F$32,$AP$32 + 1))," ")," ")</f>
        <v xml:space="preserve"> </v>
      </c>
      <c r="AY32" s="46" t="str">
        <f ca="1">IFERROR($AY$31 + INDEX('2.Distances'!$D$2:$D$963,$AP$31*31+$AP$32+ 1) + INDEX('1.Locations'!$I$2:$I$32,$AP$32 + 1)," ")</f>
        <v xml:space="preserve"> </v>
      </c>
      <c r="BA32" s="19">
        <v>27</v>
      </c>
      <c r="BB32" s="20"/>
      <c r="BC32" s="44" t="str">
        <f ca="1">IFERROR(MATCH(INDIRECT("$BB$32"),'1.Locations'!$B$2:$B$32, 0) - 1," ")</f>
        <v xml:space="preserve"> </v>
      </c>
      <c r="BD32" s="44" t="e">
        <f ca="1">IFERROR(IF(ISNUMBER($BC$32),INDEX('1.Locations'!$D$2:$D$32,$BC$32 + 1),NA()),NA())</f>
        <v>#N/A</v>
      </c>
      <c r="BE32" s="44" t="e">
        <f ca="1">IFERROR(IF(ISNUMBER($BC$32),INDEX('1.Locations'!$E$2:$E$32,$BC$32 + 1),NA()),NA())</f>
        <v>#N/A</v>
      </c>
      <c r="BF32" s="45" t="str">
        <f ca="1">IFERROR(IF(AND(ISNUMBER($BC$32),$BC$32&lt;=30),INDEX('2.Distances'!$C$2:$C$963,$BC$31*31+$BC$32+ 1) +$BF$31," ")," ")</f>
        <v xml:space="preserve"> </v>
      </c>
      <c r="BG32" s="44" t="str">
        <f ca="1">IFERROR(IF(ISNUMBER($BC$32),INDEX('1.Locations'!$J$2:$J$32,$BC$32 + 1) +$BG$31," ")," ")</f>
        <v xml:space="preserve"> </v>
      </c>
      <c r="BH32" s="44" t="str">
        <f ca="1">IFERROR(IF(ISNUMBER($BC$32),INDEX('1.Locations'!$K$2:$K$32,$BC$32 + 1) +$BH$31," ")," ")</f>
        <v xml:space="preserve"> </v>
      </c>
      <c r="BI32" s="46" t="str">
        <f ca="1">IFERROR(IF(AND(ISNUMBER($BC$32),$BC$32&lt;=30),INDEX('2.Distances'!$D$2:$D$963,$BC$31*31+$BC$32+ 1) +$BI$31," ")," ")</f>
        <v xml:space="preserve"> </v>
      </c>
      <c r="BJ32" s="47" t="str">
        <f ca="1">IFERROR(IF(AND(ISNUMBER($BC$32),$BC$32&lt;=30),INDEX('2.Distances'!$D$2:$D$963,$BC$31*31+$BC$32+ 1) +$BK$31," ")," ")</f>
        <v xml:space="preserve"> </v>
      </c>
      <c r="BK32" s="47" t="str">
        <f ca="1">IFERROR(IF(ISNUMBER($BJ$32),INDEX('1.Locations'!$I$2:$I$32,$BC$32 + 1) + MAX($BJ$32,INDEX('1.Locations'!$F$2:$F$32,$BC$32 + 1))," ")," ")</f>
        <v xml:space="preserve"> </v>
      </c>
      <c r="BL32" s="46" t="str">
        <f ca="1">IFERROR($BL$31 + INDEX('2.Distances'!$D$2:$D$963,$BC$31*31+$BC$32+ 1) + INDEX('1.Locations'!$I$2:$I$32,$BC$32 + 1)," ")</f>
        <v xml:space="preserve"> </v>
      </c>
      <c r="BN32" s="19">
        <v>27</v>
      </c>
      <c r="BO32" s="20"/>
      <c r="BP32" s="44" t="str">
        <f ca="1">IFERROR(MATCH(INDIRECT("$BO$32"),'1.Locations'!$B$2:$B$32, 0) - 1," ")</f>
        <v xml:space="preserve"> </v>
      </c>
      <c r="BQ32" s="44" t="e">
        <f ca="1">IFERROR(IF(ISNUMBER($BP$32),INDEX('1.Locations'!$D$2:$D$32,$BP$32 + 1),NA()),NA())</f>
        <v>#N/A</v>
      </c>
      <c r="BR32" s="44" t="e">
        <f ca="1">IFERROR(IF(ISNUMBER($BP$32),INDEX('1.Locations'!$E$2:$E$32,$BP$32 + 1),NA()),NA())</f>
        <v>#N/A</v>
      </c>
      <c r="BS32" s="45" t="str">
        <f ca="1">IFERROR(IF(AND(ISNUMBER($BP$32),$BP$32&lt;=30),INDEX('2.Distances'!$C$2:$C$963,$BP$31*31+$BP$32+ 1) +$BS$31," ")," ")</f>
        <v xml:space="preserve"> </v>
      </c>
      <c r="BT32" s="44" t="str">
        <f ca="1">IFERROR(IF(ISNUMBER($BP$32),INDEX('1.Locations'!$J$2:$J$32,$BP$32 + 1) +$BT$31," ")," ")</f>
        <v xml:space="preserve"> </v>
      </c>
      <c r="BU32" s="44" t="str">
        <f ca="1">IFERROR(IF(ISNUMBER($BP$32),INDEX('1.Locations'!$K$2:$K$32,$BP$32 + 1) +$BU$31," ")," ")</f>
        <v xml:space="preserve"> </v>
      </c>
      <c r="BV32" s="46" t="str">
        <f ca="1">IFERROR(IF(AND(ISNUMBER($BP$32),$BP$32&lt;=30),INDEX('2.Distances'!$D$2:$D$963,$BP$31*31+$BP$32+ 1) +$BV$31," ")," ")</f>
        <v xml:space="preserve"> </v>
      </c>
      <c r="BW32" s="47" t="str">
        <f ca="1">IFERROR(IF(AND(ISNUMBER($BP$32),$BP$32&lt;=30),INDEX('2.Distances'!$D$2:$D$963,$BP$31*31+$BP$32+ 1) +$BX$31," ")," ")</f>
        <v xml:space="preserve"> </v>
      </c>
      <c r="BX32" s="47" t="str">
        <f ca="1">IFERROR(IF(ISNUMBER($BW$32),INDEX('1.Locations'!$I$2:$I$32,$BP$32 + 1) + MAX($BW$32,INDEX('1.Locations'!$F$2:$F$32,$BP$32 + 1))," ")," ")</f>
        <v xml:space="preserve"> </v>
      </c>
      <c r="BY32" s="46" t="str">
        <f ca="1">IFERROR($BY$31 + INDEX('2.Distances'!$D$2:$D$963,$BP$31*31+$BP$32+ 1) + INDEX('1.Locations'!$I$2:$I$32,$BP$32 + 1)," ")</f>
        <v xml:space="preserve"> </v>
      </c>
      <c r="CA32" s="19">
        <v>27</v>
      </c>
      <c r="CB32" s="20"/>
      <c r="CC32" s="44" t="str">
        <f ca="1">IFERROR(MATCH(INDIRECT("$CB$32"),'1.Locations'!$B$2:$B$32, 0) - 1," ")</f>
        <v xml:space="preserve"> </v>
      </c>
      <c r="CD32" s="44" t="e">
        <f ca="1">IFERROR(IF(ISNUMBER($CC$32),INDEX('1.Locations'!$D$2:$D$32,$CC$32 + 1),NA()),NA())</f>
        <v>#N/A</v>
      </c>
      <c r="CE32" s="44" t="e">
        <f ca="1">IFERROR(IF(ISNUMBER($CC$32),INDEX('1.Locations'!$E$2:$E$32,$CC$32 + 1),NA()),NA())</f>
        <v>#N/A</v>
      </c>
      <c r="CF32" s="45" t="str">
        <f ca="1">IFERROR(IF(AND(ISNUMBER($CC$32),$CC$32&lt;=30),INDEX('2.Distances'!$C$2:$C$963,$CC$31*31+$CC$32+ 1) +$CF$31," ")," ")</f>
        <v xml:space="preserve"> </v>
      </c>
      <c r="CG32" s="44" t="str">
        <f ca="1">IFERROR(IF(ISNUMBER($CC$32),INDEX('1.Locations'!$J$2:$J$32,$CC$32 + 1) +$CG$31," ")," ")</f>
        <v xml:space="preserve"> </v>
      </c>
      <c r="CH32" s="44" t="str">
        <f ca="1">IFERROR(IF(ISNUMBER($CC$32),INDEX('1.Locations'!$K$2:$K$32,$CC$32 + 1) +$CH$31," ")," ")</f>
        <v xml:space="preserve"> </v>
      </c>
      <c r="CI32" s="46" t="str">
        <f ca="1">IFERROR(IF(AND(ISNUMBER($CC$32),$CC$32&lt;=30),INDEX('2.Distances'!$D$2:$D$963,$CC$31*31+$CC$32+ 1) +$CI$31," ")," ")</f>
        <v xml:space="preserve"> </v>
      </c>
      <c r="CJ32" s="47" t="str">
        <f ca="1">IFERROR(IF(AND(ISNUMBER($CC$32),$CC$32&lt;=30),INDEX('2.Distances'!$D$2:$D$963,$CC$31*31+$CC$32+ 1) +$CK$31," ")," ")</f>
        <v xml:space="preserve"> </v>
      </c>
      <c r="CK32" s="47" t="str">
        <f ca="1">IFERROR(IF(ISNUMBER($CJ$32),INDEX('1.Locations'!$I$2:$I$32,$CC$32 + 1) + MAX($CJ$32,INDEX('1.Locations'!$F$2:$F$32,$CC$32 + 1))," ")," ")</f>
        <v xml:space="preserve"> </v>
      </c>
      <c r="CL32" s="46" t="str">
        <f ca="1">IFERROR($CL$31 + INDEX('2.Distances'!$D$2:$D$963,$CC$31*31+$CC$32+ 1) + INDEX('1.Locations'!$I$2:$I$32,$CC$32 + 1)," ")</f>
        <v xml:space="preserve"> </v>
      </c>
      <c r="CN32" s="19">
        <v>27</v>
      </c>
      <c r="CO32" s="20"/>
      <c r="CP32" s="44" t="str">
        <f ca="1">IFERROR(MATCH(INDIRECT("$CO$32"),'1.Locations'!$B$2:$B$32, 0) - 1," ")</f>
        <v xml:space="preserve"> </v>
      </c>
      <c r="CQ32" s="44" t="e">
        <f ca="1">IFERROR(IF(ISNUMBER($CP$32),INDEX('1.Locations'!$D$2:$D$32,$CP$32 + 1),NA()),NA())</f>
        <v>#N/A</v>
      </c>
      <c r="CR32" s="44" t="e">
        <f ca="1">IFERROR(IF(ISNUMBER($CP$32),INDEX('1.Locations'!$E$2:$E$32,$CP$32 + 1),NA()),NA())</f>
        <v>#N/A</v>
      </c>
      <c r="CS32" s="45" t="str">
        <f ca="1">IFERROR(IF(AND(ISNUMBER($CP$32),$CP$32&lt;=30),INDEX('2.Distances'!$C$2:$C$963,$CP$31*31+$CP$32+ 1) +$CS$31," ")," ")</f>
        <v xml:space="preserve"> </v>
      </c>
      <c r="CT32" s="44" t="str">
        <f ca="1">IFERROR(IF(ISNUMBER($CP$32),INDEX('1.Locations'!$J$2:$J$32,$CP$32 + 1) +$CT$31," ")," ")</f>
        <v xml:space="preserve"> </v>
      </c>
      <c r="CU32" s="44" t="str">
        <f ca="1">IFERROR(IF(ISNUMBER($CP$32),INDEX('1.Locations'!$K$2:$K$32,$CP$32 + 1) +$CU$31," ")," ")</f>
        <v xml:space="preserve"> </v>
      </c>
      <c r="CV32" s="46" t="str">
        <f ca="1">IFERROR(IF(AND(ISNUMBER($CP$32),$CP$32&lt;=30),INDEX('2.Distances'!$D$2:$D$963,$CP$31*31+$CP$32+ 1) +$CV$31," ")," ")</f>
        <v xml:space="preserve"> </v>
      </c>
      <c r="CW32" s="47" t="str">
        <f ca="1">IFERROR(IF(AND(ISNUMBER($CP$32),$CP$32&lt;=30),INDEX('2.Distances'!$D$2:$D$963,$CP$31*31+$CP$32+ 1) +$CX$31," ")," ")</f>
        <v xml:space="preserve"> </v>
      </c>
      <c r="CX32" s="47" t="str">
        <f ca="1">IFERROR(IF(ISNUMBER($CW$32),INDEX('1.Locations'!$I$2:$I$32,$CP$32 + 1) + MAX($CW$32,INDEX('1.Locations'!$F$2:$F$32,$CP$32 + 1))," ")," ")</f>
        <v xml:space="preserve"> </v>
      </c>
      <c r="CY32" s="46" t="str">
        <f ca="1">IFERROR($CY$31 + INDEX('2.Distances'!$D$2:$D$963,$CP$31*31+$CP$32+ 1) + INDEX('1.Locations'!$I$2:$I$32,$CP$32 + 1)," ")</f>
        <v xml:space="preserve"> </v>
      </c>
      <c r="DA32" s="19">
        <v>27</v>
      </c>
      <c r="DB32" s="20"/>
      <c r="DC32" s="44" t="str">
        <f ca="1">IFERROR(MATCH(INDIRECT("$DB$32"),'1.Locations'!$B$2:$B$32, 0) - 1," ")</f>
        <v xml:space="preserve"> </v>
      </c>
      <c r="DD32" s="44" t="e">
        <f ca="1">IFERROR(IF(ISNUMBER($DC$32),INDEX('1.Locations'!$D$2:$D$32,$DC$32 + 1),NA()),NA())</f>
        <v>#N/A</v>
      </c>
      <c r="DE32" s="44" t="e">
        <f ca="1">IFERROR(IF(ISNUMBER($DC$32),INDEX('1.Locations'!$E$2:$E$32,$DC$32 + 1),NA()),NA())</f>
        <v>#N/A</v>
      </c>
      <c r="DF32" s="45" t="str">
        <f ca="1">IFERROR(IF(AND(ISNUMBER($DC$32),$DC$32&lt;=30),INDEX('2.Distances'!$C$2:$C$963,$DC$31*31+$DC$32+ 1) +$DF$31," ")," ")</f>
        <v xml:space="preserve"> </v>
      </c>
      <c r="DG32" s="44" t="str">
        <f ca="1">IFERROR(IF(ISNUMBER($DC$32),INDEX('1.Locations'!$J$2:$J$32,$DC$32 + 1) +$DG$31," ")," ")</f>
        <v xml:space="preserve"> </v>
      </c>
      <c r="DH32" s="44" t="str">
        <f ca="1">IFERROR(IF(ISNUMBER($DC$32),INDEX('1.Locations'!$K$2:$K$32,$DC$32 + 1) +$DH$31," ")," ")</f>
        <v xml:space="preserve"> </v>
      </c>
      <c r="DI32" s="46" t="str">
        <f ca="1">IFERROR(IF(AND(ISNUMBER($DC$32),$DC$32&lt;=30),INDEX('2.Distances'!$D$2:$D$963,$DC$31*31+$DC$32+ 1) +$DI$31," ")," ")</f>
        <v xml:space="preserve"> </v>
      </c>
      <c r="DJ32" s="47" t="str">
        <f ca="1">IFERROR(IF(AND(ISNUMBER($DC$32),$DC$32&lt;=30),INDEX('2.Distances'!$D$2:$D$963,$DC$31*31+$DC$32+ 1) +$DK$31," ")," ")</f>
        <v xml:space="preserve"> </v>
      </c>
      <c r="DK32" s="47" t="str">
        <f ca="1">IFERROR(IF(ISNUMBER($DJ$32),INDEX('1.Locations'!$I$2:$I$32,$DC$32 + 1) + MAX($DJ$32,INDEX('1.Locations'!$F$2:$F$32,$DC$32 + 1))," ")," ")</f>
        <v xml:space="preserve"> </v>
      </c>
      <c r="DL32" s="46" t="str">
        <f ca="1">IFERROR($DL$31 + INDEX('2.Distances'!$D$2:$D$963,$DC$31*31+$DC$32+ 1) + INDEX('1.Locations'!$I$2:$I$32,$DC$32 + 1)," ")</f>
        <v xml:space="preserve"> </v>
      </c>
      <c r="DN32" s="19">
        <v>27</v>
      </c>
      <c r="DO32" s="20"/>
      <c r="DP32" s="44" t="str">
        <f ca="1">IFERROR(MATCH(INDIRECT("$DO$32"),'1.Locations'!$B$2:$B$32, 0) - 1," ")</f>
        <v xml:space="preserve"> </v>
      </c>
      <c r="DQ32" s="44" t="e">
        <f ca="1">IFERROR(IF(ISNUMBER($DP$32),INDEX('1.Locations'!$D$2:$D$32,$DP$32 + 1),NA()),NA())</f>
        <v>#N/A</v>
      </c>
      <c r="DR32" s="44" t="e">
        <f ca="1">IFERROR(IF(ISNUMBER($DP$32),INDEX('1.Locations'!$E$2:$E$32,$DP$32 + 1),NA()),NA())</f>
        <v>#N/A</v>
      </c>
      <c r="DS32" s="45" t="str">
        <f ca="1">IFERROR(IF(AND(ISNUMBER($DP$32),$DP$32&lt;=30),INDEX('2.Distances'!$C$2:$C$963,$DP$31*31+$DP$32+ 1) +$DS$31," ")," ")</f>
        <v xml:space="preserve"> </v>
      </c>
      <c r="DT32" s="44" t="str">
        <f ca="1">IFERROR(IF(ISNUMBER($DP$32),INDEX('1.Locations'!$J$2:$J$32,$DP$32 + 1) +$DT$31," ")," ")</f>
        <v xml:space="preserve"> </v>
      </c>
      <c r="DU32" s="44" t="str">
        <f ca="1">IFERROR(IF(ISNUMBER($DP$32),INDEX('1.Locations'!$K$2:$K$32,$DP$32 + 1) +$DU$31," ")," ")</f>
        <v xml:space="preserve"> </v>
      </c>
      <c r="DV32" s="46" t="str">
        <f ca="1">IFERROR(IF(AND(ISNUMBER($DP$32),$DP$32&lt;=30),INDEX('2.Distances'!$D$2:$D$963,$DP$31*31+$DP$32+ 1) +$DV$31," ")," ")</f>
        <v xml:space="preserve"> </v>
      </c>
      <c r="DW32" s="47" t="str">
        <f ca="1">IFERROR(IF(AND(ISNUMBER($DP$32),$DP$32&lt;=30),INDEX('2.Distances'!$D$2:$D$963,$DP$31*31+$DP$32+ 1) +$DX$31," ")," ")</f>
        <v xml:space="preserve"> </v>
      </c>
      <c r="DX32" s="47" t="str">
        <f ca="1">IFERROR(IF(ISNUMBER($DW$32),INDEX('1.Locations'!$I$2:$I$32,$DP$32 + 1) + MAX($DW$32,INDEX('1.Locations'!$F$2:$F$32,$DP$32 + 1))," ")," ")</f>
        <v xml:space="preserve"> </v>
      </c>
      <c r="DY32" s="46" t="str">
        <f ca="1">IFERROR($DY$31 + INDEX('2.Distances'!$D$2:$D$963,$DP$31*31+$DP$32+ 1) + INDEX('1.Locations'!$I$2:$I$32,$DP$32 + 1)," ")</f>
        <v xml:space="preserve"> </v>
      </c>
      <c r="EA32" s="19">
        <v>27</v>
      </c>
      <c r="EB32" s="20"/>
      <c r="EC32" s="44" t="str">
        <f ca="1">IFERROR(MATCH(INDIRECT("$EB$32"),'1.Locations'!$B$2:$B$32, 0) - 1," ")</f>
        <v xml:space="preserve"> </v>
      </c>
      <c r="ED32" s="44" t="e">
        <f ca="1">IFERROR(IF(ISNUMBER($EC$32),INDEX('1.Locations'!$D$2:$D$32,$EC$32 + 1),NA()),NA())</f>
        <v>#N/A</v>
      </c>
      <c r="EE32" s="44" t="e">
        <f ca="1">IFERROR(IF(ISNUMBER($EC$32),INDEX('1.Locations'!$E$2:$E$32,$EC$32 + 1),NA()),NA())</f>
        <v>#N/A</v>
      </c>
      <c r="EF32" s="45" t="str">
        <f ca="1">IFERROR(IF(AND(ISNUMBER($EC$32),$EC$32&lt;=30),INDEX('2.Distances'!$C$2:$C$963,$EC$31*31+$EC$32+ 1) +$EF$31," ")," ")</f>
        <v xml:space="preserve"> </v>
      </c>
      <c r="EG32" s="44" t="str">
        <f ca="1">IFERROR(IF(ISNUMBER($EC$32),INDEX('1.Locations'!$J$2:$J$32,$EC$32 + 1) +$EG$31," ")," ")</f>
        <v xml:space="preserve"> </v>
      </c>
      <c r="EH32" s="44" t="str">
        <f ca="1">IFERROR(IF(ISNUMBER($EC$32),INDEX('1.Locations'!$K$2:$K$32,$EC$32 + 1) +$EH$31," ")," ")</f>
        <v xml:space="preserve"> </v>
      </c>
      <c r="EI32" s="46" t="str">
        <f ca="1">IFERROR(IF(AND(ISNUMBER($EC$32),$EC$32&lt;=30),INDEX('2.Distances'!$D$2:$D$963,$EC$31*31+$EC$32+ 1) +$EI$31," ")," ")</f>
        <v xml:space="preserve"> </v>
      </c>
      <c r="EJ32" s="47" t="str">
        <f ca="1">IFERROR(IF(AND(ISNUMBER($EC$32),$EC$32&lt;=30),INDEX('2.Distances'!$D$2:$D$963,$EC$31*31+$EC$32+ 1) +$EK$31," ")," ")</f>
        <v xml:space="preserve"> </v>
      </c>
      <c r="EK32" s="47" t="str">
        <f ca="1">IFERROR(IF(ISNUMBER($EJ$32),INDEX('1.Locations'!$I$2:$I$32,$EC$32 + 1) + MAX($EJ$32,INDEX('1.Locations'!$F$2:$F$32,$EC$32 + 1))," ")," ")</f>
        <v xml:space="preserve"> </v>
      </c>
      <c r="EL32" s="46" t="str">
        <f ca="1">IFERROR($EL$31 + INDEX('2.Distances'!$D$2:$D$963,$EC$31*31+$EC$32+ 1) + INDEX('1.Locations'!$I$2:$I$32,$EC$32 + 1)," ")</f>
        <v xml:space="preserve"> </v>
      </c>
      <c r="EN32" s="19">
        <v>27</v>
      </c>
      <c r="EO32" s="20"/>
      <c r="EP32" s="44" t="str">
        <f ca="1">IFERROR(MATCH(INDIRECT("$EO$32"),'1.Locations'!$B$2:$B$32, 0) - 1," ")</f>
        <v xml:space="preserve"> </v>
      </c>
      <c r="EQ32" s="44" t="e">
        <f ca="1">IFERROR(IF(ISNUMBER($EP$32),INDEX('1.Locations'!$D$2:$D$32,$EP$32 + 1),NA()),NA())</f>
        <v>#N/A</v>
      </c>
      <c r="ER32" s="44" t="e">
        <f ca="1">IFERROR(IF(ISNUMBER($EP$32),INDEX('1.Locations'!$E$2:$E$32,$EP$32 + 1),NA()),NA())</f>
        <v>#N/A</v>
      </c>
      <c r="ES32" s="45" t="str">
        <f ca="1">IFERROR(IF(AND(ISNUMBER($EP$32),$EP$32&lt;=30),INDEX('2.Distances'!$C$2:$C$963,$EP$31*31+$EP$32+ 1) +$ES$31," ")," ")</f>
        <v xml:space="preserve"> </v>
      </c>
      <c r="ET32" s="44" t="str">
        <f ca="1">IFERROR(IF(ISNUMBER($EP$32),INDEX('1.Locations'!$J$2:$J$32,$EP$32 + 1) +$ET$31," ")," ")</f>
        <v xml:space="preserve"> </v>
      </c>
      <c r="EU32" s="44" t="str">
        <f ca="1">IFERROR(IF(ISNUMBER($EP$32),INDEX('1.Locations'!$K$2:$K$32,$EP$32 + 1) +$EU$31," ")," ")</f>
        <v xml:space="preserve"> </v>
      </c>
      <c r="EV32" s="46" t="str">
        <f ca="1">IFERROR(IF(AND(ISNUMBER($EP$32),$EP$32&lt;=30),INDEX('2.Distances'!$D$2:$D$963,$EP$31*31+$EP$32+ 1) +$EV$31," ")," ")</f>
        <v xml:space="preserve"> </v>
      </c>
      <c r="EW32" s="47" t="str">
        <f ca="1">IFERROR(IF(AND(ISNUMBER($EP$32),$EP$32&lt;=30),INDEX('2.Distances'!$D$2:$D$963,$EP$31*31+$EP$32+ 1) +$EX$31," ")," ")</f>
        <v xml:space="preserve"> </v>
      </c>
      <c r="EX32" s="47" t="str">
        <f ca="1">IFERROR(IF(ISNUMBER($EW$32),INDEX('1.Locations'!$I$2:$I$32,$EP$32 + 1) + MAX($EW$32,INDEX('1.Locations'!$F$2:$F$32,$EP$32 + 1))," ")," ")</f>
        <v xml:space="preserve"> </v>
      </c>
      <c r="EY32" s="46" t="str">
        <f ca="1">IFERROR($EY$31 + INDEX('2.Distances'!$D$2:$D$963,$EP$31*31+$EP$32+ 1) + INDEX('1.Locations'!$I$2:$I$32,$EP$32 + 1)," ")</f>
        <v xml:space="preserve"> </v>
      </c>
    </row>
    <row r="33" spans="1:155" x14ac:dyDescent="0.2">
      <c r="A33" s="19">
        <v>28</v>
      </c>
      <c r="B33" s="20"/>
      <c r="C33" s="44" t="str">
        <f ca="1">IFERROR(MATCH(INDIRECT("$B$33"),'1.Locations'!$B$2:$B$32, 0) - 1," ")</f>
        <v xml:space="preserve"> </v>
      </c>
      <c r="D33" s="44" t="e">
        <f ca="1">IFERROR(IF(ISNUMBER($C$33),INDEX('1.Locations'!$D$2:$D$32,$C$33 + 1),NA()),NA())</f>
        <v>#N/A</v>
      </c>
      <c r="E33" s="44" t="e">
        <f ca="1">IFERROR(IF(ISNUMBER($C$33),INDEX('1.Locations'!$E$2:$E$32,$C$33 + 1),NA()),NA())</f>
        <v>#N/A</v>
      </c>
      <c r="F33" s="45" t="str">
        <f ca="1">IFERROR(IF(AND(ISNUMBER($C$33),$C$33&lt;=30),INDEX('2.Distances'!$C$2:$C$963,$C$32*31+$C$33+ 1) +$F$32," ")," ")</f>
        <v xml:space="preserve"> </v>
      </c>
      <c r="G33" s="44" t="str">
        <f ca="1">IFERROR(IF(ISNUMBER($C$33),INDEX('1.Locations'!$J$2:$J$32,$C$33 + 1) +$G$32," ")," ")</f>
        <v xml:space="preserve"> </v>
      </c>
      <c r="H33" s="44" t="str">
        <f ca="1">IFERROR(IF(ISNUMBER($C$33),INDEX('1.Locations'!$K$2:$K$32,$C$33 + 1) +$H$32," ")," ")</f>
        <v xml:space="preserve"> </v>
      </c>
      <c r="I33" s="46" t="str">
        <f ca="1">IFERROR(IF(AND(ISNUMBER($C$33),$C$33&lt;=30),INDEX('2.Distances'!$D$2:$D$963,$C$32*31+$C$33+ 1) +$I$32," ")," ")</f>
        <v xml:space="preserve"> </v>
      </c>
      <c r="J33" s="47" t="str">
        <f ca="1">IFERROR(IF(AND(ISNUMBER($C$33),$C$33&lt;=30),INDEX('2.Distances'!$D$2:$D$963,$C$32*31+$C$33+ 1) +$K$32," ")," ")</f>
        <v xml:space="preserve"> </v>
      </c>
      <c r="K33" s="47" t="str">
        <f ca="1">IFERROR(IF(ISNUMBER($J$33),INDEX('1.Locations'!$I$2:$I$32,$C$33 + 1) + MAX($J$33,INDEX('1.Locations'!$F$2:$F$32,$C$33 + 1))," ")," ")</f>
        <v xml:space="preserve"> </v>
      </c>
      <c r="L33" s="46" t="str">
        <f ca="1">IFERROR($L$32 + INDEX('2.Distances'!$D$2:$D$963,$C$32*31+$C$33+ 1) + INDEX('1.Locations'!$I$2:$I$32,$C$33 + 1)," ")</f>
        <v xml:space="preserve"> </v>
      </c>
      <c r="N33" s="19">
        <v>28</v>
      </c>
      <c r="O33" s="20"/>
      <c r="P33" s="44" t="str">
        <f ca="1">IFERROR(MATCH(INDIRECT("$O$33"),'1.Locations'!$B$2:$B$32, 0) - 1," ")</f>
        <v xml:space="preserve"> </v>
      </c>
      <c r="Q33" s="44" t="e">
        <f ca="1">IFERROR(IF(ISNUMBER($P$33),INDEX('1.Locations'!$D$2:$D$32,$P$33 + 1),NA()),NA())</f>
        <v>#N/A</v>
      </c>
      <c r="R33" s="44" t="e">
        <f ca="1">IFERROR(IF(ISNUMBER($P$33),INDEX('1.Locations'!$E$2:$E$32,$P$33 + 1),NA()),NA())</f>
        <v>#N/A</v>
      </c>
      <c r="S33" s="45" t="str">
        <f ca="1">IFERROR(IF(AND(ISNUMBER($P$33),$P$33&lt;=30),INDEX('2.Distances'!$C$2:$C$963,$P$32*31+$P$33+ 1) +$S$32," ")," ")</f>
        <v xml:space="preserve"> </v>
      </c>
      <c r="T33" s="44" t="str">
        <f ca="1">IFERROR(IF(ISNUMBER($P$33),INDEX('1.Locations'!$J$2:$J$32,$P$33 + 1) +$T$32," ")," ")</f>
        <v xml:space="preserve"> </v>
      </c>
      <c r="U33" s="44" t="str">
        <f ca="1">IFERROR(IF(ISNUMBER($P$33),INDEX('1.Locations'!$K$2:$K$32,$P$33 + 1) +$U$32," ")," ")</f>
        <v xml:space="preserve"> </v>
      </c>
      <c r="V33" s="46" t="str">
        <f ca="1">IFERROR(IF(AND(ISNUMBER($P$33),$P$33&lt;=30),INDEX('2.Distances'!$D$2:$D$963,$P$32*31+$P$33+ 1) +$V$32," ")," ")</f>
        <v xml:space="preserve"> </v>
      </c>
      <c r="W33" s="47" t="str">
        <f ca="1">IFERROR(IF(AND(ISNUMBER($P$33),$P$33&lt;=30),INDEX('2.Distances'!$D$2:$D$963,$P$32*31+$P$33+ 1) +$X$32," ")," ")</f>
        <v xml:space="preserve"> </v>
      </c>
      <c r="X33" s="47" t="str">
        <f ca="1">IFERROR(IF(ISNUMBER($W$33),INDEX('1.Locations'!$I$2:$I$32,$P$33 + 1) + MAX($W$33,INDEX('1.Locations'!$F$2:$F$32,$P$33 + 1))," ")," ")</f>
        <v xml:space="preserve"> </v>
      </c>
      <c r="Y33" s="46" t="str">
        <f ca="1">IFERROR($Y$32 + INDEX('2.Distances'!$D$2:$D$963,$P$32*31+$P$33+ 1) + INDEX('1.Locations'!$I$2:$I$32,$P$33 + 1)," ")</f>
        <v xml:space="preserve"> </v>
      </c>
      <c r="AA33" s="19">
        <v>28</v>
      </c>
      <c r="AB33" s="20"/>
      <c r="AC33" s="44" t="str">
        <f ca="1">IFERROR(MATCH(INDIRECT("$AB$33"),'1.Locations'!$B$2:$B$32, 0) - 1," ")</f>
        <v xml:space="preserve"> </v>
      </c>
      <c r="AD33" s="44" t="e">
        <f ca="1">IFERROR(IF(ISNUMBER($AC$33),INDEX('1.Locations'!$D$2:$D$32,$AC$33 + 1),NA()),NA())</f>
        <v>#N/A</v>
      </c>
      <c r="AE33" s="44" t="e">
        <f ca="1">IFERROR(IF(ISNUMBER($AC$33),INDEX('1.Locations'!$E$2:$E$32,$AC$33 + 1),NA()),NA())</f>
        <v>#N/A</v>
      </c>
      <c r="AF33" s="45" t="str">
        <f ca="1">IFERROR(IF(AND(ISNUMBER($AC$33),$AC$33&lt;=30),INDEX('2.Distances'!$C$2:$C$963,$AC$32*31+$AC$33+ 1) +$AF$32," ")," ")</f>
        <v xml:space="preserve"> </v>
      </c>
      <c r="AG33" s="44" t="str">
        <f ca="1">IFERROR(IF(ISNUMBER($AC$33),INDEX('1.Locations'!$J$2:$J$32,$AC$33 + 1) +$AG$32," ")," ")</f>
        <v xml:space="preserve"> </v>
      </c>
      <c r="AH33" s="44" t="str">
        <f ca="1">IFERROR(IF(ISNUMBER($AC$33),INDEX('1.Locations'!$K$2:$K$32,$AC$33 + 1) +$AH$32," ")," ")</f>
        <v xml:space="preserve"> </v>
      </c>
      <c r="AI33" s="46" t="str">
        <f ca="1">IFERROR(IF(AND(ISNUMBER($AC$33),$AC$33&lt;=30),INDEX('2.Distances'!$D$2:$D$963,$AC$32*31+$AC$33+ 1) +$AI$32," ")," ")</f>
        <v xml:space="preserve"> </v>
      </c>
      <c r="AJ33" s="47" t="str">
        <f ca="1">IFERROR(IF(AND(ISNUMBER($AC$33),$AC$33&lt;=30),INDEX('2.Distances'!$D$2:$D$963,$AC$32*31+$AC$33+ 1) +$AK$32," ")," ")</f>
        <v xml:space="preserve"> </v>
      </c>
      <c r="AK33" s="47" t="str">
        <f ca="1">IFERROR(IF(ISNUMBER($AJ$33),INDEX('1.Locations'!$I$2:$I$32,$AC$33 + 1) + MAX($AJ$33,INDEX('1.Locations'!$F$2:$F$32,$AC$33 + 1))," ")," ")</f>
        <v xml:space="preserve"> </v>
      </c>
      <c r="AL33" s="46" t="str">
        <f ca="1">IFERROR($AL$32 + INDEX('2.Distances'!$D$2:$D$963,$AC$32*31+$AC$33+ 1) + INDEX('1.Locations'!$I$2:$I$32,$AC$33 + 1)," ")</f>
        <v xml:space="preserve"> </v>
      </c>
      <c r="AN33" s="19">
        <v>28</v>
      </c>
      <c r="AO33" s="20"/>
      <c r="AP33" s="44" t="str">
        <f ca="1">IFERROR(MATCH(INDIRECT("$AO$33"),'1.Locations'!$B$2:$B$32, 0) - 1," ")</f>
        <v xml:space="preserve"> </v>
      </c>
      <c r="AQ33" s="44" t="e">
        <f ca="1">IFERROR(IF(ISNUMBER($AP$33),INDEX('1.Locations'!$D$2:$D$32,$AP$33 + 1),NA()),NA())</f>
        <v>#N/A</v>
      </c>
      <c r="AR33" s="44" t="e">
        <f ca="1">IFERROR(IF(ISNUMBER($AP$33),INDEX('1.Locations'!$E$2:$E$32,$AP$33 + 1),NA()),NA())</f>
        <v>#N/A</v>
      </c>
      <c r="AS33" s="45" t="str">
        <f ca="1">IFERROR(IF(AND(ISNUMBER($AP$33),$AP$33&lt;=30),INDEX('2.Distances'!$C$2:$C$963,$AP$32*31+$AP$33+ 1) +$AS$32," ")," ")</f>
        <v xml:space="preserve"> </v>
      </c>
      <c r="AT33" s="44" t="str">
        <f ca="1">IFERROR(IF(ISNUMBER($AP$33),INDEX('1.Locations'!$J$2:$J$32,$AP$33 + 1) +$AT$32," ")," ")</f>
        <v xml:space="preserve"> </v>
      </c>
      <c r="AU33" s="44" t="str">
        <f ca="1">IFERROR(IF(ISNUMBER($AP$33),INDEX('1.Locations'!$K$2:$K$32,$AP$33 + 1) +$AU$32," ")," ")</f>
        <v xml:space="preserve"> </v>
      </c>
      <c r="AV33" s="46" t="str">
        <f ca="1">IFERROR(IF(AND(ISNUMBER($AP$33),$AP$33&lt;=30),INDEX('2.Distances'!$D$2:$D$963,$AP$32*31+$AP$33+ 1) +$AV$32," ")," ")</f>
        <v xml:space="preserve"> </v>
      </c>
      <c r="AW33" s="47" t="str">
        <f ca="1">IFERROR(IF(AND(ISNUMBER($AP$33),$AP$33&lt;=30),INDEX('2.Distances'!$D$2:$D$963,$AP$32*31+$AP$33+ 1) +$AX$32," ")," ")</f>
        <v xml:space="preserve"> </v>
      </c>
      <c r="AX33" s="47" t="str">
        <f ca="1">IFERROR(IF(ISNUMBER($AW$33),INDEX('1.Locations'!$I$2:$I$32,$AP$33 + 1) + MAX($AW$33,INDEX('1.Locations'!$F$2:$F$32,$AP$33 + 1))," ")," ")</f>
        <v xml:space="preserve"> </v>
      </c>
      <c r="AY33" s="46" t="str">
        <f ca="1">IFERROR($AY$32 + INDEX('2.Distances'!$D$2:$D$963,$AP$32*31+$AP$33+ 1) + INDEX('1.Locations'!$I$2:$I$32,$AP$33 + 1)," ")</f>
        <v xml:space="preserve"> </v>
      </c>
      <c r="BA33" s="19">
        <v>28</v>
      </c>
      <c r="BB33" s="20"/>
      <c r="BC33" s="44" t="str">
        <f ca="1">IFERROR(MATCH(INDIRECT("$BB$33"),'1.Locations'!$B$2:$B$32, 0) - 1," ")</f>
        <v xml:space="preserve"> </v>
      </c>
      <c r="BD33" s="44" t="e">
        <f ca="1">IFERROR(IF(ISNUMBER($BC$33),INDEX('1.Locations'!$D$2:$D$32,$BC$33 + 1),NA()),NA())</f>
        <v>#N/A</v>
      </c>
      <c r="BE33" s="44" t="e">
        <f ca="1">IFERROR(IF(ISNUMBER($BC$33),INDEX('1.Locations'!$E$2:$E$32,$BC$33 + 1),NA()),NA())</f>
        <v>#N/A</v>
      </c>
      <c r="BF33" s="45" t="str">
        <f ca="1">IFERROR(IF(AND(ISNUMBER($BC$33),$BC$33&lt;=30),INDEX('2.Distances'!$C$2:$C$963,$BC$32*31+$BC$33+ 1) +$BF$32," ")," ")</f>
        <v xml:space="preserve"> </v>
      </c>
      <c r="BG33" s="44" t="str">
        <f ca="1">IFERROR(IF(ISNUMBER($BC$33),INDEX('1.Locations'!$J$2:$J$32,$BC$33 + 1) +$BG$32," ")," ")</f>
        <v xml:space="preserve"> </v>
      </c>
      <c r="BH33" s="44" t="str">
        <f ca="1">IFERROR(IF(ISNUMBER($BC$33),INDEX('1.Locations'!$K$2:$K$32,$BC$33 + 1) +$BH$32," ")," ")</f>
        <v xml:space="preserve"> </v>
      </c>
      <c r="BI33" s="46" t="str">
        <f ca="1">IFERROR(IF(AND(ISNUMBER($BC$33),$BC$33&lt;=30),INDEX('2.Distances'!$D$2:$D$963,$BC$32*31+$BC$33+ 1) +$BI$32," ")," ")</f>
        <v xml:space="preserve"> </v>
      </c>
      <c r="BJ33" s="47" t="str">
        <f ca="1">IFERROR(IF(AND(ISNUMBER($BC$33),$BC$33&lt;=30),INDEX('2.Distances'!$D$2:$D$963,$BC$32*31+$BC$33+ 1) +$BK$32," ")," ")</f>
        <v xml:space="preserve"> </v>
      </c>
      <c r="BK33" s="47" t="str">
        <f ca="1">IFERROR(IF(ISNUMBER($BJ$33),INDEX('1.Locations'!$I$2:$I$32,$BC$33 + 1) + MAX($BJ$33,INDEX('1.Locations'!$F$2:$F$32,$BC$33 + 1))," ")," ")</f>
        <v xml:space="preserve"> </v>
      </c>
      <c r="BL33" s="46" t="str">
        <f ca="1">IFERROR($BL$32 + INDEX('2.Distances'!$D$2:$D$963,$BC$32*31+$BC$33+ 1) + INDEX('1.Locations'!$I$2:$I$32,$BC$33 + 1)," ")</f>
        <v xml:space="preserve"> </v>
      </c>
      <c r="BN33" s="19">
        <v>28</v>
      </c>
      <c r="BO33" s="20"/>
      <c r="BP33" s="44" t="str">
        <f ca="1">IFERROR(MATCH(INDIRECT("$BO$33"),'1.Locations'!$B$2:$B$32, 0) - 1," ")</f>
        <v xml:space="preserve"> </v>
      </c>
      <c r="BQ33" s="44" t="e">
        <f ca="1">IFERROR(IF(ISNUMBER($BP$33),INDEX('1.Locations'!$D$2:$D$32,$BP$33 + 1),NA()),NA())</f>
        <v>#N/A</v>
      </c>
      <c r="BR33" s="44" t="e">
        <f ca="1">IFERROR(IF(ISNUMBER($BP$33),INDEX('1.Locations'!$E$2:$E$32,$BP$33 + 1),NA()),NA())</f>
        <v>#N/A</v>
      </c>
      <c r="BS33" s="45" t="str">
        <f ca="1">IFERROR(IF(AND(ISNUMBER($BP$33),$BP$33&lt;=30),INDEX('2.Distances'!$C$2:$C$963,$BP$32*31+$BP$33+ 1) +$BS$32," ")," ")</f>
        <v xml:space="preserve"> </v>
      </c>
      <c r="BT33" s="44" t="str">
        <f ca="1">IFERROR(IF(ISNUMBER($BP$33),INDEX('1.Locations'!$J$2:$J$32,$BP$33 + 1) +$BT$32," ")," ")</f>
        <v xml:space="preserve"> </v>
      </c>
      <c r="BU33" s="44" t="str">
        <f ca="1">IFERROR(IF(ISNUMBER($BP$33),INDEX('1.Locations'!$K$2:$K$32,$BP$33 + 1) +$BU$32," ")," ")</f>
        <v xml:space="preserve"> </v>
      </c>
      <c r="BV33" s="46" t="str">
        <f ca="1">IFERROR(IF(AND(ISNUMBER($BP$33),$BP$33&lt;=30),INDEX('2.Distances'!$D$2:$D$963,$BP$32*31+$BP$33+ 1) +$BV$32," ")," ")</f>
        <v xml:space="preserve"> </v>
      </c>
      <c r="BW33" s="47" t="str">
        <f ca="1">IFERROR(IF(AND(ISNUMBER($BP$33),$BP$33&lt;=30),INDEX('2.Distances'!$D$2:$D$963,$BP$32*31+$BP$33+ 1) +$BX$32," ")," ")</f>
        <v xml:space="preserve"> </v>
      </c>
      <c r="BX33" s="47" t="str">
        <f ca="1">IFERROR(IF(ISNUMBER($BW$33),INDEX('1.Locations'!$I$2:$I$32,$BP$33 + 1) + MAX($BW$33,INDEX('1.Locations'!$F$2:$F$32,$BP$33 + 1))," ")," ")</f>
        <v xml:space="preserve"> </v>
      </c>
      <c r="BY33" s="46" t="str">
        <f ca="1">IFERROR($BY$32 + INDEX('2.Distances'!$D$2:$D$963,$BP$32*31+$BP$33+ 1) + INDEX('1.Locations'!$I$2:$I$32,$BP$33 + 1)," ")</f>
        <v xml:space="preserve"> </v>
      </c>
      <c r="CA33" s="19">
        <v>28</v>
      </c>
      <c r="CB33" s="20"/>
      <c r="CC33" s="44" t="str">
        <f ca="1">IFERROR(MATCH(INDIRECT("$CB$33"),'1.Locations'!$B$2:$B$32, 0) - 1," ")</f>
        <v xml:space="preserve"> </v>
      </c>
      <c r="CD33" s="44" t="e">
        <f ca="1">IFERROR(IF(ISNUMBER($CC$33),INDEX('1.Locations'!$D$2:$D$32,$CC$33 + 1),NA()),NA())</f>
        <v>#N/A</v>
      </c>
      <c r="CE33" s="44" t="e">
        <f ca="1">IFERROR(IF(ISNUMBER($CC$33),INDEX('1.Locations'!$E$2:$E$32,$CC$33 + 1),NA()),NA())</f>
        <v>#N/A</v>
      </c>
      <c r="CF33" s="45" t="str">
        <f ca="1">IFERROR(IF(AND(ISNUMBER($CC$33),$CC$33&lt;=30),INDEX('2.Distances'!$C$2:$C$963,$CC$32*31+$CC$33+ 1) +$CF$32," ")," ")</f>
        <v xml:space="preserve"> </v>
      </c>
      <c r="CG33" s="44" t="str">
        <f ca="1">IFERROR(IF(ISNUMBER($CC$33),INDEX('1.Locations'!$J$2:$J$32,$CC$33 + 1) +$CG$32," ")," ")</f>
        <v xml:space="preserve"> </v>
      </c>
      <c r="CH33" s="44" t="str">
        <f ca="1">IFERROR(IF(ISNUMBER($CC$33),INDEX('1.Locations'!$K$2:$K$32,$CC$33 + 1) +$CH$32," ")," ")</f>
        <v xml:space="preserve"> </v>
      </c>
      <c r="CI33" s="46" t="str">
        <f ca="1">IFERROR(IF(AND(ISNUMBER($CC$33),$CC$33&lt;=30),INDEX('2.Distances'!$D$2:$D$963,$CC$32*31+$CC$33+ 1) +$CI$32," ")," ")</f>
        <v xml:space="preserve"> </v>
      </c>
      <c r="CJ33" s="47" t="str">
        <f ca="1">IFERROR(IF(AND(ISNUMBER($CC$33),$CC$33&lt;=30),INDEX('2.Distances'!$D$2:$D$963,$CC$32*31+$CC$33+ 1) +$CK$32," ")," ")</f>
        <v xml:space="preserve"> </v>
      </c>
      <c r="CK33" s="47" t="str">
        <f ca="1">IFERROR(IF(ISNUMBER($CJ$33),INDEX('1.Locations'!$I$2:$I$32,$CC$33 + 1) + MAX($CJ$33,INDEX('1.Locations'!$F$2:$F$32,$CC$33 + 1))," ")," ")</f>
        <v xml:space="preserve"> </v>
      </c>
      <c r="CL33" s="46" t="str">
        <f ca="1">IFERROR($CL$32 + INDEX('2.Distances'!$D$2:$D$963,$CC$32*31+$CC$33+ 1) + INDEX('1.Locations'!$I$2:$I$32,$CC$33 + 1)," ")</f>
        <v xml:space="preserve"> </v>
      </c>
      <c r="CN33" s="19">
        <v>28</v>
      </c>
      <c r="CO33" s="20"/>
      <c r="CP33" s="44" t="str">
        <f ca="1">IFERROR(MATCH(INDIRECT("$CO$33"),'1.Locations'!$B$2:$B$32, 0) - 1," ")</f>
        <v xml:space="preserve"> </v>
      </c>
      <c r="CQ33" s="44" t="e">
        <f ca="1">IFERROR(IF(ISNUMBER($CP$33),INDEX('1.Locations'!$D$2:$D$32,$CP$33 + 1),NA()),NA())</f>
        <v>#N/A</v>
      </c>
      <c r="CR33" s="44" t="e">
        <f ca="1">IFERROR(IF(ISNUMBER($CP$33),INDEX('1.Locations'!$E$2:$E$32,$CP$33 + 1),NA()),NA())</f>
        <v>#N/A</v>
      </c>
      <c r="CS33" s="45" t="str">
        <f ca="1">IFERROR(IF(AND(ISNUMBER($CP$33),$CP$33&lt;=30),INDEX('2.Distances'!$C$2:$C$963,$CP$32*31+$CP$33+ 1) +$CS$32," ")," ")</f>
        <v xml:space="preserve"> </v>
      </c>
      <c r="CT33" s="44" t="str">
        <f ca="1">IFERROR(IF(ISNUMBER($CP$33),INDEX('1.Locations'!$J$2:$J$32,$CP$33 + 1) +$CT$32," ")," ")</f>
        <v xml:space="preserve"> </v>
      </c>
      <c r="CU33" s="44" t="str">
        <f ca="1">IFERROR(IF(ISNUMBER($CP$33),INDEX('1.Locations'!$K$2:$K$32,$CP$33 + 1) +$CU$32," ")," ")</f>
        <v xml:space="preserve"> </v>
      </c>
      <c r="CV33" s="46" t="str">
        <f ca="1">IFERROR(IF(AND(ISNUMBER($CP$33),$CP$33&lt;=30),INDEX('2.Distances'!$D$2:$D$963,$CP$32*31+$CP$33+ 1) +$CV$32," ")," ")</f>
        <v xml:space="preserve"> </v>
      </c>
      <c r="CW33" s="47" t="str">
        <f ca="1">IFERROR(IF(AND(ISNUMBER($CP$33),$CP$33&lt;=30),INDEX('2.Distances'!$D$2:$D$963,$CP$32*31+$CP$33+ 1) +$CX$32," ")," ")</f>
        <v xml:space="preserve"> </v>
      </c>
      <c r="CX33" s="47" t="str">
        <f ca="1">IFERROR(IF(ISNUMBER($CW$33),INDEX('1.Locations'!$I$2:$I$32,$CP$33 + 1) + MAX($CW$33,INDEX('1.Locations'!$F$2:$F$32,$CP$33 + 1))," ")," ")</f>
        <v xml:space="preserve"> </v>
      </c>
      <c r="CY33" s="46" t="str">
        <f ca="1">IFERROR($CY$32 + INDEX('2.Distances'!$D$2:$D$963,$CP$32*31+$CP$33+ 1) + INDEX('1.Locations'!$I$2:$I$32,$CP$33 + 1)," ")</f>
        <v xml:space="preserve"> </v>
      </c>
      <c r="DA33" s="19">
        <v>28</v>
      </c>
      <c r="DB33" s="20"/>
      <c r="DC33" s="44" t="str">
        <f ca="1">IFERROR(MATCH(INDIRECT("$DB$33"),'1.Locations'!$B$2:$B$32, 0) - 1," ")</f>
        <v xml:space="preserve"> </v>
      </c>
      <c r="DD33" s="44" t="e">
        <f ca="1">IFERROR(IF(ISNUMBER($DC$33),INDEX('1.Locations'!$D$2:$D$32,$DC$33 + 1),NA()),NA())</f>
        <v>#N/A</v>
      </c>
      <c r="DE33" s="44" t="e">
        <f ca="1">IFERROR(IF(ISNUMBER($DC$33),INDEX('1.Locations'!$E$2:$E$32,$DC$33 + 1),NA()),NA())</f>
        <v>#N/A</v>
      </c>
      <c r="DF33" s="45" t="str">
        <f ca="1">IFERROR(IF(AND(ISNUMBER($DC$33),$DC$33&lt;=30),INDEX('2.Distances'!$C$2:$C$963,$DC$32*31+$DC$33+ 1) +$DF$32," ")," ")</f>
        <v xml:space="preserve"> </v>
      </c>
      <c r="DG33" s="44" t="str">
        <f ca="1">IFERROR(IF(ISNUMBER($DC$33),INDEX('1.Locations'!$J$2:$J$32,$DC$33 + 1) +$DG$32," ")," ")</f>
        <v xml:space="preserve"> </v>
      </c>
      <c r="DH33" s="44" t="str">
        <f ca="1">IFERROR(IF(ISNUMBER($DC$33),INDEX('1.Locations'!$K$2:$K$32,$DC$33 + 1) +$DH$32," ")," ")</f>
        <v xml:space="preserve"> </v>
      </c>
      <c r="DI33" s="46" t="str">
        <f ca="1">IFERROR(IF(AND(ISNUMBER($DC$33),$DC$33&lt;=30),INDEX('2.Distances'!$D$2:$D$963,$DC$32*31+$DC$33+ 1) +$DI$32," ")," ")</f>
        <v xml:space="preserve"> </v>
      </c>
      <c r="DJ33" s="47" t="str">
        <f ca="1">IFERROR(IF(AND(ISNUMBER($DC$33),$DC$33&lt;=30),INDEX('2.Distances'!$D$2:$D$963,$DC$32*31+$DC$33+ 1) +$DK$32," ")," ")</f>
        <v xml:space="preserve"> </v>
      </c>
      <c r="DK33" s="47" t="str">
        <f ca="1">IFERROR(IF(ISNUMBER($DJ$33),INDEX('1.Locations'!$I$2:$I$32,$DC$33 + 1) + MAX($DJ$33,INDEX('1.Locations'!$F$2:$F$32,$DC$33 + 1))," ")," ")</f>
        <v xml:space="preserve"> </v>
      </c>
      <c r="DL33" s="46" t="str">
        <f ca="1">IFERROR($DL$32 + INDEX('2.Distances'!$D$2:$D$963,$DC$32*31+$DC$33+ 1) + INDEX('1.Locations'!$I$2:$I$32,$DC$33 + 1)," ")</f>
        <v xml:space="preserve"> </v>
      </c>
      <c r="DN33" s="19">
        <v>28</v>
      </c>
      <c r="DO33" s="20"/>
      <c r="DP33" s="44" t="str">
        <f ca="1">IFERROR(MATCH(INDIRECT("$DO$33"),'1.Locations'!$B$2:$B$32, 0) - 1," ")</f>
        <v xml:space="preserve"> </v>
      </c>
      <c r="DQ33" s="44" t="e">
        <f ca="1">IFERROR(IF(ISNUMBER($DP$33),INDEX('1.Locations'!$D$2:$D$32,$DP$33 + 1),NA()),NA())</f>
        <v>#N/A</v>
      </c>
      <c r="DR33" s="44" t="e">
        <f ca="1">IFERROR(IF(ISNUMBER($DP$33),INDEX('1.Locations'!$E$2:$E$32,$DP$33 + 1),NA()),NA())</f>
        <v>#N/A</v>
      </c>
      <c r="DS33" s="45" t="str">
        <f ca="1">IFERROR(IF(AND(ISNUMBER($DP$33),$DP$33&lt;=30),INDEX('2.Distances'!$C$2:$C$963,$DP$32*31+$DP$33+ 1) +$DS$32," ")," ")</f>
        <v xml:space="preserve"> </v>
      </c>
      <c r="DT33" s="44" t="str">
        <f ca="1">IFERROR(IF(ISNUMBER($DP$33),INDEX('1.Locations'!$J$2:$J$32,$DP$33 + 1) +$DT$32," ")," ")</f>
        <v xml:space="preserve"> </v>
      </c>
      <c r="DU33" s="44" t="str">
        <f ca="1">IFERROR(IF(ISNUMBER($DP$33),INDEX('1.Locations'!$K$2:$K$32,$DP$33 + 1) +$DU$32," ")," ")</f>
        <v xml:space="preserve"> </v>
      </c>
      <c r="DV33" s="46" t="str">
        <f ca="1">IFERROR(IF(AND(ISNUMBER($DP$33),$DP$33&lt;=30),INDEX('2.Distances'!$D$2:$D$963,$DP$32*31+$DP$33+ 1) +$DV$32," ")," ")</f>
        <v xml:space="preserve"> </v>
      </c>
      <c r="DW33" s="47" t="str">
        <f ca="1">IFERROR(IF(AND(ISNUMBER($DP$33),$DP$33&lt;=30),INDEX('2.Distances'!$D$2:$D$963,$DP$32*31+$DP$33+ 1) +$DX$32," ")," ")</f>
        <v xml:space="preserve"> </v>
      </c>
      <c r="DX33" s="47" t="str">
        <f ca="1">IFERROR(IF(ISNUMBER($DW$33),INDEX('1.Locations'!$I$2:$I$32,$DP$33 + 1) + MAX($DW$33,INDEX('1.Locations'!$F$2:$F$32,$DP$33 + 1))," ")," ")</f>
        <v xml:space="preserve"> </v>
      </c>
      <c r="DY33" s="46" t="str">
        <f ca="1">IFERROR($DY$32 + INDEX('2.Distances'!$D$2:$D$963,$DP$32*31+$DP$33+ 1) + INDEX('1.Locations'!$I$2:$I$32,$DP$33 + 1)," ")</f>
        <v xml:space="preserve"> </v>
      </c>
      <c r="EA33" s="19">
        <v>28</v>
      </c>
      <c r="EB33" s="20"/>
      <c r="EC33" s="44" t="str">
        <f ca="1">IFERROR(MATCH(INDIRECT("$EB$33"),'1.Locations'!$B$2:$B$32, 0) - 1," ")</f>
        <v xml:space="preserve"> </v>
      </c>
      <c r="ED33" s="44" t="e">
        <f ca="1">IFERROR(IF(ISNUMBER($EC$33),INDEX('1.Locations'!$D$2:$D$32,$EC$33 + 1),NA()),NA())</f>
        <v>#N/A</v>
      </c>
      <c r="EE33" s="44" t="e">
        <f ca="1">IFERROR(IF(ISNUMBER($EC$33),INDEX('1.Locations'!$E$2:$E$32,$EC$33 + 1),NA()),NA())</f>
        <v>#N/A</v>
      </c>
      <c r="EF33" s="45" t="str">
        <f ca="1">IFERROR(IF(AND(ISNUMBER($EC$33),$EC$33&lt;=30),INDEX('2.Distances'!$C$2:$C$963,$EC$32*31+$EC$33+ 1) +$EF$32," ")," ")</f>
        <v xml:space="preserve"> </v>
      </c>
      <c r="EG33" s="44" t="str">
        <f ca="1">IFERROR(IF(ISNUMBER($EC$33),INDEX('1.Locations'!$J$2:$J$32,$EC$33 + 1) +$EG$32," ")," ")</f>
        <v xml:space="preserve"> </v>
      </c>
      <c r="EH33" s="44" t="str">
        <f ca="1">IFERROR(IF(ISNUMBER($EC$33),INDEX('1.Locations'!$K$2:$K$32,$EC$33 + 1) +$EH$32," ")," ")</f>
        <v xml:space="preserve"> </v>
      </c>
      <c r="EI33" s="46" t="str">
        <f ca="1">IFERROR(IF(AND(ISNUMBER($EC$33),$EC$33&lt;=30),INDEX('2.Distances'!$D$2:$D$963,$EC$32*31+$EC$33+ 1) +$EI$32," ")," ")</f>
        <v xml:space="preserve"> </v>
      </c>
      <c r="EJ33" s="47" t="str">
        <f ca="1">IFERROR(IF(AND(ISNUMBER($EC$33),$EC$33&lt;=30),INDEX('2.Distances'!$D$2:$D$963,$EC$32*31+$EC$33+ 1) +$EK$32," ")," ")</f>
        <v xml:space="preserve"> </v>
      </c>
      <c r="EK33" s="47" t="str">
        <f ca="1">IFERROR(IF(ISNUMBER($EJ$33),INDEX('1.Locations'!$I$2:$I$32,$EC$33 + 1) + MAX($EJ$33,INDEX('1.Locations'!$F$2:$F$32,$EC$33 + 1))," ")," ")</f>
        <v xml:space="preserve"> </v>
      </c>
      <c r="EL33" s="46" t="str">
        <f ca="1">IFERROR($EL$32 + INDEX('2.Distances'!$D$2:$D$963,$EC$32*31+$EC$33+ 1) + INDEX('1.Locations'!$I$2:$I$32,$EC$33 + 1)," ")</f>
        <v xml:space="preserve"> </v>
      </c>
      <c r="EN33" s="19">
        <v>28</v>
      </c>
      <c r="EO33" s="20"/>
      <c r="EP33" s="44" t="str">
        <f ca="1">IFERROR(MATCH(INDIRECT("$EO$33"),'1.Locations'!$B$2:$B$32, 0) - 1," ")</f>
        <v xml:space="preserve"> </v>
      </c>
      <c r="EQ33" s="44" t="e">
        <f ca="1">IFERROR(IF(ISNUMBER($EP$33),INDEX('1.Locations'!$D$2:$D$32,$EP$33 + 1),NA()),NA())</f>
        <v>#N/A</v>
      </c>
      <c r="ER33" s="44" t="e">
        <f ca="1">IFERROR(IF(ISNUMBER($EP$33),INDEX('1.Locations'!$E$2:$E$32,$EP$33 + 1),NA()),NA())</f>
        <v>#N/A</v>
      </c>
      <c r="ES33" s="45" t="str">
        <f ca="1">IFERROR(IF(AND(ISNUMBER($EP$33),$EP$33&lt;=30),INDEX('2.Distances'!$C$2:$C$963,$EP$32*31+$EP$33+ 1) +$ES$32," ")," ")</f>
        <v xml:space="preserve"> </v>
      </c>
      <c r="ET33" s="44" t="str">
        <f ca="1">IFERROR(IF(ISNUMBER($EP$33),INDEX('1.Locations'!$J$2:$J$32,$EP$33 + 1) +$ET$32," ")," ")</f>
        <v xml:space="preserve"> </v>
      </c>
      <c r="EU33" s="44" t="str">
        <f ca="1">IFERROR(IF(ISNUMBER($EP$33),INDEX('1.Locations'!$K$2:$K$32,$EP$33 + 1) +$EU$32," ")," ")</f>
        <v xml:space="preserve"> </v>
      </c>
      <c r="EV33" s="46" t="str">
        <f ca="1">IFERROR(IF(AND(ISNUMBER($EP$33),$EP$33&lt;=30),INDEX('2.Distances'!$D$2:$D$963,$EP$32*31+$EP$33+ 1) +$EV$32," ")," ")</f>
        <v xml:space="preserve"> </v>
      </c>
      <c r="EW33" s="47" t="str">
        <f ca="1">IFERROR(IF(AND(ISNUMBER($EP$33),$EP$33&lt;=30),INDEX('2.Distances'!$D$2:$D$963,$EP$32*31+$EP$33+ 1) +$EX$32," ")," ")</f>
        <v xml:space="preserve"> </v>
      </c>
      <c r="EX33" s="47" t="str">
        <f ca="1">IFERROR(IF(ISNUMBER($EW$33),INDEX('1.Locations'!$I$2:$I$32,$EP$33 + 1) + MAX($EW$33,INDEX('1.Locations'!$F$2:$F$32,$EP$33 + 1))," ")," ")</f>
        <v xml:space="preserve"> </v>
      </c>
      <c r="EY33" s="46" t="str">
        <f ca="1">IFERROR($EY$32 + INDEX('2.Distances'!$D$2:$D$963,$EP$32*31+$EP$33+ 1) + INDEX('1.Locations'!$I$2:$I$32,$EP$33 + 1)," ")</f>
        <v xml:space="preserve"> </v>
      </c>
    </row>
    <row r="34" spans="1:155" x14ac:dyDescent="0.2">
      <c r="A34" s="19">
        <v>29</v>
      </c>
      <c r="B34" s="20"/>
      <c r="C34" s="44" t="str">
        <f ca="1">IFERROR(MATCH(INDIRECT("$B$34"),'1.Locations'!$B$2:$B$32, 0) - 1," ")</f>
        <v xml:space="preserve"> </v>
      </c>
      <c r="D34" s="44" t="e">
        <f ca="1">IFERROR(IF(ISNUMBER($C$34),INDEX('1.Locations'!$D$2:$D$32,$C$34 + 1),NA()),NA())</f>
        <v>#N/A</v>
      </c>
      <c r="E34" s="44" t="e">
        <f ca="1">IFERROR(IF(ISNUMBER($C$34),INDEX('1.Locations'!$E$2:$E$32,$C$34 + 1),NA()),NA())</f>
        <v>#N/A</v>
      </c>
      <c r="F34" s="45" t="str">
        <f ca="1">IFERROR(IF(AND(ISNUMBER($C$34),$C$34&lt;=30),INDEX('2.Distances'!$C$2:$C$963,$C$33*31+$C$34+ 1) +$F$33," ")," ")</f>
        <v xml:space="preserve"> </v>
      </c>
      <c r="G34" s="44" t="str">
        <f ca="1">IFERROR(IF(ISNUMBER($C$34),INDEX('1.Locations'!$J$2:$J$32,$C$34 + 1) +$G$33," ")," ")</f>
        <v xml:space="preserve"> </v>
      </c>
      <c r="H34" s="44" t="str">
        <f ca="1">IFERROR(IF(ISNUMBER($C$34),INDEX('1.Locations'!$K$2:$K$32,$C$34 + 1) +$H$33," ")," ")</f>
        <v xml:space="preserve"> </v>
      </c>
      <c r="I34" s="46" t="str">
        <f ca="1">IFERROR(IF(AND(ISNUMBER($C$34),$C$34&lt;=30),INDEX('2.Distances'!$D$2:$D$963,$C$33*31+$C$34+ 1) +$I$33," ")," ")</f>
        <v xml:space="preserve"> </v>
      </c>
      <c r="J34" s="47" t="str">
        <f ca="1">IFERROR(IF(AND(ISNUMBER($C$34),$C$34&lt;=30),INDEX('2.Distances'!$D$2:$D$963,$C$33*31+$C$34+ 1) +$K$33," ")," ")</f>
        <v xml:space="preserve"> </v>
      </c>
      <c r="K34" s="47" t="str">
        <f ca="1">IFERROR(IF(ISNUMBER($J$34),INDEX('1.Locations'!$I$2:$I$32,$C$34 + 1) + MAX($J$34,INDEX('1.Locations'!$F$2:$F$32,$C$34 + 1))," ")," ")</f>
        <v xml:space="preserve"> </v>
      </c>
      <c r="L34" s="46" t="str">
        <f ca="1">IFERROR($L$33 + INDEX('2.Distances'!$D$2:$D$963,$C$33*31+$C$34+ 1) + INDEX('1.Locations'!$I$2:$I$32,$C$34 + 1)," ")</f>
        <v xml:space="preserve"> </v>
      </c>
      <c r="N34" s="19">
        <v>29</v>
      </c>
      <c r="O34" s="20"/>
      <c r="P34" s="44" t="str">
        <f ca="1">IFERROR(MATCH(INDIRECT("$O$34"),'1.Locations'!$B$2:$B$32, 0) - 1," ")</f>
        <v xml:space="preserve"> </v>
      </c>
      <c r="Q34" s="44" t="e">
        <f ca="1">IFERROR(IF(ISNUMBER($P$34),INDEX('1.Locations'!$D$2:$D$32,$P$34 + 1),NA()),NA())</f>
        <v>#N/A</v>
      </c>
      <c r="R34" s="44" t="e">
        <f ca="1">IFERROR(IF(ISNUMBER($P$34),INDEX('1.Locations'!$E$2:$E$32,$P$34 + 1),NA()),NA())</f>
        <v>#N/A</v>
      </c>
      <c r="S34" s="45" t="str">
        <f ca="1">IFERROR(IF(AND(ISNUMBER($P$34),$P$34&lt;=30),INDEX('2.Distances'!$C$2:$C$963,$P$33*31+$P$34+ 1) +$S$33," ")," ")</f>
        <v xml:space="preserve"> </v>
      </c>
      <c r="T34" s="44" t="str">
        <f ca="1">IFERROR(IF(ISNUMBER($P$34),INDEX('1.Locations'!$J$2:$J$32,$P$34 + 1) +$T$33," ")," ")</f>
        <v xml:space="preserve"> </v>
      </c>
      <c r="U34" s="44" t="str">
        <f ca="1">IFERROR(IF(ISNUMBER($P$34),INDEX('1.Locations'!$K$2:$K$32,$P$34 + 1) +$U$33," ")," ")</f>
        <v xml:space="preserve"> </v>
      </c>
      <c r="V34" s="46" t="str">
        <f ca="1">IFERROR(IF(AND(ISNUMBER($P$34),$P$34&lt;=30),INDEX('2.Distances'!$D$2:$D$963,$P$33*31+$P$34+ 1) +$V$33," ")," ")</f>
        <v xml:space="preserve"> </v>
      </c>
      <c r="W34" s="47" t="str">
        <f ca="1">IFERROR(IF(AND(ISNUMBER($P$34),$P$34&lt;=30),INDEX('2.Distances'!$D$2:$D$963,$P$33*31+$P$34+ 1) +$X$33," ")," ")</f>
        <v xml:space="preserve"> </v>
      </c>
      <c r="X34" s="47" t="str">
        <f ca="1">IFERROR(IF(ISNUMBER($W$34),INDEX('1.Locations'!$I$2:$I$32,$P$34 + 1) + MAX($W$34,INDEX('1.Locations'!$F$2:$F$32,$P$34 + 1))," ")," ")</f>
        <v xml:space="preserve"> </v>
      </c>
      <c r="Y34" s="46" t="str">
        <f ca="1">IFERROR($Y$33 + INDEX('2.Distances'!$D$2:$D$963,$P$33*31+$P$34+ 1) + INDEX('1.Locations'!$I$2:$I$32,$P$34 + 1)," ")</f>
        <v xml:space="preserve"> </v>
      </c>
      <c r="AA34" s="19">
        <v>29</v>
      </c>
      <c r="AB34" s="20"/>
      <c r="AC34" s="44" t="str">
        <f ca="1">IFERROR(MATCH(INDIRECT("$AB$34"),'1.Locations'!$B$2:$B$32, 0) - 1," ")</f>
        <v xml:space="preserve"> </v>
      </c>
      <c r="AD34" s="44" t="e">
        <f ca="1">IFERROR(IF(ISNUMBER($AC$34),INDEX('1.Locations'!$D$2:$D$32,$AC$34 + 1),NA()),NA())</f>
        <v>#N/A</v>
      </c>
      <c r="AE34" s="44" t="e">
        <f ca="1">IFERROR(IF(ISNUMBER($AC$34),INDEX('1.Locations'!$E$2:$E$32,$AC$34 + 1),NA()),NA())</f>
        <v>#N/A</v>
      </c>
      <c r="AF34" s="45" t="str">
        <f ca="1">IFERROR(IF(AND(ISNUMBER($AC$34),$AC$34&lt;=30),INDEX('2.Distances'!$C$2:$C$963,$AC$33*31+$AC$34+ 1) +$AF$33," ")," ")</f>
        <v xml:space="preserve"> </v>
      </c>
      <c r="AG34" s="44" t="str">
        <f ca="1">IFERROR(IF(ISNUMBER($AC$34),INDEX('1.Locations'!$J$2:$J$32,$AC$34 + 1) +$AG$33," ")," ")</f>
        <v xml:space="preserve"> </v>
      </c>
      <c r="AH34" s="44" t="str">
        <f ca="1">IFERROR(IF(ISNUMBER($AC$34),INDEX('1.Locations'!$K$2:$K$32,$AC$34 + 1) +$AH$33," ")," ")</f>
        <v xml:space="preserve"> </v>
      </c>
      <c r="AI34" s="46" t="str">
        <f ca="1">IFERROR(IF(AND(ISNUMBER($AC$34),$AC$34&lt;=30),INDEX('2.Distances'!$D$2:$D$963,$AC$33*31+$AC$34+ 1) +$AI$33," ")," ")</f>
        <v xml:space="preserve"> </v>
      </c>
      <c r="AJ34" s="47" t="str">
        <f ca="1">IFERROR(IF(AND(ISNUMBER($AC$34),$AC$34&lt;=30),INDEX('2.Distances'!$D$2:$D$963,$AC$33*31+$AC$34+ 1) +$AK$33," ")," ")</f>
        <v xml:space="preserve"> </v>
      </c>
      <c r="AK34" s="47" t="str">
        <f ca="1">IFERROR(IF(ISNUMBER($AJ$34),INDEX('1.Locations'!$I$2:$I$32,$AC$34 + 1) + MAX($AJ$34,INDEX('1.Locations'!$F$2:$F$32,$AC$34 + 1))," ")," ")</f>
        <v xml:space="preserve"> </v>
      </c>
      <c r="AL34" s="46" t="str">
        <f ca="1">IFERROR($AL$33 + INDEX('2.Distances'!$D$2:$D$963,$AC$33*31+$AC$34+ 1) + INDEX('1.Locations'!$I$2:$I$32,$AC$34 + 1)," ")</f>
        <v xml:space="preserve"> </v>
      </c>
      <c r="AN34" s="19">
        <v>29</v>
      </c>
      <c r="AO34" s="20"/>
      <c r="AP34" s="44" t="str">
        <f ca="1">IFERROR(MATCH(INDIRECT("$AO$34"),'1.Locations'!$B$2:$B$32, 0) - 1," ")</f>
        <v xml:space="preserve"> </v>
      </c>
      <c r="AQ34" s="44" t="e">
        <f ca="1">IFERROR(IF(ISNUMBER($AP$34),INDEX('1.Locations'!$D$2:$D$32,$AP$34 + 1),NA()),NA())</f>
        <v>#N/A</v>
      </c>
      <c r="AR34" s="44" t="e">
        <f ca="1">IFERROR(IF(ISNUMBER($AP$34),INDEX('1.Locations'!$E$2:$E$32,$AP$34 + 1),NA()),NA())</f>
        <v>#N/A</v>
      </c>
      <c r="AS34" s="45" t="str">
        <f ca="1">IFERROR(IF(AND(ISNUMBER($AP$34),$AP$34&lt;=30),INDEX('2.Distances'!$C$2:$C$963,$AP$33*31+$AP$34+ 1) +$AS$33," ")," ")</f>
        <v xml:space="preserve"> </v>
      </c>
      <c r="AT34" s="44" t="str">
        <f ca="1">IFERROR(IF(ISNUMBER($AP$34),INDEX('1.Locations'!$J$2:$J$32,$AP$34 + 1) +$AT$33," ")," ")</f>
        <v xml:space="preserve"> </v>
      </c>
      <c r="AU34" s="44" t="str">
        <f ca="1">IFERROR(IF(ISNUMBER($AP$34),INDEX('1.Locations'!$K$2:$K$32,$AP$34 + 1) +$AU$33," ")," ")</f>
        <v xml:space="preserve"> </v>
      </c>
      <c r="AV34" s="46" t="str">
        <f ca="1">IFERROR(IF(AND(ISNUMBER($AP$34),$AP$34&lt;=30),INDEX('2.Distances'!$D$2:$D$963,$AP$33*31+$AP$34+ 1) +$AV$33," ")," ")</f>
        <v xml:space="preserve"> </v>
      </c>
      <c r="AW34" s="47" t="str">
        <f ca="1">IFERROR(IF(AND(ISNUMBER($AP$34),$AP$34&lt;=30),INDEX('2.Distances'!$D$2:$D$963,$AP$33*31+$AP$34+ 1) +$AX$33," ")," ")</f>
        <v xml:space="preserve"> </v>
      </c>
      <c r="AX34" s="47" t="str">
        <f ca="1">IFERROR(IF(ISNUMBER($AW$34),INDEX('1.Locations'!$I$2:$I$32,$AP$34 + 1) + MAX($AW$34,INDEX('1.Locations'!$F$2:$F$32,$AP$34 + 1))," ")," ")</f>
        <v xml:space="preserve"> </v>
      </c>
      <c r="AY34" s="46" t="str">
        <f ca="1">IFERROR($AY$33 + INDEX('2.Distances'!$D$2:$D$963,$AP$33*31+$AP$34+ 1) + INDEX('1.Locations'!$I$2:$I$32,$AP$34 + 1)," ")</f>
        <v xml:space="preserve"> </v>
      </c>
      <c r="BA34" s="19">
        <v>29</v>
      </c>
      <c r="BB34" s="20"/>
      <c r="BC34" s="44" t="str">
        <f ca="1">IFERROR(MATCH(INDIRECT("$BB$34"),'1.Locations'!$B$2:$B$32, 0) - 1," ")</f>
        <v xml:space="preserve"> </v>
      </c>
      <c r="BD34" s="44" t="e">
        <f ca="1">IFERROR(IF(ISNUMBER($BC$34),INDEX('1.Locations'!$D$2:$D$32,$BC$34 + 1),NA()),NA())</f>
        <v>#N/A</v>
      </c>
      <c r="BE34" s="44" t="e">
        <f ca="1">IFERROR(IF(ISNUMBER($BC$34),INDEX('1.Locations'!$E$2:$E$32,$BC$34 + 1),NA()),NA())</f>
        <v>#N/A</v>
      </c>
      <c r="BF34" s="45" t="str">
        <f ca="1">IFERROR(IF(AND(ISNUMBER($BC$34),$BC$34&lt;=30),INDEX('2.Distances'!$C$2:$C$963,$BC$33*31+$BC$34+ 1) +$BF$33," ")," ")</f>
        <v xml:space="preserve"> </v>
      </c>
      <c r="BG34" s="44" t="str">
        <f ca="1">IFERROR(IF(ISNUMBER($BC$34),INDEX('1.Locations'!$J$2:$J$32,$BC$34 + 1) +$BG$33," ")," ")</f>
        <v xml:space="preserve"> </v>
      </c>
      <c r="BH34" s="44" t="str">
        <f ca="1">IFERROR(IF(ISNUMBER($BC$34),INDEX('1.Locations'!$K$2:$K$32,$BC$34 + 1) +$BH$33," ")," ")</f>
        <v xml:space="preserve"> </v>
      </c>
      <c r="BI34" s="46" t="str">
        <f ca="1">IFERROR(IF(AND(ISNUMBER($BC$34),$BC$34&lt;=30),INDEX('2.Distances'!$D$2:$D$963,$BC$33*31+$BC$34+ 1) +$BI$33," ")," ")</f>
        <v xml:space="preserve"> </v>
      </c>
      <c r="BJ34" s="47" t="str">
        <f ca="1">IFERROR(IF(AND(ISNUMBER($BC$34),$BC$34&lt;=30),INDEX('2.Distances'!$D$2:$D$963,$BC$33*31+$BC$34+ 1) +$BK$33," ")," ")</f>
        <v xml:space="preserve"> </v>
      </c>
      <c r="BK34" s="47" t="str">
        <f ca="1">IFERROR(IF(ISNUMBER($BJ$34),INDEX('1.Locations'!$I$2:$I$32,$BC$34 + 1) + MAX($BJ$34,INDEX('1.Locations'!$F$2:$F$32,$BC$34 + 1))," ")," ")</f>
        <v xml:space="preserve"> </v>
      </c>
      <c r="BL34" s="46" t="str">
        <f ca="1">IFERROR($BL$33 + INDEX('2.Distances'!$D$2:$D$963,$BC$33*31+$BC$34+ 1) + INDEX('1.Locations'!$I$2:$I$32,$BC$34 + 1)," ")</f>
        <v xml:space="preserve"> </v>
      </c>
      <c r="BN34" s="19">
        <v>29</v>
      </c>
      <c r="BO34" s="20"/>
      <c r="BP34" s="44" t="str">
        <f ca="1">IFERROR(MATCH(INDIRECT("$BO$34"),'1.Locations'!$B$2:$B$32, 0) - 1," ")</f>
        <v xml:space="preserve"> </v>
      </c>
      <c r="BQ34" s="44" t="e">
        <f ca="1">IFERROR(IF(ISNUMBER($BP$34),INDEX('1.Locations'!$D$2:$D$32,$BP$34 + 1),NA()),NA())</f>
        <v>#N/A</v>
      </c>
      <c r="BR34" s="44" t="e">
        <f ca="1">IFERROR(IF(ISNUMBER($BP$34),INDEX('1.Locations'!$E$2:$E$32,$BP$34 + 1),NA()),NA())</f>
        <v>#N/A</v>
      </c>
      <c r="BS34" s="45" t="str">
        <f ca="1">IFERROR(IF(AND(ISNUMBER($BP$34),$BP$34&lt;=30),INDEX('2.Distances'!$C$2:$C$963,$BP$33*31+$BP$34+ 1) +$BS$33," ")," ")</f>
        <v xml:space="preserve"> </v>
      </c>
      <c r="BT34" s="44" t="str">
        <f ca="1">IFERROR(IF(ISNUMBER($BP$34),INDEX('1.Locations'!$J$2:$J$32,$BP$34 + 1) +$BT$33," ")," ")</f>
        <v xml:space="preserve"> </v>
      </c>
      <c r="BU34" s="44" t="str">
        <f ca="1">IFERROR(IF(ISNUMBER($BP$34),INDEX('1.Locations'!$K$2:$K$32,$BP$34 + 1) +$BU$33," ")," ")</f>
        <v xml:space="preserve"> </v>
      </c>
      <c r="BV34" s="46" t="str">
        <f ca="1">IFERROR(IF(AND(ISNUMBER($BP$34),$BP$34&lt;=30),INDEX('2.Distances'!$D$2:$D$963,$BP$33*31+$BP$34+ 1) +$BV$33," ")," ")</f>
        <v xml:space="preserve"> </v>
      </c>
      <c r="BW34" s="47" t="str">
        <f ca="1">IFERROR(IF(AND(ISNUMBER($BP$34),$BP$34&lt;=30),INDEX('2.Distances'!$D$2:$D$963,$BP$33*31+$BP$34+ 1) +$BX$33," ")," ")</f>
        <v xml:space="preserve"> </v>
      </c>
      <c r="BX34" s="47" t="str">
        <f ca="1">IFERROR(IF(ISNUMBER($BW$34),INDEX('1.Locations'!$I$2:$I$32,$BP$34 + 1) + MAX($BW$34,INDEX('1.Locations'!$F$2:$F$32,$BP$34 + 1))," ")," ")</f>
        <v xml:space="preserve"> </v>
      </c>
      <c r="BY34" s="46" t="str">
        <f ca="1">IFERROR($BY$33 + INDEX('2.Distances'!$D$2:$D$963,$BP$33*31+$BP$34+ 1) + INDEX('1.Locations'!$I$2:$I$32,$BP$34 + 1)," ")</f>
        <v xml:space="preserve"> </v>
      </c>
      <c r="CA34" s="19">
        <v>29</v>
      </c>
      <c r="CB34" s="20"/>
      <c r="CC34" s="44" t="str">
        <f ca="1">IFERROR(MATCH(INDIRECT("$CB$34"),'1.Locations'!$B$2:$B$32, 0) - 1," ")</f>
        <v xml:space="preserve"> </v>
      </c>
      <c r="CD34" s="44" t="e">
        <f ca="1">IFERROR(IF(ISNUMBER($CC$34),INDEX('1.Locations'!$D$2:$D$32,$CC$34 + 1),NA()),NA())</f>
        <v>#N/A</v>
      </c>
      <c r="CE34" s="44" t="e">
        <f ca="1">IFERROR(IF(ISNUMBER($CC$34),INDEX('1.Locations'!$E$2:$E$32,$CC$34 + 1),NA()),NA())</f>
        <v>#N/A</v>
      </c>
      <c r="CF34" s="45" t="str">
        <f ca="1">IFERROR(IF(AND(ISNUMBER($CC$34),$CC$34&lt;=30),INDEX('2.Distances'!$C$2:$C$963,$CC$33*31+$CC$34+ 1) +$CF$33," ")," ")</f>
        <v xml:space="preserve"> </v>
      </c>
      <c r="CG34" s="44" t="str">
        <f ca="1">IFERROR(IF(ISNUMBER($CC$34),INDEX('1.Locations'!$J$2:$J$32,$CC$34 + 1) +$CG$33," ")," ")</f>
        <v xml:space="preserve"> </v>
      </c>
      <c r="CH34" s="44" t="str">
        <f ca="1">IFERROR(IF(ISNUMBER($CC$34),INDEX('1.Locations'!$K$2:$K$32,$CC$34 + 1) +$CH$33," ")," ")</f>
        <v xml:space="preserve"> </v>
      </c>
      <c r="CI34" s="46" t="str">
        <f ca="1">IFERROR(IF(AND(ISNUMBER($CC$34),$CC$34&lt;=30),INDEX('2.Distances'!$D$2:$D$963,$CC$33*31+$CC$34+ 1) +$CI$33," ")," ")</f>
        <v xml:space="preserve"> </v>
      </c>
      <c r="CJ34" s="47" t="str">
        <f ca="1">IFERROR(IF(AND(ISNUMBER($CC$34),$CC$34&lt;=30),INDEX('2.Distances'!$D$2:$D$963,$CC$33*31+$CC$34+ 1) +$CK$33," ")," ")</f>
        <v xml:space="preserve"> </v>
      </c>
      <c r="CK34" s="47" t="str">
        <f ca="1">IFERROR(IF(ISNUMBER($CJ$34),INDEX('1.Locations'!$I$2:$I$32,$CC$34 + 1) + MAX($CJ$34,INDEX('1.Locations'!$F$2:$F$32,$CC$34 + 1))," ")," ")</f>
        <v xml:space="preserve"> </v>
      </c>
      <c r="CL34" s="46" t="str">
        <f ca="1">IFERROR($CL$33 + INDEX('2.Distances'!$D$2:$D$963,$CC$33*31+$CC$34+ 1) + INDEX('1.Locations'!$I$2:$I$32,$CC$34 + 1)," ")</f>
        <v xml:space="preserve"> </v>
      </c>
      <c r="CN34" s="19">
        <v>29</v>
      </c>
      <c r="CO34" s="20"/>
      <c r="CP34" s="44" t="str">
        <f ca="1">IFERROR(MATCH(INDIRECT("$CO$34"),'1.Locations'!$B$2:$B$32, 0) - 1," ")</f>
        <v xml:space="preserve"> </v>
      </c>
      <c r="CQ34" s="44" t="e">
        <f ca="1">IFERROR(IF(ISNUMBER($CP$34),INDEX('1.Locations'!$D$2:$D$32,$CP$34 + 1),NA()),NA())</f>
        <v>#N/A</v>
      </c>
      <c r="CR34" s="44" t="e">
        <f ca="1">IFERROR(IF(ISNUMBER($CP$34),INDEX('1.Locations'!$E$2:$E$32,$CP$34 + 1),NA()),NA())</f>
        <v>#N/A</v>
      </c>
      <c r="CS34" s="45" t="str">
        <f ca="1">IFERROR(IF(AND(ISNUMBER($CP$34),$CP$34&lt;=30),INDEX('2.Distances'!$C$2:$C$963,$CP$33*31+$CP$34+ 1) +$CS$33," ")," ")</f>
        <v xml:space="preserve"> </v>
      </c>
      <c r="CT34" s="44" t="str">
        <f ca="1">IFERROR(IF(ISNUMBER($CP$34),INDEX('1.Locations'!$J$2:$J$32,$CP$34 + 1) +$CT$33," ")," ")</f>
        <v xml:space="preserve"> </v>
      </c>
      <c r="CU34" s="44" t="str">
        <f ca="1">IFERROR(IF(ISNUMBER($CP$34),INDEX('1.Locations'!$K$2:$K$32,$CP$34 + 1) +$CU$33," ")," ")</f>
        <v xml:space="preserve"> </v>
      </c>
      <c r="CV34" s="46" t="str">
        <f ca="1">IFERROR(IF(AND(ISNUMBER($CP$34),$CP$34&lt;=30),INDEX('2.Distances'!$D$2:$D$963,$CP$33*31+$CP$34+ 1) +$CV$33," ")," ")</f>
        <v xml:space="preserve"> </v>
      </c>
      <c r="CW34" s="47" t="str">
        <f ca="1">IFERROR(IF(AND(ISNUMBER($CP$34),$CP$34&lt;=30),INDEX('2.Distances'!$D$2:$D$963,$CP$33*31+$CP$34+ 1) +$CX$33," ")," ")</f>
        <v xml:space="preserve"> </v>
      </c>
      <c r="CX34" s="47" t="str">
        <f ca="1">IFERROR(IF(ISNUMBER($CW$34),INDEX('1.Locations'!$I$2:$I$32,$CP$34 + 1) + MAX($CW$34,INDEX('1.Locations'!$F$2:$F$32,$CP$34 + 1))," ")," ")</f>
        <v xml:space="preserve"> </v>
      </c>
      <c r="CY34" s="46" t="str">
        <f ca="1">IFERROR($CY$33 + INDEX('2.Distances'!$D$2:$D$963,$CP$33*31+$CP$34+ 1) + INDEX('1.Locations'!$I$2:$I$32,$CP$34 + 1)," ")</f>
        <v xml:space="preserve"> </v>
      </c>
      <c r="DA34" s="19">
        <v>29</v>
      </c>
      <c r="DB34" s="20"/>
      <c r="DC34" s="44" t="str">
        <f ca="1">IFERROR(MATCH(INDIRECT("$DB$34"),'1.Locations'!$B$2:$B$32, 0) - 1," ")</f>
        <v xml:space="preserve"> </v>
      </c>
      <c r="DD34" s="44" t="e">
        <f ca="1">IFERROR(IF(ISNUMBER($DC$34),INDEX('1.Locations'!$D$2:$D$32,$DC$34 + 1),NA()),NA())</f>
        <v>#N/A</v>
      </c>
      <c r="DE34" s="44" t="e">
        <f ca="1">IFERROR(IF(ISNUMBER($DC$34),INDEX('1.Locations'!$E$2:$E$32,$DC$34 + 1),NA()),NA())</f>
        <v>#N/A</v>
      </c>
      <c r="DF34" s="45" t="str">
        <f ca="1">IFERROR(IF(AND(ISNUMBER($DC$34),$DC$34&lt;=30),INDEX('2.Distances'!$C$2:$C$963,$DC$33*31+$DC$34+ 1) +$DF$33," ")," ")</f>
        <v xml:space="preserve"> </v>
      </c>
      <c r="DG34" s="44" t="str">
        <f ca="1">IFERROR(IF(ISNUMBER($DC$34),INDEX('1.Locations'!$J$2:$J$32,$DC$34 + 1) +$DG$33," ")," ")</f>
        <v xml:space="preserve"> </v>
      </c>
      <c r="DH34" s="44" t="str">
        <f ca="1">IFERROR(IF(ISNUMBER($DC$34),INDEX('1.Locations'!$K$2:$K$32,$DC$34 + 1) +$DH$33," ")," ")</f>
        <v xml:space="preserve"> </v>
      </c>
      <c r="DI34" s="46" t="str">
        <f ca="1">IFERROR(IF(AND(ISNUMBER($DC$34),$DC$34&lt;=30),INDEX('2.Distances'!$D$2:$D$963,$DC$33*31+$DC$34+ 1) +$DI$33," ")," ")</f>
        <v xml:space="preserve"> </v>
      </c>
      <c r="DJ34" s="47" t="str">
        <f ca="1">IFERROR(IF(AND(ISNUMBER($DC$34),$DC$34&lt;=30),INDEX('2.Distances'!$D$2:$D$963,$DC$33*31+$DC$34+ 1) +$DK$33," ")," ")</f>
        <v xml:space="preserve"> </v>
      </c>
      <c r="DK34" s="47" t="str">
        <f ca="1">IFERROR(IF(ISNUMBER($DJ$34),INDEX('1.Locations'!$I$2:$I$32,$DC$34 + 1) + MAX($DJ$34,INDEX('1.Locations'!$F$2:$F$32,$DC$34 + 1))," ")," ")</f>
        <v xml:space="preserve"> </v>
      </c>
      <c r="DL34" s="46" t="str">
        <f ca="1">IFERROR($DL$33 + INDEX('2.Distances'!$D$2:$D$963,$DC$33*31+$DC$34+ 1) + INDEX('1.Locations'!$I$2:$I$32,$DC$34 + 1)," ")</f>
        <v xml:space="preserve"> </v>
      </c>
      <c r="DN34" s="19">
        <v>29</v>
      </c>
      <c r="DO34" s="20"/>
      <c r="DP34" s="44" t="str">
        <f ca="1">IFERROR(MATCH(INDIRECT("$DO$34"),'1.Locations'!$B$2:$B$32, 0) - 1," ")</f>
        <v xml:space="preserve"> </v>
      </c>
      <c r="DQ34" s="44" t="e">
        <f ca="1">IFERROR(IF(ISNUMBER($DP$34),INDEX('1.Locations'!$D$2:$D$32,$DP$34 + 1),NA()),NA())</f>
        <v>#N/A</v>
      </c>
      <c r="DR34" s="44" t="e">
        <f ca="1">IFERROR(IF(ISNUMBER($DP$34),INDEX('1.Locations'!$E$2:$E$32,$DP$34 + 1),NA()),NA())</f>
        <v>#N/A</v>
      </c>
      <c r="DS34" s="45" t="str">
        <f ca="1">IFERROR(IF(AND(ISNUMBER($DP$34),$DP$34&lt;=30),INDEX('2.Distances'!$C$2:$C$963,$DP$33*31+$DP$34+ 1) +$DS$33," ")," ")</f>
        <v xml:space="preserve"> </v>
      </c>
      <c r="DT34" s="44" t="str">
        <f ca="1">IFERROR(IF(ISNUMBER($DP$34),INDEX('1.Locations'!$J$2:$J$32,$DP$34 + 1) +$DT$33," ")," ")</f>
        <v xml:space="preserve"> </v>
      </c>
      <c r="DU34" s="44" t="str">
        <f ca="1">IFERROR(IF(ISNUMBER($DP$34),INDEX('1.Locations'!$K$2:$K$32,$DP$34 + 1) +$DU$33," ")," ")</f>
        <v xml:space="preserve"> </v>
      </c>
      <c r="DV34" s="46" t="str">
        <f ca="1">IFERROR(IF(AND(ISNUMBER($DP$34),$DP$34&lt;=30),INDEX('2.Distances'!$D$2:$D$963,$DP$33*31+$DP$34+ 1) +$DV$33," ")," ")</f>
        <v xml:space="preserve"> </v>
      </c>
      <c r="DW34" s="47" t="str">
        <f ca="1">IFERROR(IF(AND(ISNUMBER($DP$34),$DP$34&lt;=30),INDEX('2.Distances'!$D$2:$D$963,$DP$33*31+$DP$34+ 1) +$DX$33," ")," ")</f>
        <v xml:space="preserve"> </v>
      </c>
      <c r="DX34" s="47" t="str">
        <f ca="1">IFERROR(IF(ISNUMBER($DW$34),INDEX('1.Locations'!$I$2:$I$32,$DP$34 + 1) + MAX($DW$34,INDEX('1.Locations'!$F$2:$F$32,$DP$34 + 1))," ")," ")</f>
        <v xml:space="preserve"> </v>
      </c>
      <c r="DY34" s="46" t="str">
        <f ca="1">IFERROR($DY$33 + INDEX('2.Distances'!$D$2:$D$963,$DP$33*31+$DP$34+ 1) + INDEX('1.Locations'!$I$2:$I$32,$DP$34 + 1)," ")</f>
        <v xml:space="preserve"> </v>
      </c>
      <c r="EA34" s="19">
        <v>29</v>
      </c>
      <c r="EB34" s="20"/>
      <c r="EC34" s="44" t="str">
        <f ca="1">IFERROR(MATCH(INDIRECT("$EB$34"),'1.Locations'!$B$2:$B$32, 0) - 1," ")</f>
        <v xml:space="preserve"> </v>
      </c>
      <c r="ED34" s="44" t="e">
        <f ca="1">IFERROR(IF(ISNUMBER($EC$34),INDEX('1.Locations'!$D$2:$D$32,$EC$34 + 1),NA()),NA())</f>
        <v>#N/A</v>
      </c>
      <c r="EE34" s="44" t="e">
        <f ca="1">IFERROR(IF(ISNUMBER($EC$34),INDEX('1.Locations'!$E$2:$E$32,$EC$34 + 1),NA()),NA())</f>
        <v>#N/A</v>
      </c>
      <c r="EF34" s="45" t="str">
        <f ca="1">IFERROR(IF(AND(ISNUMBER($EC$34),$EC$34&lt;=30),INDEX('2.Distances'!$C$2:$C$963,$EC$33*31+$EC$34+ 1) +$EF$33," ")," ")</f>
        <v xml:space="preserve"> </v>
      </c>
      <c r="EG34" s="44" t="str">
        <f ca="1">IFERROR(IF(ISNUMBER($EC$34),INDEX('1.Locations'!$J$2:$J$32,$EC$34 + 1) +$EG$33," ")," ")</f>
        <v xml:space="preserve"> </v>
      </c>
      <c r="EH34" s="44" t="str">
        <f ca="1">IFERROR(IF(ISNUMBER($EC$34),INDEX('1.Locations'!$K$2:$K$32,$EC$34 + 1) +$EH$33," ")," ")</f>
        <v xml:space="preserve"> </v>
      </c>
      <c r="EI34" s="46" t="str">
        <f ca="1">IFERROR(IF(AND(ISNUMBER($EC$34),$EC$34&lt;=30),INDEX('2.Distances'!$D$2:$D$963,$EC$33*31+$EC$34+ 1) +$EI$33," ")," ")</f>
        <v xml:space="preserve"> </v>
      </c>
      <c r="EJ34" s="47" t="str">
        <f ca="1">IFERROR(IF(AND(ISNUMBER($EC$34),$EC$34&lt;=30),INDEX('2.Distances'!$D$2:$D$963,$EC$33*31+$EC$34+ 1) +$EK$33," ")," ")</f>
        <v xml:space="preserve"> </v>
      </c>
      <c r="EK34" s="47" t="str">
        <f ca="1">IFERROR(IF(ISNUMBER($EJ$34),INDEX('1.Locations'!$I$2:$I$32,$EC$34 + 1) + MAX($EJ$34,INDEX('1.Locations'!$F$2:$F$32,$EC$34 + 1))," ")," ")</f>
        <v xml:space="preserve"> </v>
      </c>
      <c r="EL34" s="46" t="str">
        <f ca="1">IFERROR($EL$33 + INDEX('2.Distances'!$D$2:$D$963,$EC$33*31+$EC$34+ 1) + INDEX('1.Locations'!$I$2:$I$32,$EC$34 + 1)," ")</f>
        <v xml:space="preserve"> </v>
      </c>
      <c r="EN34" s="19">
        <v>29</v>
      </c>
      <c r="EO34" s="20"/>
      <c r="EP34" s="44" t="str">
        <f ca="1">IFERROR(MATCH(INDIRECT("$EO$34"),'1.Locations'!$B$2:$B$32, 0) - 1," ")</f>
        <v xml:space="preserve"> </v>
      </c>
      <c r="EQ34" s="44" t="e">
        <f ca="1">IFERROR(IF(ISNUMBER($EP$34),INDEX('1.Locations'!$D$2:$D$32,$EP$34 + 1),NA()),NA())</f>
        <v>#N/A</v>
      </c>
      <c r="ER34" s="44" t="e">
        <f ca="1">IFERROR(IF(ISNUMBER($EP$34),INDEX('1.Locations'!$E$2:$E$32,$EP$34 + 1),NA()),NA())</f>
        <v>#N/A</v>
      </c>
      <c r="ES34" s="45" t="str">
        <f ca="1">IFERROR(IF(AND(ISNUMBER($EP$34),$EP$34&lt;=30),INDEX('2.Distances'!$C$2:$C$963,$EP$33*31+$EP$34+ 1) +$ES$33," ")," ")</f>
        <v xml:space="preserve"> </v>
      </c>
      <c r="ET34" s="44" t="str">
        <f ca="1">IFERROR(IF(ISNUMBER($EP$34),INDEX('1.Locations'!$J$2:$J$32,$EP$34 + 1) +$ET$33," ")," ")</f>
        <v xml:space="preserve"> </v>
      </c>
      <c r="EU34" s="44" t="str">
        <f ca="1">IFERROR(IF(ISNUMBER($EP$34),INDEX('1.Locations'!$K$2:$K$32,$EP$34 + 1) +$EU$33," ")," ")</f>
        <v xml:space="preserve"> </v>
      </c>
      <c r="EV34" s="46" t="str">
        <f ca="1">IFERROR(IF(AND(ISNUMBER($EP$34),$EP$34&lt;=30),INDEX('2.Distances'!$D$2:$D$963,$EP$33*31+$EP$34+ 1) +$EV$33," ")," ")</f>
        <v xml:space="preserve"> </v>
      </c>
      <c r="EW34" s="47" t="str">
        <f ca="1">IFERROR(IF(AND(ISNUMBER($EP$34),$EP$34&lt;=30),INDEX('2.Distances'!$D$2:$D$963,$EP$33*31+$EP$34+ 1) +$EX$33," ")," ")</f>
        <v xml:space="preserve"> </v>
      </c>
      <c r="EX34" s="47" t="str">
        <f ca="1">IFERROR(IF(ISNUMBER($EW$34),INDEX('1.Locations'!$I$2:$I$32,$EP$34 + 1) + MAX($EW$34,INDEX('1.Locations'!$F$2:$F$32,$EP$34 + 1))," ")," ")</f>
        <v xml:space="preserve"> </v>
      </c>
      <c r="EY34" s="46" t="str">
        <f ca="1">IFERROR($EY$33 + INDEX('2.Distances'!$D$2:$D$963,$EP$33*31+$EP$34+ 1) + INDEX('1.Locations'!$I$2:$I$32,$EP$34 + 1)," ")</f>
        <v xml:space="preserve"> </v>
      </c>
    </row>
    <row r="35" spans="1:155" x14ac:dyDescent="0.2">
      <c r="A35" s="19">
        <v>30</v>
      </c>
      <c r="B35" s="20"/>
      <c r="C35" s="44" t="str">
        <f ca="1">IFERROR(MATCH(INDIRECT("$B$35"),'1.Locations'!$B$2:$B$32, 0) - 1," ")</f>
        <v xml:space="preserve"> </v>
      </c>
      <c r="D35" s="44" t="e">
        <f ca="1">IFERROR(IF(ISNUMBER($C$35),INDEX('1.Locations'!$D$2:$D$32,$C$35 + 1),NA()),NA())</f>
        <v>#N/A</v>
      </c>
      <c r="E35" s="44" t="e">
        <f ca="1">IFERROR(IF(ISNUMBER($C$35),INDEX('1.Locations'!$E$2:$E$32,$C$35 + 1),NA()),NA())</f>
        <v>#N/A</v>
      </c>
      <c r="F35" s="45" t="str">
        <f ca="1">IFERROR(IF(AND(ISNUMBER($C$35),$C$35&lt;=30),INDEX('2.Distances'!$C$2:$C$963,$C$34*31+$C$35+ 1) +$F$34," ")," ")</f>
        <v xml:space="preserve"> </v>
      </c>
      <c r="G35" s="44" t="str">
        <f ca="1">IFERROR(IF(ISNUMBER($C$35),INDEX('1.Locations'!$J$2:$J$32,$C$35 + 1) +$G$34," ")," ")</f>
        <v xml:space="preserve"> </v>
      </c>
      <c r="H35" s="44" t="str">
        <f ca="1">IFERROR(IF(ISNUMBER($C$35),INDEX('1.Locations'!$K$2:$K$32,$C$35 + 1) +$H$34," ")," ")</f>
        <v xml:space="preserve"> </v>
      </c>
      <c r="I35" s="46" t="str">
        <f ca="1">IFERROR(IF(AND(ISNUMBER($C$35),$C$35&lt;=30),INDEX('2.Distances'!$D$2:$D$963,$C$34*31+$C$35+ 1) +$I$34," ")," ")</f>
        <v xml:space="preserve"> </v>
      </c>
      <c r="J35" s="47" t="str">
        <f ca="1">IFERROR(IF(AND(ISNUMBER($C$35),$C$35&lt;=30),INDEX('2.Distances'!$D$2:$D$963,$C$34*31+$C$35+ 1) +$K$34," ")," ")</f>
        <v xml:space="preserve"> </v>
      </c>
      <c r="K35" s="47" t="str">
        <f ca="1">IFERROR(IF(ISNUMBER($J$35),INDEX('1.Locations'!$I$2:$I$32,$C$35 + 1) + MAX($J$35,INDEX('1.Locations'!$F$2:$F$32,$C$35 + 1))," ")," ")</f>
        <v xml:space="preserve"> </v>
      </c>
      <c r="L35" s="46" t="str">
        <f ca="1">IFERROR($L$34 + INDEX('2.Distances'!$D$2:$D$963,$C$34*31+$C$35+ 1) + INDEX('1.Locations'!$I$2:$I$32,$C$35 + 1)," ")</f>
        <v xml:space="preserve"> </v>
      </c>
      <c r="N35" s="19">
        <v>30</v>
      </c>
      <c r="O35" s="20"/>
      <c r="P35" s="44" t="str">
        <f ca="1">IFERROR(MATCH(INDIRECT("$O$35"),'1.Locations'!$B$2:$B$32, 0) - 1," ")</f>
        <v xml:space="preserve"> </v>
      </c>
      <c r="Q35" s="44" t="e">
        <f ca="1">IFERROR(IF(ISNUMBER($P$35),INDEX('1.Locations'!$D$2:$D$32,$P$35 + 1),NA()),NA())</f>
        <v>#N/A</v>
      </c>
      <c r="R35" s="44" t="e">
        <f ca="1">IFERROR(IF(ISNUMBER($P$35),INDEX('1.Locations'!$E$2:$E$32,$P$35 + 1),NA()),NA())</f>
        <v>#N/A</v>
      </c>
      <c r="S35" s="45" t="str">
        <f ca="1">IFERROR(IF(AND(ISNUMBER($P$35),$P$35&lt;=30),INDEX('2.Distances'!$C$2:$C$963,$P$34*31+$P$35+ 1) +$S$34," ")," ")</f>
        <v xml:space="preserve"> </v>
      </c>
      <c r="T35" s="44" t="str">
        <f ca="1">IFERROR(IF(ISNUMBER($P$35),INDEX('1.Locations'!$J$2:$J$32,$P$35 + 1) +$T$34," ")," ")</f>
        <v xml:space="preserve"> </v>
      </c>
      <c r="U35" s="44" t="str">
        <f ca="1">IFERROR(IF(ISNUMBER($P$35),INDEX('1.Locations'!$K$2:$K$32,$P$35 + 1) +$U$34," ")," ")</f>
        <v xml:space="preserve"> </v>
      </c>
      <c r="V35" s="46" t="str">
        <f ca="1">IFERROR(IF(AND(ISNUMBER($P$35),$P$35&lt;=30),INDEX('2.Distances'!$D$2:$D$963,$P$34*31+$P$35+ 1) +$V$34," ")," ")</f>
        <v xml:space="preserve"> </v>
      </c>
      <c r="W35" s="47" t="str">
        <f ca="1">IFERROR(IF(AND(ISNUMBER($P$35),$P$35&lt;=30),INDEX('2.Distances'!$D$2:$D$963,$P$34*31+$P$35+ 1) +$X$34," ")," ")</f>
        <v xml:space="preserve"> </v>
      </c>
      <c r="X35" s="47" t="str">
        <f ca="1">IFERROR(IF(ISNUMBER($W$35),INDEX('1.Locations'!$I$2:$I$32,$P$35 + 1) + MAX($W$35,INDEX('1.Locations'!$F$2:$F$32,$P$35 + 1))," ")," ")</f>
        <v xml:space="preserve"> </v>
      </c>
      <c r="Y35" s="46" t="str">
        <f ca="1">IFERROR($Y$34 + INDEX('2.Distances'!$D$2:$D$963,$P$34*31+$P$35+ 1) + INDEX('1.Locations'!$I$2:$I$32,$P$35 + 1)," ")</f>
        <v xml:space="preserve"> </v>
      </c>
      <c r="AA35" s="19">
        <v>30</v>
      </c>
      <c r="AB35" s="20"/>
      <c r="AC35" s="44" t="str">
        <f ca="1">IFERROR(MATCH(INDIRECT("$AB$35"),'1.Locations'!$B$2:$B$32, 0) - 1," ")</f>
        <v xml:space="preserve"> </v>
      </c>
      <c r="AD35" s="44" t="e">
        <f ca="1">IFERROR(IF(ISNUMBER($AC$35),INDEX('1.Locations'!$D$2:$D$32,$AC$35 + 1),NA()),NA())</f>
        <v>#N/A</v>
      </c>
      <c r="AE35" s="44" t="e">
        <f ca="1">IFERROR(IF(ISNUMBER($AC$35),INDEX('1.Locations'!$E$2:$E$32,$AC$35 + 1),NA()),NA())</f>
        <v>#N/A</v>
      </c>
      <c r="AF35" s="45" t="str">
        <f ca="1">IFERROR(IF(AND(ISNUMBER($AC$35),$AC$35&lt;=30),INDEX('2.Distances'!$C$2:$C$963,$AC$34*31+$AC$35+ 1) +$AF$34," ")," ")</f>
        <v xml:space="preserve"> </v>
      </c>
      <c r="AG35" s="44" t="str">
        <f ca="1">IFERROR(IF(ISNUMBER($AC$35),INDEX('1.Locations'!$J$2:$J$32,$AC$35 + 1) +$AG$34," ")," ")</f>
        <v xml:space="preserve"> </v>
      </c>
      <c r="AH35" s="44" t="str">
        <f ca="1">IFERROR(IF(ISNUMBER($AC$35),INDEX('1.Locations'!$K$2:$K$32,$AC$35 + 1) +$AH$34," ")," ")</f>
        <v xml:space="preserve"> </v>
      </c>
      <c r="AI35" s="46" t="str">
        <f ca="1">IFERROR(IF(AND(ISNUMBER($AC$35),$AC$35&lt;=30),INDEX('2.Distances'!$D$2:$D$963,$AC$34*31+$AC$35+ 1) +$AI$34," ")," ")</f>
        <v xml:space="preserve"> </v>
      </c>
      <c r="AJ35" s="47" t="str">
        <f ca="1">IFERROR(IF(AND(ISNUMBER($AC$35),$AC$35&lt;=30),INDEX('2.Distances'!$D$2:$D$963,$AC$34*31+$AC$35+ 1) +$AK$34," ")," ")</f>
        <v xml:space="preserve"> </v>
      </c>
      <c r="AK35" s="47" t="str">
        <f ca="1">IFERROR(IF(ISNUMBER($AJ$35),INDEX('1.Locations'!$I$2:$I$32,$AC$35 + 1) + MAX($AJ$35,INDEX('1.Locations'!$F$2:$F$32,$AC$35 + 1))," ")," ")</f>
        <v xml:space="preserve"> </v>
      </c>
      <c r="AL35" s="46" t="str">
        <f ca="1">IFERROR($AL$34 + INDEX('2.Distances'!$D$2:$D$963,$AC$34*31+$AC$35+ 1) + INDEX('1.Locations'!$I$2:$I$32,$AC$35 + 1)," ")</f>
        <v xml:space="preserve"> </v>
      </c>
      <c r="AN35" s="19">
        <v>30</v>
      </c>
      <c r="AO35" s="20"/>
      <c r="AP35" s="44" t="str">
        <f ca="1">IFERROR(MATCH(INDIRECT("$AO$35"),'1.Locations'!$B$2:$B$32, 0) - 1," ")</f>
        <v xml:space="preserve"> </v>
      </c>
      <c r="AQ35" s="44" t="e">
        <f ca="1">IFERROR(IF(ISNUMBER($AP$35),INDEX('1.Locations'!$D$2:$D$32,$AP$35 + 1),NA()),NA())</f>
        <v>#N/A</v>
      </c>
      <c r="AR35" s="44" t="e">
        <f ca="1">IFERROR(IF(ISNUMBER($AP$35),INDEX('1.Locations'!$E$2:$E$32,$AP$35 + 1),NA()),NA())</f>
        <v>#N/A</v>
      </c>
      <c r="AS35" s="45" t="str">
        <f ca="1">IFERROR(IF(AND(ISNUMBER($AP$35),$AP$35&lt;=30),INDEX('2.Distances'!$C$2:$C$963,$AP$34*31+$AP$35+ 1) +$AS$34," ")," ")</f>
        <v xml:space="preserve"> </v>
      </c>
      <c r="AT35" s="44" t="str">
        <f ca="1">IFERROR(IF(ISNUMBER($AP$35),INDEX('1.Locations'!$J$2:$J$32,$AP$35 + 1) +$AT$34," ")," ")</f>
        <v xml:space="preserve"> </v>
      </c>
      <c r="AU35" s="44" t="str">
        <f ca="1">IFERROR(IF(ISNUMBER($AP$35),INDEX('1.Locations'!$K$2:$K$32,$AP$35 + 1) +$AU$34," ")," ")</f>
        <v xml:space="preserve"> </v>
      </c>
      <c r="AV35" s="46" t="str">
        <f ca="1">IFERROR(IF(AND(ISNUMBER($AP$35),$AP$35&lt;=30),INDEX('2.Distances'!$D$2:$D$963,$AP$34*31+$AP$35+ 1) +$AV$34," ")," ")</f>
        <v xml:space="preserve"> </v>
      </c>
      <c r="AW35" s="47" t="str">
        <f ca="1">IFERROR(IF(AND(ISNUMBER($AP$35),$AP$35&lt;=30),INDEX('2.Distances'!$D$2:$D$963,$AP$34*31+$AP$35+ 1) +$AX$34," ")," ")</f>
        <v xml:space="preserve"> </v>
      </c>
      <c r="AX35" s="47" t="str">
        <f ca="1">IFERROR(IF(ISNUMBER($AW$35),INDEX('1.Locations'!$I$2:$I$32,$AP$35 + 1) + MAX($AW$35,INDEX('1.Locations'!$F$2:$F$32,$AP$35 + 1))," ")," ")</f>
        <v xml:space="preserve"> </v>
      </c>
      <c r="AY35" s="46" t="str">
        <f ca="1">IFERROR($AY$34 + INDEX('2.Distances'!$D$2:$D$963,$AP$34*31+$AP$35+ 1) + INDEX('1.Locations'!$I$2:$I$32,$AP$35 + 1)," ")</f>
        <v xml:space="preserve"> </v>
      </c>
      <c r="BA35" s="19">
        <v>30</v>
      </c>
      <c r="BB35" s="20"/>
      <c r="BC35" s="44" t="str">
        <f ca="1">IFERROR(MATCH(INDIRECT("$BB$35"),'1.Locations'!$B$2:$B$32, 0) - 1," ")</f>
        <v xml:space="preserve"> </v>
      </c>
      <c r="BD35" s="44" t="e">
        <f ca="1">IFERROR(IF(ISNUMBER($BC$35),INDEX('1.Locations'!$D$2:$D$32,$BC$35 + 1),NA()),NA())</f>
        <v>#N/A</v>
      </c>
      <c r="BE35" s="44" t="e">
        <f ca="1">IFERROR(IF(ISNUMBER($BC$35),INDEX('1.Locations'!$E$2:$E$32,$BC$35 + 1),NA()),NA())</f>
        <v>#N/A</v>
      </c>
      <c r="BF35" s="45" t="str">
        <f ca="1">IFERROR(IF(AND(ISNUMBER($BC$35),$BC$35&lt;=30),INDEX('2.Distances'!$C$2:$C$963,$BC$34*31+$BC$35+ 1) +$BF$34," ")," ")</f>
        <v xml:space="preserve"> </v>
      </c>
      <c r="BG35" s="44" t="str">
        <f ca="1">IFERROR(IF(ISNUMBER($BC$35),INDEX('1.Locations'!$J$2:$J$32,$BC$35 + 1) +$BG$34," ")," ")</f>
        <v xml:space="preserve"> </v>
      </c>
      <c r="BH35" s="44" t="str">
        <f ca="1">IFERROR(IF(ISNUMBER($BC$35),INDEX('1.Locations'!$K$2:$K$32,$BC$35 + 1) +$BH$34," ")," ")</f>
        <v xml:space="preserve"> </v>
      </c>
      <c r="BI35" s="46" t="str">
        <f ca="1">IFERROR(IF(AND(ISNUMBER($BC$35),$BC$35&lt;=30),INDEX('2.Distances'!$D$2:$D$963,$BC$34*31+$BC$35+ 1) +$BI$34," ")," ")</f>
        <v xml:space="preserve"> </v>
      </c>
      <c r="BJ35" s="47" t="str">
        <f ca="1">IFERROR(IF(AND(ISNUMBER($BC$35),$BC$35&lt;=30),INDEX('2.Distances'!$D$2:$D$963,$BC$34*31+$BC$35+ 1) +$BK$34," ")," ")</f>
        <v xml:space="preserve"> </v>
      </c>
      <c r="BK35" s="47" t="str">
        <f ca="1">IFERROR(IF(ISNUMBER($BJ$35),INDEX('1.Locations'!$I$2:$I$32,$BC$35 + 1) + MAX($BJ$35,INDEX('1.Locations'!$F$2:$F$32,$BC$35 + 1))," ")," ")</f>
        <v xml:space="preserve"> </v>
      </c>
      <c r="BL35" s="46" t="str">
        <f ca="1">IFERROR($BL$34 + INDEX('2.Distances'!$D$2:$D$963,$BC$34*31+$BC$35+ 1) + INDEX('1.Locations'!$I$2:$I$32,$BC$35 + 1)," ")</f>
        <v xml:space="preserve"> </v>
      </c>
      <c r="BN35" s="19">
        <v>30</v>
      </c>
      <c r="BO35" s="20"/>
      <c r="BP35" s="44" t="str">
        <f ca="1">IFERROR(MATCH(INDIRECT("$BO$35"),'1.Locations'!$B$2:$B$32, 0) - 1," ")</f>
        <v xml:space="preserve"> </v>
      </c>
      <c r="BQ35" s="44" t="e">
        <f ca="1">IFERROR(IF(ISNUMBER($BP$35),INDEX('1.Locations'!$D$2:$D$32,$BP$35 + 1),NA()),NA())</f>
        <v>#N/A</v>
      </c>
      <c r="BR35" s="44" t="e">
        <f ca="1">IFERROR(IF(ISNUMBER($BP$35),INDEX('1.Locations'!$E$2:$E$32,$BP$35 + 1),NA()),NA())</f>
        <v>#N/A</v>
      </c>
      <c r="BS35" s="45" t="str">
        <f ca="1">IFERROR(IF(AND(ISNUMBER($BP$35),$BP$35&lt;=30),INDEX('2.Distances'!$C$2:$C$963,$BP$34*31+$BP$35+ 1) +$BS$34," ")," ")</f>
        <v xml:space="preserve"> </v>
      </c>
      <c r="BT35" s="44" t="str">
        <f ca="1">IFERROR(IF(ISNUMBER($BP$35),INDEX('1.Locations'!$J$2:$J$32,$BP$35 + 1) +$BT$34," ")," ")</f>
        <v xml:space="preserve"> </v>
      </c>
      <c r="BU35" s="44" t="str">
        <f ca="1">IFERROR(IF(ISNUMBER($BP$35),INDEX('1.Locations'!$K$2:$K$32,$BP$35 + 1) +$BU$34," ")," ")</f>
        <v xml:space="preserve"> </v>
      </c>
      <c r="BV35" s="46" t="str">
        <f ca="1">IFERROR(IF(AND(ISNUMBER($BP$35),$BP$35&lt;=30),INDEX('2.Distances'!$D$2:$D$963,$BP$34*31+$BP$35+ 1) +$BV$34," ")," ")</f>
        <v xml:space="preserve"> </v>
      </c>
      <c r="BW35" s="47" t="str">
        <f ca="1">IFERROR(IF(AND(ISNUMBER($BP$35),$BP$35&lt;=30),INDEX('2.Distances'!$D$2:$D$963,$BP$34*31+$BP$35+ 1) +$BX$34," ")," ")</f>
        <v xml:space="preserve"> </v>
      </c>
      <c r="BX35" s="47" t="str">
        <f ca="1">IFERROR(IF(ISNUMBER($BW$35),INDEX('1.Locations'!$I$2:$I$32,$BP$35 + 1) + MAX($BW$35,INDEX('1.Locations'!$F$2:$F$32,$BP$35 + 1))," ")," ")</f>
        <v xml:space="preserve"> </v>
      </c>
      <c r="BY35" s="46" t="str">
        <f ca="1">IFERROR($BY$34 + INDEX('2.Distances'!$D$2:$D$963,$BP$34*31+$BP$35+ 1) + INDEX('1.Locations'!$I$2:$I$32,$BP$35 + 1)," ")</f>
        <v xml:space="preserve"> </v>
      </c>
      <c r="CA35" s="19">
        <v>30</v>
      </c>
      <c r="CB35" s="20"/>
      <c r="CC35" s="44" t="str">
        <f ca="1">IFERROR(MATCH(INDIRECT("$CB$35"),'1.Locations'!$B$2:$B$32, 0) - 1," ")</f>
        <v xml:space="preserve"> </v>
      </c>
      <c r="CD35" s="44" t="e">
        <f ca="1">IFERROR(IF(ISNUMBER($CC$35),INDEX('1.Locations'!$D$2:$D$32,$CC$35 + 1),NA()),NA())</f>
        <v>#N/A</v>
      </c>
      <c r="CE35" s="44" t="e">
        <f ca="1">IFERROR(IF(ISNUMBER($CC$35),INDEX('1.Locations'!$E$2:$E$32,$CC$35 + 1),NA()),NA())</f>
        <v>#N/A</v>
      </c>
      <c r="CF35" s="45" t="str">
        <f ca="1">IFERROR(IF(AND(ISNUMBER($CC$35),$CC$35&lt;=30),INDEX('2.Distances'!$C$2:$C$963,$CC$34*31+$CC$35+ 1) +$CF$34," ")," ")</f>
        <v xml:space="preserve"> </v>
      </c>
      <c r="CG35" s="44" t="str">
        <f ca="1">IFERROR(IF(ISNUMBER($CC$35),INDEX('1.Locations'!$J$2:$J$32,$CC$35 + 1) +$CG$34," ")," ")</f>
        <v xml:space="preserve"> </v>
      </c>
      <c r="CH35" s="44" t="str">
        <f ca="1">IFERROR(IF(ISNUMBER($CC$35),INDEX('1.Locations'!$K$2:$K$32,$CC$35 + 1) +$CH$34," ")," ")</f>
        <v xml:space="preserve"> </v>
      </c>
      <c r="CI35" s="46" t="str">
        <f ca="1">IFERROR(IF(AND(ISNUMBER($CC$35),$CC$35&lt;=30),INDEX('2.Distances'!$D$2:$D$963,$CC$34*31+$CC$35+ 1) +$CI$34," ")," ")</f>
        <v xml:space="preserve"> </v>
      </c>
      <c r="CJ35" s="47" t="str">
        <f ca="1">IFERROR(IF(AND(ISNUMBER($CC$35),$CC$35&lt;=30),INDEX('2.Distances'!$D$2:$D$963,$CC$34*31+$CC$35+ 1) +$CK$34," ")," ")</f>
        <v xml:space="preserve"> </v>
      </c>
      <c r="CK35" s="47" t="str">
        <f ca="1">IFERROR(IF(ISNUMBER($CJ$35),INDEX('1.Locations'!$I$2:$I$32,$CC$35 + 1) + MAX($CJ$35,INDEX('1.Locations'!$F$2:$F$32,$CC$35 + 1))," ")," ")</f>
        <v xml:space="preserve"> </v>
      </c>
      <c r="CL35" s="46" t="str">
        <f ca="1">IFERROR($CL$34 + INDEX('2.Distances'!$D$2:$D$963,$CC$34*31+$CC$35+ 1) + INDEX('1.Locations'!$I$2:$I$32,$CC$35 + 1)," ")</f>
        <v xml:space="preserve"> </v>
      </c>
      <c r="CN35" s="19">
        <v>30</v>
      </c>
      <c r="CO35" s="20"/>
      <c r="CP35" s="44" t="str">
        <f ca="1">IFERROR(MATCH(INDIRECT("$CO$35"),'1.Locations'!$B$2:$B$32, 0) - 1," ")</f>
        <v xml:space="preserve"> </v>
      </c>
      <c r="CQ35" s="44" t="e">
        <f ca="1">IFERROR(IF(ISNUMBER($CP$35),INDEX('1.Locations'!$D$2:$D$32,$CP$35 + 1),NA()),NA())</f>
        <v>#N/A</v>
      </c>
      <c r="CR35" s="44" t="e">
        <f ca="1">IFERROR(IF(ISNUMBER($CP$35),INDEX('1.Locations'!$E$2:$E$32,$CP$35 + 1),NA()),NA())</f>
        <v>#N/A</v>
      </c>
      <c r="CS35" s="45" t="str">
        <f ca="1">IFERROR(IF(AND(ISNUMBER($CP$35),$CP$35&lt;=30),INDEX('2.Distances'!$C$2:$C$963,$CP$34*31+$CP$35+ 1) +$CS$34," ")," ")</f>
        <v xml:space="preserve"> </v>
      </c>
      <c r="CT35" s="44" t="str">
        <f ca="1">IFERROR(IF(ISNUMBER($CP$35),INDEX('1.Locations'!$J$2:$J$32,$CP$35 + 1) +$CT$34," ")," ")</f>
        <v xml:space="preserve"> </v>
      </c>
      <c r="CU35" s="44" t="str">
        <f ca="1">IFERROR(IF(ISNUMBER($CP$35),INDEX('1.Locations'!$K$2:$K$32,$CP$35 + 1) +$CU$34," ")," ")</f>
        <v xml:space="preserve"> </v>
      </c>
      <c r="CV35" s="46" t="str">
        <f ca="1">IFERROR(IF(AND(ISNUMBER($CP$35),$CP$35&lt;=30),INDEX('2.Distances'!$D$2:$D$963,$CP$34*31+$CP$35+ 1) +$CV$34," ")," ")</f>
        <v xml:space="preserve"> </v>
      </c>
      <c r="CW35" s="47" t="str">
        <f ca="1">IFERROR(IF(AND(ISNUMBER($CP$35),$CP$35&lt;=30),INDEX('2.Distances'!$D$2:$D$963,$CP$34*31+$CP$35+ 1) +$CX$34," ")," ")</f>
        <v xml:space="preserve"> </v>
      </c>
      <c r="CX35" s="47" t="str">
        <f ca="1">IFERROR(IF(ISNUMBER($CW$35),INDEX('1.Locations'!$I$2:$I$32,$CP$35 + 1) + MAX($CW$35,INDEX('1.Locations'!$F$2:$F$32,$CP$35 + 1))," ")," ")</f>
        <v xml:space="preserve"> </v>
      </c>
      <c r="CY35" s="46" t="str">
        <f ca="1">IFERROR($CY$34 + INDEX('2.Distances'!$D$2:$D$963,$CP$34*31+$CP$35+ 1) + INDEX('1.Locations'!$I$2:$I$32,$CP$35 + 1)," ")</f>
        <v xml:space="preserve"> </v>
      </c>
      <c r="DA35" s="19">
        <v>30</v>
      </c>
      <c r="DB35" s="20"/>
      <c r="DC35" s="44" t="str">
        <f ca="1">IFERROR(MATCH(INDIRECT("$DB$35"),'1.Locations'!$B$2:$B$32, 0) - 1," ")</f>
        <v xml:space="preserve"> </v>
      </c>
      <c r="DD35" s="44" t="e">
        <f ca="1">IFERROR(IF(ISNUMBER($DC$35),INDEX('1.Locations'!$D$2:$D$32,$DC$35 + 1),NA()),NA())</f>
        <v>#N/A</v>
      </c>
      <c r="DE35" s="44" t="e">
        <f ca="1">IFERROR(IF(ISNUMBER($DC$35),INDEX('1.Locations'!$E$2:$E$32,$DC$35 + 1),NA()),NA())</f>
        <v>#N/A</v>
      </c>
      <c r="DF35" s="45" t="str">
        <f ca="1">IFERROR(IF(AND(ISNUMBER($DC$35),$DC$35&lt;=30),INDEX('2.Distances'!$C$2:$C$963,$DC$34*31+$DC$35+ 1) +$DF$34," ")," ")</f>
        <v xml:space="preserve"> </v>
      </c>
      <c r="DG35" s="44" t="str">
        <f ca="1">IFERROR(IF(ISNUMBER($DC$35),INDEX('1.Locations'!$J$2:$J$32,$DC$35 + 1) +$DG$34," ")," ")</f>
        <v xml:space="preserve"> </v>
      </c>
      <c r="DH35" s="44" t="str">
        <f ca="1">IFERROR(IF(ISNUMBER($DC$35),INDEX('1.Locations'!$K$2:$K$32,$DC$35 + 1) +$DH$34," ")," ")</f>
        <v xml:space="preserve"> </v>
      </c>
      <c r="DI35" s="46" t="str">
        <f ca="1">IFERROR(IF(AND(ISNUMBER($DC$35),$DC$35&lt;=30),INDEX('2.Distances'!$D$2:$D$963,$DC$34*31+$DC$35+ 1) +$DI$34," ")," ")</f>
        <v xml:space="preserve"> </v>
      </c>
      <c r="DJ35" s="47" t="str">
        <f ca="1">IFERROR(IF(AND(ISNUMBER($DC$35),$DC$35&lt;=30),INDEX('2.Distances'!$D$2:$D$963,$DC$34*31+$DC$35+ 1) +$DK$34," ")," ")</f>
        <v xml:space="preserve"> </v>
      </c>
      <c r="DK35" s="47" t="str">
        <f ca="1">IFERROR(IF(ISNUMBER($DJ$35),INDEX('1.Locations'!$I$2:$I$32,$DC$35 + 1) + MAX($DJ$35,INDEX('1.Locations'!$F$2:$F$32,$DC$35 + 1))," ")," ")</f>
        <v xml:space="preserve"> </v>
      </c>
      <c r="DL35" s="46" t="str">
        <f ca="1">IFERROR($DL$34 + INDEX('2.Distances'!$D$2:$D$963,$DC$34*31+$DC$35+ 1) + INDEX('1.Locations'!$I$2:$I$32,$DC$35 + 1)," ")</f>
        <v xml:space="preserve"> </v>
      </c>
      <c r="DN35" s="19">
        <v>30</v>
      </c>
      <c r="DO35" s="20"/>
      <c r="DP35" s="44" t="str">
        <f ca="1">IFERROR(MATCH(INDIRECT("$DO$35"),'1.Locations'!$B$2:$B$32, 0) - 1," ")</f>
        <v xml:space="preserve"> </v>
      </c>
      <c r="DQ35" s="44" t="e">
        <f ca="1">IFERROR(IF(ISNUMBER($DP$35),INDEX('1.Locations'!$D$2:$D$32,$DP$35 + 1),NA()),NA())</f>
        <v>#N/A</v>
      </c>
      <c r="DR35" s="44" t="e">
        <f ca="1">IFERROR(IF(ISNUMBER($DP$35),INDEX('1.Locations'!$E$2:$E$32,$DP$35 + 1),NA()),NA())</f>
        <v>#N/A</v>
      </c>
      <c r="DS35" s="45" t="str">
        <f ca="1">IFERROR(IF(AND(ISNUMBER($DP$35),$DP$35&lt;=30),INDEX('2.Distances'!$C$2:$C$963,$DP$34*31+$DP$35+ 1) +$DS$34," ")," ")</f>
        <v xml:space="preserve"> </v>
      </c>
      <c r="DT35" s="44" t="str">
        <f ca="1">IFERROR(IF(ISNUMBER($DP$35),INDEX('1.Locations'!$J$2:$J$32,$DP$35 + 1) +$DT$34," ")," ")</f>
        <v xml:space="preserve"> </v>
      </c>
      <c r="DU35" s="44" t="str">
        <f ca="1">IFERROR(IF(ISNUMBER($DP$35),INDEX('1.Locations'!$K$2:$K$32,$DP$35 + 1) +$DU$34," ")," ")</f>
        <v xml:space="preserve"> </v>
      </c>
      <c r="DV35" s="46" t="str">
        <f ca="1">IFERROR(IF(AND(ISNUMBER($DP$35),$DP$35&lt;=30),INDEX('2.Distances'!$D$2:$D$963,$DP$34*31+$DP$35+ 1) +$DV$34," ")," ")</f>
        <v xml:space="preserve"> </v>
      </c>
      <c r="DW35" s="47" t="str">
        <f ca="1">IFERROR(IF(AND(ISNUMBER($DP$35),$DP$35&lt;=30),INDEX('2.Distances'!$D$2:$D$963,$DP$34*31+$DP$35+ 1) +$DX$34," ")," ")</f>
        <v xml:space="preserve"> </v>
      </c>
      <c r="DX35" s="47" t="str">
        <f ca="1">IFERROR(IF(ISNUMBER($DW$35),INDEX('1.Locations'!$I$2:$I$32,$DP$35 + 1) + MAX($DW$35,INDEX('1.Locations'!$F$2:$F$32,$DP$35 + 1))," ")," ")</f>
        <v xml:space="preserve"> </v>
      </c>
      <c r="DY35" s="46" t="str">
        <f ca="1">IFERROR($DY$34 + INDEX('2.Distances'!$D$2:$D$963,$DP$34*31+$DP$35+ 1) + INDEX('1.Locations'!$I$2:$I$32,$DP$35 + 1)," ")</f>
        <v xml:space="preserve"> </v>
      </c>
      <c r="EA35" s="19">
        <v>30</v>
      </c>
      <c r="EB35" s="20"/>
      <c r="EC35" s="44" t="str">
        <f ca="1">IFERROR(MATCH(INDIRECT("$EB$35"),'1.Locations'!$B$2:$B$32, 0) - 1," ")</f>
        <v xml:space="preserve"> </v>
      </c>
      <c r="ED35" s="44" t="e">
        <f ca="1">IFERROR(IF(ISNUMBER($EC$35),INDEX('1.Locations'!$D$2:$D$32,$EC$35 + 1),NA()),NA())</f>
        <v>#N/A</v>
      </c>
      <c r="EE35" s="44" t="e">
        <f ca="1">IFERROR(IF(ISNUMBER($EC$35),INDEX('1.Locations'!$E$2:$E$32,$EC$35 + 1),NA()),NA())</f>
        <v>#N/A</v>
      </c>
      <c r="EF35" s="45" t="str">
        <f ca="1">IFERROR(IF(AND(ISNUMBER($EC$35),$EC$35&lt;=30),INDEX('2.Distances'!$C$2:$C$963,$EC$34*31+$EC$35+ 1) +$EF$34," ")," ")</f>
        <v xml:space="preserve"> </v>
      </c>
      <c r="EG35" s="44" t="str">
        <f ca="1">IFERROR(IF(ISNUMBER($EC$35),INDEX('1.Locations'!$J$2:$J$32,$EC$35 + 1) +$EG$34," ")," ")</f>
        <v xml:space="preserve"> </v>
      </c>
      <c r="EH35" s="44" t="str">
        <f ca="1">IFERROR(IF(ISNUMBER($EC$35),INDEX('1.Locations'!$K$2:$K$32,$EC$35 + 1) +$EH$34," ")," ")</f>
        <v xml:space="preserve"> </v>
      </c>
      <c r="EI35" s="46" t="str">
        <f ca="1">IFERROR(IF(AND(ISNUMBER($EC$35),$EC$35&lt;=30),INDEX('2.Distances'!$D$2:$D$963,$EC$34*31+$EC$35+ 1) +$EI$34," ")," ")</f>
        <v xml:space="preserve"> </v>
      </c>
      <c r="EJ35" s="47" t="str">
        <f ca="1">IFERROR(IF(AND(ISNUMBER($EC$35),$EC$35&lt;=30),INDEX('2.Distances'!$D$2:$D$963,$EC$34*31+$EC$35+ 1) +$EK$34," ")," ")</f>
        <v xml:space="preserve"> </v>
      </c>
      <c r="EK35" s="47" t="str">
        <f ca="1">IFERROR(IF(ISNUMBER($EJ$35),INDEX('1.Locations'!$I$2:$I$32,$EC$35 + 1) + MAX($EJ$35,INDEX('1.Locations'!$F$2:$F$32,$EC$35 + 1))," ")," ")</f>
        <v xml:space="preserve"> </v>
      </c>
      <c r="EL35" s="46" t="str">
        <f ca="1">IFERROR($EL$34 + INDEX('2.Distances'!$D$2:$D$963,$EC$34*31+$EC$35+ 1) + INDEX('1.Locations'!$I$2:$I$32,$EC$35 + 1)," ")</f>
        <v xml:space="preserve"> </v>
      </c>
      <c r="EN35" s="19">
        <v>30</v>
      </c>
      <c r="EO35" s="20"/>
      <c r="EP35" s="44" t="str">
        <f ca="1">IFERROR(MATCH(INDIRECT("$EO$35"),'1.Locations'!$B$2:$B$32, 0) - 1," ")</f>
        <v xml:space="preserve"> </v>
      </c>
      <c r="EQ35" s="44" t="e">
        <f ca="1">IFERROR(IF(ISNUMBER($EP$35),INDEX('1.Locations'!$D$2:$D$32,$EP$35 + 1),NA()),NA())</f>
        <v>#N/A</v>
      </c>
      <c r="ER35" s="44" t="e">
        <f ca="1">IFERROR(IF(ISNUMBER($EP$35),INDEX('1.Locations'!$E$2:$E$32,$EP$35 + 1),NA()),NA())</f>
        <v>#N/A</v>
      </c>
      <c r="ES35" s="45" t="str">
        <f ca="1">IFERROR(IF(AND(ISNUMBER($EP$35),$EP$35&lt;=30),INDEX('2.Distances'!$C$2:$C$963,$EP$34*31+$EP$35+ 1) +$ES$34," ")," ")</f>
        <v xml:space="preserve"> </v>
      </c>
      <c r="ET35" s="44" t="str">
        <f ca="1">IFERROR(IF(ISNUMBER($EP$35),INDEX('1.Locations'!$J$2:$J$32,$EP$35 + 1) +$ET$34," ")," ")</f>
        <v xml:space="preserve"> </v>
      </c>
      <c r="EU35" s="44" t="str">
        <f ca="1">IFERROR(IF(ISNUMBER($EP$35),INDEX('1.Locations'!$K$2:$K$32,$EP$35 + 1) +$EU$34," ")," ")</f>
        <v xml:space="preserve"> </v>
      </c>
      <c r="EV35" s="46" t="str">
        <f ca="1">IFERROR(IF(AND(ISNUMBER($EP$35),$EP$35&lt;=30),INDEX('2.Distances'!$D$2:$D$963,$EP$34*31+$EP$35+ 1) +$EV$34," ")," ")</f>
        <v xml:space="preserve"> </v>
      </c>
      <c r="EW35" s="47" t="str">
        <f ca="1">IFERROR(IF(AND(ISNUMBER($EP$35),$EP$35&lt;=30),INDEX('2.Distances'!$D$2:$D$963,$EP$34*31+$EP$35+ 1) +$EX$34," ")," ")</f>
        <v xml:space="preserve"> </v>
      </c>
      <c r="EX35" s="47" t="str">
        <f ca="1">IFERROR(IF(ISNUMBER($EW$35),INDEX('1.Locations'!$I$2:$I$32,$EP$35 + 1) + MAX($EW$35,INDEX('1.Locations'!$F$2:$F$32,$EP$35 + 1))," ")," ")</f>
        <v xml:space="preserve"> </v>
      </c>
      <c r="EY35" s="46" t="str">
        <f ca="1">IFERROR($EY$34 + INDEX('2.Distances'!$D$2:$D$963,$EP$34*31+$EP$35+ 1) + INDEX('1.Locations'!$I$2:$I$32,$EP$35 + 1)," ")</f>
        <v xml:space="preserve"> </v>
      </c>
    </row>
    <row r="36" spans="1:155" x14ac:dyDescent="0.2">
      <c r="A36" s="17">
        <v>31</v>
      </c>
      <c r="B36" s="16"/>
      <c r="C36" s="40" t="str">
        <f ca="1">IFERROR(MATCH(INDIRECT("$B$36"),'1.Locations'!$B$2:$B$32, 0) - 1," ")</f>
        <v xml:space="preserve"> </v>
      </c>
      <c r="D36" s="40" t="e">
        <f ca="1">IFERROR(IF(ISNUMBER($C$36),INDEX('1.Locations'!$D$2:$D$32,$C$36 + 1),NA()),NA())</f>
        <v>#N/A</v>
      </c>
      <c r="E36" s="40" t="e">
        <f ca="1">IFERROR(IF(ISNUMBER($C$36),INDEX('1.Locations'!$E$2:$E$32,$C$36 + 1),NA()),NA())</f>
        <v>#N/A</v>
      </c>
      <c r="F36" s="41" t="str">
        <f ca="1">IFERROR(IF(AND(ISNUMBER($C$36),$C$36&lt;=30),INDEX('2.Distances'!$C$2:$C$963,$C$35*31+$C$36+ 1) +$F$35," ")," ")</f>
        <v xml:space="preserve"> </v>
      </c>
      <c r="G36" s="40" t="str">
        <f ca="1">IFERROR(IF(ISNUMBER($C$36),INDEX('1.Locations'!$J$2:$J$32,$C$36 + 1) +$G$35," ")," ")</f>
        <v xml:space="preserve"> </v>
      </c>
      <c r="H36" s="40" t="str">
        <f ca="1">IFERROR(IF(ISNUMBER($C$36),INDEX('1.Locations'!$K$2:$K$32,$C$36 + 1) +$H$35," ")," ")</f>
        <v xml:space="preserve"> </v>
      </c>
      <c r="I36" s="42" t="str">
        <f ca="1">IFERROR(IF(AND(ISNUMBER($C$36),$C$36&lt;=30),INDEX('2.Distances'!$D$2:$D$963,$C$35*31+$C$36+ 1) +$I$35," ")," ")</f>
        <v xml:space="preserve"> </v>
      </c>
      <c r="J36" s="43" t="str">
        <f ca="1">IFERROR(IF(AND(ISNUMBER($C$36),$C$36&lt;=30),INDEX('2.Distances'!$D$2:$D$963,$C$35*31+$C$36+ 1) +$K$35," ")," ")</f>
        <v xml:space="preserve"> </v>
      </c>
      <c r="K36" s="43" t="str">
        <f ca="1">IFERROR(IF(ISNUMBER($J$36),INDEX('1.Locations'!$I$2:$I$32,$C$36 + 1) + MAX($J$36,INDEX('1.Locations'!$F$2:$F$32,$C$36 + 1))," ")," ")</f>
        <v xml:space="preserve"> </v>
      </c>
      <c r="L36" s="42" t="str">
        <f ca="1">IFERROR($L$35 + INDEX('2.Distances'!$D$2:$D$963,$C$35*31+$C$36+ 1) + INDEX('1.Locations'!$I$2:$I$32,$C$36 + 1)," ")</f>
        <v xml:space="preserve"> </v>
      </c>
      <c r="N36" s="17">
        <v>31</v>
      </c>
      <c r="O36" s="16"/>
      <c r="P36" s="40" t="str">
        <f ca="1">IFERROR(MATCH(INDIRECT("$O$36"),'1.Locations'!$B$2:$B$32, 0) - 1," ")</f>
        <v xml:space="preserve"> </v>
      </c>
      <c r="Q36" s="40" t="e">
        <f ca="1">IFERROR(IF(ISNUMBER($P$36),INDEX('1.Locations'!$D$2:$D$32,$P$36 + 1),NA()),NA())</f>
        <v>#N/A</v>
      </c>
      <c r="R36" s="40" t="e">
        <f ca="1">IFERROR(IF(ISNUMBER($P$36),INDEX('1.Locations'!$E$2:$E$32,$P$36 + 1),NA()),NA())</f>
        <v>#N/A</v>
      </c>
      <c r="S36" s="41" t="str">
        <f ca="1">IFERROR(IF(AND(ISNUMBER($P$36),$P$36&lt;=30),INDEX('2.Distances'!$C$2:$C$963,$P$35*31+$P$36+ 1) +$S$35," ")," ")</f>
        <v xml:space="preserve"> </v>
      </c>
      <c r="T36" s="40" t="str">
        <f ca="1">IFERROR(IF(ISNUMBER($P$36),INDEX('1.Locations'!$J$2:$J$32,$P$36 + 1) +$T$35," ")," ")</f>
        <v xml:space="preserve"> </v>
      </c>
      <c r="U36" s="40" t="str">
        <f ca="1">IFERROR(IF(ISNUMBER($P$36),INDEX('1.Locations'!$K$2:$K$32,$P$36 + 1) +$U$35," ")," ")</f>
        <v xml:space="preserve"> </v>
      </c>
      <c r="V36" s="42" t="str">
        <f ca="1">IFERROR(IF(AND(ISNUMBER($P$36),$P$36&lt;=30),INDEX('2.Distances'!$D$2:$D$963,$P$35*31+$P$36+ 1) +$V$35," ")," ")</f>
        <v xml:space="preserve"> </v>
      </c>
      <c r="W36" s="43" t="str">
        <f ca="1">IFERROR(IF(AND(ISNUMBER($P$36),$P$36&lt;=30),INDEX('2.Distances'!$D$2:$D$963,$P$35*31+$P$36+ 1) +$X$35," ")," ")</f>
        <v xml:space="preserve"> </v>
      </c>
      <c r="X36" s="43" t="str">
        <f ca="1">IFERROR(IF(ISNUMBER($W$36),INDEX('1.Locations'!$I$2:$I$32,$P$36 + 1) + MAX($W$36,INDEX('1.Locations'!$F$2:$F$32,$P$36 + 1))," ")," ")</f>
        <v xml:space="preserve"> </v>
      </c>
      <c r="Y36" s="42" t="str">
        <f ca="1">IFERROR($Y$35 + INDEX('2.Distances'!$D$2:$D$963,$P$35*31+$P$36+ 1) + INDEX('1.Locations'!$I$2:$I$32,$P$36 + 1)," ")</f>
        <v xml:space="preserve"> </v>
      </c>
      <c r="AA36" s="17">
        <v>31</v>
      </c>
      <c r="AB36" s="16"/>
      <c r="AC36" s="40" t="str">
        <f ca="1">IFERROR(MATCH(INDIRECT("$AB$36"),'1.Locations'!$B$2:$B$32, 0) - 1," ")</f>
        <v xml:space="preserve"> </v>
      </c>
      <c r="AD36" s="40" t="e">
        <f ca="1">IFERROR(IF(ISNUMBER($AC$36),INDEX('1.Locations'!$D$2:$D$32,$AC$36 + 1),NA()),NA())</f>
        <v>#N/A</v>
      </c>
      <c r="AE36" s="40" t="e">
        <f ca="1">IFERROR(IF(ISNUMBER($AC$36),INDEX('1.Locations'!$E$2:$E$32,$AC$36 + 1),NA()),NA())</f>
        <v>#N/A</v>
      </c>
      <c r="AF36" s="41" t="str">
        <f ca="1">IFERROR(IF(AND(ISNUMBER($AC$36),$AC$36&lt;=30),INDEX('2.Distances'!$C$2:$C$963,$AC$35*31+$AC$36+ 1) +$AF$35," ")," ")</f>
        <v xml:space="preserve"> </v>
      </c>
      <c r="AG36" s="40" t="str">
        <f ca="1">IFERROR(IF(ISNUMBER($AC$36),INDEX('1.Locations'!$J$2:$J$32,$AC$36 + 1) +$AG$35," ")," ")</f>
        <v xml:space="preserve"> </v>
      </c>
      <c r="AH36" s="40" t="str">
        <f ca="1">IFERROR(IF(ISNUMBER($AC$36),INDEX('1.Locations'!$K$2:$K$32,$AC$36 + 1) +$AH$35," ")," ")</f>
        <v xml:space="preserve"> </v>
      </c>
      <c r="AI36" s="42" t="str">
        <f ca="1">IFERROR(IF(AND(ISNUMBER($AC$36),$AC$36&lt;=30),INDEX('2.Distances'!$D$2:$D$963,$AC$35*31+$AC$36+ 1) +$AI$35," ")," ")</f>
        <v xml:space="preserve"> </v>
      </c>
      <c r="AJ36" s="43" t="str">
        <f ca="1">IFERROR(IF(AND(ISNUMBER($AC$36),$AC$36&lt;=30),INDEX('2.Distances'!$D$2:$D$963,$AC$35*31+$AC$36+ 1) +$AK$35," ")," ")</f>
        <v xml:space="preserve"> </v>
      </c>
      <c r="AK36" s="43" t="str">
        <f ca="1">IFERROR(IF(ISNUMBER($AJ$36),INDEX('1.Locations'!$I$2:$I$32,$AC$36 + 1) + MAX($AJ$36,INDEX('1.Locations'!$F$2:$F$32,$AC$36 + 1))," ")," ")</f>
        <v xml:space="preserve"> </v>
      </c>
      <c r="AL36" s="42" t="str">
        <f ca="1">IFERROR($AL$35 + INDEX('2.Distances'!$D$2:$D$963,$AC$35*31+$AC$36+ 1) + INDEX('1.Locations'!$I$2:$I$32,$AC$36 + 1)," ")</f>
        <v xml:space="preserve"> </v>
      </c>
      <c r="AN36" s="17">
        <v>31</v>
      </c>
      <c r="AO36" s="16"/>
      <c r="AP36" s="40" t="str">
        <f ca="1">IFERROR(MATCH(INDIRECT("$AO$36"),'1.Locations'!$B$2:$B$32, 0) - 1," ")</f>
        <v xml:space="preserve"> </v>
      </c>
      <c r="AQ36" s="40" t="e">
        <f ca="1">IFERROR(IF(ISNUMBER($AP$36),INDEX('1.Locations'!$D$2:$D$32,$AP$36 + 1),NA()),NA())</f>
        <v>#N/A</v>
      </c>
      <c r="AR36" s="40" t="e">
        <f ca="1">IFERROR(IF(ISNUMBER($AP$36),INDEX('1.Locations'!$E$2:$E$32,$AP$36 + 1),NA()),NA())</f>
        <v>#N/A</v>
      </c>
      <c r="AS36" s="41" t="str">
        <f ca="1">IFERROR(IF(AND(ISNUMBER($AP$36),$AP$36&lt;=30),INDEX('2.Distances'!$C$2:$C$963,$AP$35*31+$AP$36+ 1) +$AS$35," ")," ")</f>
        <v xml:space="preserve"> </v>
      </c>
      <c r="AT36" s="40" t="str">
        <f ca="1">IFERROR(IF(ISNUMBER($AP$36),INDEX('1.Locations'!$J$2:$J$32,$AP$36 + 1) +$AT$35," ")," ")</f>
        <v xml:space="preserve"> </v>
      </c>
      <c r="AU36" s="40" t="str">
        <f ca="1">IFERROR(IF(ISNUMBER($AP$36),INDEX('1.Locations'!$K$2:$K$32,$AP$36 + 1) +$AU$35," ")," ")</f>
        <v xml:space="preserve"> </v>
      </c>
      <c r="AV36" s="42" t="str">
        <f ca="1">IFERROR(IF(AND(ISNUMBER($AP$36),$AP$36&lt;=30),INDEX('2.Distances'!$D$2:$D$963,$AP$35*31+$AP$36+ 1) +$AV$35," ")," ")</f>
        <v xml:space="preserve"> </v>
      </c>
      <c r="AW36" s="43" t="str">
        <f ca="1">IFERROR(IF(AND(ISNUMBER($AP$36),$AP$36&lt;=30),INDEX('2.Distances'!$D$2:$D$963,$AP$35*31+$AP$36+ 1) +$AX$35," ")," ")</f>
        <v xml:space="preserve"> </v>
      </c>
      <c r="AX36" s="43" t="str">
        <f ca="1">IFERROR(IF(ISNUMBER($AW$36),INDEX('1.Locations'!$I$2:$I$32,$AP$36 + 1) + MAX($AW$36,INDEX('1.Locations'!$F$2:$F$32,$AP$36 + 1))," ")," ")</f>
        <v xml:space="preserve"> </v>
      </c>
      <c r="AY36" s="42" t="str">
        <f ca="1">IFERROR($AY$35 + INDEX('2.Distances'!$D$2:$D$963,$AP$35*31+$AP$36+ 1) + INDEX('1.Locations'!$I$2:$I$32,$AP$36 + 1)," ")</f>
        <v xml:space="preserve"> </v>
      </c>
      <c r="BA36" s="17">
        <v>31</v>
      </c>
      <c r="BB36" s="16"/>
      <c r="BC36" s="40" t="str">
        <f ca="1">IFERROR(MATCH(INDIRECT("$BB$36"),'1.Locations'!$B$2:$B$32, 0) - 1," ")</f>
        <v xml:space="preserve"> </v>
      </c>
      <c r="BD36" s="40" t="e">
        <f ca="1">IFERROR(IF(ISNUMBER($BC$36),INDEX('1.Locations'!$D$2:$D$32,$BC$36 + 1),NA()),NA())</f>
        <v>#N/A</v>
      </c>
      <c r="BE36" s="40" t="e">
        <f ca="1">IFERROR(IF(ISNUMBER($BC$36),INDEX('1.Locations'!$E$2:$E$32,$BC$36 + 1),NA()),NA())</f>
        <v>#N/A</v>
      </c>
      <c r="BF36" s="41" t="str">
        <f ca="1">IFERROR(IF(AND(ISNUMBER($BC$36),$BC$36&lt;=30),INDEX('2.Distances'!$C$2:$C$963,$BC$35*31+$BC$36+ 1) +$BF$35," ")," ")</f>
        <v xml:space="preserve"> </v>
      </c>
      <c r="BG36" s="40" t="str">
        <f ca="1">IFERROR(IF(ISNUMBER($BC$36),INDEX('1.Locations'!$J$2:$J$32,$BC$36 + 1) +$BG$35," ")," ")</f>
        <v xml:space="preserve"> </v>
      </c>
      <c r="BH36" s="40" t="str">
        <f ca="1">IFERROR(IF(ISNUMBER($BC$36),INDEX('1.Locations'!$K$2:$K$32,$BC$36 + 1) +$BH$35," ")," ")</f>
        <v xml:space="preserve"> </v>
      </c>
      <c r="BI36" s="42" t="str">
        <f ca="1">IFERROR(IF(AND(ISNUMBER($BC$36),$BC$36&lt;=30),INDEX('2.Distances'!$D$2:$D$963,$BC$35*31+$BC$36+ 1) +$BI$35," ")," ")</f>
        <v xml:space="preserve"> </v>
      </c>
      <c r="BJ36" s="43" t="str">
        <f ca="1">IFERROR(IF(AND(ISNUMBER($BC$36),$BC$36&lt;=30),INDEX('2.Distances'!$D$2:$D$963,$BC$35*31+$BC$36+ 1) +$BK$35," ")," ")</f>
        <v xml:space="preserve"> </v>
      </c>
      <c r="BK36" s="43" t="str">
        <f ca="1">IFERROR(IF(ISNUMBER($BJ$36),INDEX('1.Locations'!$I$2:$I$32,$BC$36 + 1) + MAX($BJ$36,INDEX('1.Locations'!$F$2:$F$32,$BC$36 + 1))," ")," ")</f>
        <v xml:space="preserve"> </v>
      </c>
      <c r="BL36" s="42" t="str">
        <f ca="1">IFERROR($BL$35 + INDEX('2.Distances'!$D$2:$D$963,$BC$35*31+$BC$36+ 1) + INDEX('1.Locations'!$I$2:$I$32,$BC$36 + 1)," ")</f>
        <v xml:space="preserve"> </v>
      </c>
      <c r="BN36" s="17">
        <v>31</v>
      </c>
      <c r="BO36" s="16"/>
      <c r="BP36" s="40" t="str">
        <f ca="1">IFERROR(MATCH(INDIRECT("$BO$36"),'1.Locations'!$B$2:$B$32, 0) - 1," ")</f>
        <v xml:space="preserve"> </v>
      </c>
      <c r="BQ36" s="40" t="e">
        <f ca="1">IFERROR(IF(ISNUMBER($BP$36),INDEX('1.Locations'!$D$2:$D$32,$BP$36 + 1),NA()),NA())</f>
        <v>#N/A</v>
      </c>
      <c r="BR36" s="40" t="e">
        <f ca="1">IFERROR(IF(ISNUMBER($BP$36),INDEX('1.Locations'!$E$2:$E$32,$BP$36 + 1),NA()),NA())</f>
        <v>#N/A</v>
      </c>
      <c r="BS36" s="41" t="str">
        <f ca="1">IFERROR(IF(AND(ISNUMBER($BP$36),$BP$36&lt;=30),INDEX('2.Distances'!$C$2:$C$963,$BP$35*31+$BP$36+ 1) +$BS$35," ")," ")</f>
        <v xml:space="preserve"> </v>
      </c>
      <c r="BT36" s="40" t="str">
        <f ca="1">IFERROR(IF(ISNUMBER($BP$36),INDEX('1.Locations'!$J$2:$J$32,$BP$36 + 1) +$BT$35," ")," ")</f>
        <v xml:space="preserve"> </v>
      </c>
      <c r="BU36" s="40" t="str">
        <f ca="1">IFERROR(IF(ISNUMBER($BP$36),INDEX('1.Locations'!$K$2:$K$32,$BP$36 + 1) +$BU$35," ")," ")</f>
        <v xml:space="preserve"> </v>
      </c>
      <c r="BV36" s="42" t="str">
        <f ca="1">IFERROR(IF(AND(ISNUMBER($BP$36),$BP$36&lt;=30),INDEX('2.Distances'!$D$2:$D$963,$BP$35*31+$BP$36+ 1) +$BV$35," ")," ")</f>
        <v xml:space="preserve"> </v>
      </c>
      <c r="BW36" s="43" t="str">
        <f ca="1">IFERROR(IF(AND(ISNUMBER($BP$36),$BP$36&lt;=30),INDEX('2.Distances'!$D$2:$D$963,$BP$35*31+$BP$36+ 1) +$BX$35," ")," ")</f>
        <v xml:space="preserve"> </v>
      </c>
      <c r="BX36" s="43" t="str">
        <f ca="1">IFERROR(IF(ISNUMBER($BW$36),INDEX('1.Locations'!$I$2:$I$32,$BP$36 + 1) + MAX($BW$36,INDEX('1.Locations'!$F$2:$F$32,$BP$36 + 1))," ")," ")</f>
        <v xml:space="preserve"> </v>
      </c>
      <c r="BY36" s="42" t="str">
        <f ca="1">IFERROR($BY$35 + INDEX('2.Distances'!$D$2:$D$963,$BP$35*31+$BP$36+ 1) + INDEX('1.Locations'!$I$2:$I$32,$BP$36 + 1)," ")</f>
        <v xml:space="preserve"> </v>
      </c>
      <c r="CA36" s="17">
        <v>31</v>
      </c>
      <c r="CB36" s="16"/>
      <c r="CC36" s="40" t="str">
        <f ca="1">IFERROR(MATCH(INDIRECT("$CB$36"),'1.Locations'!$B$2:$B$32, 0) - 1," ")</f>
        <v xml:space="preserve"> </v>
      </c>
      <c r="CD36" s="40" t="e">
        <f ca="1">IFERROR(IF(ISNUMBER($CC$36),INDEX('1.Locations'!$D$2:$D$32,$CC$36 + 1),NA()),NA())</f>
        <v>#N/A</v>
      </c>
      <c r="CE36" s="40" t="e">
        <f ca="1">IFERROR(IF(ISNUMBER($CC$36),INDEX('1.Locations'!$E$2:$E$32,$CC$36 + 1),NA()),NA())</f>
        <v>#N/A</v>
      </c>
      <c r="CF36" s="41" t="str">
        <f ca="1">IFERROR(IF(AND(ISNUMBER($CC$36),$CC$36&lt;=30),INDEX('2.Distances'!$C$2:$C$963,$CC$35*31+$CC$36+ 1) +$CF$35," ")," ")</f>
        <v xml:space="preserve"> </v>
      </c>
      <c r="CG36" s="40" t="str">
        <f ca="1">IFERROR(IF(ISNUMBER($CC$36),INDEX('1.Locations'!$J$2:$J$32,$CC$36 + 1) +$CG$35," ")," ")</f>
        <v xml:space="preserve"> </v>
      </c>
      <c r="CH36" s="40" t="str">
        <f ca="1">IFERROR(IF(ISNUMBER($CC$36),INDEX('1.Locations'!$K$2:$K$32,$CC$36 + 1) +$CH$35," ")," ")</f>
        <v xml:space="preserve"> </v>
      </c>
      <c r="CI36" s="42" t="str">
        <f ca="1">IFERROR(IF(AND(ISNUMBER($CC$36),$CC$36&lt;=30),INDEX('2.Distances'!$D$2:$D$963,$CC$35*31+$CC$36+ 1) +$CI$35," ")," ")</f>
        <v xml:space="preserve"> </v>
      </c>
      <c r="CJ36" s="43" t="str">
        <f ca="1">IFERROR(IF(AND(ISNUMBER($CC$36),$CC$36&lt;=30),INDEX('2.Distances'!$D$2:$D$963,$CC$35*31+$CC$36+ 1) +$CK$35," ")," ")</f>
        <v xml:space="preserve"> </v>
      </c>
      <c r="CK36" s="43" t="str">
        <f ca="1">IFERROR(IF(ISNUMBER($CJ$36),INDEX('1.Locations'!$I$2:$I$32,$CC$36 + 1) + MAX($CJ$36,INDEX('1.Locations'!$F$2:$F$32,$CC$36 + 1))," ")," ")</f>
        <v xml:space="preserve"> </v>
      </c>
      <c r="CL36" s="42" t="str">
        <f ca="1">IFERROR($CL$35 + INDEX('2.Distances'!$D$2:$D$963,$CC$35*31+$CC$36+ 1) + INDEX('1.Locations'!$I$2:$I$32,$CC$36 + 1)," ")</f>
        <v xml:space="preserve"> </v>
      </c>
      <c r="CN36" s="17">
        <v>31</v>
      </c>
      <c r="CO36" s="16"/>
      <c r="CP36" s="40" t="str">
        <f ca="1">IFERROR(MATCH(INDIRECT("$CO$36"),'1.Locations'!$B$2:$B$32, 0) - 1," ")</f>
        <v xml:space="preserve"> </v>
      </c>
      <c r="CQ36" s="40" t="e">
        <f ca="1">IFERROR(IF(ISNUMBER($CP$36),INDEX('1.Locations'!$D$2:$D$32,$CP$36 + 1),NA()),NA())</f>
        <v>#N/A</v>
      </c>
      <c r="CR36" s="40" t="e">
        <f ca="1">IFERROR(IF(ISNUMBER($CP$36),INDEX('1.Locations'!$E$2:$E$32,$CP$36 + 1),NA()),NA())</f>
        <v>#N/A</v>
      </c>
      <c r="CS36" s="41" t="str">
        <f ca="1">IFERROR(IF(AND(ISNUMBER($CP$36),$CP$36&lt;=30),INDEX('2.Distances'!$C$2:$C$963,$CP$35*31+$CP$36+ 1) +$CS$35," ")," ")</f>
        <v xml:space="preserve"> </v>
      </c>
      <c r="CT36" s="40" t="str">
        <f ca="1">IFERROR(IF(ISNUMBER($CP$36),INDEX('1.Locations'!$J$2:$J$32,$CP$36 + 1) +$CT$35," ")," ")</f>
        <v xml:space="preserve"> </v>
      </c>
      <c r="CU36" s="40" t="str">
        <f ca="1">IFERROR(IF(ISNUMBER($CP$36),INDEX('1.Locations'!$K$2:$K$32,$CP$36 + 1) +$CU$35," ")," ")</f>
        <v xml:space="preserve"> </v>
      </c>
      <c r="CV36" s="42" t="str">
        <f ca="1">IFERROR(IF(AND(ISNUMBER($CP$36),$CP$36&lt;=30),INDEX('2.Distances'!$D$2:$D$963,$CP$35*31+$CP$36+ 1) +$CV$35," ")," ")</f>
        <v xml:space="preserve"> </v>
      </c>
      <c r="CW36" s="43" t="str">
        <f ca="1">IFERROR(IF(AND(ISNUMBER($CP$36),$CP$36&lt;=30),INDEX('2.Distances'!$D$2:$D$963,$CP$35*31+$CP$36+ 1) +$CX$35," ")," ")</f>
        <v xml:space="preserve"> </v>
      </c>
      <c r="CX36" s="43" t="str">
        <f ca="1">IFERROR(IF(ISNUMBER($CW$36),INDEX('1.Locations'!$I$2:$I$32,$CP$36 + 1) + MAX($CW$36,INDEX('1.Locations'!$F$2:$F$32,$CP$36 + 1))," ")," ")</f>
        <v xml:space="preserve"> </v>
      </c>
      <c r="CY36" s="42" t="str">
        <f ca="1">IFERROR($CY$35 + INDEX('2.Distances'!$D$2:$D$963,$CP$35*31+$CP$36+ 1) + INDEX('1.Locations'!$I$2:$I$32,$CP$36 + 1)," ")</f>
        <v xml:space="preserve"> </v>
      </c>
      <c r="DA36" s="17">
        <v>31</v>
      </c>
      <c r="DB36" s="16"/>
      <c r="DC36" s="40" t="str">
        <f ca="1">IFERROR(MATCH(INDIRECT("$DB$36"),'1.Locations'!$B$2:$B$32, 0) - 1," ")</f>
        <v xml:space="preserve"> </v>
      </c>
      <c r="DD36" s="40" t="e">
        <f ca="1">IFERROR(IF(ISNUMBER($DC$36),INDEX('1.Locations'!$D$2:$D$32,$DC$36 + 1),NA()),NA())</f>
        <v>#N/A</v>
      </c>
      <c r="DE36" s="40" t="e">
        <f ca="1">IFERROR(IF(ISNUMBER($DC$36),INDEX('1.Locations'!$E$2:$E$32,$DC$36 + 1),NA()),NA())</f>
        <v>#N/A</v>
      </c>
      <c r="DF36" s="41" t="str">
        <f ca="1">IFERROR(IF(AND(ISNUMBER($DC$36),$DC$36&lt;=30),INDEX('2.Distances'!$C$2:$C$963,$DC$35*31+$DC$36+ 1) +$DF$35," ")," ")</f>
        <v xml:space="preserve"> </v>
      </c>
      <c r="DG36" s="40" t="str">
        <f ca="1">IFERROR(IF(ISNUMBER($DC$36),INDEX('1.Locations'!$J$2:$J$32,$DC$36 + 1) +$DG$35," ")," ")</f>
        <v xml:space="preserve"> </v>
      </c>
      <c r="DH36" s="40" t="str">
        <f ca="1">IFERROR(IF(ISNUMBER($DC$36),INDEX('1.Locations'!$K$2:$K$32,$DC$36 + 1) +$DH$35," ")," ")</f>
        <v xml:space="preserve"> </v>
      </c>
      <c r="DI36" s="42" t="str">
        <f ca="1">IFERROR(IF(AND(ISNUMBER($DC$36),$DC$36&lt;=30),INDEX('2.Distances'!$D$2:$D$963,$DC$35*31+$DC$36+ 1) +$DI$35," ")," ")</f>
        <v xml:space="preserve"> </v>
      </c>
      <c r="DJ36" s="43" t="str">
        <f ca="1">IFERROR(IF(AND(ISNUMBER($DC$36),$DC$36&lt;=30),INDEX('2.Distances'!$D$2:$D$963,$DC$35*31+$DC$36+ 1) +$DK$35," ")," ")</f>
        <v xml:space="preserve"> </v>
      </c>
      <c r="DK36" s="43" t="str">
        <f ca="1">IFERROR(IF(ISNUMBER($DJ$36),INDEX('1.Locations'!$I$2:$I$32,$DC$36 + 1) + MAX($DJ$36,INDEX('1.Locations'!$F$2:$F$32,$DC$36 + 1))," ")," ")</f>
        <v xml:space="preserve"> </v>
      </c>
      <c r="DL36" s="42" t="str">
        <f ca="1">IFERROR($DL$35 + INDEX('2.Distances'!$D$2:$D$963,$DC$35*31+$DC$36+ 1) + INDEX('1.Locations'!$I$2:$I$32,$DC$36 + 1)," ")</f>
        <v xml:space="preserve"> </v>
      </c>
      <c r="DN36" s="17">
        <v>31</v>
      </c>
      <c r="DO36" s="16"/>
      <c r="DP36" s="40" t="str">
        <f ca="1">IFERROR(MATCH(INDIRECT("$DO$36"),'1.Locations'!$B$2:$B$32, 0) - 1," ")</f>
        <v xml:space="preserve"> </v>
      </c>
      <c r="DQ36" s="40" t="e">
        <f ca="1">IFERROR(IF(ISNUMBER($DP$36),INDEX('1.Locations'!$D$2:$D$32,$DP$36 + 1),NA()),NA())</f>
        <v>#N/A</v>
      </c>
      <c r="DR36" s="40" t="e">
        <f ca="1">IFERROR(IF(ISNUMBER($DP$36),INDEX('1.Locations'!$E$2:$E$32,$DP$36 + 1),NA()),NA())</f>
        <v>#N/A</v>
      </c>
      <c r="DS36" s="41" t="str">
        <f ca="1">IFERROR(IF(AND(ISNUMBER($DP$36),$DP$36&lt;=30),INDEX('2.Distances'!$C$2:$C$963,$DP$35*31+$DP$36+ 1) +$DS$35," ")," ")</f>
        <v xml:space="preserve"> </v>
      </c>
      <c r="DT36" s="40" t="str">
        <f ca="1">IFERROR(IF(ISNUMBER($DP$36),INDEX('1.Locations'!$J$2:$J$32,$DP$36 + 1) +$DT$35," ")," ")</f>
        <v xml:space="preserve"> </v>
      </c>
      <c r="DU36" s="40" t="str">
        <f ca="1">IFERROR(IF(ISNUMBER($DP$36),INDEX('1.Locations'!$K$2:$K$32,$DP$36 + 1) +$DU$35," ")," ")</f>
        <v xml:space="preserve"> </v>
      </c>
      <c r="DV36" s="42" t="str">
        <f ca="1">IFERROR(IF(AND(ISNUMBER($DP$36),$DP$36&lt;=30),INDEX('2.Distances'!$D$2:$D$963,$DP$35*31+$DP$36+ 1) +$DV$35," ")," ")</f>
        <v xml:space="preserve"> </v>
      </c>
      <c r="DW36" s="43" t="str">
        <f ca="1">IFERROR(IF(AND(ISNUMBER($DP$36),$DP$36&lt;=30),INDEX('2.Distances'!$D$2:$D$963,$DP$35*31+$DP$36+ 1) +$DX$35," ")," ")</f>
        <v xml:space="preserve"> </v>
      </c>
      <c r="DX36" s="43" t="str">
        <f ca="1">IFERROR(IF(ISNUMBER($DW$36),INDEX('1.Locations'!$I$2:$I$32,$DP$36 + 1) + MAX($DW$36,INDEX('1.Locations'!$F$2:$F$32,$DP$36 + 1))," ")," ")</f>
        <v xml:space="preserve"> </v>
      </c>
      <c r="DY36" s="42" t="str">
        <f ca="1">IFERROR($DY$35 + INDEX('2.Distances'!$D$2:$D$963,$DP$35*31+$DP$36+ 1) + INDEX('1.Locations'!$I$2:$I$32,$DP$36 + 1)," ")</f>
        <v xml:space="preserve"> </v>
      </c>
      <c r="EA36" s="17">
        <v>31</v>
      </c>
      <c r="EB36" s="16"/>
      <c r="EC36" s="40" t="str">
        <f ca="1">IFERROR(MATCH(INDIRECT("$EB$36"),'1.Locations'!$B$2:$B$32, 0) - 1," ")</f>
        <v xml:space="preserve"> </v>
      </c>
      <c r="ED36" s="40" t="e">
        <f ca="1">IFERROR(IF(ISNUMBER($EC$36),INDEX('1.Locations'!$D$2:$D$32,$EC$36 + 1),NA()),NA())</f>
        <v>#N/A</v>
      </c>
      <c r="EE36" s="40" t="e">
        <f ca="1">IFERROR(IF(ISNUMBER($EC$36),INDEX('1.Locations'!$E$2:$E$32,$EC$36 + 1),NA()),NA())</f>
        <v>#N/A</v>
      </c>
      <c r="EF36" s="41" t="str">
        <f ca="1">IFERROR(IF(AND(ISNUMBER($EC$36),$EC$36&lt;=30),INDEX('2.Distances'!$C$2:$C$963,$EC$35*31+$EC$36+ 1) +$EF$35," ")," ")</f>
        <v xml:space="preserve"> </v>
      </c>
      <c r="EG36" s="40" t="str">
        <f ca="1">IFERROR(IF(ISNUMBER($EC$36),INDEX('1.Locations'!$J$2:$J$32,$EC$36 + 1) +$EG$35," ")," ")</f>
        <v xml:space="preserve"> </v>
      </c>
      <c r="EH36" s="40" t="str">
        <f ca="1">IFERROR(IF(ISNUMBER($EC$36),INDEX('1.Locations'!$K$2:$K$32,$EC$36 + 1) +$EH$35," ")," ")</f>
        <v xml:space="preserve"> </v>
      </c>
      <c r="EI36" s="42" t="str">
        <f ca="1">IFERROR(IF(AND(ISNUMBER($EC$36),$EC$36&lt;=30),INDEX('2.Distances'!$D$2:$D$963,$EC$35*31+$EC$36+ 1) +$EI$35," ")," ")</f>
        <v xml:space="preserve"> </v>
      </c>
      <c r="EJ36" s="43" t="str">
        <f ca="1">IFERROR(IF(AND(ISNUMBER($EC$36),$EC$36&lt;=30),INDEX('2.Distances'!$D$2:$D$963,$EC$35*31+$EC$36+ 1) +$EK$35," ")," ")</f>
        <v xml:space="preserve"> </v>
      </c>
      <c r="EK36" s="43" t="str">
        <f ca="1">IFERROR(IF(ISNUMBER($EJ$36),INDEX('1.Locations'!$I$2:$I$32,$EC$36 + 1) + MAX($EJ$36,INDEX('1.Locations'!$F$2:$F$32,$EC$36 + 1))," ")," ")</f>
        <v xml:space="preserve"> </v>
      </c>
      <c r="EL36" s="42" t="str">
        <f ca="1">IFERROR($EL$35 + INDEX('2.Distances'!$D$2:$D$963,$EC$35*31+$EC$36+ 1) + INDEX('1.Locations'!$I$2:$I$32,$EC$36 + 1)," ")</f>
        <v xml:space="preserve"> </v>
      </c>
      <c r="EN36" s="17">
        <v>31</v>
      </c>
      <c r="EO36" s="16"/>
      <c r="EP36" s="40" t="str">
        <f ca="1">IFERROR(MATCH(INDIRECT("$EO$36"),'1.Locations'!$B$2:$B$32, 0) - 1," ")</f>
        <v xml:space="preserve"> </v>
      </c>
      <c r="EQ36" s="40" t="e">
        <f ca="1">IFERROR(IF(ISNUMBER($EP$36),INDEX('1.Locations'!$D$2:$D$32,$EP$36 + 1),NA()),NA())</f>
        <v>#N/A</v>
      </c>
      <c r="ER36" s="40" t="e">
        <f ca="1">IFERROR(IF(ISNUMBER($EP$36),INDEX('1.Locations'!$E$2:$E$32,$EP$36 + 1),NA()),NA())</f>
        <v>#N/A</v>
      </c>
      <c r="ES36" s="41" t="str">
        <f ca="1">IFERROR(IF(AND(ISNUMBER($EP$36),$EP$36&lt;=30),INDEX('2.Distances'!$C$2:$C$963,$EP$35*31+$EP$36+ 1) +$ES$35," ")," ")</f>
        <v xml:space="preserve"> </v>
      </c>
      <c r="ET36" s="40" t="str">
        <f ca="1">IFERROR(IF(ISNUMBER($EP$36),INDEX('1.Locations'!$J$2:$J$32,$EP$36 + 1) +$ET$35," ")," ")</f>
        <v xml:space="preserve"> </v>
      </c>
      <c r="EU36" s="40" t="str">
        <f ca="1">IFERROR(IF(ISNUMBER($EP$36),INDEX('1.Locations'!$K$2:$K$32,$EP$36 + 1) +$EU$35," ")," ")</f>
        <v xml:space="preserve"> </v>
      </c>
      <c r="EV36" s="42" t="str">
        <f ca="1">IFERROR(IF(AND(ISNUMBER($EP$36),$EP$36&lt;=30),INDEX('2.Distances'!$D$2:$D$963,$EP$35*31+$EP$36+ 1) +$EV$35," ")," ")</f>
        <v xml:space="preserve"> </v>
      </c>
      <c r="EW36" s="43" t="str">
        <f ca="1">IFERROR(IF(AND(ISNUMBER($EP$36),$EP$36&lt;=30),INDEX('2.Distances'!$D$2:$D$963,$EP$35*31+$EP$36+ 1) +$EX$35," ")," ")</f>
        <v xml:space="preserve"> </v>
      </c>
      <c r="EX36" s="43" t="str">
        <f ca="1">IFERROR(IF(ISNUMBER($EW$36),INDEX('1.Locations'!$I$2:$I$32,$EP$36 + 1) + MAX($EW$36,INDEX('1.Locations'!$F$2:$F$32,$EP$36 + 1))," ")," ")</f>
        <v xml:space="preserve"> </v>
      </c>
      <c r="EY36" s="42" t="str">
        <f ca="1">IFERROR($EY$35 + INDEX('2.Distances'!$D$2:$D$963,$EP$35*31+$EP$36+ 1) + INDEX('1.Locations'!$I$2:$I$32,$EP$36 + 1)," ")</f>
        <v xml:space="preserve"> </v>
      </c>
    </row>
    <row r="38" spans="1:155" x14ac:dyDescent="0.2">
      <c r="A38" s="12" t="s">
        <v>132</v>
      </c>
    </row>
  </sheetData>
  <conditionalFormatting sqref="J6:J36">
    <cfRule type="cellIs" dxfId="900" priority="72" stopIfTrue="1" operator="equal">
      <formula>" "</formula>
    </cfRule>
  </conditionalFormatting>
  <conditionalFormatting sqref="K6:K36">
    <cfRule type="cellIs" dxfId="899" priority="71" stopIfTrue="1" operator="equal">
      <formula>" "</formula>
    </cfRule>
  </conditionalFormatting>
  <conditionalFormatting sqref="F6:F36">
    <cfRule type="cellIs" dxfId="898" priority="70" stopIfTrue="1" operator="equal">
      <formula>" "</formula>
    </cfRule>
  </conditionalFormatting>
  <conditionalFormatting sqref="G6:G36">
    <cfRule type="cellIs" dxfId="897" priority="69" stopIfTrue="1" operator="equal">
      <formula>" "</formula>
    </cfRule>
  </conditionalFormatting>
  <conditionalFormatting sqref="I6:I36">
    <cfRule type="cellIs" dxfId="896" priority="68" stopIfTrue="1" operator="equal">
      <formula>" "</formula>
    </cfRule>
  </conditionalFormatting>
  <conditionalFormatting sqref="L6:L36">
    <cfRule type="cellIs" dxfId="895" priority="67" stopIfTrue="1" operator="equal">
      <formula>" "</formula>
    </cfRule>
  </conditionalFormatting>
  <conditionalFormatting sqref="J3">
    <cfRule type="expression" dxfId="894" priority="141" stopIfTrue="1">
      <formula>ISERROR($I$3)</formula>
    </cfRule>
  </conditionalFormatting>
  <conditionalFormatting sqref="W6:W36">
    <cfRule type="cellIs" dxfId="893" priority="66" stopIfTrue="1" operator="equal">
      <formula>" "</formula>
    </cfRule>
  </conditionalFormatting>
  <conditionalFormatting sqref="X6:X36">
    <cfRule type="cellIs" dxfId="892" priority="65" stopIfTrue="1" operator="equal">
      <formula>" "</formula>
    </cfRule>
  </conditionalFormatting>
  <conditionalFormatting sqref="S6:S36">
    <cfRule type="cellIs" dxfId="891" priority="64" stopIfTrue="1" operator="equal">
      <formula>" "</formula>
    </cfRule>
  </conditionalFormatting>
  <conditionalFormatting sqref="T6:T36">
    <cfRule type="cellIs" dxfId="890" priority="63" stopIfTrue="1" operator="equal">
      <formula>" "</formula>
    </cfRule>
  </conditionalFormatting>
  <conditionalFormatting sqref="V6:V36">
    <cfRule type="cellIs" dxfId="889" priority="62" stopIfTrue="1" operator="equal">
      <formula>" "</formula>
    </cfRule>
  </conditionalFormatting>
  <conditionalFormatting sqref="Y6:Y36">
    <cfRule type="cellIs" dxfId="888" priority="61" stopIfTrue="1" operator="equal">
      <formula>" "</formula>
    </cfRule>
  </conditionalFormatting>
  <conditionalFormatting sqref="W3">
    <cfRule type="expression" dxfId="887" priority="210" stopIfTrue="1">
      <formula>ISERROR($V$3)</formula>
    </cfRule>
  </conditionalFormatting>
  <conditionalFormatting sqref="AJ6:AJ36">
    <cfRule type="cellIs" dxfId="886" priority="60" stopIfTrue="1" operator="equal">
      <formula>" "</formula>
    </cfRule>
  </conditionalFormatting>
  <conditionalFormatting sqref="AK6:AK36">
    <cfRule type="cellIs" dxfId="885" priority="59" stopIfTrue="1" operator="equal">
      <formula>" "</formula>
    </cfRule>
  </conditionalFormatting>
  <conditionalFormatting sqref="AF6:AF36">
    <cfRule type="cellIs" dxfId="884" priority="58" stopIfTrue="1" operator="equal">
      <formula>" "</formula>
    </cfRule>
  </conditionalFormatting>
  <conditionalFormatting sqref="AG6:AG36">
    <cfRule type="cellIs" dxfId="883" priority="57" stopIfTrue="1" operator="equal">
      <formula>" "</formula>
    </cfRule>
  </conditionalFormatting>
  <conditionalFormatting sqref="AI6:AI36">
    <cfRule type="cellIs" dxfId="882" priority="56" stopIfTrue="1" operator="equal">
      <formula>" "</formula>
    </cfRule>
  </conditionalFormatting>
  <conditionalFormatting sqref="AL6:AL36">
    <cfRule type="cellIs" dxfId="881" priority="55" stopIfTrue="1" operator="equal">
      <formula>" "</formula>
    </cfRule>
  </conditionalFormatting>
  <conditionalFormatting sqref="AJ3">
    <cfRule type="expression" dxfId="880" priority="279" stopIfTrue="1">
      <formula>ISERROR($AI$3)</formula>
    </cfRule>
  </conditionalFormatting>
  <conditionalFormatting sqref="AW6:AW36">
    <cfRule type="cellIs" dxfId="879" priority="54" stopIfTrue="1" operator="equal">
      <formula>" "</formula>
    </cfRule>
  </conditionalFormatting>
  <conditionalFormatting sqref="AX6:AX36">
    <cfRule type="cellIs" dxfId="878" priority="53" stopIfTrue="1" operator="equal">
      <formula>" "</formula>
    </cfRule>
  </conditionalFormatting>
  <conditionalFormatting sqref="AS6:AS36">
    <cfRule type="cellIs" dxfId="877" priority="52" stopIfTrue="1" operator="equal">
      <formula>" "</formula>
    </cfRule>
  </conditionalFormatting>
  <conditionalFormatting sqref="AT6:AT36">
    <cfRule type="cellIs" dxfId="876" priority="51" stopIfTrue="1" operator="equal">
      <formula>" "</formula>
    </cfRule>
  </conditionalFormatting>
  <conditionalFormatting sqref="AV6:AV36">
    <cfRule type="cellIs" dxfId="875" priority="50" stopIfTrue="1" operator="equal">
      <formula>" "</formula>
    </cfRule>
  </conditionalFormatting>
  <conditionalFormatting sqref="AY6:AY36">
    <cfRule type="cellIs" dxfId="874" priority="49" stopIfTrue="1" operator="equal">
      <formula>" "</formula>
    </cfRule>
  </conditionalFormatting>
  <conditionalFormatting sqref="AW3">
    <cfRule type="expression" dxfId="873" priority="348" stopIfTrue="1">
      <formula>ISERROR($AV$3)</formula>
    </cfRule>
  </conditionalFormatting>
  <conditionalFormatting sqref="BJ6:BJ36">
    <cfRule type="cellIs" dxfId="872" priority="48" stopIfTrue="1" operator="equal">
      <formula>" "</formula>
    </cfRule>
  </conditionalFormatting>
  <conditionalFormatting sqref="BK6:BK36">
    <cfRule type="cellIs" dxfId="871" priority="47" stopIfTrue="1" operator="equal">
      <formula>" "</formula>
    </cfRule>
  </conditionalFormatting>
  <conditionalFormatting sqref="BF6:BF36">
    <cfRule type="cellIs" dxfId="870" priority="46" stopIfTrue="1" operator="equal">
      <formula>" "</formula>
    </cfRule>
  </conditionalFormatting>
  <conditionalFormatting sqref="BG6:BG36">
    <cfRule type="cellIs" dxfId="869" priority="45" stopIfTrue="1" operator="equal">
      <formula>" "</formula>
    </cfRule>
  </conditionalFormatting>
  <conditionalFormatting sqref="BI6:BI36">
    <cfRule type="cellIs" dxfId="868" priority="44" stopIfTrue="1" operator="equal">
      <formula>" "</formula>
    </cfRule>
  </conditionalFormatting>
  <conditionalFormatting sqref="BL6:BL36">
    <cfRule type="cellIs" dxfId="867" priority="43" stopIfTrue="1" operator="equal">
      <formula>" "</formula>
    </cfRule>
  </conditionalFormatting>
  <conditionalFormatting sqref="BJ3">
    <cfRule type="expression" dxfId="866" priority="417" stopIfTrue="1">
      <formula>ISERROR($BI$3)</formula>
    </cfRule>
  </conditionalFormatting>
  <conditionalFormatting sqref="BW6:BW36">
    <cfRule type="cellIs" dxfId="865" priority="42" stopIfTrue="1" operator="equal">
      <formula>" "</formula>
    </cfRule>
  </conditionalFormatting>
  <conditionalFormatting sqref="BX6:BX36">
    <cfRule type="cellIs" dxfId="864" priority="41" stopIfTrue="1" operator="equal">
      <formula>" "</formula>
    </cfRule>
  </conditionalFormatting>
  <conditionalFormatting sqref="BS6:BS36">
    <cfRule type="cellIs" dxfId="863" priority="40" stopIfTrue="1" operator="equal">
      <formula>" "</formula>
    </cfRule>
  </conditionalFormatting>
  <conditionalFormatting sqref="BT6:BT36">
    <cfRule type="cellIs" dxfId="862" priority="39" stopIfTrue="1" operator="equal">
      <formula>" "</formula>
    </cfRule>
  </conditionalFormatting>
  <conditionalFormatting sqref="BV6:BV36">
    <cfRule type="cellIs" dxfId="861" priority="38" stopIfTrue="1" operator="equal">
      <formula>" "</formula>
    </cfRule>
  </conditionalFormatting>
  <conditionalFormatting sqref="BY6:BY36">
    <cfRule type="cellIs" dxfId="860" priority="37" stopIfTrue="1" operator="equal">
      <formula>" "</formula>
    </cfRule>
  </conditionalFormatting>
  <conditionalFormatting sqref="BW3">
    <cfRule type="expression" dxfId="859" priority="486" stopIfTrue="1">
      <formula>ISERROR($BV$3)</formula>
    </cfRule>
  </conditionalFormatting>
  <conditionalFormatting sqref="CJ6:CJ36">
    <cfRule type="cellIs" dxfId="858" priority="36" stopIfTrue="1" operator="equal">
      <formula>" "</formula>
    </cfRule>
  </conditionalFormatting>
  <conditionalFormatting sqref="CK6:CK36">
    <cfRule type="cellIs" dxfId="857" priority="35" stopIfTrue="1" operator="equal">
      <formula>" "</formula>
    </cfRule>
  </conditionalFormatting>
  <conditionalFormatting sqref="CF6:CF36">
    <cfRule type="cellIs" dxfId="856" priority="34" stopIfTrue="1" operator="equal">
      <formula>" "</formula>
    </cfRule>
  </conditionalFormatting>
  <conditionalFormatting sqref="CG6:CG36">
    <cfRule type="cellIs" dxfId="855" priority="33" stopIfTrue="1" operator="equal">
      <formula>" "</formula>
    </cfRule>
  </conditionalFormatting>
  <conditionalFormatting sqref="CI6:CI36">
    <cfRule type="cellIs" dxfId="854" priority="32" stopIfTrue="1" operator="equal">
      <formula>" "</formula>
    </cfRule>
  </conditionalFormatting>
  <conditionalFormatting sqref="CL6:CL36">
    <cfRule type="cellIs" dxfId="853" priority="31" stopIfTrue="1" operator="equal">
      <formula>" "</formula>
    </cfRule>
  </conditionalFormatting>
  <conditionalFormatting sqref="CJ3">
    <cfRule type="expression" dxfId="852" priority="555" stopIfTrue="1">
      <formula>ISERROR($CI$3)</formula>
    </cfRule>
  </conditionalFormatting>
  <conditionalFormatting sqref="CW6:CW36">
    <cfRule type="cellIs" dxfId="851" priority="30" stopIfTrue="1" operator="equal">
      <formula>" "</formula>
    </cfRule>
  </conditionalFormatting>
  <conditionalFormatting sqref="CX6:CX36">
    <cfRule type="cellIs" dxfId="850" priority="29" stopIfTrue="1" operator="equal">
      <formula>" "</formula>
    </cfRule>
  </conditionalFormatting>
  <conditionalFormatting sqref="CS6:CS36">
    <cfRule type="cellIs" dxfId="849" priority="28" stopIfTrue="1" operator="equal">
      <formula>" "</formula>
    </cfRule>
  </conditionalFormatting>
  <conditionalFormatting sqref="CT6:CT36">
    <cfRule type="cellIs" dxfId="848" priority="27" stopIfTrue="1" operator="equal">
      <formula>" "</formula>
    </cfRule>
  </conditionalFormatting>
  <conditionalFormatting sqref="CV6:CV36">
    <cfRule type="cellIs" dxfId="847" priority="26" stopIfTrue="1" operator="equal">
      <formula>" "</formula>
    </cfRule>
  </conditionalFormatting>
  <conditionalFormatting sqref="CY6:CY36">
    <cfRule type="cellIs" dxfId="846" priority="25" stopIfTrue="1" operator="equal">
      <formula>" "</formula>
    </cfRule>
  </conditionalFormatting>
  <conditionalFormatting sqref="CW3">
    <cfRule type="expression" dxfId="845" priority="624" stopIfTrue="1">
      <formula>ISERROR($CV$3)</formula>
    </cfRule>
  </conditionalFormatting>
  <conditionalFormatting sqref="DJ6:DJ36">
    <cfRule type="cellIs" dxfId="844" priority="24" stopIfTrue="1" operator="equal">
      <formula>" "</formula>
    </cfRule>
  </conditionalFormatting>
  <conditionalFormatting sqref="DK6:DK36">
    <cfRule type="cellIs" dxfId="843" priority="23" stopIfTrue="1" operator="equal">
      <formula>" "</formula>
    </cfRule>
  </conditionalFormatting>
  <conditionalFormatting sqref="DF6:DF36">
    <cfRule type="cellIs" dxfId="842" priority="22" stopIfTrue="1" operator="equal">
      <formula>" "</formula>
    </cfRule>
  </conditionalFormatting>
  <conditionalFormatting sqref="DG6:DG36">
    <cfRule type="cellIs" dxfId="841" priority="21" stopIfTrue="1" operator="equal">
      <formula>" "</formula>
    </cfRule>
  </conditionalFormatting>
  <conditionalFormatting sqref="DI6:DI36">
    <cfRule type="cellIs" dxfId="840" priority="20" stopIfTrue="1" operator="equal">
      <formula>" "</formula>
    </cfRule>
  </conditionalFormatting>
  <conditionalFormatting sqref="DL6:DL36">
    <cfRule type="cellIs" dxfId="839" priority="19" stopIfTrue="1" operator="equal">
      <formula>" "</formula>
    </cfRule>
  </conditionalFormatting>
  <conditionalFormatting sqref="DJ3">
    <cfRule type="expression" dxfId="838" priority="693" stopIfTrue="1">
      <formula>ISERROR($DI$3)</formula>
    </cfRule>
  </conditionalFormatting>
  <conditionalFormatting sqref="DW6:DW36">
    <cfRule type="cellIs" dxfId="837" priority="18" stopIfTrue="1" operator="equal">
      <formula>" "</formula>
    </cfRule>
  </conditionalFormatting>
  <conditionalFormatting sqref="DX6:DX36">
    <cfRule type="cellIs" dxfId="836" priority="17" stopIfTrue="1" operator="equal">
      <formula>" "</formula>
    </cfRule>
  </conditionalFormatting>
  <conditionalFormatting sqref="DS6:DS36">
    <cfRule type="cellIs" dxfId="835" priority="16" stopIfTrue="1" operator="equal">
      <formula>" "</formula>
    </cfRule>
  </conditionalFormatting>
  <conditionalFormatting sqref="DT6:DT36">
    <cfRule type="cellIs" dxfId="834" priority="15" stopIfTrue="1" operator="equal">
      <formula>" "</formula>
    </cfRule>
  </conditionalFormatting>
  <conditionalFormatting sqref="DV6:DV36">
    <cfRule type="cellIs" dxfId="833" priority="14" stopIfTrue="1" operator="equal">
      <formula>" "</formula>
    </cfRule>
  </conditionalFormatting>
  <conditionalFormatting sqref="DY6:DY36">
    <cfRule type="cellIs" dxfId="832" priority="13" stopIfTrue="1" operator="equal">
      <formula>" "</formula>
    </cfRule>
  </conditionalFormatting>
  <conditionalFormatting sqref="DW3">
    <cfRule type="expression" dxfId="831" priority="762" stopIfTrue="1">
      <formula>ISERROR($DV$3)</formula>
    </cfRule>
  </conditionalFormatting>
  <conditionalFormatting sqref="EJ6:EJ36">
    <cfRule type="cellIs" dxfId="830" priority="12" stopIfTrue="1" operator="equal">
      <formula>" "</formula>
    </cfRule>
  </conditionalFormatting>
  <conditionalFormatting sqref="EK6:EK36">
    <cfRule type="cellIs" dxfId="829" priority="11" stopIfTrue="1" operator="equal">
      <formula>" "</formula>
    </cfRule>
  </conditionalFormatting>
  <conditionalFormatting sqref="EF6:EF36">
    <cfRule type="cellIs" dxfId="828" priority="10" stopIfTrue="1" operator="equal">
      <formula>" "</formula>
    </cfRule>
  </conditionalFormatting>
  <conditionalFormatting sqref="EG6:EG36">
    <cfRule type="cellIs" dxfId="827" priority="9" stopIfTrue="1" operator="equal">
      <formula>" "</formula>
    </cfRule>
  </conditionalFormatting>
  <conditionalFormatting sqref="EI6:EI36">
    <cfRule type="cellIs" dxfId="826" priority="8" stopIfTrue="1" operator="equal">
      <formula>" "</formula>
    </cfRule>
  </conditionalFormatting>
  <conditionalFormatting sqref="EL6:EL36">
    <cfRule type="cellIs" dxfId="825" priority="7" stopIfTrue="1" operator="equal">
      <formula>" "</formula>
    </cfRule>
  </conditionalFormatting>
  <conditionalFormatting sqref="EJ3">
    <cfRule type="expression" dxfId="824" priority="831" stopIfTrue="1">
      <formula>ISERROR($EI$3)</formula>
    </cfRule>
  </conditionalFormatting>
  <conditionalFormatting sqref="EW6:EW36">
    <cfRule type="cellIs" dxfId="823" priority="6" stopIfTrue="1" operator="equal">
      <formula>" "</formula>
    </cfRule>
  </conditionalFormatting>
  <conditionalFormatting sqref="EX6:EX36">
    <cfRule type="cellIs" dxfId="822" priority="5" stopIfTrue="1" operator="equal">
      <formula>" "</formula>
    </cfRule>
  </conditionalFormatting>
  <conditionalFormatting sqref="ES6:ES36">
    <cfRule type="cellIs" dxfId="821" priority="4" stopIfTrue="1" operator="equal">
      <formula>" "</formula>
    </cfRule>
  </conditionalFormatting>
  <conditionalFormatting sqref="ET6:ET36">
    <cfRule type="cellIs" dxfId="820" priority="3" stopIfTrue="1" operator="equal">
      <formula>" "</formula>
    </cfRule>
  </conditionalFormatting>
  <conditionalFormatting sqref="EV6:EV36">
    <cfRule type="cellIs" dxfId="819" priority="2" stopIfTrue="1" operator="equal">
      <formula>" "</formula>
    </cfRule>
  </conditionalFormatting>
  <conditionalFormatting sqref="EY6:EY36">
    <cfRule type="cellIs" dxfId="818" priority="1" stopIfTrue="1" operator="equal">
      <formula>" "</formula>
    </cfRule>
  </conditionalFormatting>
  <conditionalFormatting sqref="EW3">
    <cfRule type="expression" dxfId="817" priority="900" stopIfTrue="1">
      <formula>ISERROR($EV$3)</formula>
    </cfRule>
  </conditionalFormatting>
  <conditionalFormatting sqref="B1">
    <cfRule type="expression" dxfId="816" priority="901" stopIfTrue="1">
      <formula>ISERROR($B$1)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73" stopIfTrue="1" operator="lessThan" id="{00000000-0000-0000-0000-000000000000}">
            <xm:f>INDEX('1.Locations'!$F$2:$F$32,$C$5 + 1)</xm:f>
            <x14:dxf>
              <fill>
                <patternFill>
                  <bgColor indexed="52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74" stopIfTrue="1" id="{00000000-0000-0000-0000-000000000000}">
            <xm:f>(60 * HOUR($K$5) + MINUTE($K$5)) &gt;(60 * HOUR(INDEX('1.Locations'!$G$2:$G$32,$C$5 + 1)) +MINUTE(INDEX('1.Locations'!$G$2:$G$32,$C$5 + 1)))</xm:f>
            <x14:dxf>
              <fill>
                <patternFill>
                  <bgColor indexed="10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cellIs" priority="75" stopIfTrue="1" operator="lessThan" id="{00000000-0000-0000-0000-000000000000}">
            <xm:f>INDEX('1.Locations'!$F$2:$F$32,$C$6 + 1)</xm:f>
            <x14:dxf>
              <fill>
                <patternFill>
                  <bgColor indexed="52"/>
                </patternFill>
              </fill>
            </x14:dxf>
          </x14:cfRule>
          <xm:sqref>J6</xm:sqref>
        </x14:conditionalFormatting>
        <x14:conditionalFormatting xmlns:xm="http://schemas.microsoft.com/office/excel/2006/main">
          <x14:cfRule type="expression" priority="76" stopIfTrue="1" id="{00000000-0000-0000-0000-000000000000}">
            <xm:f>(60 * HOUR($K$6) + MINUTE($K$6)) &gt;(60 * HOUR(INDEX('1.Locations'!$G$2:$G$32,$C$6 + 1)) +MINUTE(INDEX('1.Locations'!$G$2:$G$32,$C$6 + 1)))</xm:f>
            <x14:dxf>
              <fill>
                <patternFill>
                  <bgColor indexed="10"/>
                </patternFill>
              </fill>
            </x14:dxf>
          </x14:cfRule>
          <xm:sqref>K6</xm:sqref>
        </x14:conditionalFormatting>
        <x14:conditionalFormatting xmlns:xm="http://schemas.microsoft.com/office/excel/2006/main">
          <x14:cfRule type="cellIs" priority="77" stopIfTrue="1" operator="lessThan" id="{00000000-0000-0000-0000-000000000000}">
            <xm:f>INDEX('1.Locations'!$F$2:$F$32,$C$7 + 1)</xm:f>
            <x14:dxf>
              <fill>
                <patternFill>
                  <bgColor indexed="52"/>
                </patternFill>
              </fill>
            </x14:dxf>
          </x14:cfRule>
          <xm:sqref>J7</xm:sqref>
        </x14:conditionalFormatting>
        <x14:conditionalFormatting xmlns:xm="http://schemas.microsoft.com/office/excel/2006/main">
          <x14:cfRule type="expression" priority="78" stopIfTrue="1" id="{00000000-0000-0000-0000-000000000000}">
            <xm:f>(60 * HOUR($K$7) + MINUTE($K$7)) &gt;(60 * HOUR(INDEX('1.Locations'!$G$2:$G$32,$C$7 + 1)) +MINUTE(INDEX('1.Locations'!$G$2:$G$32,$C$7 + 1)))</xm:f>
            <x14:dxf>
              <fill>
                <patternFill>
                  <bgColor indexed="10"/>
                </patternFill>
              </fill>
            </x14:dxf>
          </x14:cfRule>
          <xm:sqref>K7</xm:sqref>
        </x14:conditionalFormatting>
        <x14:conditionalFormatting xmlns:xm="http://schemas.microsoft.com/office/excel/2006/main">
          <x14:cfRule type="cellIs" priority="79" stopIfTrue="1" operator="lessThan" id="{00000000-0000-0000-0000-000000000000}">
            <xm:f>INDEX('1.Locations'!$F$2:$F$32,$C$8 + 1)</xm:f>
            <x14:dxf>
              <fill>
                <patternFill>
                  <bgColor indexed="52"/>
                </patternFill>
              </fill>
            </x14:dxf>
          </x14:cfRule>
          <xm:sqref>J8</xm:sqref>
        </x14:conditionalFormatting>
        <x14:conditionalFormatting xmlns:xm="http://schemas.microsoft.com/office/excel/2006/main">
          <x14:cfRule type="expression" priority="80" stopIfTrue="1" id="{00000000-0000-0000-0000-000000000000}">
            <xm:f>(60 * HOUR($K$8) + MINUTE($K$8)) &gt;(60 * HOUR(INDEX('1.Locations'!$G$2:$G$32,$C$8 + 1)) +MINUTE(INDEX('1.Locations'!$G$2:$G$32,$C$8 + 1)))</xm:f>
            <x14:dxf>
              <fill>
                <patternFill>
                  <bgColor indexed="10"/>
                </patternFill>
              </fill>
            </x14:dxf>
          </x14:cfRule>
          <xm:sqref>K8</xm:sqref>
        </x14:conditionalFormatting>
        <x14:conditionalFormatting xmlns:xm="http://schemas.microsoft.com/office/excel/2006/main">
          <x14:cfRule type="cellIs" priority="81" stopIfTrue="1" operator="lessThan" id="{00000000-0000-0000-0000-000000000000}">
            <xm:f>INDEX('1.Locations'!$F$2:$F$32,$C$9 + 1)</xm:f>
            <x14:dxf>
              <fill>
                <patternFill>
                  <bgColor indexed="52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82" stopIfTrue="1" id="{00000000-0000-0000-0000-000000000000}">
            <xm:f>(60 * HOUR($K$9) + MINUTE($K$9)) &gt;(60 * HOUR(INDEX('1.Locations'!$G$2:$G$32,$C$9 + 1)) +MINUTE(INDEX('1.Locations'!$G$2:$G$32,$C$9 + 1)))</xm:f>
            <x14:dxf>
              <fill>
                <patternFill>
                  <bgColor indexed="10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cellIs" priority="83" stopIfTrue="1" operator="lessThan" id="{00000000-0000-0000-0000-000000000000}">
            <xm:f>INDEX('1.Locations'!$F$2:$F$32,$C$10 + 1)</xm:f>
            <x14:dxf>
              <fill>
                <patternFill>
                  <bgColor indexed="52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84" stopIfTrue="1" id="{00000000-0000-0000-0000-000000000000}">
            <xm:f>(60 * HOUR($K$10) + MINUTE($K$10)) &gt;(60 * HOUR(INDEX('1.Locations'!$G$2:$G$32,$C$10 + 1)) +MINUTE(INDEX('1.Locations'!$G$2:$G$32,$C$10 + 1)))</xm:f>
            <x14:dxf>
              <fill>
                <patternFill>
                  <bgColor indexed="10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cellIs" priority="85" stopIfTrue="1" operator="lessThan" id="{00000000-0000-0000-0000-000000000000}">
            <xm:f>INDEX('1.Locations'!$F$2:$F$32,$C$11 + 1)</xm:f>
            <x14:dxf>
              <fill>
                <patternFill>
                  <bgColor indexed="52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86" stopIfTrue="1" id="{00000000-0000-0000-0000-000000000000}">
            <xm:f>(60 * HOUR($K$11) + MINUTE($K$11)) &gt;(60 * HOUR(INDEX('1.Locations'!$G$2:$G$32,$C$11 + 1)) +MINUTE(INDEX('1.Locations'!$G$2:$G$32,$C$11 + 1)))</xm:f>
            <x14:dxf>
              <fill>
                <patternFill>
                  <bgColor indexed="10"/>
                </patternFill>
              </fill>
            </x14:dxf>
          </x14:cfRule>
          <xm:sqref>K11</xm:sqref>
        </x14:conditionalFormatting>
        <x14:conditionalFormatting xmlns:xm="http://schemas.microsoft.com/office/excel/2006/main">
          <x14:cfRule type="cellIs" priority="87" stopIfTrue="1" operator="lessThan" id="{00000000-0000-0000-0000-000000000000}">
            <xm:f>INDEX('1.Locations'!$F$2:$F$32,$C$12 + 1)</xm:f>
            <x14:dxf>
              <fill>
                <patternFill>
                  <bgColor indexed="52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88" stopIfTrue="1" id="{00000000-0000-0000-0000-000000000000}">
            <xm:f>(60 * HOUR($K$12) + MINUTE($K$12)) &gt;(60 * HOUR(INDEX('1.Locations'!$G$2:$G$32,$C$12 + 1)) +MINUTE(INDEX('1.Locations'!$G$2:$G$32,$C$12 + 1)))</xm:f>
            <x14:dxf>
              <fill>
                <patternFill>
                  <bgColor indexed="10"/>
                </patternFill>
              </fill>
            </x14:dxf>
          </x14:cfRule>
          <xm:sqref>K12</xm:sqref>
        </x14:conditionalFormatting>
        <x14:conditionalFormatting xmlns:xm="http://schemas.microsoft.com/office/excel/2006/main">
          <x14:cfRule type="cellIs" priority="89" stopIfTrue="1" operator="lessThan" id="{00000000-0000-0000-0000-000000000000}">
            <xm:f>INDEX('1.Locations'!$F$2:$F$32,$C$13 + 1)</xm:f>
            <x14:dxf>
              <fill>
                <patternFill>
                  <bgColor indexed="52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90" stopIfTrue="1" id="{00000000-0000-0000-0000-000000000000}">
            <xm:f>(60 * HOUR($K$13) + MINUTE($K$13)) &gt;(60 * HOUR(INDEX('1.Locations'!$G$2:$G$32,$C$13 + 1)) +MINUTE(INDEX('1.Locations'!$G$2:$G$32,$C$13 + 1)))</xm:f>
            <x14:dxf>
              <fill>
                <patternFill>
                  <bgColor indexed="10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cellIs" priority="91" stopIfTrue="1" operator="lessThan" id="{00000000-0000-0000-0000-000000000000}">
            <xm:f>INDEX('1.Locations'!$F$2:$F$32,$C$14 + 1)</xm:f>
            <x14:dxf>
              <fill>
                <patternFill>
                  <bgColor indexed="52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92" stopIfTrue="1" id="{00000000-0000-0000-0000-000000000000}">
            <xm:f>(60 * HOUR($K$14) + MINUTE($K$14)) &gt;(60 * HOUR(INDEX('1.Locations'!$G$2:$G$32,$C$14 + 1)) +MINUTE(INDEX('1.Locations'!$G$2:$G$32,$C$14 + 1)))</xm:f>
            <x14:dxf>
              <fill>
                <patternFill>
                  <bgColor indexed="10"/>
                </patternFill>
              </fill>
            </x14:dxf>
          </x14:cfRule>
          <xm:sqref>K14</xm:sqref>
        </x14:conditionalFormatting>
        <x14:conditionalFormatting xmlns:xm="http://schemas.microsoft.com/office/excel/2006/main">
          <x14:cfRule type="cellIs" priority="93" stopIfTrue="1" operator="lessThan" id="{00000000-0000-0000-0000-000000000000}">
            <xm:f>INDEX('1.Locations'!$F$2:$F$32,$C$15 + 1)</xm:f>
            <x14:dxf>
              <fill>
                <patternFill>
                  <bgColor indexed="52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94" stopIfTrue="1" id="{00000000-0000-0000-0000-000000000000}">
            <xm:f>(60 * HOUR($K$15) + MINUTE($K$15)) &gt;(60 * HOUR(INDEX('1.Locations'!$G$2:$G$32,$C$15 + 1)) +MINUTE(INDEX('1.Locations'!$G$2:$G$32,$C$15 + 1)))</xm:f>
            <x14:dxf>
              <fill>
                <patternFill>
                  <bgColor indexed="10"/>
                </patternFill>
              </fill>
            </x14:dxf>
          </x14:cfRule>
          <xm:sqref>K15</xm:sqref>
        </x14:conditionalFormatting>
        <x14:conditionalFormatting xmlns:xm="http://schemas.microsoft.com/office/excel/2006/main">
          <x14:cfRule type="cellIs" priority="95" stopIfTrue="1" operator="lessThan" id="{00000000-0000-0000-0000-000000000000}">
            <xm:f>INDEX('1.Locations'!$F$2:$F$32,$C$16 + 1)</xm:f>
            <x14:dxf>
              <fill>
                <patternFill>
                  <bgColor indexed="52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96" stopIfTrue="1" id="{00000000-0000-0000-0000-000000000000}">
            <xm:f>(60 * HOUR($K$16) + MINUTE($K$16)) &gt;(60 * HOUR(INDEX('1.Locations'!$G$2:$G$32,$C$16 + 1)) +MINUTE(INDEX('1.Locations'!$G$2:$G$32,$C$16 + 1)))</xm:f>
            <x14:dxf>
              <fill>
                <patternFill>
                  <bgColor indexed="10"/>
                </patternFill>
              </fill>
            </x14:dxf>
          </x14:cfRule>
          <xm:sqref>K16</xm:sqref>
        </x14:conditionalFormatting>
        <x14:conditionalFormatting xmlns:xm="http://schemas.microsoft.com/office/excel/2006/main">
          <x14:cfRule type="cellIs" priority="97" stopIfTrue="1" operator="lessThan" id="{00000000-0000-0000-0000-000000000000}">
            <xm:f>INDEX('1.Locations'!$F$2:$F$32,$C$17 + 1)</xm:f>
            <x14:dxf>
              <fill>
                <patternFill>
                  <bgColor indexed="52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98" stopIfTrue="1" id="{00000000-0000-0000-0000-000000000000}">
            <xm:f>(60 * HOUR($K$17) + MINUTE($K$17)) &gt;(60 * HOUR(INDEX('1.Locations'!$G$2:$G$32,$C$17 + 1)) +MINUTE(INDEX('1.Locations'!$G$2:$G$32,$C$17 + 1)))</xm:f>
            <x14:dxf>
              <fill>
                <patternFill>
                  <bgColor indexed="10"/>
                </patternFill>
              </fill>
            </x14:dxf>
          </x14:cfRule>
          <xm:sqref>K17</xm:sqref>
        </x14:conditionalFormatting>
        <x14:conditionalFormatting xmlns:xm="http://schemas.microsoft.com/office/excel/2006/main">
          <x14:cfRule type="cellIs" priority="99" stopIfTrue="1" operator="lessThan" id="{00000000-0000-0000-0000-000000000000}">
            <xm:f>INDEX('1.Locations'!$F$2:$F$32,$C$18 + 1)</xm:f>
            <x14:dxf>
              <fill>
                <patternFill>
                  <bgColor indexed="52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100" stopIfTrue="1" id="{00000000-0000-0000-0000-000000000000}">
            <xm:f>(60 * HOUR($K$18) + MINUTE($K$18)) &gt;(60 * HOUR(INDEX('1.Locations'!$G$2:$G$32,$C$18 + 1)) +MINUTE(INDEX('1.Locations'!$G$2:$G$32,$C$18 + 1)))</xm:f>
            <x14:dxf>
              <fill>
                <patternFill>
                  <bgColor indexed="10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cellIs" priority="101" stopIfTrue="1" operator="lessThan" id="{00000000-0000-0000-0000-000000000000}">
            <xm:f>INDEX('1.Locations'!$F$2:$F$32,$C$19 + 1)</xm:f>
            <x14:dxf>
              <fill>
                <patternFill>
                  <bgColor indexed="52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102" stopIfTrue="1" id="{00000000-0000-0000-0000-000000000000}">
            <xm:f>(60 * HOUR($K$19) + MINUTE($K$19)) &gt;(60 * HOUR(INDEX('1.Locations'!$G$2:$G$32,$C$19 + 1)) +MINUTE(INDEX('1.Locations'!$G$2:$G$32,$C$19 + 1)))</xm:f>
            <x14:dxf>
              <fill>
                <patternFill>
                  <bgColor indexed="10"/>
                </patternFill>
              </fill>
            </x14:dxf>
          </x14:cfRule>
          <xm:sqref>K19</xm:sqref>
        </x14:conditionalFormatting>
        <x14:conditionalFormatting xmlns:xm="http://schemas.microsoft.com/office/excel/2006/main">
          <x14:cfRule type="cellIs" priority="103" stopIfTrue="1" operator="lessThan" id="{00000000-0000-0000-0000-000000000000}">
            <xm:f>INDEX('1.Locations'!$F$2:$F$32,$C$20 + 1)</xm:f>
            <x14:dxf>
              <fill>
                <patternFill>
                  <bgColor indexed="52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104" stopIfTrue="1" id="{00000000-0000-0000-0000-000000000000}">
            <xm:f>(60 * HOUR($K$20) + MINUTE($K$20)) &gt;(60 * HOUR(INDEX('1.Locations'!$G$2:$G$32,$C$20 + 1)) +MINUTE(INDEX('1.Locations'!$G$2:$G$32,$C$20 + 1)))</xm:f>
            <x14:dxf>
              <fill>
                <patternFill>
                  <bgColor indexed="10"/>
                </patternFill>
              </fill>
            </x14:dxf>
          </x14:cfRule>
          <xm:sqref>K20</xm:sqref>
        </x14:conditionalFormatting>
        <x14:conditionalFormatting xmlns:xm="http://schemas.microsoft.com/office/excel/2006/main">
          <x14:cfRule type="cellIs" priority="105" stopIfTrue="1" operator="lessThan" id="{00000000-0000-0000-0000-000000000000}">
            <xm:f>INDEX('1.Locations'!$F$2:$F$32,$C$21 + 1)</xm:f>
            <x14:dxf>
              <fill>
                <patternFill>
                  <bgColor indexed="52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106" stopIfTrue="1" id="{00000000-0000-0000-0000-000000000000}">
            <xm:f>(60 * HOUR($K$21) + MINUTE($K$21)) &gt;(60 * HOUR(INDEX('1.Locations'!$G$2:$G$32,$C$21 + 1)) +MINUTE(INDEX('1.Locations'!$G$2:$G$32,$C$21 + 1)))</xm:f>
            <x14:dxf>
              <fill>
                <patternFill>
                  <bgColor indexed="10"/>
                </patternFill>
              </fill>
            </x14:dxf>
          </x14:cfRule>
          <xm:sqref>K21</xm:sqref>
        </x14:conditionalFormatting>
        <x14:conditionalFormatting xmlns:xm="http://schemas.microsoft.com/office/excel/2006/main">
          <x14:cfRule type="cellIs" priority="107" stopIfTrue="1" operator="lessThan" id="{00000000-0000-0000-0000-000000000000}">
            <xm:f>INDEX('1.Locations'!$F$2:$F$32,$C$22 + 1)</xm:f>
            <x14:dxf>
              <fill>
                <patternFill>
                  <bgColor indexed="52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108" stopIfTrue="1" id="{00000000-0000-0000-0000-000000000000}">
            <xm:f>(60 * HOUR($K$22) + MINUTE($K$22)) &gt;(60 * HOUR(INDEX('1.Locations'!$G$2:$G$32,$C$22 + 1)) +MINUTE(INDEX('1.Locations'!$G$2:$G$32,$C$22 + 1)))</xm:f>
            <x14:dxf>
              <fill>
                <patternFill>
                  <bgColor indexed="10"/>
                </patternFill>
              </fill>
            </x14:dxf>
          </x14:cfRule>
          <xm:sqref>K22</xm:sqref>
        </x14:conditionalFormatting>
        <x14:conditionalFormatting xmlns:xm="http://schemas.microsoft.com/office/excel/2006/main">
          <x14:cfRule type="cellIs" priority="109" stopIfTrue="1" operator="lessThan" id="{00000000-0000-0000-0000-000000000000}">
            <xm:f>INDEX('1.Locations'!$F$2:$F$32,$C$23 + 1)</xm:f>
            <x14:dxf>
              <fill>
                <patternFill>
                  <bgColor indexed="52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110" stopIfTrue="1" id="{00000000-0000-0000-0000-000000000000}">
            <xm:f>(60 * HOUR($K$23) + MINUTE($K$23)) &gt;(60 * HOUR(INDEX('1.Locations'!$G$2:$G$32,$C$23 + 1)) +MINUTE(INDEX('1.Locations'!$G$2:$G$32,$C$23 + 1)))</xm:f>
            <x14:dxf>
              <fill>
                <patternFill>
                  <bgColor indexed="10"/>
                </patternFill>
              </fill>
            </x14:dxf>
          </x14:cfRule>
          <xm:sqref>K23</xm:sqref>
        </x14:conditionalFormatting>
        <x14:conditionalFormatting xmlns:xm="http://schemas.microsoft.com/office/excel/2006/main">
          <x14:cfRule type="cellIs" priority="111" stopIfTrue="1" operator="lessThan" id="{00000000-0000-0000-0000-000000000000}">
            <xm:f>INDEX('1.Locations'!$F$2:$F$32,$C$24 + 1)</xm:f>
            <x14:dxf>
              <fill>
                <patternFill>
                  <bgColor indexed="52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112" stopIfTrue="1" id="{00000000-0000-0000-0000-000000000000}">
            <xm:f>(60 * HOUR($K$24) + MINUTE($K$24)) &gt;(60 * HOUR(INDEX('1.Locations'!$G$2:$G$32,$C$24 + 1)) +MINUTE(INDEX('1.Locations'!$G$2:$G$32,$C$24 + 1)))</xm:f>
            <x14:dxf>
              <fill>
                <patternFill>
                  <bgColor indexed="10"/>
                </patternFill>
              </fill>
            </x14:dxf>
          </x14:cfRule>
          <xm:sqref>K24</xm:sqref>
        </x14:conditionalFormatting>
        <x14:conditionalFormatting xmlns:xm="http://schemas.microsoft.com/office/excel/2006/main">
          <x14:cfRule type="cellIs" priority="113" stopIfTrue="1" operator="lessThan" id="{00000000-0000-0000-0000-000000000000}">
            <xm:f>INDEX('1.Locations'!$F$2:$F$32,$C$25 + 1)</xm:f>
            <x14:dxf>
              <fill>
                <patternFill>
                  <bgColor indexed="5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114" stopIfTrue="1" id="{00000000-0000-0000-0000-000000000000}">
            <xm:f>(60 * HOUR($K$25) + MINUTE($K$25)) &gt;(60 * HOUR(INDEX('1.Locations'!$G$2:$G$32,$C$25 + 1)) +MINUTE(INDEX('1.Locations'!$G$2:$G$32,$C$25 + 1)))</xm:f>
            <x14:dxf>
              <fill>
                <patternFill>
                  <bgColor indexed="10"/>
                </patternFill>
              </fill>
            </x14:dxf>
          </x14:cfRule>
          <xm:sqref>K25</xm:sqref>
        </x14:conditionalFormatting>
        <x14:conditionalFormatting xmlns:xm="http://schemas.microsoft.com/office/excel/2006/main">
          <x14:cfRule type="cellIs" priority="115" stopIfTrue="1" operator="lessThan" id="{00000000-0000-0000-0000-000000000000}">
            <xm:f>INDEX('1.Locations'!$F$2:$F$32,$C$26 + 1)</xm:f>
            <x14:dxf>
              <fill>
                <patternFill>
                  <bgColor indexed="52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116" stopIfTrue="1" id="{00000000-0000-0000-0000-000000000000}">
            <xm:f>(60 * HOUR($K$26) + MINUTE($K$26)) &gt;(60 * HOUR(INDEX('1.Locations'!$G$2:$G$32,$C$26 + 1)) +MINUTE(INDEX('1.Locations'!$G$2:$G$32,$C$26 + 1)))</xm:f>
            <x14:dxf>
              <fill>
                <patternFill>
                  <bgColor indexed="10"/>
                </patternFill>
              </fill>
            </x14:dxf>
          </x14:cfRule>
          <xm:sqref>K26</xm:sqref>
        </x14:conditionalFormatting>
        <x14:conditionalFormatting xmlns:xm="http://schemas.microsoft.com/office/excel/2006/main">
          <x14:cfRule type="cellIs" priority="117" stopIfTrue="1" operator="lessThan" id="{00000000-0000-0000-0000-000000000000}">
            <xm:f>INDEX('1.Locations'!$F$2:$F$32,$C$27 + 1)</xm:f>
            <x14:dxf>
              <fill>
                <patternFill>
                  <bgColor indexed="52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118" stopIfTrue="1" id="{00000000-0000-0000-0000-000000000000}">
            <xm:f>(60 * HOUR($K$27) + MINUTE($K$27)) &gt;(60 * HOUR(INDEX('1.Locations'!$G$2:$G$32,$C$27 + 1)) +MINUTE(INDEX('1.Locations'!$G$2:$G$32,$C$27 + 1)))</xm:f>
            <x14:dxf>
              <fill>
                <patternFill>
                  <bgColor indexed="10"/>
                </patternFill>
              </fill>
            </x14:dxf>
          </x14:cfRule>
          <xm:sqref>K27</xm:sqref>
        </x14:conditionalFormatting>
        <x14:conditionalFormatting xmlns:xm="http://schemas.microsoft.com/office/excel/2006/main">
          <x14:cfRule type="cellIs" priority="119" stopIfTrue="1" operator="lessThan" id="{00000000-0000-0000-0000-000000000000}">
            <xm:f>INDEX('1.Locations'!$F$2:$F$32,$C$28 + 1)</xm:f>
            <x14:dxf>
              <fill>
                <patternFill>
                  <bgColor indexed="52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120" stopIfTrue="1" id="{00000000-0000-0000-0000-000000000000}">
            <xm:f>(60 * HOUR($K$28) + MINUTE($K$28)) &gt;(60 * HOUR(INDEX('1.Locations'!$G$2:$G$32,$C$28 + 1)) +MINUTE(INDEX('1.Locations'!$G$2:$G$32,$C$28 + 1)))</xm:f>
            <x14:dxf>
              <fill>
                <patternFill>
                  <bgColor indexed="10"/>
                </patternFill>
              </fill>
            </x14:dxf>
          </x14:cfRule>
          <xm:sqref>K28</xm:sqref>
        </x14:conditionalFormatting>
        <x14:conditionalFormatting xmlns:xm="http://schemas.microsoft.com/office/excel/2006/main">
          <x14:cfRule type="cellIs" priority="121" stopIfTrue="1" operator="lessThan" id="{00000000-0000-0000-0000-000000000000}">
            <xm:f>INDEX('1.Locations'!$F$2:$F$32,$C$29 + 1)</xm:f>
            <x14:dxf>
              <fill>
                <patternFill>
                  <bgColor indexed="52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122" stopIfTrue="1" id="{00000000-0000-0000-0000-000000000000}">
            <xm:f>(60 * HOUR($K$29) + MINUTE($K$29)) &gt;(60 * HOUR(INDEX('1.Locations'!$G$2:$G$32,$C$29 + 1)) +MINUTE(INDEX('1.Locations'!$G$2:$G$32,$C$29 + 1)))</xm:f>
            <x14:dxf>
              <fill>
                <patternFill>
                  <bgColor indexed="10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ellIs" priority="123" stopIfTrue="1" operator="lessThan" id="{00000000-0000-0000-0000-000000000000}">
            <xm:f>INDEX('1.Locations'!$F$2:$F$32,$C$30 + 1)</xm:f>
            <x14:dxf>
              <fill>
                <patternFill>
                  <bgColor indexed="52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124" stopIfTrue="1" id="{00000000-0000-0000-0000-000000000000}">
            <xm:f>(60 * HOUR($K$30) + MINUTE($K$30)) &gt;(60 * HOUR(INDEX('1.Locations'!$G$2:$G$32,$C$30 + 1)) +MINUTE(INDEX('1.Locations'!$G$2:$G$32,$C$30 + 1)))</xm:f>
            <x14:dxf>
              <fill>
                <patternFill>
                  <bgColor indexed="10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cellIs" priority="125" stopIfTrue="1" operator="lessThan" id="{00000000-0000-0000-0000-000000000000}">
            <xm:f>INDEX('1.Locations'!$F$2:$F$32,$C$31 + 1)</xm:f>
            <x14:dxf>
              <fill>
                <patternFill>
                  <bgColor indexed="52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126" stopIfTrue="1" id="{00000000-0000-0000-0000-000000000000}">
            <xm:f>(60 * HOUR($K$31) + MINUTE($K$31)) &gt;(60 * HOUR(INDEX('1.Locations'!$G$2:$G$32,$C$31 + 1)) +MINUTE(INDEX('1.Locations'!$G$2:$G$32,$C$31 + 1)))</xm:f>
            <x14:dxf>
              <fill>
                <patternFill>
                  <bgColor indexed="10"/>
                </patternFill>
              </fill>
            </x14:dxf>
          </x14:cfRule>
          <xm:sqref>K31</xm:sqref>
        </x14:conditionalFormatting>
        <x14:conditionalFormatting xmlns:xm="http://schemas.microsoft.com/office/excel/2006/main">
          <x14:cfRule type="cellIs" priority="127" stopIfTrue="1" operator="lessThan" id="{00000000-0000-0000-0000-000000000000}">
            <xm:f>INDEX('1.Locations'!$F$2:$F$32,$C$32 + 1)</xm:f>
            <x14:dxf>
              <fill>
                <patternFill>
                  <bgColor indexed="52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128" stopIfTrue="1" id="{00000000-0000-0000-0000-000000000000}">
            <xm:f>(60 * HOUR($K$32) + MINUTE($K$32)) &gt;(60 * HOUR(INDEX('1.Locations'!$G$2:$G$32,$C$32 + 1)) +MINUTE(INDEX('1.Locations'!$G$2:$G$32,$C$32 + 1)))</xm:f>
            <x14:dxf>
              <fill>
                <patternFill>
                  <bgColor indexed="10"/>
                </patternFill>
              </fill>
            </x14:dxf>
          </x14:cfRule>
          <xm:sqref>K32</xm:sqref>
        </x14:conditionalFormatting>
        <x14:conditionalFormatting xmlns:xm="http://schemas.microsoft.com/office/excel/2006/main">
          <x14:cfRule type="cellIs" priority="129" stopIfTrue="1" operator="lessThan" id="{00000000-0000-0000-0000-000000000000}">
            <xm:f>INDEX('1.Locations'!$F$2:$F$32,$C$33 + 1)</xm:f>
            <x14:dxf>
              <fill>
                <patternFill>
                  <bgColor indexed="52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130" stopIfTrue="1" id="{00000000-0000-0000-0000-000000000000}">
            <xm:f>(60 * HOUR($K$33) + MINUTE($K$33)) &gt;(60 * HOUR(INDEX('1.Locations'!$G$2:$G$32,$C$33 + 1)) +MINUTE(INDEX('1.Locations'!$G$2:$G$32,$C$33 + 1)))</xm:f>
            <x14:dxf>
              <fill>
                <patternFill>
                  <bgColor indexed="10"/>
                </patternFill>
              </fill>
            </x14:dxf>
          </x14:cfRule>
          <xm:sqref>K33</xm:sqref>
        </x14:conditionalFormatting>
        <x14:conditionalFormatting xmlns:xm="http://schemas.microsoft.com/office/excel/2006/main">
          <x14:cfRule type="cellIs" priority="131" stopIfTrue="1" operator="lessThan" id="{00000000-0000-0000-0000-000000000000}">
            <xm:f>INDEX('1.Locations'!$F$2:$F$32,$C$34 + 1)</xm:f>
            <x14:dxf>
              <fill>
                <patternFill>
                  <bgColor indexed="52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132" stopIfTrue="1" id="{00000000-0000-0000-0000-000000000000}">
            <xm:f>(60 * HOUR($K$34) + MINUTE($K$34)) &gt;(60 * HOUR(INDEX('1.Locations'!$G$2:$G$32,$C$34 + 1)) +MINUTE(INDEX('1.Locations'!$G$2:$G$32,$C$34 + 1)))</xm:f>
            <x14:dxf>
              <fill>
                <patternFill>
                  <bgColor indexed="10"/>
                </patternFill>
              </fill>
            </x14:dxf>
          </x14:cfRule>
          <xm:sqref>K34</xm:sqref>
        </x14:conditionalFormatting>
        <x14:conditionalFormatting xmlns:xm="http://schemas.microsoft.com/office/excel/2006/main">
          <x14:cfRule type="cellIs" priority="133" stopIfTrue="1" operator="lessThan" id="{00000000-0000-0000-0000-000000000000}">
            <xm:f>INDEX('1.Locations'!$F$2:$F$32,$C$35 + 1)</xm:f>
            <x14:dxf>
              <fill>
                <patternFill>
                  <bgColor indexed="5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134" stopIfTrue="1" id="{00000000-0000-0000-0000-000000000000}">
            <xm:f>(60 * HOUR($K$35) + MINUTE($K$35)) &gt;(60 * HOUR(INDEX('1.Locations'!$G$2:$G$32,$C$35 + 1)) +MINUTE(INDEX('1.Locations'!$G$2:$G$32,$C$35 + 1)))</xm:f>
            <x14:dxf>
              <fill>
                <patternFill>
                  <bgColor indexed="10"/>
                </patternFill>
              </fill>
            </x14:dxf>
          </x14:cfRule>
          <xm:sqref>K35</xm:sqref>
        </x14:conditionalFormatting>
        <x14:conditionalFormatting xmlns:xm="http://schemas.microsoft.com/office/excel/2006/main">
          <x14:cfRule type="cellIs" priority="135" stopIfTrue="1" operator="lessThan" id="{00000000-0000-0000-0000-000000000000}">
            <xm:f>INDEX('1.Locations'!$F$2:$F$32,$C$36 + 1)</xm:f>
            <x14:dxf>
              <fill>
                <patternFill>
                  <bgColor indexed="52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136" stopIfTrue="1" id="{00000000-0000-0000-0000-000000000000}">
            <xm:f>(60 * HOUR($K$36) + MINUTE($K$36)) &gt;(60 * HOUR(INDEX('1.Locations'!$G$2:$G$32,$C$36 + 1)) +MINUTE(INDEX('1.Locations'!$G$2:$G$32,$C$36 + 1)))</xm:f>
            <x14:dxf>
              <fill>
                <patternFill>
                  <bgColor indexed="10"/>
                </patternFill>
              </fill>
            </x14:dxf>
          </x14:cfRule>
          <xm:sqref>K36</xm:sqref>
        </x14:conditionalFormatting>
        <x14:conditionalFormatting xmlns:xm="http://schemas.microsoft.com/office/excel/2006/main">
          <x14:cfRule type="cellIs" priority="137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F6:F36</xm:sqref>
        </x14:conditionalFormatting>
        <x14:conditionalFormatting xmlns:xm="http://schemas.microsoft.com/office/excel/2006/main">
          <x14:cfRule type="cellIs" priority="138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G6:G36</xm:sqref>
        </x14:conditionalFormatting>
        <x14:conditionalFormatting xmlns:xm="http://schemas.microsoft.com/office/excel/2006/main">
          <x14:cfRule type="cellIs" priority="139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I6:I36</xm:sqref>
        </x14:conditionalFormatting>
        <x14:conditionalFormatting xmlns:xm="http://schemas.microsoft.com/office/excel/2006/main">
          <x14:cfRule type="cellIs" priority="140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L6:L36</xm:sqref>
        </x14:conditionalFormatting>
        <x14:conditionalFormatting xmlns:xm="http://schemas.microsoft.com/office/excel/2006/main">
          <x14:cfRule type="cellIs" priority="142" stopIfTrue="1" operator="lessThan" id="{00000000-0000-0000-0000-000000000000}">
            <xm:f>INDEX('1.Locations'!$F$2:$F$32,$P$5 + 1)</xm:f>
            <x14:dxf>
              <fill>
                <patternFill>
                  <bgColor indexed="52"/>
                </patternFill>
              </fill>
            </x14:dxf>
          </x14:cfRule>
          <xm:sqref>W5</xm:sqref>
        </x14:conditionalFormatting>
        <x14:conditionalFormatting xmlns:xm="http://schemas.microsoft.com/office/excel/2006/main">
          <x14:cfRule type="expression" priority="143" stopIfTrue="1" id="{00000000-0000-0000-0000-000000000000}">
            <xm:f>(60 * HOUR($X$5) + MINUTE($X$5)) &gt;(60 * HOUR(INDEX('1.Locations'!$G$2:$G$32,$P$5 + 1)) +MINUTE(INDEX('1.Locations'!$G$2:$G$32,$P$5 + 1)))</xm:f>
            <x14:dxf>
              <fill>
                <patternFill>
                  <bgColor indexed="10"/>
                </patternFill>
              </fill>
            </x14:dxf>
          </x14:cfRule>
          <xm:sqref>X5</xm:sqref>
        </x14:conditionalFormatting>
        <x14:conditionalFormatting xmlns:xm="http://schemas.microsoft.com/office/excel/2006/main">
          <x14:cfRule type="cellIs" priority="144" stopIfTrue="1" operator="lessThan" id="{00000000-0000-0000-0000-000000000000}">
            <xm:f>INDEX('1.Locations'!$F$2:$F$32,$P$6 + 1)</xm:f>
            <x14:dxf>
              <fill>
                <patternFill>
                  <bgColor indexed="52"/>
                </patternFill>
              </fill>
            </x14:dxf>
          </x14:cfRule>
          <xm:sqref>W6</xm:sqref>
        </x14:conditionalFormatting>
        <x14:conditionalFormatting xmlns:xm="http://schemas.microsoft.com/office/excel/2006/main">
          <x14:cfRule type="expression" priority="145" stopIfTrue="1" id="{00000000-0000-0000-0000-000000000000}">
            <xm:f>(60 * HOUR($X$6) + MINUTE($X$6)) &gt;(60 * HOUR(INDEX('1.Locations'!$G$2:$G$32,$P$6 + 1)) +MINUTE(INDEX('1.Locations'!$G$2:$G$32,$P$6 + 1)))</xm:f>
            <x14:dxf>
              <fill>
                <patternFill>
                  <bgColor indexed="10"/>
                </patternFill>
              </fill>
            </x14:dxf>
          </x14:cfRule>
          <xm:sqref>X6</xm:sqref>
        </x14:conditionalFormatting>
        <x14:conditionalFormatting xmlns:xm="http://schemas.microsoft.com/office/excel/2006/main">
          <x14:cfRule type="cellIs" priority="146" stopIfTrue="1" operator="lessThan" id="{00000000-0000-0000-0000-000000000000}">
            <xm:f>INDEX('1.Locations'!$F$2:$F$32,$P$7 + 1)</xm:f>
            <x14:dxf>
              <fill>
                <patternFill>
                  <bgColor indexed="52"/>
                </patternFill>
              </fill>
            </x14:dxf>
          </x14:cfRule>
          <xm:sqref>W7</xm:sqref>
        </x14:conditionalFormatting>
        <x14:conditionalFormatting xmlns:xm="http://schemas.microsoft.com/office/excel/2006/main">
          <x14:cfRule type="expression" priority="147" stopIfTrue="1" id="{00000000-0000-0000-0000-000000000000}">
            <xm:f>(60 * HOUR($X$7) + MINUTE($X$7)) &gt;(60 * HOUR(INDEX('1.Locations'!$G$2:$G$32,$P$7 + 1)) +MINUTE(INDEX('1.Locations'!$G$2:$G$32,$P$7 + 1)))</xm:f>
            <x14:dxf>
              <fill>
                <patternFill>
                  <bgColor indexed="10"/>
                </patternFill>
              </fill>
            </x14:dxf>
          </x14:cfRule>
          <xm:sqref>X7</xm:sqref>
        </x14:conditionalFormatting>
        <x14:conditionalFormatting xmlns:xm="http://schemas.microsoft.com/office/excel/2006/main">
          <x14:cfRule type="cellIs" priority="148" stopIfTrue="1" operator="lessThan" id="{00000000-0000-0000-0000-000000000000}">
            <xm:f>INDEX('1.Locations'!$F$2:$F$32,$P$8 + 1)</xm:f>
            <x14:dxf>
              <fill>
                <patternFill>
                  <bgColor indexed="52"/>
                </patternFill>
              </fill>
            </x14:dxf>
          </x14:cfRule>
          <xm:sqref>W8</xm:sqref>
        </x14:conditionalFormatting>
        <x14:conditionalFormatting xmlns:xm="http://schemas.microsoft.com/office/excel/2006/main">
          <x14:cfRule type="expression" priority="149" stopIfTrue="1" id="{00000000-0000-0000-0000-000000000000}">
            <xm:f>(60 * HOUR($X$8) + MINUTE($X$8)) &gt;(60 * HOUR(INDEX('1.Locations'!$G$2:$G$32,$P$8 + 1)) +MINUTE(INDEX('1.Locations'!$G$2:$G$32,$P$8 + 1)))</xm:f>
            <x14:dxf>
              <fill>
                <patternFill>
                  <bgColor indexed="10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150" stopIfTrue="1" operator="lessThan" id="{00000000-0000-0000-0000-000000000000}">
            <xm:f>INDEX('1.Locations'!$F$2:$F$32,$P$9 + 1)</xm:f>
            <x14:dxf>
              <fill>
                <patternFill>
                  <bgColor indexed="52"/>
                </patternFill>
              </fill>
            </x14:dxf>
          </x14:cfRule>
          <xm:sqref>W9</xm:sqref>
        </x14:conditionalFormatting>
        <x14:conditionalFormatting xmlns:xm="http://schemas.microsoft.com/office/excel/2006/main">
          <x14:cfRule type="expression" priority="151" stopIfTrue="1" id="{00000000-0000-0000-0000-000000000000}">
            <xm:f>(60 * HOUR($X$9) + MINUTE($X$9)) &gt;(60 * HOUR(INDEX('1.Locations'!$G$2:$G$32,$P$9 + 1)) +MINUTE(INDEX('1.Locations'!$G$2:$G$32,$P$9 + 1)))</xm:f>
            <x14:dxf>
              <fill>
                <patternFill>
                  <bgColor indexed="10"/>
                </patternFill>
              </fill>
            </x14:dxf>
          </x14:cfRule>
          <xm:sqref>X9</xm:sqref>
        </x14:conditionalFormatting>
        <x14:conditionalFormatting xmlns:xm="http://schemas.microsoft.com/office/excel/2006/main">
          <x14:cfRule type="cellIs" priority="152" stopIfTrue="1" operator="lessThan" id="{00000000-0000-0000-0000-000000000000}">
            <xm:f>INDEX('1.Locations'!$F$2:$F$32,$P$10 + 1)</xm:f>
            <x14:dxf>
              <fill>
                <patternFill>
                  <bgColor indexed="52"/>
                </patternFill>
              </fill>
            </x14:dxf>
          </x14:cfRule>
          <xm:sqref>W10</xm:sqref>
        </x14:conditionalFormatting>
        <x14:conditionalFormatting xmlns:xm="http://schemas.microsoft.com/office/excel/2006/main">
          <x14:cfRule type="expression" priority="153" stopIfTrue="1" id="{00000000-0000-0000-0000-000000000000}">
            <xm:f>(60 * HOUR($X$10) + MINUTE($X$10)) &gt;(60 * HOUR(INDEX('1.Locations'!$G$2:$G$32,$P$10 + 1)) +MINUTE(INDEX('1.Locations'!$G$2:$G$32,$P$10 + 1)))</xm:f>
            <x14:dxf>
              <fill>
                <patternFill>
                  <bgColor indexed="10"/>
                </patternFill>
              </fill>
            </x14:dxf>
          </x14:cfRule>
          <xm:sqref>X10</xm:sqref>
        </x14:conditionalFormatting>
        <x14:conditionalFormatting xmlns:xm="http://schemas.microsoft.com/office/excel/2006/main">
          <x14:cfRule type="cellIs" priority="154" stopIfTrue="1" operator="lessThan" id="{00000000-0000-0000-0000-000000000000}">
            <xm:f>INDEX('1.Locations'!$F$2:$F$32,$P$11 + 1)</xm:f>
            <x14:dxf>
              <fill>
                <patternFill>
                  <bgColor indexed="52"/>
                </patternFill>
              </fill>
            </x14:dxf>
          </x14:cfRule>
          <xm:sqref>W11</xm:sqref>
        </x14:conditionalFormatting>
        <x14:conditionalFormatting xmlns:xm="http://schemas.microsoft.com/office/excel/2006/main">
          <x14:cfRule type="expression" priority="155" stopIfTrue="1" id="{00000000-0000-0000-0000-000000000000}">
            <xm:f>(60 * HOUR($X$11) + MINUTE($X$11)) &gt;(60 * HOUR(INDEX('1.Locations'!$G$2:$G$32,$P$11 + 1)) +MINUTE(INDEX('1.Locations'!$G$2:$G$32,$P$11 + 1)))</xm:f>
            <x14:dxf>
              <fill>
                <patternFill>
                  <bgColor indexed="10"/>
                </patternFill>
              </fill>
            </x14:dxf>
          </x14:cfRule>
          <xm:sqref>X11</xm:sqref>
        </x14:conditionalFormatting>
        <x14:conditionalFormatting xmlns:xm="http://schemas.microsoft.com/office/excel/2006/main">
          <x14:cfRule type="cellIs" priority="156" stopIfTrue="1" operator="lessThan" id="{00000000-0000-0000-0000-000000000000}">
            <xm:f>INDEX('1.Locations'!$F$2:$F$32,$P$12 + 1)</xm:f>
            <x14:dxf>
              <fill>
                <patternFill>
                  <bgColor indexed="52"/>
                </patternFill>
              </fill>
            </x14:dxf>
          </x14:cfRule>
          <xm:sqref>W12</xm:sqref>
        </x14:conditionalFormatting>
        <x14:conditionalFormatting xmlns:xm="http://schemas.microsoft.com/office/excel/2006/main">
          <x14:cfRule type="expression" priority="157" stopIfTrue="1" id="{00000000-0000-0000-0000-000000000000}">
            <xm:f>(60 * HOUR($X$12) + MINUTE($X$12)) &gt;(60 * HOUR(INDEX('1.Locations'!$G$2:$G$32,$P$12 + 1)) +MINUTE(INDEX('1.Locations'!$G$2:$G$32,$P$12 + 1)))</xm:f>
            <x14:dxf>
              <fill>
                <patternFill>
                  <bgColor indexed="10"/>
                </patternFill>
              </fill>
            </x14:dxf>
          </x14:cfRule>
          <xm:sqref>X12</xm:sqref>
        </x14:conditionalFormatting>
        <x14:conditionalFormatting xmlns:xm="http://schemas.microsoft.com/office/excel/2006/main">
          <x14:cfRule type="cellIs" priority="158" stopIfTrue="1" operator="lessThan" id="{00000000-0000-0000-0000-000000000000}">
            <xm:f>INDEX('1.Locations'!$F$2:$F$32,$P$13 + 1)</xm:f>
            <x14:dxf>
              <fill>
                <patternFill>
                  <bgColor indexed="52"/>
                </patternFill>
              </fill>
            </x14:dxf>
          </x14:cfRule>
          <xm:sqref>W13</xm:sqref>
        </x14:conditionalFormatting>
        <x14:conditionalFormatting xmlns:xm="http://schemas.microsoft.com/office/excel/2006/main">
          <x14:cfRule type="expression" priority="159" stopIfTrue="1" id="{00000000-0000-0000-0000-000000000000}">
            <xm:f>(60 * HOUR($X$13) + MINUTE($X$13)) &gt;(60 * HOUR(INDEX('1.Locations'!$G$2:$G$32,$P$13 + 1)) +MINUTE(INDEX('1.Locations'!$G$2:$G$32,$P$13 + 1)))</xm:f>
            <x14:dxf>
              <fill>
                <patternFill>
                  <bgColor indexed="10"/>
                </patternFill>
              </fill>
            </x14:dxf>
          </x14:cfRule>
          <xm:sqref>X13</xm:sqref>
        </x14:conditionalFormatting>
        <x14:conditionalFormatting xmlns:xm="http://schemas.microsoft.com/office/excel/2006/main">
          <x14:cfRule type="cellIs" priority="160" stopIfTrue="1" operator="lessThan" id="{00000000-0000-0000-0000-000000000000}">
            <xm:f>INDEX('1.Locations'!$F$2:$F$32,$P$14 + 1)</xm:f>
            <x14:dxf>
              <fill>
                <patternFill>
                  <bgColor indexed="52"/>
                </patternFill>
              </fill>
            </x14:dxf>
          </x14:cfRule>
          <xm:sqref>W14</xm:sqref>
        </x14:conditionalFormatting>
        <x14:conditionalFormatting xmlns:xm="http://schemas.microsoft.com/office/excel/2006/main">
          <x14:cfRule type="expression" priority="161" stopIfTrue="1" id="{00000000-0000-0000-0000-000000000000}">
            <xm:f>(60 * HOUR($X$14) + MINUTE($X$14)) &gt;(60 * HOUR(INDEX('1.Locations'!$G$2:$G$32,$P$14 + 1)) +MINUTE(INDEX('1.Locations'!$G$2:$G$32,$P$14 + 1)))</xm:f>
            <x14:dxf>
              <fill>
                <patternFill>
                  <bgColor indexed="10"/>
                </patternFill>
              </fill>
            </x14:dxf>
          </x14:cfRule>
          <xm:sqref>X14</xm:sqref>
        </x14:conditionalFormatting>
        <x14:conditionalFormatting xmlns:xm="http://schemas.microsoft.com/office/excel/2006/main">
          <x14:cfRule type="cellIs" priority="162" stopIfTrue="1" operator="lessThan" id="{00000000-0000-0000-0000-000000000000}">
            <xm:f>INDEX('1.Locations'!$F$2:$F$32,$P$15 + 1)</xm:f>
            <x14:dxf>
              <fill>
                <patternFill>
                  <bgColor indexed="52"/>
                </patternFill>
              </fill>
            </x14:dxf>
          </x14:cfRule>
          <xm:sqref>W15</xm:sqref>
        </x14:conditionalFormatting>
        <x14:conditionalFormatting xmlns:xm="http://schemas.microsoft.com/office/excel/2006/main">
          <x14:cfRule type="expression" priority="163" stopIfTrue="1" id="{00000000-0000-0000-0000-000000000000}">
            <xm:f>(60 * HOUR($X$15) + MINUTE($X$15)) &gt;(60 * HOUR(INDEX('1.Locations'!$G$2:$G$32,$P$15 + 1)) +MINUTE(INDEX('1.Locations'!$G$2:$G$32,$P$15 + 1)))</xm:f>
            <x14:dxf>
              <fill>
                <patternFill>
                  <bgColor indexed="10"/>
                </patternFill>
              </fill>
            </x14:dxf>
          </x14:cfRule>
          <xm:sqref>X15</xm:sqref>
        </x14:conditionalFormatting>
        <x14:conditionalFormatting xmlns:xm="http://schemas.microsoft.com/office/excel/2006/main">
          <x14:cfRule type="cellIs" priority="164" stopIfTrue="1" operator="lessThan" id="{00000000-0000-0000-0000-000000000000}">
            <xm:f>INDEX('1.Locations'!$F$2:$F$32,$P$16 + 1)</xm:f>
            <x14:dxf>
              <fill>
                <patternFill>
                  <bgColor indexed="52"/>
                </patternFill>
              </fill>
            </x14:dxf>
          </x14:cfRule>
          <xm:sqref>W16</xm:sqref>
        </x14:conditionalFormatting>
        <x14:conditionalFormatting xmlns:xm="http://schemas.microsoft.com/office/excel/2006/main">
          <x14:cfRule type="expression" priority="165" stopIfTrue="1" id="{00000000-0000-0000-0000-000000000000}">
            <xm:f>(60 * HOUR($X$16) + MINUTE($X$16)) &gt;(60 * HOUR(INDEX('1.Locations'!$G$2:$G$32,$P$16 + 1)) +MINUTE(INDEX('1.Locations'!$G$2:$G$32,$P$16 + 1)))</xm:f>
            <x14:dxf>
              <fill>
                <patternFill>
                  <bgColor indexed="10"/>
                </patternFill>
              </fill>
            </x14:dxf>
          </x14:cfRule>
          <xm:sqref>X16</xm:sqref>
        </x14:conditionalFormatting>
        <x14:conditionalFormatting xmlns:xm="http://schemas.microsoft.com/office/excel/2006/main">
          <x14:cfRule type="cellIs" priority="166" stopIfTrue="1" operator="lessThan" id="{00000000-0000-0000-0000-000000000000}">
            <xm:f>INDEX('1.Locations'!$F$2:$F$32,$P$17 + 1)</xm:f>
            <x14:dxf>
              <fill>
                <patternFill>
                  <bgColor indexed="52"/>
                </patternFill>
              </fill>
            </x14:dxf>
          </x14:cfRule>
          <xm:sqref>W17</xm:sqref>
        </x14:conditionalFormatting>
        <x14:conditionalFormatting xmlns:xm="http://schemas.microsoft.com/office/excel/2006/main">
          <x14:cfRule type="expression" priority="167" stopIfTrue="1" id="{00000000-0000-0000-0000-000000000000}">
            <xm:f>(60 * HOUR($X$17) + MINUTE($X$17)) &gt;(60 * HOUR(INDEX('1.Locations'!$G$2:$G$32,$P$17 + 1)) +MINUTE(INDEX('1.Locations'!$G$2:$G$32,$P$17 + 1)))</xm:f>
            <x14:dxf>
              <fill>
                <patternFill>
                  <bgColor indexed="10"/>
                </patternFill>
              </fill>
            </x14:dxf>
          </x14:cfRule>
          <xm:sqref>X17</xm:sqref>
        </x14:conditionalFormatting>
        <x14:conditionalFormatting xmlns:xm="http://schemas.microsoft.com/office/excel/2006/main">
          <x14:cfRule type="cellIs" priority="168" stopIfTrue="1" operator="lessThan" id="{00000000-0000-0000-0000-000000000000}">
            <xm:f>INDEX('1.Locations'!$F$2:$F$32,$P$18 + 1)</xm:f>
            <x14:dxf>
              <fill>
                <patternFill>
                  <bgColor indexed="52"/>
                </patternFill>
              </fill>
            </x14:dxf>
          </x14:cfRule>
          <xm:sqref>W18</xm:sqref>
        </x14:conditionalFormatting>
        <x14:conditionalFormatting xmlns:xm="http://schemas.microsoft.com/office/excel/2006/main">
          <x14:cfRule type="expression" priority="169" stopIfTrue="1" id="{00000000-0000-0000-0000-000000000000}">
            <xm:f>(60 * HOUR($X$18) + MINUTE($X$18)) &gt;(60 * HOUR(INDEX('1.Locations'!$G$2:$G$32,$P$18 + 1)) +MINUTE(INDEX('1.Locations'!$G$2:$G$32,$P$18 + 1)))</xm:f>
            <x14:dxf>
              <fill>
                <patternFill>
                  <bgColor indexed="10"/>
                </patternFill>
              </fill>
            </x14:dxf>
          </x14:cfRule>
          <xm:sqref>X18</xm:sqref>
        </x14:conditionalFormatting>
        <x14:conditionalFormatting xmlns:xm="http://schemas.microsoft.com/office/excel/2006/main">
          <x14:cfRule type="cellIs" priority="170" stopIfTrue="1" operator="lessThan" id="{00000000-0000-0000-0000-000000000000}">
            <xm:f>INDEX('1.Locations'!$F$2:$F$32,$P$19 + 1)</xm:f>
            <x14:dxf>
              <fill>
                <patternFill>
                  <bgColor indexed="52"/>
                </patternFill>
              </fill>
            </x14:dxf>
          </x14:cfRule>
          <xm:sqref>W19</xm:sqref>
        </x14:conditionalFormatting>
        <x14:conditionalFormatting xmlns:xm="http://schemas.microsoft.com/office/excel/2006/main">
          <x14:cfRule type="expression" priority="171" stopIfTrue="1" id="{00000000-0000-0000-0000-000000000000}">
            <xm:f>(60 * HOUR($X$19) + MINUTE($X$19)) &gt;(60 * HOUR(INDEX('1.Locations'!$G$2:$G$32,$P$19 + 1)) +MINUTE(INDEX('1.Locations'!$G$2:$G$32,$P$19 + 1)))</xm:f>
            <x14:dxf>
              <fill>
                <patternFill>
                  <bgColor indexed="10"/>
                </patternFill>
              </fill>
            </x14:dxf>
          </x14:cfRule>
          <xm:sqref>X19</xm:sqref>
        </x14:conditionalFormatting>
        <x14:conditionalFormatting xmlns:xm="http://schemas.microsoft.com/office/excel/2006/main">
          <x14:cfRule type="cellIs" priority="172" stopIfTrue="1" operator="lessThan" id="{00000000-0000-0000-0000-000000000000}">
            <xm:f>INDEX('1.Locations'!$F$2:$F$32,$P$20 + 1)</xm:f>
            <x14:dxf>
              <fill>
                <patternFill>
                  <bgColor indexed="52"/>
                </patternFill>
              </fill>
            </x14:dxf>
          </x14:cfRule>
          <xm:sqref>W20</xm:sqref>
        </x14:conditionalFormatting>
        <x14:conditionalFormatting xmlns:xm="http://schemas.microsoft.com/office/excel/2006/main">
          <x14:cfRule type="expression" priority="173" stopIfTrue="1" id="{00000000-0000-0000-0000-000000000000}">
            <xm:f>(60 * HOUR($X$20) + MINUTE($X$20)) &gt;(60 * HOUR(INDEX('1.Locations'!$G$2:$G$32,$P$20 + 1)) +MINUTE(INDEX('1.Locations'!$G$2:$G$32,$P$20 + 1)))</xm:f>
            <x14:dxf>
              <fill>
                <patternFill>
                  <bgColor indexed="10"/>
                </patternFill>
              </fill>
            </x14:dxf>
          </x14:cfRule>
          <xm:sqref>X20</xm:sqref>
        </x14:conditionalFormatting>
        <x14:conditionalFormatting xmlns:xm="http://schemas.microsoft.com/office/excel/2006/main">
          <x14:cfRule type="cellIs" priority="174" stopIfTrue="1" operator="lessThan" id="{00000000-0000-0000-0000-000000000000}">
            <xm:f>INDEX('1.Locations'!$F$2:$F$32,$P$21 + 1)</xm:f>
            <x14:dxf>
              <fill>
                <patternFill>
                  <bgColor indexed="52"/>
                </patternFill>
              </fill>
            </x14:dxf>
          </x14:cfRule>
          <xm:sqref>W21</xm:sqref>
        </x14:conditionalFormatting>
        <x14:conditionalFormatting xmlns:xm="http://schemas.microsoft.com/office/excel/2006/main">
          <x14:cfRule type="expression" priority="175" stopIfTrue="1" id="{00000000-0000-0000-0000-000000000000}">
            <xm:f>(60 * HOUR($X$21) + MINUTE($X$21)) &gt;(60 * HOUR(INDEX('1.Locations'!$G$2:$G$32,$P$21 + 1)) +MINUTE(INDEX('1.Locations'!$G$2:$G$32,$P$21 + 1)))</xm:f>
            <x14:dxf>
              <fill>
                <patternFill>
                  <bgColor indexed="10"/>
                </patternFill>
              </fill>
            </x14:dxf>
          </x14:cfRule>
          <xm:sqref>X21</xm:sqref>
        </x14:conditionalFormatting>
        <x14:conditionalFormatting xmlns:xm="http://schemas.microsoft.com/office/excel/2006/main">
          <x14:cfRule type="cellIs" priority="176" stopIfTrue="1" operator="lessThan" id="{00000000-0000-0000-0000-000000000000}">
            <xm:f>INDEX('1.Locations'!$F$2:$F$32,$P$22 + 1)</xm:f>
            <x14:dxf>
              <fill>
                <patternFill>
                  <bgColor indexed="52"/>
                </patternFill>
              </fill>
            </x14:dxf>
          </x14:cfRule>
          <xm:sqref>W22</xm:sqref>
        </x14:conditionalFormatting>
        <x14:conditionalFormatting xmlns:xm="http://schemas.microsoft.com/office/excel/2006/main">
          <x14:cfRule type="expression" priority="177" stopIfTrue="1" id="{00000000-0000-0000-0000-000000000000}">
            <xm:f>(60 * HOUR($X$22) + MINUTE($X$22)) &gt;(60 * HOUR(INDEX('1.Locations'!$G$2:$G$32,$P$22 + 1)) +MINUTE(INDEX('1.Locations'!$G$2:$G$32,$P$22 + 1)))</xm:f>
            <x14:dxf>
              <fill>
                <patternFill>
                  <bgColor indexed="10"/>
                </patternFill>
              </fill>
            </x14:dxf>
          </x14:cfRule>
          <xm:sqref>X22</xm:sqref>
        </x14:conditionalFormatting>
        <x14:conditionalFormatting xmlns:xm="http://schemas.microsoft.com/office/excel/2006/main">
          <x14:cfRule type="cellIs" priority="178" stopIfTrue="1" operator="lessThan" id="{00000000-0000-0000-0000-000000000000}">
            <xm:f>INDEX('1.Locations'!$F$2:$F$32,$P$23 + 1)</xm:f>
            <x14:dxf>
              <fill>
                <patternFill>
                  <bgColor indexed="52"/>
                </patternFill>
              </fill>
            </x14:dxf>
          </x14:cfRule>
          <xm:sqref>W23</xm:sqref>
        </x14:conditionalFormatting>
        <x14:conditionalFormatting xmlns:xm="http://schemas.microsoft.com/office/excel/2006/main">
          <x14:cfRule type="expression" priority="179" stopIfTrue="1" id="{00000000-0000-0000-0000-000000000000}">
            <xm:f>(60 * HOUR($X$23) + MINUTE($X$23)) &gt;(60 * HOUR(INDEX('1.Locations'!$G$2:$G$32,$P$23 + 1)) +MINUTE(INDEX('1.Locations'!$G$2:$G$32,$P$23 + 1)))</xm:f>
            <x14:dxf>
              <fill>
                <patternFill>
                  <bgColor indexed="10"/>
                </patternFill>
              </fill>
            </x14:dxf>
          </x14:cfRule>
          <xm:sqref>X23</xm:sqref>
        </x14:conditionalFormatting>
        <x14:conditionalFormatting xmlns:xm="http://schemas.microsoft.com/office/excel/2006/main">
          <x14:cfRule type="cellIs" priority="180" stopIfTrue="1" operator="lessThan" id="{00000000-0000-0000-0000-000000000000}">
            <xm:f>INDEX('1.Locations'!$F$2:$F$32,$P$24 + 1)</xm:f>
            <x14:dxf>
              <fill>
                <patternFill>
                  <bgColor indexed="52"/>
                </patternFill>
              </fill>
            </x14:dxf>
          </x14:cfRule>
          <xm:sqref>W24</xm:sqref>
        </x14:conditionalFormatting>
        <x14:conditionalFormatting xmlns:xm="http://schemas.microsoft.com/office/excel/2006/main">
          <x14:cfRule type="expression" priority="181" stopIfTrue="1" id="{00000000-0000-0000-0000-000000000000}">
            <xm:f>(60 * HOUR($X$24) + MINUTE($X$24)) &gt;(60 * HOUR(INDEX('1.Locations'!$G$2:$G$32,$P$24 + 1)) +MINUTE(INDEX('1.Locations'!$G$2:$G$32,$P$24 + 1)))</xm:f>
            <x14:dxf>
              <fill>
                <patternFill>
                  <bgColor indexed="10"/>
                </patternFill>
              </fill>
            </x14:dxf>
          </x14:cfRule>
          <xm:sqref>X24</xm:sqref>
        </x14:conditionalFormatting>
        <x14:conditionalFormatting xmlns:xm="http://schemas.microsoft.com/office/excel/2006/main">
          <x14:cfRule type="cellIs" priority="182" stopIfTrue="1" operator="lessThan" id="{00000000-0000-0000-0000-000000000000}">
            <xm:f>INDEX('1.Locations'!$F$2:$F$32,$P$25 + 1)</xm:f>
            <x14:dxf>
              <fill>
                <patternFill>
                  <bgColor indexed="52"/>
                </patternFill>
              </fill>
            </x14:dxf>
          </x14:cfRule>
          <xm:sqref>W25</xm:sqref>
        </x14:conditionalFormatting>
        <x14:conditionalFormatting xmlns:xm="http://schemas.microsoft.com/office/excel/2006/main">
          <x14:cfRule type="expression" priority="183" stopIfTrue="1" id="{00000000-0000-0000-0000-000000000000}">
            <xm:f>(60 * HOUR($X$25) + MINUTE($X$25)) &gt;(60 * HOUR(INDEX('1.Locations'!$G$2:$G$32,$P$25 + 1)) +MINUTE(INDEX('1.Locations'!$G$2:$G$32,$P$25 + 1)))</xm:f>
            <x14:dxf>
              <fill>
                <patternFill>
                  <bgColor indexed="10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ellIs" priority="184" stopIfTrue="1" operator="lessThan" id="{00000000-0000-0000-0000-000000000000}">
            <xm:f>INDEX('1.Locations'!$F$2:$F$32,$P$26 + 1)</xm:f>
            <x14:dxf>
              <fill>
                <patternFill>
                  <bgColor indexed="52"/>
                </patternFill>
              </fill>
            </x14:dxf>
          </x14:cfRule>
          <xm:sqref>W26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(60 * HOUR($X$26) + MINUTE($X$26)) &gt;(60 * HOUR(INDEX('1.Locations'!$G$2:$G$32,$P$26 + 1)) +MINUTE(INDEX('1.Locations'!$G$2:$G$32,$P$26 + 1)))</xm:f>
            <x14:dxf>
              <fill>
                <patternFill>
                  <bgColor indexed="10"/>
                </patternFill>
              </fill>
            </x14:dxf>
          </x14:cfRule>
          <xm:sqref>X26</xm:sqref>
        </x14:conditionalFormatting>
        <x14:conditionalFormatting xmlns:xm="http://schemas.microsoft.com/office/excel/2006/main">
          <x14:cfRule type="cellIs" priority="186" stopIfTrue="1" operator="lessThan" id="{00000000-0000-0000-0000-000000000000}">
            <xm:f>INDEX('1.Locations'!$F$2:$F$32,$P$27 + 1)</xm:f>
            <x14:dxf>
              <fill>
                <patternFill>
                  <bgColor indexed="52"/>
                </patternFill>
              </fill>
            </x14:dxf>
          </x14:cfRule>
          <xm:sqref>W27</xm:sqref>
        </x14:conditionalFormatting>
        <x14:conditionalFormatting xmlns:xm="http://schemas.microsoft.com/office/excel/2006/main">
          <x14:cfRule type="expression" priority="187" stopIfTrue="1" id="{00000000-0000-0000-0000-000000000000}">
            <xm:f>(60 * HOUR($X$27) + MINUTE($X$27)) &gt;(60 * HOUR(INDEX('1.Locations'!$G$2:$G$32,$P$27 + 1)) +MINUTE(INDEX('1.Locations'!$G$2:$G$32,$P$27 + 1)))</xm:f>
            <x14:dxf>
              <fill>
                <patternFill>
                  <bgColor indexed="10"/>
                </patternFill>
              </fill>
            </x14:dxf>
          </x14:cfRule>
          <xm:sqref>X27</xm:sqref>
        </x14:conditionalFormatting>
        <x14:conditionalFormatting xmlns:xm="http://schemas.microsoft.com/office/excel/2006/main">
          <x14:cfRule type="cellIs" priority="188" stopIfTrue="1" operator="lessThan" id="{00000000-0000-0000-0000-000000000000}">
            <xm:f>INDEX('1.Locations'!$F$2:$F$32,$P$28 + 1)</xm:f>
            <x14:dxf>
              <fill>
                <patternFill>
                  <bgColor indexed="52"/>
                </patternFill>
              </fill>
            </x14:dxf>
          </x14:cfRule>
          <xm:sqref>W28</xm:sqref>
        </x14:conditionalFormatting>
        <x14:conditionalFormatting xmlns:xm="http://schemas.microsoft.com/office/excel/2006/main">
          <x14:cfRule type="expression" priority="189" stopIfTrue="1" id="{00000000-0000-0000-0000-000000000000}">
            <xm:f>(60 * HOUR($X$28) + MINUTE($X$28)) &gt;(60 * HOUR(INDEX('1.Locations'!$G$2:$G$32,$P$28 + 1)) +MINUTE(INDEX('1.Locations'!$G$2:$G$32,$P$28 + 1)))</xm:f>
            <x14:dxf>
              <fill>
                <patternFill>
                  <bgColor indexed="10"/>
                </patternFill>
              </fill>
            </x14:dxf>
          </x14:cfRule>
          <xm:sqref>X28</xm:sqref>
        </x14:conditionalFormatting>
        <x14:conditionalFormatting xmlns:xm="http://schemas.microsoft.com/office/excel/2006/main">
          <x14:cfRule type="cellIs" priority="190" stopIfTrue="1" operator="lessThan" id="{00000000-0000-0000-0000-000000000000}">
            <xm:f>INDEX('1.Locations'!$F$2:$F$32,$P$29 + 1)</xm:f>
            <x14:dxf>
              <fill>
                <patternFill>
                  <bgColor indexed="52"/>
                </patternFill>
              </fill>
            </x14:dxf>
          </x14:cfRule>
          <xm:sqref>W29</xm:sqref>
        </x14:conditionalFormatting>
        <x14:conditionalFormatting xmlns:xm="http://schemas.microsoft.com/office/excel/2006/main">
          <x14:cfRule type="expression" priority="191" stopIfTrue="1" id="{00000000-0000-0000-0000-000000000000}">
            <xm:f>(60 * HOUR($X$29) + MINUTE($X$29)) &gt;(60 * HOUR(INDEX('1.Locations'!$G$2:$G$32,$P$29 + 1)) +MINUTE(INDEX('1.Locations'!$G$2:$G$32,$P$29 + 1)))</xm:f>
            <x14:dxf>
              <fill>
                <patternFill>
                  <bgColor indexed="10"/>
                </patternFill>
              </fill>
            </x14:dxf>
          </x14:cfRule>
          <xm:sqref>X29</xm:sqref>
        </x14:conditionalFormatting>
        <x14:conditionalFormatting xmlns:xm="http://schemas.microsoft.com/office/excel/2006/main">
          <x14:cfRule type="cellIs" priority="192" stopIfTrue="1" operator="lessThan" id="{00000000-0000-0000-0000-000000000000}">
            <xm:f>INDEX('1.Locations'!$F$2:$F$32,$P$30 + 1)</xm:f>
            <x14:dxf>
              <fill>
                <patternFill>
                  <bgColor indexed="52"/>
                </patternFill>
              </fill>
            </x14:dxf>
          </x14:cfRule>
          <xm:sqref>W30</xm:sqref>
        </x14:conditionalFormatting>
        <x14:conditionalFormatting xmlns:xm="http://schemas.microsoft.com/office/excel/2006/main">
          <x14:cfRule type="expression" priority="193" stopIfTrue="1" id="{00000000-0000-0000-0000-000000000000}">
            <xm:f>(60 * HOUR($X$30) + MINUTE($X$30)) &gt;(60 * HOUR(INDEX('1.Locations'!$G$2:$G$32,$P$30 + 1)) +MINUTE(INDEX('1.Locations'!$G$2:$G$32,$P$30 + 1)))</xm:f>
            <x14:dxf>
              <fill>
                <patternFill>
                  <bgColor indexed="10"/>
                </patternFill>
              </fill>
            </x14:dxf>
          </x14:cfRule>
          <xm:sqref>X30</xm:sqref>
        </x14:conditionalFormatting>
        <x14:conditionalFormatting xmlns:xm="http://schemas.microsoft.com/office/excel/2006/main">
          <x14:cfRule type="cellIs" priority="194" stopIfTrue="1" operator="lessThan" id="{00000000-0000-0000-0000-000000000000}">
            <xm:f>INDEX('1.Locations'!$F$2:$F$32,$P$31 + 1)</xm:f>
            <x14:dxf>
              <fill>
                <patternFill>
                  <bgColor indexed="52"/>
                </patternFill>
              </fill>
            </x14:dxf>
          </x14:cfRule>
          <xm:sqref>W31</xm:sqref>
        </x14:conditionalFormatting>
        <x14:conditionalFormatting xmlns:xm="http://schemas.microsoft.com/office/excel/2006/main">
          <x14:cfRule type="expression" priority="195" stopIfTrue="1" id="{00000000-0000-0000-0000-000000000000}">
            <xm:f>(60 * HOUR($X$31) + MINUTE($X$31)) &gt;(60 * HOUR(INDEX('1.Locations'!$G$2:$G$32,$P$31 + 1)) +MINUTE(INDEX('1.Locations'!$G$2:$G$32,$P$31 + 1)))</xm:f>
            <x14:dxf>
              <fill>
                <patternFill>
                  <bgColor indexed="10"/>
                </patternFill>
              </fill>
            </x14:dxf>
          </x14:cfRule>
          <xm:sqref>X31</xm:sqref>
        </x14:conditionalFormatting>
        <x14:conditionalFormatting xmlns:xm="http://schemas.microsoft.com/office/excel/2006/main">
          <x14:cfRule type="cellIs" priority="196" stopIfTrue="1" operator="lessThan" id="{00000000-0000-0000-0000-000000000000}">
            <xm:f>INDEX('1.Locations'!$F$2:$F$32,$P$32 + 1)</xm:f>
            <x14:dxf>
              <fill>
                <patternFill>
                  <bgColor indexed="52"/>
                </patternFill>
              </fill>
            </x14:dxf>
          </x14:cfRule>
          <xm:sqref>W32</xm:sqref>
        </x14:conditionalFormatting>
        <x14:conditionalFormatting xmlns:xm="http://schemas.microsoft.com/office/excel/2006/main">
          <x14:cfRule type="expression" priority="197" stopIfTrue="1" id="{00000000-0000-0000-0000-000000000000}">
            <xm:f>(60 * HOUR($X$32) + MINUTE($X$32)) &gt;(60 * HOUR(INDEX('1.Locations'!$G$2:$G$32,$P$32 + 1)) +MINUTE(INDEX('1.Locations'!$G$2:$G$32,$P$32 + 1)))</xm:f>
            <x14:dxf>
              <fill>
                <patternFill>
                  <bgColor indexed="10"/>
                </patternFill>
              </fill>
            </x14:dxf>
          </x14:cfRule>
          <xm:sqref>X32</xm:sqref>
        </x14:conditionalFormatting>
        <x14:conditionalFormatting xmlns:xm="http://schemas.microsoft.com/office/excel/2006/main">
          <x14:cfRule type="cellIs" priority="198" stopIfTrue="1" operator="lessThan" id="{00000000-0000-0000-0000-000000000000}">
            <xm:f>INDEX('1.Locations'!$F$2:$F$32,$P$33 + 1)</xm:f>
            <x14:dxf>
              <fill>
                <patternFill>
                  <bgColor indexed="52"/>
                </patternFill>
              </fill>
            </x14:dxf>
          </x14:cfRule>
          <xm:sqref>W33</xm:sqref>
        </x14:conditionalFormatting>
        <x14:conditionalFormatting xmlns:xm="http://schemas.microsoft.com/office/excel/2006/main">
          <x14:cfRule type="expression" priority="199" stopIfTrue="1" id="{00000000-0000-0000-0000-000000000000}">
            <xm:f>(60 * HOUR($X$33) + MINUTE($X$33)) &gt;(60 * HOUR(INDEX('1.Locations'!$G$2:$G$32,$P$33 + 1)) +MINUTE(INDEX('1.Locations'!$G$2:$G$32,$P$33 + 1)))</xm:f>
            <x14:dxf>
              <fill>
                <patternFill>
                  <bgColor indexed="10"/>
                </patternFill>
              </fill>
            </x14:dxf>
          </x14:cfRule>
          <xm:sqref>X33</xm:sqref>
        </x14:conditionalFormatting>
        <x14:conditionalFormatting xmlns:xm="http://schemas.microsoft.com/office/excel/2006/main">
          <x14:cfRule type="cellIs" priority="200" stopIfTrue="1" operator="lessThan" id="{00000000-0000-0000-0000-000000000000}">
            <xm:f>INDEX('1.Locations'!$F$2:$F$32,$P$34 + 1)</xm:f>
            <x14:dxf>
              <fill>
                <patternFill>
                  <bgColor indexed="52"/>
                </patternFill>
              </fill>
            </x14:dxf>
          </x14:cfRule>
          <xm:sqref>W34</xm:sqref>
        </x14:conditionalFormatting>
        <x14:conditionalFormatting xmlns:xm="http://schemas.microsoft.com/office/excel/2006/main">
          <x14:cfRule type="expression" priority="201" stopIfTrue="1" id="{00000000-0000-0000-0000-000000000000}">
            <xm:f>(60 * HOUR($X$34) + MINUTE($X$34)) &gt;(60 * HOUR(INDEX('1.Locations'!$G$2:$G$32,$P$34 + 1)) +MINUTE(INDEX('1.Locations'!$G$2:$G$32,$P$34 + 1)))</xm:f>
            <x14:dxf>
              <fill>
                <patternFill>
                  <bgColor indexed="10"/>
                </patternFill>
              </fill>
            </x14:dxf>
          </x14:cfRule>
          <xm:sqref>X34</xm:sqref>
        </x14:conditionalFormatting>
        <x14:conditionalFormatting xmlns:xm="http://schemas.microsoft.com/office/excel/2006/main">
          <x14:cfRule type="cellIs" priority="202" stopIfTrue="1" operator="lessThan" id="{00000000-0000-0000-0000-000000000000}">
            <xm:f>INDEX('1.Locations'!$F$2:$F$32,$P$35 + 1)</xm:f>
            <x14:dxf>
              <fill>
                <patternFill>
                  <bgColor indexed="52"/>
                </patternFill>
              </fill>
            </x14:dxf>
          </x14:cfRule>
          <xm:sqref>W35</xm:sqref>
        </x14:conditionalFormatting>
        <x14:conditionalFormatting xmlns:xm="http://schemas.microsoft.com/office/excel/2006/main">
          <x14:cfRule type="expression" priority="203" stopIfTrue="1" id="{00000000-0000-0000-0000-000000000000}">
            <xm:f>(60 * HOUR($X$35) + MINUTE($X$35)) &gt;(60 * HOUR(INDEX('1.Locations'!$G$2:$G$32,$P$35 + 1)) +MINUTE(INDEX('1.Locations'!$G$2:$G$32,$P$35 + 1)))</xm:f>
            <x14:dxf>
              <fill>
                <patternFill>
                  <bgColor indexed="10"/>
                </patternFill>
              </fill>
            </x14:dxf>
          </x14:cfRule>
          <xm:sqref>X35</xm:sqref>
        </x14:conditionalFormatting>
        <x14:conditionalFormatting xmlns:xm="http://schemas.microsoft.com/office/excel/2006/main">
          <x14:cfRule type="cellIs" priority="204" stopIfTrue="1" operator="lessThan" id="{00000000-0000-0000-0000-000000000000}">
            <xm:f>INDEX('1.Locations'!$F$2:$F$32,$P$36 + 1)</xm:f>
            <x14:dxf>
              <fill>
                <patternFill>
                  <bgColor indexed="52"/>
                </patternFill>
              </fill>
            </x14:dxf>
          </x14:cfRule>
          <xm:sqref>W36</xm:sqref>
        </x14:conditionalFormatting>
        <x14:conditionalFormatting xmlns:xm="http://schemas.microsoft.com/office/excel/2006/main">
          <x14:cfRule type="expression" priority="205" stopIfTrue="1" id="{00000000-0000-0000-0000-000000000000}">
            <xm:f>(60 * HOUR($X$36) + MINUTE($X$36)) &gt;(60 * HOUR(INDEX('1.Locations'!$G$2:$G$32,$P$36 + 1)) +MINUTE(INDEX('1.Locations'!$G$2:$G$32,$P$36 + 1)))</xm:f>
            <x14:dxf>
              <fill>
                <patternFill>
                  <bgColor indexed="10"/>
                </patternFill>
              </fill>
            </x14:dxf>
          </x14:cfRule>
          <xm:sqref>X36</xm:sqref>
        </x14:conditionalFormatting>
        <x14:conditionalFormatting xmlns:xm="http://schemas.microsoft.com/office/excel/2006/main">
          <x14:cfRule type="cellIs" priority="206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S6:S36</xm:sqref>
        </x14:conditionalFormatting>
        <x14:conditionalFormatting xmlns:xm="http://schemas.microsoft.com/office/excel/2006/main">
          <x14:cfRule type="cellIs" priority="207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T6:T36</xm:sqref>
        </x14:conditionalFormatting>
        <x14:conditionalFormatting xmlns:xm="http://schemas.microsoft.com/office/excel/2006/main">
          <x14:cfRule type="cellIs" priority="208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V6:V36</xm:sqref>
        </x14:conditionalFormatting>
        <x14:conditionalFormatting xmlns:xm="http://schemas.microsoft.com/office/excel/2006/main">
          <x14:cfRule type="cellIs" priority="209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Y6:Y36</xm:sqref>
        </x14:conditionalFormatting>
        <x14:conditionalFormatting xmlns:xm="http://schemas.microsoft.com/office/excel/2006/main">
          <x14:cfRule type="cellIs" priority="211" stopIfTrue="1" operator="lessThan" id="{00000000-0000-0000-0000-000000000000}">
            <xm:f>INDEX('1.Locations'!$F$2:$F$32,$AC$5 + 1)</xm:f>
            <x14:dxf>
              <fill>
                <patternFill>
                  <bgColor indexed="52"/>
                </patternFill>
              </fill>
            </x14:dxf>
          </x14:cfRule>
          <xm:sqref>AJ5</xm:sqref>
        </x14:conditionalFormatting>
        <x14:conditionalFormatting xmlns:xm="http://schemas.microsoft.com/office/excel/2006/main">
          <x14:cfRule type="expression" priority="212" stopIfTrue="1" id="{00000000-0000-0000-0000-000000000000}">
            <xm:f>(60 * HOUR($AK$5) + MINUTE($AK$5)) &gt;(60 * HOUR(INDEX('1.Locations'!$G$2:$G$32,$AC$5 + 1)) +MINUTE(INDEX('1.Locations'!$G$2:$G$32,$AC$5 + 1)))</xm:f>
            <x14:dxf>
              <fill>
                <patternFill>
                  <bgColor indexed="10"/>
                </patternFill>
              </fill>
            </x14:dxf>
          </x14:cfRule>
          <xm:sqref>AK5</xm:sqref>
        </x14:conditionalFormatting>
        <x14:conditionalFormatting xmlns:xm="http://schemas.microsoft.com/office/excel/2006/main">
          <x14:cfRule type="cellIs" priority="213" stopIfTrue="1" operator="lessThan" id="{00000000-0000-0000-0000-000000000000}">
            <xm:f>INDEX('1.Locations'!$F$2:$F$32,$AC$6 + 1)</xm:f>
            <x14:dxf>
              <fill>
                <patternFill>
                  <bgColor indexed="52"/>
                </patternFill>
              </fill>
            </x14:dxf>
          </x14:cfRule>
          <xm:sqref>AJ6</xm:sqref>
        </x14:conditionalFormatting>
        <x14:conditionalFormatting xmlns:xm="http://schemas.microsoft.com/office/excel/2006/main">
          <x14:cfRule type="expression" priority="214" stopIfTrue="1" id="{00000000-0000-0000-0000-000000000000}">
            <xm:f>(60 * HOUR($AK$6) + MINUTE($AK$6)) &gt;(60 * HOUR(INDEX('1.Locations'!$G$2:$G$32,$AC$6 + 1)) +MINUTE(INDEX('1.Locations'!$G$2:$G$32,$AC$6 + 1)))</xm:f>
            <x14:dxf>
              <fill>
                <patternFill>
                  <bgColor indexed="10"/>
                </patternFill>
              </fill>
            </x14:dxf>
          </x14:cfRule>
          <xm:sqref>AK6</xm:sqref>
        </x14:conditionalFormatting>
        <x14:conditionalFormatting xmlns:xm="http://schemas.microsoft.com/office/excel/2006/main">
          <x14:cfRule type="cellIs" priority="215" stopIfTrue="1" operator="lessThan" id="{00000000-0000-0000-0000-000000000000}">
            <xm:f>INDEX('1.Locations'!$F$2:$F$32,$AC$7 + 1)</xm:f>
            <x14:dxf>
              <fill>
                <patternFill>
                  <bgColor indexed="52"/>
                </patternFill>
              </fill>
            </x14:dxf>
          </x14:cfRule>
          <xm:sqref>AJ7</xm:sqref>
        </x14:conditionalFormatting>
        <x14:conditionalFormatting xmlns:xm="http://schemas.microsoft.com/office/excel/2006/main">
          <x14:cfRule type="expression" priority="216" stopIfTrue="1" id="{00000000-0000-0000-0000-000000000000}">
            <xm:f>(60 * HOUR($AK$7) + MINUTE($AK$7)) &gt;(60 * HOUR(INDEX('1.Locations'!$G$2:$G$32,$AC$7 + 1)) +MINUTE(INDEX('1.Locations'!$G$2:$G$32,$AC$7 + 1)))</xm:f>
            <x14:dxf>
              <fill>
                <patternFill>
                  <bgColor indexed="10"/>
                </patternFill>
              </fill>
            </x14:dxf>
          </x14:cfRule>
          <xm:sqref>AK7</xm:sqref>
        </x14:conditionalFormatting>
        <x14:conditionalFormatting xmlns:xm="http://schemas.microsoft.com/office/excel/2006/main">
          <x14:cfRule type="cellIs" priority="217" stopIfTrue="1" operator="lessThan" id="{00000000-0000-0000-0000-000000000000}">
            <xm:f>INDEX('1.Locations'!$F$2:$F$32,$AC$8 + 1)</xm:f>
            <x14:dxf>
              <fill>
                <patternFill>
                  <bgColor indexed="52"/>
                </patternFill>
              </fill>
            </x14:dxf>
          </x14:cfRule>
          <xm:sqref>AJ8</xm:sqref>
        </x14:conditionalFormatting>
        <x14:conditionalFormatting xmlns:xm="http://schemas.microsoft.com/office/excel/2006/main">
          <x14:cfRule type="expression" priority="218" stopIfTrue="1" id="{00000000-0000-0000-0000-000000000000}">
            <xm:f>(60 * HOUR($AK$8) + MINUTE($AK$8)) &gt;(60 * HOUR(INDEX('1.Locations'!$G$2:$G$32,$AC$8 + 1)) +MINUTE(INDEX('1.Locations'!$G$2:$G$32,$AC$8 + 1)))</xm:f>
            <x14:dxf>
              <fill>
                <patternFill>
                  <bgColor indexed="10"/>
                </patternFill>
              </fill>
            </x14:dxf>
          </x14:cfRule>
          <xm:sqref>AK8</xm:sqref>
        </x14:conditionalFormatting>
        <x14:conditionalFormatting xmlns:xm="http://schemas.microsoft.com/office/excel/2006/main">
          <x14:cfRule type="cellIs" priority="219" stopIfTrue="1" operator="lessThan" id="{00000000-0000-0000-0000-000000000000}">
            <xm:f>INDEX('1.Locations'!$F$2:$F$32,$AC$9 + 1)</xm:f>
            <x14:dxf>
              <fill>
                <patternFill>
                  <bgColor indexed="52"/>
                </patternFill>
              </fill>
            </x14:dxf>
          </x14:cfRule>
          <xm:sqref>AJ9</xm:sqref>
        </x14:conditionalFormatting>
        <x14:conditionalFormatting xmlns:xm="http://schemas.microsoft.com/office/excel/2006/main">
          <x14:cfRule type="expression" priority="220" stopIfTrue="1" id="{00000000-0000-0000-0000-000000000000}">
            <xm:f>(60 * HOUR($AK$9) + MINUTE($AK$9)) &gt;(60 * HOUR(INDEX('1.Locations'!$G$2:$G$32,$AC$9 + 1)) +MINUTE(INDEX('1.Locations'!$G$2:$G$32,$AC$9 + 1)))</xm:f>
            <x14:dxf>
              <fill>
                <patternFill>
                  <bgColor indexed="10"/>
                </patternFill>
              </fill>
            </x14:dxf>
          </x14:cfRule>
          <xm:sqref>AK9</xm:sqref>
        </x14:conditionalFormatting>
        <x14:conditionalFormatting xmlns:xm="http://schemas.microsoft.com/office/excel/2006/main">
          <x14:cfRule type="cellIs" priority="221" stopIfTrue="1" operator="lessThan" id="{00000000-0000-0000-0000-000000000000}">
            <xm:f>INDEX('1.Locations'!$F$2:$F$32,$AC$10 + 1)</xm:f>
            <x14:dxf>
              <fill>
                <patternFill>
                  <bgColor indexed="52"/>
                </patternFill>
              </fill>
            </x14:dxf>
          </x14:cfRule>
          <xm:sqref>AJ10</xm:sqref>
        </x14:conditionalFormatting>
        <x14:conditionalFormatting xmlns:xm="http://schemas.microsoft.com/office/excel/2006/main">
          <x14:cfRule type="expression" priority="222" stopIfTrue="1" id="{00000000-0000-0000-0000-000000000000}">
            <xm:f>(60 * HOUR($AK$10) + MINUTE($AK$10)) &gt;(60 * HOUR(INDEX('1.Locations'!$G$2:$G$32,$AC$10 + 1)) +MINUTE(INDEX('1.Locations'!$G$2:$G$32,$AC$10 + 1)))</xm:f>
            <x14:dxf>
              <fill>
                <patternFill>
                  <bgColor indexed="10"/>
                </patternFill>
              </fill>
            </x14:dxf>
          </x14:cfRule>
          <xm:sqref>AK10</xm:sqref>
        </x14:conditionalFormatting>
        <x14:conditionalFormatting xmlns:xm="http://schemas.microsoft.com/office/excel/2006/main">
          <x14:cfRule type="cellIs" priority="223" stopIfTrue="1" operator="lessThan" id="{00000000-0000-0000-0000-000000000000}">
            <xm:f>INDEX('1.Locations'!$F$2:$F$32,$AC$11 + 1)</xm:f>
            <x14:dxf>
              <fill>
                <patternFill>
                  <bgColor indexed="52"/>
                </patternFill>
              </fill>
            </x14:dxf>
          </x14:cfRule>
          <xm:sqref>AJ11</xm:sqref>
        </x14:conditionalFormatting>
        <x14:conditionalFormatting xmlns:xm="http://schemas.microsoft.com/office/excel/2006/main">
          <x14:cfRule type="expression" priority="224" stopIfTrue="1" id="{00000000-0000-0000-0000-000000000000}">
            <xm:f>(60 * HOUR($AK$11) + MINUTE($AK$11)) &gt;(60 * HOUR(INDEX('1.Locations'!$G$2:$G$32,$AC$11 + 1)) +MINUTE(INDEX('1.Locations'!$G$2:$G$32,$AC$11 + 1)))</xm:f>
            <x14:dxf>
              <fill>
                <patternFill>
                  <bgColor indexed="10"/>
                </patternFill>
              </fill>
            </x14:dxf>
          </x14:cfRule>
          <xm:sqref>AK11</xm:sqref>
        </x14:conditionalFormatting>
        <x14:conditionalFormatting xmlns:xm="http://schemas.microsoft.com/office/excel/2006/main">
          <x14:cfRule type="cellIs" priority="225" stopIfTrue="1" operator="lessThan" id="{00000000-0000-0000-0000-000000000000}">
            <xm:f>INDEX('1.Locations'!$F$2:$F$32,$AC$12 + 1)</xm:f>
            <x14:dxf>
              <fill>
                <patternFill>
                  <bgColor indexed="52"/>
                </patternFill>
              </fill>
            </x14:dxf>
          </x14:cfRule>
          <xm:sqref>AJ12</xm:sqref>
        </x14:conditionalFormatting>
        <x14:conditionalFormatting xmlns:xm="http://schemas.microsoft.com/office/excel/2006/main">
          <x14:cfRule type="expression" priority="226" stopIfTrue="1" id="{00000000-0000-0000-0000-000000000000}">
            <xm:f>(60 * HOUR($AK$12) + MINUTE($AK$12)) &gt;(60 * HOUR(INDEX('1.Locations'!$G$2:$G$32,$AC$12 + 1)) +MINUTE(INDEX('1.Locations'!$G$2:$G$32,$AC$12 + 1)))</xm:f>
            <x14:dxf>
              <fill>
                <patternFill>
                  <bgColor indexed="10"/>
                </patternFill>
              </fill>
            </x14:dxf>
          </x14:cfRule>
          <xm:sqref>AK12</xm:sqref>
        </x14:conditionalFormatting>
        <x14:conditionalFormatting xmlns:xm="http://schemas.microsoft.com/office/excel/2006/main">
          <x14:cfRule type="cellIs" priority="227" stopIfTrue="1" operator="lessThan" id="{00000000-0000-0000-0000-000000000000}">
            <xm:f>INDEX('1.Locations'!$F$2:$F$32,$AC$13 + 1)</xm:f>
            <x14:dxf>
              <fill>
                <patternFill>
                  <bgColor indexed="52"/>
                </patternFill>
              </fill>
            </x14:dxf>
          </x14:cfRule>
          <xm:sqref>AJ13</xm:sqref>
        </x14:conditionalFormatting>
        <x14:conditionalFormatting xmlns:xm="http://schemas.microsoft.com/office/excel/2006/main">
          <x14:cfRule type="expression" priority="228" stopIfTrue="1" id="{00000000-0000-0000-0000-000000000000}">
            <xm:f>(60 * HOUR($AK$13) + MINUTE($AK$13)) &gt;(60 * HOUR(INDEX('1.Locations'!$G$2:$G$32,$AC$13 + 1)) +MINUTE(INDEX('1.Locations'!$G$2:$G$32,$AC$13 + 1)))</xm:f>
            <x14:dxf>
              <fill>
                <patternFill>
                  <bgColor indexed="10"/>
                </patternFill>
              </fill>
            </x14:dxf>
          </x14:cfRule>
          <xm:sqref>AK13</xm:sqref>
        </x14:conditionalFormatting>
        <x14:conditionalFormatting xmlns:xm="http://schemas.microsoft.com/office/excel/2006/main">
          <x14:cfRule type="cellIs" priority="229" stopIfTrue="1" operator="lessThan" id="{00000000-0000-0000-0000-000000000000}">
            <xm:f>INDEX('1.Locations'!$F$2:$F$32,$AC$14 + 1)</xm:f>
            <x14:dxf>
              <fill>
                <patternFill>
                  <bgColor indexed="52"/>
                </patternFill>
              </fill>
            </x14:dxf>
          </x14:cfRule>
          <xm:sqref>AJ14</xm:sqref>
        </x14:conditionalFormatting>
        <x14:conditionalFormatting xmlns:xm="http://schemas.microsoft.com/office/excel/2006/main">
          <x14:cfRule type="expression" priority="230" stopIfTrue="1" id="{00000000-0000-0000-0000-000000000000}">
            <xm:f>(60 * HOUR($AK$14) + MINUTE($AK$14)) &gt;(60 * HOUR(INDEX('1.Locations'!$G$2:$G$32,$AC$14 + 1)) +MINUTE(INDEX('1.Locations'!$G$2:$G$32,$AC$14 + 1)))</xm:f>
            <x14:dxf>
              <fill>
                <patternFill>
                  <bgColor indexed="10"/>
                </patternFill>
              </fill>
            </x14:dxf>
          </x14:cfRule>
          <xm:sqref>AK14</xm:sqref>
        </x14:conditionalFormatting>
        <x14:conditionalFormatting xmlns:xm="http://schemas.microsoft.com/office/excel/2006/main">
          <x14:cfRule type="cellIs" priority="231" stopIfTrue="1" operator="lessThan" id="{00000000-0000-0000-0000-000000000000}">
            <xm:f>INDEX('1.Locations'!$F$2:$F$32,$AC$15 + 1)</xm:f>
            <x14:dxf>
              <fill>
                <patternFill>
                  <bgColor indexed="52"/>
                </patternFill>
              </fill>
            </x14:dxf>
          </x14:cfRule>
          <xm:sqref>AJ15</xm:sqref>
        </x14:conditionalFormatting>
        <x14:conditionalFormatting xmlns:xm="http://schemas.microsoft.com/office/excel/2006/main">
          <x14:cfRule type="expression" priority="232" stopIfTrue="1" id="{00000000-0000-0000-0000-000000000000}">
            <xm:f>(60 * HOUR($AK$15) + MINUTE($AK$15)) &gt;(60 * HOUR(INDEX('1.Locations'!$G$2:$G$32,$AC$15 + 1)) +MINUTE(INDEX('1.Locations'!$G$2:$G$32,$AC$15 + 1)))</xm:f>
            <x14:dxf>
              <fill>
                <patternFill>
                  <bgColor indexed="10"/>
                </patternFill>
              </fill>
            </x14:dxf>
          </x14:cfRule>
          <xm:sqref>AK15</xm:sqref>
        </x14:conditionalFormatting>
        <x14:conditionalFormatting xmlns:xm="http://schemas.microsoft.com/office/excel/2006/main">
          <x14:cfRule type="cellIs" priority="233" stopIfTrue="1" operator="lessThan" id="{00000000-0000-0000-0000-000000000000}">
            <xm:f>INDEX('1.Locations'!$F$2:$F$32,$AC$16 + 1)</xm:f>
            <x14:dxf>
              <fill>
                <patternFill>
                  <bgColor indexed="52"/>
                </patternFill>
              </fill>
            </x14:dxf>
          </x14:cfRule>
          <xm:sqref>AJ16</xm:sqref>
        </x14:conditionalFormatting>
        <x14:conditionalFormatting xmlns:xm="http://schemas.microsoft.com/office/excel/2006/main">
          <x14:cfRule type="expression" priority="234" stopIfTrue="1" id="{00000000-0000-0000-0000-000000000000}">
            <xm:f>(60 * HOUR($AK$16) + MINUTE($AK$16)) &gt;(60 * HOUR(INDEX('1.Locations'!$G$2:$G$32,$AC$16 + 1)) +MINUTE(INDEX('1.Locations'!$G$2:$G$32,$AC$16 + 1)))</xm:f>
            <x14:dxf>
              <fill>
                <patternFill>
                  <bgColor indexed="10"/>
                </patternFill>
              </fill>
            </x14:dxf>
          </x14:cfRule>
          <xm:sqref>AK16</xm:sqref>
        </x14:conditionalFormatting>
        <x14:conditionalFormatting xmlns:xm="http://schemas.microsoft.com/office/excel/2006/main">
          <x14:cfRule type="cellIs" priority="235" stopIfTrue="1" operator="lessThan" id="{00000000-0000-0000-0000-000000000000}">
            <xm:f>INDEX('1.Locations'!$F$2:$F$32,$AC$17 + 1)</xm:f>
            <x14:dxf>
              <fill>
                <patternFill>
                  <bgColor indexed="52"/>
                </patternFill>
              </fill>
            </x14:dxf>
          </x14:cfRule>
          <xm:sqref>AJ17</xm:sqref>
        </x14:conditionalFormatting>
        <x14:conditionalFormatting xmlns:xm="http://schemas.microsoft.com/office/excel/2006/main">
          <x14:cfRule type="expression" priority="236" stopIfTrue="1" id="{00000000-0000-0000-0000-000000000000}">
            <xm:f>(60 * HOUR($AK$17) + MINUTE($AK$17)) &gt;(60 * HOUR(INDEX('1.Locations'!$G$2:$G$32,$AC$17 + 1)) +MINUTE(INDEX('1.Locations'!$G$2:$G$32,$AC$17 + 1)))</xm:f>
            <x14:dxf>
              <fill>
                <patternFill>
                  <bgColor indexed="10"/>
                </patternFill>
              </fill>
            </x14:dxf>
          </x14:cfRule>
          <xm:sqref>AK17</xm:sqref>
        </x14:conditionalFormatting>
        <x14:conditionalFormatting xmlns:xm="http://schemas.microsoft.com/office/excel/2006/main">
          <x14:cfRule type="cellIs" priority="237" stopIfTrue="1" operator="lessThan" id="{00000000-0000-0000-0000-000000000000}">
            <xm:f>INDEX('1.Locations'!$F$2:$F$32,$AC$18 + 1)</xm:f>
            <x14:dxf>
              <fill>
                <patternFill>
                  <bgColor indexed="52"/>
                </patternFill>
              </fill>
            </x14:dxf>
          </x14:cfRule>
          <xm:sqref>AJ18</xm:sqref>
        </x14:conditionalFormatting>
        <x14:conditionalFormatting xmlns:xm="http://schemas.microsoft.com/office/excel/2006/main">
          <x14:cfRule type="expression" priority="238" stopIfTrue="1" id="{00000000-0000-0000-0000-000000000000}">
            <xm:f>(60 * HOUR($AK$18) + MINUTE($AK$18)) &gt;(60 * HOUR(INDEX('1.Locations'!$G$2:$G$32,$AC$18 + 1)) +MINUTE(INDEX('1.Locations'!$G$2:$G$32,$AC$18 + 1)))</xm:f>
            <x14:dxf>
              <fill>
                <patternFill>
                  <bgColor indexed="10"/>
                </patternFill>
              </fill>
            </x14:dxf>
          </x14:cfRule>
          <xm:sqref>AK18</xm:sqref>
        </x14:conditionalFormatting>
        <x14:conditionalFormatting xmlns:xm="http://schemas.microsoft.com/office/excel/2006/main">
          <x14:cfRule type="cellIs" priority="239" stopIfTrue="1" operator="lessThan" id="{00000000-0000-0000-0000-000000000000}">
            <xm:f>INDEX('1.Locations'!$F$2:$F$32,$AC$19 + 1)</xm:f>
            <x14:dxf>
              <fill>
                <patternFill>
                  <bgColor indexed="52"/>
                </patternFill>
              </fill>
            </x14:dxf>
          </x14:cfRule>
          <xm:sqref>AJ19</xm:sqref>
        </x14:conditionalFormatting>
        <x14:conditionalFormatting xmlns:xm="http://schemas.microsoft.com/office/excel/2006/main">
          <x14:cfRule type="expression" priority="240" stopIfTrue="1" id="{00000000-0000-0000-0000-000000000000}">
            <xm:f>(60 * HOUR($AK$19) + MINUTE($AK$19)) &gt;(60 * HOUR(INDEX('1.Locations'!$G$2:$G$32,$AC$19 + 1)) +MINUTE(INDEX('1.Locations'!$G$2:$G$32,$AC$19 + 1)))</xm:f>
            <x14:dxf>
              <fill>
                <patternFill>
                  <bgColor indexed="10"/>
                </patternFill>
              </fill>
            </x14:dxf>
          </x14:cfRule>
          <xm:sqref>AK19</xm:sqref>
        </x14:conditionalFormatting>
        <x14:conditionalFormatting xmlns:xm="http://schemas.microsoft.com/office/excel/2006/main">
          <x14:cfRule type="cellIs" priority="241" stopIfTrue="1" operator="lessThan" id="{00000000-0000-0000-0000-000000000000}">
            <xm:f>INDEX('1.Locations'!$F$2:$F$32,$AC$20 + 1)</xm:f>
            <x14:dxf>
              <fill>
                <patternFill>
                  <bgColor indexed="52"/>
                </patternFill>
              </fill>
            </x14:dxf>
          </x14:cfRule>
          <xm:sqref>AJ20</xm:sqref>
        </x14:conditionalFormatting>
        <x14:conditionalFormatting xmlns:xm="http://schemas.microsoft.com/office/excel/2006/main">
          <x14:cfRule type="expression" priority="242" stopIfTrue="1" id="{00000000-0000-0000-0000-000000000000}">
            <xm:f>(60 * HOUR($AK$20) + MINUTE($AK$20)) &gt;(60 * HOUR(INDEX('1.Locations'!$G$2:$G$32,$AC$20 + 1)) +MINUTE(INDEX('1.Locations'!$G$2:$G$32,$AC$20 + 1)))</xm:f>
            <x14:dxf>
              <fill>
                <patternFill>
                  <bgColor indexed="10"/>
                </patternFill>
              </fill>
            </x14:dxf>
          </x14:cfRule>
          <xm:sqref>AK20</xm:sqref>
        </x14:conditionalFormatting>
        <x14:conditionalFormatting xmlns:xm="http://schemas.microsoft.com/office/excel/2006/main">
          <x14:cfRule type="cellIs" priority="243" stopIfTrue="1" operator="lessThan" id="{00000000-0000-0000-0000-000000000000}">
            <xm:f>INDEX('1.Locations'!$F$2:$F$32,$AC$21 + 1)</xm:f>
            <x14:dxf>
              <fill>
                <patternFill>
                  <bgColor indexed="52"/>
                </patternFill>
              </fill>
            </x14:dxf>
          </x14:cfRule>
          <xm:sqref>AJ21</xm:sqref>
        </x14:conditionalFormatting>
        <x14:conditionalFormatting xmlns:xm="http://schemas.microsoft.com/office/excel/2006/main">
          <x14:cfRule type="expression" priority="244" stopIfTrue="1" id="{00000000-0000-0000-0000-000000000000}">
            <xm:f>(60 * HOUR($AK$21) + MINUTE($AK$21)) &gt;(60 * HOUR(INDEX('1.Locations'!$G$2:$G$32,$AC$21 + 1)) +MINUTE(INDEX('1.Locations'!$G$2:$G$32,$AC$21 + 1)))</xm:f>
            <x14:dxf>
              <fill>
                <patternFill>
                  <bgColor indexed="10"/>
                </patternFill>
              </fill>
            </x14:dxf>
          </x14:cfRule>
          <xm:sqref>AK21</xm:sqref>
        </x14:conditionalFormatting>
        <x14:conditionalFormatting xmlns:xm="http://schemas.microsoft.com/office/excel/2006/main">
          <x14:cfRule type="cellIs" priority="245" stopIfTrue="1" operator="lessThan" id="{00000000-0000-0000-0000-000000000000}">
            <xm:f>INDEX('1.Locations'!$F$2:$F$32,$AC$22 + 1)</xm:f>
            <x14:dxf>
              <fill>
                <patternFill>
                  <bgColor indexed="52"/>
                </patternFill>
              </fill>
            </x14:dxf>
          </x14:cfRule>
          <xm:sqref>AJ22</xm:sqref>
        </x14:conditionalFormatting>
        <x14:conditionalFormatting xmlns:xm="http://schemas.microsoft.com/office/excel/2006/main">
          <x14:cfRule type="expression" priority="246" stopIfTrue="1" id="{00000000-0000-0000-0000-000000000000}">
            <xm:f>(60 * HOUR($AK$22) + MINUTE($AK$22)) &gt;(60 * HOUR(INDEX('1.Locations'!$G$2:$G$32,$AC$22 + 1)) +MINUTE(INDEX('1.Locations'!$G$2:$G$32,$AC$22 + 1)))</xm:f>
            <x14:dxf>
              <fill>
                <patternFill>
                  <bgColor indexed="10"/>
                </patternFill>
              </fill>
            </x14:dxf>
          </x14:cfRule>
          <xm:sqref>AK22</xm:sqref>
        </x14:conditionalFormatting>
        <x14:conditionalFormatting xmlns:xm="http://schemas.microsoft.com/office/excel/2006/main">
          <x14:cfRule type="cellIs" priority="247" stopIfTrue="1" operator="lessThan" id="{00000000-0000-0000-0000-000000000000}">
            <xm:f>INDEX('1.Locations'!$F$2:$F$32,$AC$23 + 1)</xm:f>
            <x14:dxf>
              <fill>
                <patternFill>
                  <bgColor indexed="52"/>
                </patternFill>
              </fill>
            </x14:dxf>
          </x14:cfRule>
          <xm:sqref>AJ23</xm:sqref>
        </x14:conditionalFormatting>
        <x14:conditionalFormatting xmlns:xm="http://schemas.microsoft.com/office/excel/2006/main">
          <x14:cfRule type="expression" priority="248" stopIfTrue="1" id="{00000000-0000-0000-0000-000000000000}">
            <xm:f>(60 * HOUR($AK$23) + MINUTE($AK$23)) &gt;(60 * HOUR(INDEX('1.Locations'!$G$2:$G$32,$AC$23 + 1)) +MINUTE(INDEX('1.Locations'!$G$2:$G$32,$AC$23 + 1)))</xm:f>
            <x14:dxf>
              <fill>
                <patternFill>
                  <bgColor indexed="10"/>
                </patternFill>
              </fill>
            </x14:dxf>
          </x14:cfRule>
          <xm:sqref>AK23</xm:sqref>
        </x14:conditionalFormatting>
        <x14:conditionalFormatting xmlns:xm="http://schemas.microsoft.com/office/excel/2006/main">
          <x14:cfRule type="cellIs" priority="249" stopIfTrue="1" operator="lessThan" id="{00000000-0000-0000-0000-000000000000}">
            <xm:f>INDEX('1.Locations'!$F$2:$F$32,$AC$24 + 1)</xm:f>
            <x14:dxf>
              <fill>
                <patternFill>
                  <bgColor indexed="52"/>
                </patternFill>
              </fill>
            </x14:dxf>
          </x14:cfRule>
          <xm:sqref>AJ24</xm:sqref>
        </x14:conditionalFormatting>
        <x14:conditionalFormatting xmlns:xm="http://schemas.microsoft.com/office/excel/2006/main">
          <x14:cfRule type="expression" priority="250" stopIfTrue="1" id="{00000000-0000-0000-0000-000000000000}">
            <xm:f>(60 * HOUR($AK$24) + MINUTE($AK$24)) &gt;(60 * HOUR(INDEX('1.Locations'!$G$2:$G$32,$AC$24 + 1)) +MINUTE(INDEX('1.Locations'!$G$2:$G$32,$AC$24 + 1)))</xm:f>
            <x14:dxf>
              <fill>
                <patternFill>
                  <bgColor indexed="10"/>
                </patternFill>
              </fill>
            </x14:dxf>
          </x14:cfRule>
          <xm:sqref>AK24</xm:sqref>
        </x14:conditionalFormatting>
        <x14:conditionalFormatting xmlns:xm="http://schemas.microsoft.com/office/excel/2006/main">
          <x14:cfRule type="cellIs" priority="251" stopIfTrue="1" operator="lessThan" id="{00000000-0000-0000-0000-000000000000}">
            <xm:f>INDEX('1.Locations'!$F$2:$F$32,$AC$25 + 1)</xm:f>
            <x14:dxf>
              <fill>
                <patternFill>
                  <bgColor indexed="52"/>
                </patternFill>
              </fill>
            </x14:dxf>
          </x14:cfRule>
          <xm:sqref>AJ25</xm:sqref>
        </x14:conditionalFormatting>
        <x14:conditionalFormatting xmlns:xm="http://schemas.microsoft.com/office/excel/2006/main">
          <x14:cfRule type="expression" priority="252" stopIfTrue="1" id="{00000000-0000-0000-0000-000000000000}">
            <xm:f>(60 * HOUR($AK$25) + MINUTE($AK$25)) &gt;(60 * HOUR(INDEX('1.Locations'!$G$2:$G$32,$AC$25 + 1)) +MINUTE(INDEX('1.Locations'!$G$2:$G$32,$AC$25 + 1)))</xm:f>
            <x14:dxf>
              <fill>
                <patternFill>
                  <bgColor indexed="10"/>
                </patternFill>
              </fill>
            </x14:dxf>
          </x14:cfRule>
          <xm:sqref>AK25</xm:sqref>
        </x14:conditionalFormatting>
        <x14:conditionalFormatting xmlns:xm="http://schemas.microsoft.com/office/excel/2006/main">
          <x14:cfRule type="cellIs" priority="253" stopIfTrue="1" operator="lessThan" id="{00000000-0000-0000-0000-000000000000}">
            <xm:f>INDEX('1.Locations'!$F$2:$F$32,$AC$26 + 1)</xm:f>
            <x14:dxf>
              <fill>
                <patternFill>
                  <bgColor indexed="52"/>
                </patternFill>
              </fill>
            </x14:dxf>
          </x14:cfRule>
          <xm:sqref>AJ26</xm:sqref>
        </x14:conditionalFormatting>
        <x14:conditionalFormatting xmlns:xm="http://schemas.microsoft.com/office/excel/2006/main">
          <x14:cfRule type="expression" priority="254" stopIfTrue="1" id="{00000000-0000-0000-0000-000000000000}">
            <xm:f>(60 * HOUR($AK$26) + MINUTE($AK$26)) &gt;(60 * HOUR(INDEX('1.Locations'!$G$2:$G$32,$AC$26 + 1)) +MINUTE(INDEX('1.Locations'!$G$2:$G$32,$AC$26 + 1)))</xm:f>
            <x14:dxf>
              <fill>
                <patternFill>
                  <bgColor indexed="10"/>
                </patternFill>
              </fill>
            </x14:dxf>
          </x14:cfRule>
          <xm:sqref>AK26</xm:sqref>
        </x14:conditionalFormatting>
        <x14:conditionalFormatting xmlns:xm="http://schemas.microsoft.com/office/excel/2006/main">
          <x14:cfRule type="cellIs" priority="255" stopIfTrue="1" operator="lessThan" id="{00000000-0000-0000-0000-000000000000}">
            <xm:f>INDEX('1.Locations'!$F$2:$F$32,$AC$27 + 1)</xm:f>
            <x14:dxf>
              <fill>
                <patternFill>
                  <bgColor indexed="52"/>
                </patternFill>
              </fill>
            </x14:dxf>
          </x14:cfRule>
          <xm:sqref>AJ27</xm:sqref>
        </x14:conditionalFormatting>
        <x14:conditionalFormatting xmlns:xm="http://schemas.microsoft.com/office/excel/2006/main">
          <x14:cfRule type="expression" priority="256" stopIfTrue="1" id="{00000000-0000-0000-0000-000000000000}">
            <xm:f>(60 * HOUR($AK$27) + MINUTE($AK$27)) &gt;(60 * HOUR(INDEX('1.Locations'!$G$2:$G$32,$AC$27 + 1)) +MINUTE(INDEX('1.Locations'!$G$2:$G$32,$AC$27 + 1)))</xm:f>
            <x14:dxf>
              <fill>
                <patternFill>
                  <bgColor indexed="10"/>
                </patternFill>
              </fill>
            </x14:dxf>
          </x14:cfRule>
          <xm:sqref>AK27</xm:sqref>
        </x14:conditionalFormatting>
        <x14:conditionalFormatting xmlns:xm="http://schemas.microsoft.com/office/excel/2006/main">
          <x14:cfRule type="cellIs" priority="257" stopIfTrue="1" operator="lessThan" id="{00000000-0000-0000-0000-000000000000}">
            <xm:f>INDEX('1.Locations'!$F$2:$F$32,$AC$28 + 1)</xm:f>
            <x14:dxf>
              <fill>
                <patternFill>
                  <bgColor indexed="52"/>
                </patternFill>
              </fill>
            </x14:dxf>
          </x14:cfRule>
          <xm:sqref>AJ28</xm:sqref>
        </x14:conditionalFormatting>
        <x14:conditionalFormatting xmlns:xm="http://schemas.microsoft.com/office/excel/2006/main">
          <x14:cfRule type="expression" priority="258" stopIfTrue="1" id="{00000000-0000-0000-0000-000000000000}">
            <xm:f>(60 * HOUR($AK$28) + MINUTE($AK$28)) &gt;(60 * HOUR(INDEX('1.Locations'!$G$2:$G$32,$AC$28 + 1)) +MINUTE(INDEX('1.Locations'!$G$2:$G$32,$AC$28 + 1)))</xm:f>
            <x14:dxf>
              <fill>
                <patternFill>
                  <bgColor indexed="10"/>
                </patternFill>
              </fill>
            </x14:dxf>
          </x14:cfRule>
          <xm:sqref>AK28</xm:sqref>
        </x14:conditionalFormatting>
        <x14:conditionalFormatting xmlns:xm="http://schemas.microsoft.com/office/excel/2006/main">
          <x14:cfRule type="cellIs" priority="259" stopIfTrue="1" operator="lessThan" id="{00000000-0000-0000-0000-000000000000}">
            <xm:f>INDEX('1.Locations'!$F$2:$F$32,$AC$29 + 1)</xm:f>
            <x14:dxf>
              <fill>
                <patternFill>
                  <bgColor indexed="52"/>
                </patternFill>
              </fill>
            </x14:dxf>
          </x14:cfRule>
          <xm:sqref>AJ29</xm:sqref>
        </x14:conditionalFormatting>
        <x14:conditionalFormatting xmlns:xm="http://schemas.microsoft.com/office/excel/2006/main">
          <x14:cfRule type="expression" priority="260" stopIfTrue="1" id="{00000000-0000-0000-0000-000000000000}">
            <xm:f>(60 * HOUR($AK$29) + MINUTE($AK$29)) &gt;(60 * HOUR(INDEX('1.Locations'!$G$2:$G$32,$AC$29 + 1)) +MINUTE(INDEX('1.Locations'!$G$2:$G$32,$AC$29 + 1)))</xm:f>
            <x14:dxf>
              <fill>
                <patternFill>
                  <bgColor indexed="10"/>
                </patternFill>
              </fill>
            </x14:dxf>
          </x14:cfRule>
          <xm:sqref>AK29</xm:sqref>
        </x14:conditionalFormatting>
        <x14:conditionalFormatting xmlns:xm="http://schemas.microsoft.com/office/excel/2006/main">
          <x14:cfRule type="cellIs" priority="261" stopIfTrue="1" operator="lessThan" id="{00000000-0000-0000-0000-000000000000}">
            <xm:f>INDEX('1.Locations'!$F$2:$F$32,$AC$30 + 1)</xm:f>
            <x14:dxf>
              <fill>
                <patternFill>
                  <bgColor indexed="52"/>
                </patternFill>
              </fill>
            </x14:dxf>
          </x14:cfRule>
          <xm:sqref>AJ30</xm:sqref>
        </x14:conditionalFormatting>
        <x14:conditionalFormatting xmlns:xm="http://schemas.microsoft.com/office/excel/2006/main">
          <x14:cfRule type="expression" priority="262" stopIfTrue="1" id="{00000000-0000-0000-0000-000000000000}">
            <xm:f>(60 * HOUR($AK$30) + MINUTE($AK$30)) &gt;(60 * HOUR(INDEX('1.Locations'!$G$2:$G$32,$AC$30 + 1)) +MINUTE(INDEX('1.Locations'!$G$2:$G$32,$AC$30 + 1)))</xm:f>
            <x14:dxf>
              <fill>
                <patternFill>
                  <bgColor indexed="10"/>
                </patternFill>
              </fill>
            </x14:dxf>
          </x14:cfRule>
          <xm:sqref>AK30</xm:sqref>
        </x14:conditionalFormatting>
        <x14:conditionalFormatting xmlns:xm="http://schemas.microsoft.com/office/excel/2006/main">
          <x14:cfRule type="cellIs" priority="263" stopIfTrue="1" operator="lessThan" id="{00000000-0000-0000-0000-000000000000}">
            <xm:f>INDEX('1.Locations'!$F$2:$F$32,$AC$31 + 1)</xm:f>
            <x14:dxf>
              <fill>
                <patternFill>
                  <bgColor indexed="52"/>
                </patternFill>
              </fill>
            </x14:dxf>
          </x14:cfRule>
          <xm:sqref>AJ31</xm:sqref>
        </x14:conditionalFormatting>
        <x14:conditionalFormatting xmlns:xm="http://schemas.microsoft.com/office/excel/2006/main">
          <x14:cfRule type="expression" priority="264" stopIfTrue="1" id="{00000000-0000-0000-0000-000000000000}">
            <xm:f>(60 * HOUR($AK$31) + MINUTE($AK$31)) &gt;(60 * HOUR(INDEX('1.Locations'!$G$2:$G$32,$AC$31 + 1)) +MINUTE(INDEX('1.Locations'!$G$2:$G$32,$AC$31 + 1)))</xm:f>
            <x14:dxf>
              <fill>
                <patternFill>
                  <bgColor indexed="10"/>
                </patternFill>
              </fill>
            </x14:dxf>
          </x14:cfRule>
          <xm:sqref>AK31</xm:sqref>
        </x14:conditionalFormatting>
        <x14:conditionalFormatting xmlns:xm="http://schemas.microsoft.com/office/excel/2006/main">
          <x14:cfRule type="cellIs" priority="265" stopIfTrue="1" operator="lessThan" id="{00000000-0000-0000-0000-000000000000}">
            <xm:f>INDEX('1.Locations'!$F$2:$F$32,$AC$32 + 1)</xm:f>
            <x14:dxf>
              <fill>
                <patternFill>
                  <bgColor indexed="52"/>
                </patternFill>
              </fill>
            </x14:dxf>
          </x14:cfRule>
          <xm:sqref>AJ32</xm:sqref>
        </x14:conditionalFormatting>
        <x14:conditionalFormatting xmlns:xm="http://schemas.microsoft.com/office/excel/2006/main">
          <x14:cfRule type="expression" priority="266" stopIfTrue="1" id="{00000000-0000-0000-0000-000000000000}">
            <xm:f>(60 * HOUR($AK$32) + MINUTE($AK$32)) &gt;(60 * HOUR(INDEX('1.Locations'!$G$2:$G$32,$AC$32 + 1)) +MINUTE(INDEX('1.Locations'!$G$2:$G$32,$AC$32 + 1)))</xm:f>
            <x14:dxf>
              <fill>
                <patternFill>
                  <bgColor indexed="10"/>
                </patternFill>
              </fill>
            </x14:dxf>
          </x14:cfRule>
          <xm:sqref>AK32</xm:sqref>
        </x14:conditionalFormatting>
        <x14:conditionalFormatting xmlns:xm="http://schemas.microsoft.com/office/excel/2006/main">
          <x14:cfRule type="cellIs" priority="267" stopIfTrue="1" operator="lessThan" id="{00000000-0000-0000-0000-000000000000}">
            <xm:f>INDEX('1.Locations'!$F$2:$F$32,$AC$33 + 1)</xm:f>
            <x14:dxf>
              <fill>
                <patternFill>
                  <bgColor indexed="52"/>
                </patternFill>
              </fill>
            </x14:dxf>
          </x14:cfRule>
          <xm:sqref>AJ33</xm:sqref>
        </x14:conditionalFormatting>
        <x14:conditionalFormatting xmlns:xm="http://schemas.microsoft.com/office/excel/2006/main">
          <x14:cfRule type="expression" priority="268" stopIfTrue="1" id="{00000000-0000-0000-0000-000000000000}">
            <xm:f>(60 * HOUR($AK$33) + MINUTE($AK$33)) &gt;(60 * HOUR(INDEX('1.Locations'!$G$2:$G$32,$AC$33 + 1)) +MINUTE(INDEX('1.Locations'!$G$2:$G$32,$AC$33 + 1)))</xm:f>
            <x14:dxf>
              <fill>
                <patternFill>
                  <bgColor indexed="10"/>
                </patternFill>
              </fill>
            </x14:dxf>
          </x14:cfRule>
          <xm:sqref>AK33</xm:sqref>
        </x14:conditionalFormatting>
        <x14:conditionalFormatting xmlns:xm="http://schemas.microsoft.com/office/excel/2006/main">
          <x14:cfRule type="cellIs" priority="269" stopIfTrue="1" operator="lessThan" id="{00000000-0000-0000-0000-000000000000}">
            <xm:f>INDEX('1.Locations'!$F$2:$F$32,$AC$34 + 1)</xm:f>
            <x14:dxf>
              <fill>
                <patternFill>
                  <bgColor indexed="52"/>
                </patternFill>
              </fill>
            </x14:dxf>
          </x14:cfRule>
          <xm:sqref>AJ34</xm:sqref>
        </x14:conditionalFormatting>
        <x14:conditionalFormatting xmlns:xm="http://schemas.microsoft.com/office/excel/2006/main">
          <x14:cfRule type="expression" priority="270" stopIfTrue="1" id="{00000000-0000-0000-0000-000000000000}">
            <xm:f>(60 * HOUR($AK$34) + MINUTE($AK$34)) &gt;(60 * HOUR(INDEX('1.Locations'!$G$2:$G$32,$AC$34 + 1)) +MINUTE(INDEX('1.Locations'!$G$2:$G$32,$AC$34 + 1)))</xm:f>
            <x14:dxf>
              <fill>
                <patternFill>
                  <bgColor indexed="10"/>
                </patternFill>
              </fill>
            </x14:dxf>
          </x14:cfRule>
          <xm:sqref>AK34</xm:sqref>
        </x14:conditionalFormatting>
        <x14:conditionalFormatting xmlns:xm="http://schemas.microsoft.com/office/excel/2006/main">
          <x14:cfRule type="cellIs" priority="271" stopIfTrue="1" operator="lessThan" id="{00000000-0000-0000-0000-000000000000}">
            <xm:f>INDEX('1.Locations'!$F$2:$F$32,$AC$35 + 1)</xm:f>
            <x14:dxf>
              <fill>
                <patternFill>
                  <bgColor indexed="52"/>
                </patternFill>
              </fill>
            </x14:dxf>
          </x14:cfRule>
          <xm:sqref>AJ35</xm:sqref>
        </x14:conditionalFormatting>
        <x14:conditionalFormatting xmlns:xm="http://schemas.microsoft.com/office/excel/2006/main">
          <x14:cfRule type="expression" priority="272" stopIfTrue="1" id="{00000000-0000-0000-0000-000000000000}">
            <xm:f>(60 * HOUR($AK$35) + MINUTE($AK$35)) &gt;(60 * HOUR(INDEX('1.Locations'!$G$2:$G$32,$AC$35 + 1)) +MINUTE(INDEX('1.Locations'!$G$2:$G$32,$AC$35 + 1)))</xm:f>
            <x14:dxf>
              <fill>
                <patternFill>
                  <bgColor indexed="10"/>
                </patternFill>
              </fill>
            </x14:dxf>
          </x14:cfRule>
          <xm:sqref>AK35</xm:sqref>
        </x14:conditionalFormatting>
        <x14:conditionalFormatting xmlns:xm="http://schemas.microsoft.com/office/excel/2006/main">
          <x14:cfRule type="cellIs" priority="273" stopIfTrue="1" operator="lessThan" id="{00000000-0000-0000-0000-000000000000}">
            <xm:f>INDEX('1.Locations'!$F$2:$F$32,$AC$36 + 1)</xm:f>
            <x14:dxf>
              <fill>
                <patternFill>
                  <bgColor indexed="52"/>
                </patternFill>
              </fill>
            </x14:dxf>
          </x14:cfRule>
          <xm:sqref>AJ36</xm:sqref>
        </x14:conditionalFormatting>
        <x14:conditionalFormatting xmlns:xm="http://schemas.microsoft.com/office/excel/2006/main">
          <x14:cfRule type="expression" priority="274" stopIfTrue="1" id="{00000000-0000-0000-0000-000000000000}">
            <xm:f>(60 * HOUR($AK$36) + MINUTE($AK$36)) &gt;(60 * HOUR(INDEX('1.Locations'!$G$2:$G$32,$AC$36 + 1)) +MINUTE(INDEX('1.Locations'!$G$2:$G$32,$AC$36 + 1)))</xm:f>
            <x14:dxf>
              <fill>
                <patternFill>
                  <bgColor indexed="10"/>
                </patternFill>
              </fill>
            </x14:dxf>
          </x14:cfRule>
          <xm:sqref>AK36</xm:sqref>
        </x14:conditionalFormatting>
        <x14:conditionalFormatting xmlns:xm="http://schemas.microsoft.com/office/excel/2006/main">
          <x14:cfRule type="cellIs" priority="275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AF6:AF36</xm:sqref>
        </x14:conditionalFormatting>
        <x14:conditionalFormatting xmlns:xm="http://schemas.microsoft.com/office/excel/2006/main">
          <x14:cfRule type="cellIs" priority="276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AG6:AG36</xm:sqref>
        </x14:conditionalFormatting>
        <x14:conditionalFormatting xmlns:xm="http://schemas.microsoft.com/office/excel/2006/main">
          <x14:cfRule type="cellIs" priority="277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AI6:AI36</xm:sqref>
        </x14:conditionalFormatting>
        <x14:conditionalFormatting xmlns:xm="http://schemas.microsoft.com/office/excel/2006/main">
          <x14:cfRule type="cellIs" priority="278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AL6:AL36</xm:sqref>
        </x14:conditionalFormatting>
        <x14:conditionalFormatting xmlns:xm="http://schemas.microsoft.com/office/excel/2006/main">
          <x14:cfRule type="cellIs" priority="280" stopIfTrue="1" operator="lessThan" id="{00000000-0000-0000-0000-000000000000}">
            <xm:f>INDEX('1.Locations'!$F$2:$F$32,$AP$5 + 1)</xm:f>
            <x14:dxf>
              <fill>
                <patternFill>
                  <bgColor indexed="52"/>
                </patternFill>
              </fill>
            </x14:dxf>
          </x14:cfRule>
          <xm:sqref>AW5</xm:sqref>
        </x14:conditionalFormatting>
        <x14:conditionalFormatting xmlns:xm="http://schemas.microsoft.com/office/excel/2006/main">
          <x14:cfRule type="expression" priority="281" stopIfTrue="1" id="{00000000-0000-0000-0000-000000000000}">
            <xm:f>(60 * HOUR($AX$5) + MINUTE($AX$5)) &gt;(60 * HOUR(INDEX('1.Locations'!$G$2:$G$32,$AP$5 + 1)) +MINUTE(INDEX('1.Locations'!$G$2:$G$32,$AP$5 + 1)))</xm:f>
            <x14:dxf>
              <fill>
                <patternFill>
                  <bgColor indexed="10"/>
                </patternFill>
              </fill>
            </x14:dxf>
          </x14:cfRule>
          <xm:sqref>AX5</xm:sqref>
        </x14:conditionalFormatting>
        <x14:conditionalFormatting xmlns:xm="http://schemas.microsoft.com/office/excel/2006/main">
          <x14:cfRule type="cellIs" priority="282" stopIfTrue="1" operator="lessThan" id="{00000000-0000-0000-0000-000000000000}">
            <xm:f>INDEX('1.Locations'!$F$2:$F$32,$AP$6 + 1)</xm:f>
            <x14:dxf>
              <fill>
                <patternFill>
                  <bgColor indexed="52"/>
                </patternFill>
              </fill>
            </x14:dxf>
          </x14:cfRule>
          <xm:sqref>AW6</xm:sqref>
        </x14:conditionalFormatting>
        <x14:conditionalFormatting xmlns:xm="http://schemas.microsoft.com/office/excel/2006/main">
          <x14:cfRule type="expression" priority="283" stopIfTrue="1" id="{00000000-0000-0000-0000-000000000000}">
            <xm:f>(60 * HOUR($AX$6) + MINUTE($AX$6)) &gt;(60 * HOUR(INDEX('1.Locations'!$G$2:$G$32,$AP$6 + 1)) +MINUTE(INDEX('1.Locations'!$G$2:$G$32,$AP$6 + 1)))</xm:f>
            <x14:dxf>
              <fill>
                <patternFill>
                  <bgColor indexed="10"/>
                </patternFill>
              </fill>
            </x14:dxf>
          </x14:cfRule>
          <xm:sqref>AX6</xm:sqref>
        </x14:conditionalFormatting>
        <x14:conditionalFormatting xmlns:xm="http://schemas.microsoft.com/office/excel/2006/main">
          <x14:cfRule type="cellIs" priority="284" stopIfTrue="1" operator="lessThan" id="{00000000-0000-0000-0000-000000000000}">
            <xm:f>INDEX('1.Locations'!$F$2:$F$32,$AP$7 + 1)</xm:f>
            <x14:dxf>
              <fill>
                <patternFill>
                  <bgColor indexed="52"/>
                </patternFill>
              </fill>
            </x14:dxf>
          </x14:cfRule>
          <xm:sqref>AW7</xm:sqref>
        </x14:conditionalFormatting>
        <x14:conditionalFormatting xmlns:xm="http://schemas.microsoft.com/office/excel/2006/main">
          <x14:cfRule type="expression" priority="285" stopIfTrue="1" id="{00000000-0000-0000-0000-000000000000}">
            <xm:f>(60 * HOUR($AX$7) + MINUTE($AX$7)) &gt;(60 * HOUR(INDEX('1.Locations'!$G$2:$G$32,$AP$7 + 1)) +MINUTE(INDEX('1.Locations'!$G$2:$G$32,$AP$7 + 1)))</xm:f>
            <x14:dxf>
              <fill>
                <patternFill>
                  <bgColor indexed="10"/>
                </patternFill>
              </fill>
            </x14:dxf>
          </x14:cfRule>
          <xm:sqref>AX7</xm:sqref>
        </x14:conditionalFormatting>
        <x14:conditionalFormatting xmlns:xm="http://schemas.microsoft.com/office/excel/2006/main">
          <x14:cfRule type="cellIs" priority="286" stopIfTrue="1" operator="lessThan" id="{00000000-0000-0000-0000-000000000000}">
            <xm:f>INDEX('1.Locations'!$F$2:$F$32,$AP$8 + 1)</xm:f>
            <x14:dxf>
              <fill>
                <patternFill>
                  <bgColor indexed="52"/>
                </patternFill>
              </fill>
            </x14:dxf>
          </x14:cfRule>
          <xm:sqref>AW8</xm:sqref>
        </x14:conditionalFormatting>
        <x14:conditionalFormatting xmlns:xm="http://schemas.microsoft.com/office/excel/2006/main">
          <x14:cfRule type="expression" priority="287" stopIfTrue="1" id="{00000000-0000-0000-0000-000000000000}">
            <xm:f>(60 * HOUR($AX$8) + MINUTE($AX$8)) &gt;(60 * HOUR(INDEX('1.Locations'!$G$2:$G$32,$AP$8 + 1)) +MINUTE(INDEX('1.Locations'!$G$2:$G$32,$AP$8 + 1)))</xm:f>
            <x14:dxf>
              <fill>
                <patternFill>
                  <bgColor indexed="10"/>
                </patternFill>
              </fill>
            </x14:dxf>
          </x14:cfRule>
          <xm:sqref>AX8</xm:sqref>
        </x14:conditionalFormatting>
        <x14:conditionalFormatting xmlns:xm="http://schemas.microsoft.com/office/excel/2006/main">
          <x14:cfRule type="cellIs" priority="288" stopIfTrue="1" operator="lessThan" id="{00000000-0000-0000-0000-000000000000}">
            <xm:f>INDEX('1.Locations'!$F$2:$F$32,$AP$9 + 1)</xm:f>
            <x14:dxf>
              <fill>
                <patternFill>
                  <bgColor indexed="52"/>
                </patternFill>
              </fill>
            </x14:dxf>
          </x14:cfRule>
          <xm:sqref>AW9</xm:sqref>
        </x14:conditionalFormatting>
        <x14:conditionalFormatting xmlns:xm="http://schemas.microsoft.com/office/excel/2006/main">
          <x14:cfRule type="expression" priority="289" stopIfTrue="1" id="{00000000-0000-0000-0000-000000000000}">
            <xm:f>(60 * HOUR($AX$9) + MINUTE($AX$9)) &gt;(60 * HOUR(INDEX('1.Locations'!$G$2:$G$32,$AP$9 + 1)) +MINUTE(INDEX('1.Locations'!$G$2:$G$32,$AP$9 + 1)))</xm:f>
            <x14:dxf>
              <fill>
                <patternFill>
                  <bgColor indexed="10"/>
                </patternFill>
              </fill>
            </x14:dxf>
          </x14:cfRule>
          <xm:sqref>AX9</xm:sqref>
        </x14:conditionalFormatting>
        <x14:conditionalFormatting xmlns:xm="http://schemas.microsoft.com/office/excel/2006/main">
          <x14:cfRule type="cellIs" priority="290" stopIfTrue="1" operator="lessThan" id="{00000000-0000-0000-0000-000000000000}">
            <xm:f>INDEX('1.Locations'!$F$2:$F$32,$AP$10 + 1)</xm:f>
            <x14:dxf>
              <fill>
                <patternFill>
                  <bgColor indexed="52"/>
                </patternFill>
              </fill>
            </x14:dxf>
          </x14:cfRule>
          <xm:sqref>AW10</xm:sqref>
        </x14:conditionalFormatting>
        <x14:conditionalFormatting xmlns:xm="http://schemas.microsoft.com/office/excel/2006/main">
          <x14:cfRule type="expression" priority="291" stopIfTrue="1" id="{00000000-0000-0000-0000-000000000000}">
            <xm:f>(60 * HOUR($AX$10) + MINUTE($AX$10)) &gt;(60 * HOUR(INDEX('1.Locations'!$G$2:$G$32,$AP$10 + 1)) +MINUTE(INDEX('1.Locations'!$G$2:$G$32,$AP$10 + 1)))</xm:f>
            <x14:dxf>
              <fill>
                <patternFill>
                  <bgColor indexed="10"/>
                </patternFill>
              </fill>
            </x14:dxf>
          </x14:cfRule>
          <xm:sqref>AX10</xm:sqref>
        </x14:conditionalFormatting>
        <x14:conditionalFormatting xmlns:xm="http://schemas.microsoft.com/office/excel/2006/main">
          <x14:cfRule type="cellIs" priority="292" stopIfTrue="1" operator="lessThan" id="{00000000-0000-0000-0000-000000000000}">
            <xm:f>INDEX('1.Locations'!$F$2:$F$32,$AP$11 + 1)</xm:f>
            <x14:dxf>
              <fill>
                <patternFill>
                  <bgColor indexed="52"/>
                </patternFill>
              </fill>
            </x14:dxf>
          </x14:cfRule>
          <xm:sqref>AW11</xm:sqref>
        </x14:conditionalFormatting>
        <x14:conditionalFormatting xmlns:xm="http://schemas.microsoft.com/office/excel/2006/main">
          <x14:cfRule type="expression" priority="293" stopIfTrue="1" id="{00000000-0000-0000-0000-000000000000}">
            <xm:f>(60 * HOUR($AX$11) + MINUTE($AX$11)) &gt;(60 * HOUR(INDEX('1.Locations'!$G$2:$G$32,$AP$11 + 1)) +MINUTE(INDEX('1.Locations'!$G$2:$G$32,$AP$11 + 1)))</xm:f>
            <x14:dxf>
              <fill>
                <patternFill>
                  <bgColor indexed="10"/>
                </patternFill>
              </fill>
            </x14:dxf>
          </x14:cfRule>
          <xm:sqref>AX11</xm:sqref>
        </x14:conditionalFormatting>
        <x14:conditionalFormatting xmlns:xm="http://schemas.microsoft.com/office/excel/2006/main">
          <x14:cfRule type="cellIs" priority="294" stopIfTrue="1" operator="lessThan" id="{00000000-0000-0000-0000-000000000000}">
            <xm:f>INDEX('1.Locations'!$F$2:$F$32,$AP$12 + 1)</xm:f>
            <x14:dxf>
              <fill>
                <patternFill>
                  <bgColor indexed="52"/>
                </patternFill>
              </fill>
            </x14:dxf>
          </x14:cfRule>
          <xm:sqref>AW12</xm:sqref>
        </x14:conditionalFormatting>
        <x14:conditionalFormatting xmlns:xm="http://schemas.microsoft.com/office/excel/2006/main">
          <x14:cfRule type="expression" priority="295" stopIfTrue="1" id="{00000000-0000-0000-0000-000000000000}">
            <xm:f>(60 * HOUR($AX$12) + MINUTE($AX$12)) &gt;(60 * HOUR(INDEX('1.Locations'!$G$2:$G$32,$AP$12 + 1)) +MINUTE(INDEX('1.Locations'!$G$2:$G$32,$AP$12 + 1)))</xm:f>
            <x14:dxf>
              <fill>
                <patternFill>
                  <bgColor indexed="10"/>
                </patternFill>
              </fill>
            </x14:dxf>
          </x14:cfRule>
          <xm:sqref>AX12</xm:sqref>
        </x14:conditionalFormatting>
        <x14:conditionalFormatting xmlns:xm="http://schemas.microsoft.com/office/excel/2006/main">
          <x14:cfRule type="cellIs" priority="296" stopIfTrue="1" operator="lessThan" id="{00000000-0000-0000-0000-000000000000}">
            <xm:f>INDEX('1.Locations'!$F$2:$F$32,$AP$13 + 1)</xm:f>
            <x14:dxf>
              <fill>
                <patternFill>
                  <bgColor indexed="52"/>
                </patternFill>
              </fill>
            </x14:dxf>
          </x14:cfRule>
          <xm:sqref>AW13</xm:sqref>
        </x14:conditionalFormatting>
        <x14:conditionalFormatting xmlns:xm="http://schemas.microsoft.com/office/excel/2006/main">
          <x14:cfRule type="expression" priority="297" stopIfTrue="1" id="{00000000-0000-0000-0000-000000000000}">
            <xm:f>(60 * HOUR($AX$13) + MINUTE($AX$13)) &gt;(60 * HOUR(INDEX('1.Locations'!$G$2:$G$32,$AP$13 + 1)) +MINUTE(INDEX('1.Locations'!$G$2:$G$32,$AP$13 + 1)))</xm:f>
            <x14:dxf>
              <fill>
                <patternFill>
                  <bgColor indexed="10"/>
                </patternFill>
              </fill>
            </x14:dxf>
          </x14:cfRule>
          <xm:sqref>AX13</xm:sqref>
        </x14:conditionalFormatting>
        <x14:conditionalFormatting xmlns:xm="http://schemas.microsoft.com/office/excel/2006/main">
          <x14:cfRule type="cellIs" priority="298" stopIfTrue="1" operator="lessThan" id="{00000000-0000-0000-0000-000000000000}">
            <xm:f>INDEX('1.Locations'!$F$2:$F$32,$AP$14 + 1)</xm:f>
            <x14:dxf>
              <fill>
                <patternFill>
                  <bgColor indexed="52"/>
                </patternFill>
              </fill>
            </x14:dxf>
          </x14:cfRule>
          <xm:sqref>AW14</xm:sqref>
        </x14:conditionalFormatting>
        <x14:conditionalFormatting xmlns:xm="http://schemas.microsoft.com/office/excel/2006/main">
          <x14:cfRule type="expression" priority="299" stopIfTrue="1" id="{00000000-0000-0000-0000-000000000000}">
            <xm:f>(60 * HOUR($AX$14) + MINUTE($AX$14)) &gt;(60 * HOUR(INDEX('1.Locations'!$G$2:$G$32,$AP$14 + 1)) +MINUTE(INDEX('1.Locations'!$G$2:$G$32,$AP$14 + 1)))</xm:f>
            <x14:dxf>
              <fill>
                <patternFill>
                  <bgColor indexed="10"/>
                </patternFill>
              </fill>
            </x14:dxf>
          </x14:cfRule>
          <xm:sqref>AX14</xm:sqref>
        </x14:conditionalFormatting>
        <x14:conditionalFormatting xmlns:xm="http://schemas.microsoft.com/office/excel/2006/main">
          <x14:cfRule type="cellIs" priority="300" stopIfTrue="1" operator="lessThan" id="{00000000-0000-0000-0000-000000000000}">
            <xm:f>INDEX('1.Locations'!$F$2:$F$32,$AP$15 + 1)</xm:f>
            <x14:dxf>
              <fill>
                <patternFill>
                  <bgColor indexed="52"/>
                </patternFill>
              </fill>
            </x14:dxf>
          </x14:cfRule>
          <xm:sqref>AW15</xm:sqref>
        </x14:conditionalFormatting>
        <x14:conditionalFormatting xmlns:xm="http://schemas.microsoft.com/office/excel/2006/main">
          <x14:cfRule type="expression" priority="301" stopIfTrue="1" id="{00000000-0000-0000-0000-000000000000}">
            <xm:f>(60 * HOUR($AX$15) + MINUTE($AX$15)) &gt;(60 * HOUR(INDEX('1.Locations'!$G$2:$G$32,$AP$15 + 1)) +MINUTE(INDEX('1.Locations'!$G$2:$G$32,$AP$15 + 1)))</xm:f>
            <x14:dxf>
              <fill>
                <patternFill>
                  <bgColor indexed="10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302" stopIfTrue="1" operator="lessThan" id="{00000000-0000-0000-0000-000000000000}">
            <xm:f>INDEX('1.Locations'!$F$2:$F$32,$AP$16 + 1)</xm:f>
            <x14:dxf>
              <fill>
                <patternFill>
                  <bgColor indexed="52"/>
                </patternFill>
              </fill>
            </x14:dxf>
          </x14:cfRule>
          <xm:sqref>AW16</xm:sqref>
        </x14:conditionalFormatting>
        <x14:conditionalFormatting xmlns:xm="http://schemas.microsoft.com/office/excel/2006/main">
          <x14:cfRule type="expression" priority="303" stopIfTrue="1" id="{00000000-0000-0000-0000-000000000000}">
            <xm:f>(60 * HOUR($AX$16) + MINUTE($AX$16)) &gt;(60 * HOUR(INDEX('1.Locations'!$G$2:$G$32,$AP$16 + 1)) +MINUTE(INDEX('1.Locations'!$G$2:$G$32,$AP$16 + 1)))</xm:f>
            <x14:dxf>
              <fill>
                <patternFill>
                  <bgColor indexed="10"/>
                </patternFill>
              </fill>
            </x14:dxf>
          </x14:cfRule>
          <xm:sqref>AX16</xm:sqref>
        </x14:conditionalFormatting>
        <x14:conditionalFormatting xmlns:xm="http://schemas.microsoft.com/office/excel/2006/main">
          <x14:cfRule type="cellIs" priority="304" stopIfTrue="1" operator="lessThan" id="{00000000-0000-0000-0000-000000000000}">
            <xm:f>INDEX('1.Locations'!$F$2:$F$32,$AP$17 + 1)</xm:f>
            <x14:dxf>
              <fill>
                <patternFill>
                  <bgColor indexed="52"/>
                </patternFill>
              </fill>
            </x14:dxf>
          </x14:cfRule>
          <xm:sqref>AW17</xm:sqref>
        </x14:conditionalFormatting>
        <x14:conditionalFormatting xmlns:xm="http://schemas.microsoft.com/office/excel/2006/main">
          <x14:cfRule type="expression" priority="305" stopIfTrue="1" id="{00000000-0000-0000-0000-000000000000}">
            <xm:f>(60 * HOUR($AX$17) + MINUTE($AX$17)) &gt;(60 * HOUR(INDEX('1.Locations'!$G$2:$G$32,$AP$17 + 1)) +MINUTE(INDEX('1.Locations'!$G$2:$G$32,$AP$17 + 1)))</xm:f>
            <x14:dxf>
              <fill>
                <patternFill>
                  <bgColor indexed="10"/>
                </patternFill>
              </fill>
            </x14:dxf>
          </x14:cfRule>
          <xm:sqref>AX17</xm:sqref>
        </x14:conditionalFormatting>
        <x14:conditionalFormatting xmlns:xm="http://schemas.microsoft.com/office/excel/2006/main">
          <x14:cfRule type="cellIs" priority="306" stopIfTrue="1" operator="lessThan" id="{00000000-0000-0000-0000-000000000000}">
            <xm:f>INDEX('1.Locations'!$F$2:$F$32,$AP$18 + 1)</xm:f>
            <x14:dxf>
              <fill>
                <patternFill>
                  <bgColor indexed="52"/>
                </patternFill>
              </fill>
            </x14:dxf>
          </x14:cfRule>
          <xm:sqref>AW18</xm:sqref>
        </x14:conditionalFormatting>
        <x14:conditionalFormatting xmlns:xm="http://schemas.microsoft.com/office/excel/2006/main">
          <x14:cfRule type="expression" priority="307" stopIfTrue="1" id="{00000000-0000-0000-0000-000000000000}">
            <xm:f>(60 * HOUR($AX$18) + MINUTE($AX$18)) &gt;(60 * HOUR(INDEX('1.Locations'!$G$2:$G$32,$AP$18 + 1)) +MINUTE(INDEX('1.Locations'!$G$2:$G$32,$AP$18 + 1)))</xm:f>
            <x14:dxf>
              <fill>
                <patternFill>
                  <bgColor indexed="10"/>
                </patternFill>
              </fill>
            </x14:dxf>
          </x14:cfRule>
          <xm:sqref>AX18</xm:sqref>
        </x14:conditionalFormatting>
        <x14:conditionalFormatting xmlns:xm="http://schemas.microsoft.com/office/excel/2006/main">
          <x14:cfRule type="cellIs" priority="308" stopIfTrue="1" operator="lessThan" id="{00000000-0000-0000-0000-000000000000}">
            <xm:f>INDEX('1.Locations'!$F$2:$F$32,$AP$19 + 1)</xm:f>
            <x14:dxf>
              <fill>
                <patternFill>
                  <bgColor indexed="52"/>
                </patternFill>
              </fill>
            </x14:dxf>
          </x14:cfRule>
          <xm:sqref>AW19</xm:sqref>
        </x14:conditionalFormatting>
        <x14:conditionalFormatting xmlns:xm="http://schemas.microsoft.com/office/excel/2006/main">
          <x14:cfRule type="expression" priority="309" stopIfTrue="1" id="{00000000-0000-0000-0000-000000000000}">
            <xm:f>(60 * HOUR($AX$19) + MINUTE($AX$19)) &gt;(60 * HOUR(INDEX('1.Locations'!$G$2:$G$32,$AP$19 + 1)) +MINUTE(INDEX('1.Locations'!$G$2:$G$32,$AP$19 + 1)))</xm:f>
            <x14:dxf>
              <fill>
                <patternFill>
                  <bgColor indexed="10"/>
                </patternFill>
              </fill>
            </x14:dxf>
          </x14:cfRule>
          <xm:sqref>AX19</xm:sqref>
        </x14:conditionalFormatting>
        <x14:conditionalFormatting xmlns:xm="http://schemas.microsoft.com/office/excel/2006/main">
          <x14:cfRule type="cellIs" priority="310" stopIfTrue="1" operator="lessThan" id="{00000000-0000-0000-0000-000000000000}">
            <xm:f>INDEX('1.Locations'!$F$2:$F$32,$AP$20 + 1)</xm:f>
            <x14:dxf>
              <fill>
                <patternFill>
                  <bgColor indexed="52"/>
                </patternFill>
              </fill>
            </x14:dxf>
          </x14:cfRule>
          <xm:sqref>AW20</xm:sqref>
        </x14:conditionalFormatting>
        <x14:conditionalFormatting xmlns:xm="http://schemas.microsoft.com/office/excel/2006/main">
          <x14:cfRule type="expression" priority="311" stopIfTrue="1" id="{00000000-0000-0000-0000-000000000000}">
            <xm:f>(60 * HOUR($AX$20) + MINUTE($AX$20)) &gt;(60 * HOUR(INDEX('1.Locations'!$G$2:$G$32,$AP$20 + 1)) +MINUTE(INDEX('1.Locations'!$G$2:$G$32,$AP$20 + 1)))</xm:f>
            <x14:dxf>
              <fill>
                <patternFill>
                  <bgColor indexed="10"/>
                </patternFill>
              </fill>
            </x14:dxf>
          </x14:cfRule>
          <xm:sqref>AX20</xm:sqref>
        </x14:conditionalFormatting>
        <x14:conditionalFormatting xmlns:xm="http://schemas.microsoft.com/office/excel/2006/main">
          <x14:cfRule type="cellIs" priority="312" stopIfTrue="1" operator="lessThan" id="{00000000-0000-0000-0000-000000000000}">
            <xm:f>INDEX('1.Locations'!$F$2:$F$32,$AP$21 + 1)</xm:f>
            <x14:dxf>
              <fill>
                <patternFill>
                  <bgColor indexed="52"/>
                </patternFill>
              </fill>
            </x14:dxf>
          </x14:cfRule>
          <xm:sqref>AW21</xm:sqref>
        </x14:conditionalFormatting>
        <x14:conditionalFormatting xmlns:xm="http://schemas.microsoft.com/office/excel/2006/main">
          <x14:cfRule type="expression" priority="313" stopIfTrue="1" id="{00000000-0000-0000-0000-000000000000}">
            <xm:f>(60 * HOUR($AX$21) + MINUTE($AX$21)) &gt;(60 * HOUR(INDEX('1.Locations'!$G$2:$G$32,$AP$21 + 1)) +MINUTE(INDEX('1.Locations'!$G$2:$G$32,$AP$21 + 1)))</xm:f>
            <x14:dxf>
              <fill>
                <patternFill>
                  <bgColor indexed="10"/>
                </patternFill>
              </fill>
            </x14:dxf>
          </x14:cfRule>
          <xm:sqref>AX21</xm:sqref>
        </x14:conditionalFormatting>
        <x14:conditionalFormatting xmlns:xm="http://schemas.microsoft.com/office/excel/2006/main">
          <x14:cfRule type="cellIs" priority="314" stopIfTrue="1" operator="lessThan" id="{00000000-0000-0000-0000-000000000000}">
            <xm:f>INDEX('1.Locations'!$F$2:$F$32,$AP$22 + 1)</xm:f>
            <x14:dxf>
              <fill>
                <patternFill>
                  <bgColor indexed="52"/>
                </patternFill>
              </fill>
            </x14:dxf>
          </x14:cfRule>
          <xm:sqref>AW22</xm:sqref>
        </x14:conditionalFormatting>
        <x14:conditionalFormatting xmlns:xm="http://schemas.microsoft.com/office/excel/2006/main">
          <x14:cfRule type="expression" priority="315" stopIfTrue="1" id="{00000000-0000-0000-0000-000000000000}">
            <xm:f>(60 * HOUR($AX$22) + MINUTE($AX$22)) &gt;(60 * HOUR(INDEX('1.Locations'!$G$2:$G$32,$AP$22 + 1)) +MINUTE(INDEX('1.Locations'!$G$2:$G$32,$AP$22 + 1)))</xm:f>
            <x14:dxf>
              <fill>
                <patternFill>
                  <bgColor indexed="10"/>
                </patternFill>
              </fill>
            </x14:dxf>
          </x14:cfRule>
          <xm:sqref>AX22</xm:sqref>
        </x14:conditionalFormatting>
        <x14:conditionalFormatting xmlns:xm="http://schemas.microsoft.com/office/excel/2006/main">
          <x14:cfRule type="cellIs" priority="316" stopIfTrue="1" operator="lessThan" id="{00000000-0000-0000-0000-000000000000}">
            <xm:f>INDEX('1.Locations'!$F$2:$F$32,$AP$23 + 1)</xm:f>
            <x14:dxf>
              <fill>
                <patternFill>
                  <bgColor indexed="52"/>
                </patternFill>
              </fill>
            </x14:dxf>
          </x14:cfRule>
          <xm:sqref>AW23</xm:sqref>
        </x14:conditionalFormatting>
        <x14:conditionalFormatting xmlns:xm="http://schemas.microsoft.com/office/excel/2006/main">
          <x14:cfRule type="expression" priority="317" stopIfTrue="1" id="{00000000-0000-0000-0000-000000000000}">
            <xm:f>(60 * HOUR($AX$23) + MINUTE($AX$23)) &gt;(60 * HOUR(INDEX('1.Locations'!$G$2:$G$32,$AP$23 + 1)) +MINUTE(INDEX('1.Locations'!$G$2:$G$32,$AP$23 + 1)))</xm:f>
            <x14:dxf>
              <fill>
                <patternFill>
                  <bgColor indexed="10"/>
                </patternFill>
              </fill>
            </x14:dxf>
          </x14:cfRule>
          <xm:sqref>AX23</xm:sqref>
        </x14:conditionalFormatting>
        <x14:conditionalFormatting xmlns:xm="http://schemas.microsoft.com/office/excel/2006/main">
          <x14:cfRule type="cellIs" priority="318" stopIfTrue="1" operator="lessThan" id="{00000000-0000-0000-0000-000000000000}">
            <xm:f>INDEX('1.Locations'!$F$2:$F$32,$AP$24 + 1)</xm:f>
            <x14:dxf>
              <fill>
                <patternFill>
                  <bgColor indexed="52"/>
                </patternFill>
              </fill>
            </x14:dxf>
          </x14:cfRule>
          <xm:sqref>AW24</xm:sqref>
        </x14:conditionalFormatting>
        <x14:conditionalFormatting xmlns:xm="http://schemas.microsoft.com/office/excel/2006/main">
          <x14:cfRule type="expression" priority="319" stopIfTrue="1" id="{00000000-0000-0000-0000-000000000000}">
            <xm:f>(60 * HOUR($AX$24) + MINUTE($AX$24)) &gt;(60 * HOUR(INDEX('1.Locations'!$G$2:$G$32,$AP$24 + 1)) +MINUTE(INDEX('1.Locations'!$G$2:$G$32,$AP$24 + 1)))</xm:f>
            <x14:dxf>
              <fill>
                <patternFill>
                  <bgColor indexed="10"/>
                </patternFill>
              </fill>
            </x14:dxf>
          </x14:cfRule>
          <xm:sqref>AX24</xm:sqref>
        </x14:conditionalFormatting>
        <x14:conditionalFormatting xmlns:xm="http://schemas.microsoft.com/office/excel/2006/main">
          <x14:cfRule type="cellIs" priority="320" stopIfTrue="1" operator="lessThan" id="{00000000-0000-0000-0000-000000000000}">
            <xm:f>INDEX('1.Locations'!$F$2:$F$32,$AP$25 + 1)</xm:f>
            <x14:dxf>
              <fill>
                <patternFill>
                  <bgColor indexed="52"/>
                </patternFill>
              </fill>
            </x14:dxf>
          </x14:cfRule>
          <xm:sqref>AW25</xm:sqref>
        </x14:conditionalFormatting>
        <x14:conditionalFormatting xmlns:xm="http://schemas.microsoft.com/office/excel/2006/main">
          <x14:cfRule type="expression" priority="321" stopIfTrue="1" id="{00000000-0000-0000-0000-000000000000}">
            <xm:f>(60 * HOUR($AX$25) + MINUTE($AX$25)) &gt;(60 * HOUR(INDEX('1.Locations'!$G$2:$G$32,$AP$25 + 1)) +MINUTE(INDEX('1.Locations'!$G$2:$G$32,$AP$25 + 1)))</xm:f>
            <x14:dxf>
              <fill>
                <patternFill>
                  <bgColor indexed="10"/>
                </patternFill>
              </fill>
            </x14:dxf>
          </x14:cfRule>
          <xm:sqref>AX25</xm:sqref>
        </x14:conditionalFormatting>
        <x14:conditionalFormatting xmlns:xm="http://schemas.microsoft.com/office/excel/2006/main">
          <x14:cfRule type="cellIs" priority="322" stopIfTrue="1" operator="lessThan" id="{00000000-0000-0000-0000-000000000000}">
            <xm:f>INDEX('1.Locations'!$F$2:$F$32,$AP$26 + 1)</xm:f>
            <x14:dxf>
              <fill>
                <patternFill>
                  <bgColor indexed="52"/>
                </patternFill>
              </fill>
            </x14:dxf>
          </x14:cfRule>
          <xm:sqref>AW26</xm:sqref>
        </x14:conditionalFormatting>
        <x14:conditionalFormatting xmlns:xm="http://schemas.microsoft.com/office/excel/2006/main">
          <x14:cfRule type="expression" priority="323" stopIfTrue="1" id="{00000000-0000-0000-0000-000000000000}">
            <xm:f>(60 * HOUR($AX$26) + MINUTE($AX$26)) &gt;(60 * HOUR(INDEX('1.Locations'!$G$2:$G$32,$AP$26 + 1)) +MINUTE(INDEX('1.Locations'!$G$2:$G$32,$AP$26 + 1)))</xm:f>
            <x14:dxf>
              <fill>
                <patternFill>
                  <bgColor indexed="10"/>
                </patternFill>
              </fill>
            </x14:dxf>
          </x14:cfRule>
          <xm:sqref>AX26</xm:sqref>
        </x14:conditionalFormatting>
        <x14:conditionalFormatting xmlns:xm="http://schemas.microsoft.com/office/excel/2006/main">
          <x14:cfRule type="cellIs" priority="324" stopIfTrue="1" operator="lessThan" id="{00000000-0000-0000-0000-000000000000}">
            <xm:f>INDEX('1.Locations'!$F$2:$F$32,$AP$27 + 1)</xm:f>
            <x14:dxf>
              <fill>
                <patternFill>
                  <bgColor indexed="52"/>
                </patternFill>
              </fill>
            </x14:dxf>
          </x14:cfRule>
          <xm:sqref>AW27</xm:sqref>
        </x14:conditionalFormatting>
        <x14:conditionalFormatting xmlns:xm="http://schemas.microsoft.com/office/excel/2006/main">
          <x14:cfRule type="expression" priority="325" stopIfTrue="1" id="{00000000-0000-0000-0000-000000000000}">
            <xm:f>(60 * HOUR($AX$27) + MINUTE($AX$27)) &gt;(60 * HOUR(INDEX('1.Locations'!$G$2:$G$32,$AP$27 + 1)) +MINUTE(INDEX('1.Locations'!$G$2:$G$32,$AP$27 + 1)))</xm:f>
            <x14:dxf>
              <fill>
                <patternFill>
                  <bgColor indexed="10"/>
                </patternFill>
              </fill>
            </x14:dxf>
          </x14:cfRule>
          <xm:sqref>AX27</xm:sqref>
        </x14:conditionalFormatting>
        <x14:conditionalFormatting xmlns:xm="http://schemas.microsoft.com/office/excel/2006/main">
          <x14:cfRule type="cellIs" priority="326" stopIfTrue="1" operator="lessThan" id="{00000000-0000-0000-0000-000000000000}">
            <xm:f>INDEX('1.Locations'!$F$2:$F$32,$AP$28 + 1)</xm:f>
            <x14:dxf>
              <fill>
                <patternFill>
                  <bgColor indexed="52"/>
                </patternFill>
              </fill>
            </x14:dxf>
          </x14:cfRule>
          <xm:sqref>AW28</xm:sqref>
        </x14:conditionalFormatting>
        <x14:conditionalFormatting xmlns:xm="http://schemas.microsoft.com/office/excel/2006/main">
          <x14:cfRule type="expression" priority="327" stopIfTrue="1" id="{00000000-0000-0000-0000-000000000000}">
            <xm:f>(60 * HOUR($AX$28) + MINUTE($AX$28)) &gt;(60 * HOUR(INDEX('1.Locations'!$G$2:$G$32,$AP$28 + 1)) +MINUTE(INDEX('1.Locations'!$G$2:$G$32,$AP$28 + 1)))</xm:f>
            <x14:dxf>
              <fill>
                <patternFill>
                  <bgColor indexed="10"/>
                </patternFill>
              </fill>
            </x14:dxf>
          </x14:cfRule>
          <xm:sqref>AX28</xm:sqref>
        </x14:conditionalFormatting>
        <x14:conditionalFormatting xmlns:xm="http://schemas.microsoft.com/office/excel/2006/main">
          <x14:cfRule type="cellIs" priority="328" stopIfTrue="1" operator="lessThan" id="{00000000-0000-0000-0000-000000000000}">
            <xm:f>INDEX('1.Locations'!$F$2:$F$32,$AP$29 + 1)</xm:f>
            <x14:dxf>
              <fill>
                <patternFill>
                  <bgColor indexed="52"/>
                </patternFill>
              </fill>
            </x14:dxf>
          </x14:cfRule>
          <xm:sqref>AW29</xm:sqref>
        </x14:conditionalFormatting>
        <x14:conditionalFormatting xmlns:xm="http://schemas.microsoft.com/office/excel/2006/main">
          <x14:cfRule type="expression" priority="329" stopIfTrue="1" id="{00000000-0000-0000-0000-000000000000}">
            <xm:f>(60 * HOUR($AX$29) + MINUTE($AX$29)) &gt;(60 * HOUR(INDEX('1.Locations'!$G$2:$G$32,$AP$29 + 1)) +MINUTE(INDEX('1.Locations'!$G$2:$G$32,$AP$29 + 1)))</xm:f>
            <x14:dxf>
              <fill>
                <patternFill>
                  <bgColor indexed="10"/>
                </patternFill>
              </fill>
            </x14:dxf>
          </x14:cfRule>
          <xm:sqref>AX29</xm:sqref>
        </x14:conditionalFormatting>
        <x14:conditionalFormatting xmlns:xm="http://schemas.microsoft.com/office/excel/2006/main">
          <x14:cfRule type="cellIs" priority="330" stopIfTrue="1" operator="lessThan" id="{00000000-0000-0000-0000-000000000000}">
            <xm:f>INDEX('1.Locations'!$F$2:$F$32,$AP$30 + 1)</xm:f>
            <x14:dxf>
              <fill>
                <patternFill>
                  <bgColor indexed="52"/>
                </patternFill>
              </fill>
            </x14:dxf>
          </x14:cfRule>
          <xm:sqref>AW30</xm:sqref>
        </x14:conditionalFormatting>
        <x14:conditionalFormatting xmlns:xm="http://schemas.microsoft.com/office/excel/2006/main">
          <x14:cfRule type="expression" priority="331" stopIfTrue="1" id="{00000000-0000-0000-0000-000000000000}">
            <xm:f>(60 * HOUR($AX$30) + MINUTE($AX$30)) &gt;(60 * HOUR(INDEX('1.Locations'!$G$2:$G$32,$AP$30 + 1)) +MINUTE(INDEX('1.Locations'!$G$2:$G$32,$AP$30 + 1)))</xm:f>
            <x14:dxf>
              <fill>
                <patternFill>
                  <bgColor indexed="10"/>
                </patternFill>
              </fill>
            </x14:dxf>
          </x14:cfRule>
          <xm:sqref>AX30</xm:sqref>
        </x14:conditionalFormatting>
        <x14:conditionalFormatting xmlns:xm="http://schemas.microsoft.com/office/excel/2006/main">
          <x14:cfRule type="cellIs" priority="332" stopIfTrue="1" operator="lessThan" id="{00000000-0000-0000-0000-000000000000}">
            <xm:f>INDEX('1.Locations'!$F$2:$F$32,$AP$31 + 1)</xm:f>
            <x14:dxf>
              <fill>
                <patternFill>
                  <bgColor indexed="52"/>
                </patternFill>
              </fill>
            </x14:dxf>
          </x14:cfRule>
          <xm:sqref>AW31</xm:sqref>
        </x14:conditionalFormatting>
        <x14:conditionalFormatting xmlns:xm="http://schemas.microsoft.com/office/excel/2006/main">
          <x14:cfRule type="expression" priority="333" stopIfTrue="1" id="{00000000-0000-0000-0000-000000000000}">
            <xm:f>(60 * HOUR($AX$31) + MINUTE($AX$31)) &gt;(60 * HOUR(INDEX('1.Locations'!$G$2:$G$32,$AP$31 + 1)) +MINUTE(INDEX('1.Locations'!$G$2:$G$32,$AP$31 + 1)))</xm:f>
            <x14:dxf>
              <fill>
                <patternFill>
                  <bgColor indexed="10"/>
                </patternFill>
              </fill>
            </x14:dxf>
          </x14:cfRule>
          <xm:sqref>AX31</xm:sqref>
        </x14:conditionalFormatting>
        <x14:conditionalFormatting xmlns:xm="http://schemas.microsoft.com/office/excel/2006/main">
          <x14:cfRule type="cellIs" priority="334" stopIfTrue="1" operator="lessThan" id="{00000000-0000-0000-0000-000000000000}">
            <xm:f>INDEX('1.Locations'!$F$2:$F$32,$AP$32 + 1)</xm:f>
            <x14:dxf>
              <fill>
                <patternFill>
                  <bgColor indexed="52"/>
                </patternFill>
              </fill>
            </x14:dxf>
          </x14:cfRule>
          <xm:sqref>AW32</xm:sqref>
        </x14:conditionalFormatting>
        <x14:conditionalFormatting xmlns:xm="http://schemas.microsoft.com/office/excel/2006/main">
          <x14:cfRule type="expression" priority="335" stopIfTrue="1" id="{00000000-0000-0000-0000-000000000000}">
            <xm:f>(60 * HOUR($AX$32) + MINUTE($AX$32)) &gt;(60 * HOUR(INDEX('1.Locations'!$G$2:$G$32,$AP$32 + 1)) +MINUTE(INDEX('1.Locations'!$G$2:$G$32,$AP$32 + 1)))</xm:f>
            <x14:dxf>
              <fill>
                <patternFill>
                  <bgColor indexed="10"/>
                </patternFill>
              </fill>
            </x14:dxf>
          </x14:cfRule>
          <xm:sqref>AX32</xm:sqref>
        </x14:conditionalFormatting>
        <x14:conditionalFormatting xmlns:xm="http://schemas.microsoft.com/office/excel/2006/main">
          <x14:cfRule type="cellIs" priority="336" stopIfTrue="1" operator="lessThan" id="{00000000-0000-0000-0000-000000000000}">
            <xm:f>INDEX('1.Locations'!$F$2:$F$32,$AP$33 + 1)</xm:f>
            <x14:dxf>
              <fill>
                <patternFill>
                  <bgColor indexed="52"/>
                </patternFill>
              </fill>
            </x14:dxf>
          </x14:cfRule>
          <xm:sqref>AW33</xm:sqref>
        </x14:conditionalFormatting>
        <x14:conditionalFormatting xmlns:xm="http://schemas.microsoft.com/office/excel/2006/main">
          <x14:cfRule type="expression" priority="337" stopIfTrue="1" id="{00000000-0000-0000-0000-000000000000}">
            <xm:f>(60 * HOUR($AX$33) + MINUTE($AX$33)) &gt;(60 * HOUR(INDEX('1.Locations'!$G$2:$G$32,$AP$33 + 1)) +MINUTE(INDEX('1.Locations'!$G$2:$G$32,$AP$33 + 1)))</xm:f>
            <x14:dxf>
              <fill>
                <patternFill>
                  <bgColor indexed="10"/>
                </patternFill>
              </fill>
            </x14:dxf>
          </x14:cfRule>
          <xm:sqref>AX33</xm:sqref>
        </x14:conditionalFormatting>
        <x14:conditionalFormatting xmlns:xm="http://schemas.microsoft.com/office/excel/2006/main">
          <x14:cfRule type="cellIs" priority="338" stopIfTrue="1" operator="lessThan" id="{00000000-0000-0000-0000-000000000000}">
            <xm:f>INDEX('1.Locations'!$F$2:$F$32,$AP$34 + 1)</xm:f>
            <x14:dxf>
              <fill>
                <patternFill>
                  <bgColor indexed="52"/>
                </patternFill>
              </fill>
            </x14:dxf>
          </x14:cfRule>
          <xm:sqref>AW34</xm:sqref>
        </x14:conditionalFormatting>
        <x14:conditionalFormatting xmlns:xm="http://schemas.microsoft.com/office/excel/2006/main">
          <x14:cfRule type="expression" priority="339" stopIfTrue="1" id="{00000000-0000-0000-0000-000000000000}">
            <xm:f>(60 * HOUR($AX$34) + MINUTE($AX$34)) &gt;(60 * HOUR(INDEX('1.Locations'!$G$2:$G$32,$AP$34 + 1)) +MINUTE(INDEX('1.Locations'!$G$2:$G$32,$AP$34 + 1)))</xm:f>
            <x14:dxf>
              <fill>
                <patternFill>
                  <bgColor indexed="10"/>
                </patternFill>
              </fill>
            </x14:dxf>
          </x14:cfRule>
          <xm:sqref>AX34</xm:sqref>
        </x14:conditionalFormatting>
        <x14:conditionalFormatting xmlns:xm="http://schemas.microsoft.com/office/excel/2006/main">
          <x14:cfRule type="cellIs" priority="340" stopIfTrue="1" operator="lessThan" id="{00000000-0000-0000-0000-000000000000}">
            <xm:f>INDEX('1.Locations'!$F$2:$F$32,$AP$35 + 1)</xm:f>
            <x14:dxf>
              <fill>
                <patternFill>
                  <bgColor indexed="52"/>
                </patternFill>
              </fill>
            </x14:dxf>
          </x14:cfRule>
          <xm:sqref>AW35</xm:sqref>
        </x14:conditionalFormatting>
        <x14:conditionalFormatting xmlns:xm="http://schemas.microsoft.com/office/excel/2006/main">
          <x14:cfRule type="expression" priority="341" stopIfTrue="1" id="{00000000-0000-0000-0000-000000000000}">
            <xm:f>(60 * HOUR($AX$35) + MINUTE($AX$35)) &gt;(60 * HOUR(INDEX('1.Locations'!$G$2:$G$32,$AP$35 + 1)) +MINUTE(INDEX('1.Locations'!$G$2:$G$32,$AP$35 + 1)))</xm:f>
            <x14:dxf>
              <fill>
                <patternFill>
                  <bgColor indexed="10"/>
                </patternFill>
              </fill>
            </x14:dxf>
          </x14:cfRule>
          <xm:sqref>AX35</xm:sqref>
        </x14:conditionalFormatting>
        <x14:conditionalFormatting xmlns:xm="http://schemas.microsoft.com/office/excel/2006/main">
          <x14:cfRule type="cellIs" priority="342" stopIfTrue="1" operator="lessThan" id="{00000000-0000-0000-0000-000000000000}">
            <xm:f>INDEX('1.Locations'!$F$2:$F$32,$AP$36 + 1)</xm:f>
            <x14:dxf>
              <fill>
                <patternFill>
                  <bgColor indexed="52"/>
                </patternFill>
              </fill>
            </x14:dxf>
          </x14:cfRule>
          <xm:sqref>AW36</xm:sqref>
        </x14:conditionalFormatting>
        <x14:conditionalFormatting xmlns:xm="http://schemas.microsoft.com/office/excel/2006/main">
          <x14:cfRule type="expression" priority="343" stopIfTrue="1" id="{00000000-0000-0000-0000-000000000000}">
            <xm:f>(60 * HOUR($AX$36) + MINUTE($AX$36)) &gt;(60 * HOUR(INDEX('1.Locations'!$G$2:$G$32,$AP$36 + 1)) +MINUTE(INDEX('1.Locations'!$G$2:$G$32,$AP$36 + 1)))</xm:f>
            <x14:dxf>
              <fill>
                <patternFill>
                  <bgColor indexed="10"/>
                </patternFill>
              </fill>
            </x14:dxf>
          </x14:cfRule>
          <xm:sqref>AX36</xm:sqref>
        </x14:conditionalFormatting>
        <x14:conditionalFormatting xmlns:xm="http://schemas.microsoft.com/office/excel/2006/main">
          <x14:cfRule type="cellIs" priority="344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AS6:AS36</xm:sqref>
        </x14:conditionalFormatting>
        <x14:conditionalFormatting xmlns:xm="http://schemas.microsoft.com/office/excel/2006/main">
          <x14:cfRule type="cellIs" priority="345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AT6:AT36</xm:sqref>
        </x14:conditionalFormatting>
        <x14:conditionalFormatting xmlns:xm="http://schemas.microsoft.com/office/excel/2006/main">
          <x14:cfRule type="cellIs" priority="346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AV6:AV36</xm:sqref>
        </x14:conditionalFormatting>
        <x14:conditionalFormatting xmlns:xm="http://schemas.microsoft.com/office/excel/2006/main">
          <x14:cfRule type="cellIs" priority="347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AY6:AY36</xm:sqref>
        </x14:conditionalFormatting>
        <x14:conditionalFormatting xmlns:xm="http://schemas.microsoft.com/office/excel/2006/main">
          <x14:cfRule type="cellIs" priority="349" stopIfTrue="1" operator="lessThan" id="{00000000-0000-0000-0000-000000000000}">
            <xm:f>INDEX('1.Locations'!$F$2:$F$32,$BC$5 + 1)</xm:f>
            <x14:dxf>
              <fill>
                <patternFill>
                  <bgColor indexed="52"/>
                </patternFill>
              </fill>
            </x14:dxf>
          </x14:cfRule>
          <xm:sqref>BJ5</xm:sqref>
        </x14:conditionalFormatting>
        <x14:conditionalFormatting xmlns:xm="http://schemas.microsoft.com/office/excel/2006/main">
          <x14:cfRule type="expression" priority="350" stopIfTrue="1" id="{00000000-0000-0000-0000-000000000000}">
            <xm:f>(60 * HOUR($BK$5) + MINUTE($BK$5)) &gt;(60 * HOUR(INDEX('1.Locations'!$G$2:$G$32,$BC$5 + 1)) +MINUTE(INDEX('1.Locations'!$G$2:$G$32,$BC$5 + 1)))</xm:f>
            <x14:dxf>
              <fill>
                <patternFill>
                  <bgColor indexed="10"/>
                </patternFill>
              </fill>
            </x14:dxf>
          </x14:cfRule>
          <xm:sqref>BK5</xm:sqref>
        </x14:conditionalFormatting>
        <x14:conditionalFormatting xmlns:xm="http://schemas.microsoft.com/office/excel/2006/main">
          <x14:cfRule type="cellIs" priority="351" stopIfTrue="1" operator="lessThan" id="{00000000-0000-0000-0000-000000000000}">
            <xm:f>INDEX('1.Locations'!$F$2:$F$32,$BC$6 + 1)</xm:f>
            <x14:dxf>
              <fill>
                <patternFill>
                  <bgColor indexed="52"/>
                </patternFill>
              </fill>
            </x14:dxf>
          </x14:cfRule>
          <xm:sqref>BJ6</xm:sqref>
        </x14:conditionalFormatting>
        <x14:conditionalFormatting xmlns:xm="http://schemas.microsoft.com/office/excel/2006/main">
          <x14:cfRule type="expression" priority="352" stopIfTrue="1" id="{00000000-0000-0000-0000-000000000000}">
            <xm:f>(60 * HOUR($BK$6) + MINUTE($BK$6)) &gt;(60 * HOUR(INDEX('1.Locations'!$G$2:$G$32,$BC$6 + 1)) +MINUTE(INDEX('1.Locations'!$G$2:$G$32,$BC$6 + 1)))</xm:f>
            <x14:dxf>
              <fill>
                <patternFill>
                  <bgColor indexed="10"/>
                </patternFill>
              </fill>
            </x14:dxf>
          </x14:cfRule>
          <xm:sqref>BK6</xm:sqref>
        </x14:conditionalFormatting>
        <x14:conditionalFormatting xmlns:xm="http://schemas.microsoft.com/office/excel/2006/main">
          <x14:cfRule type="cellIs" priority="353" stopIfTrue="1" operator="lessThan" id="{00000000-0000-0000-0000-000000000000}">
            <xm:f>INDEX('1.Locations'!$F$2:$F$32,$BC$7 + 1)</xm:f>
            <x14:dxf>
              <fill>
                <patternFill>
                  <bgColor indexed="52"/>
                </patternFill>
              </fill>
            </x14:dxf>
          </x14:cfRule>
          <xm:sqref>BJ7</xm:sqref>
        </x14:conditionalFormatting>
        <x14:conditionalFormatting xmlns:xm="http://schemas.microsoft.com/office/excel/2006/main">
          <x14:cfRule type="expression" priority="354" stopIfTrue="1" id="{00000000-0000-0000-0000-000000000000}">
            <xm:f>(60 * HOUR($BK$7) + MINUTE($BK$7)) &gt;(60 * HOUR(INDEX('1.Locations'!$G$2:$G$32,$BC$7 + 1)) +MINUTE(INDEX('1.Locations'!$G$2:$G$32,$BC$7 + 1)))</xm:f>
            <x14:dxf>
              <fill>
                <patternFill>
                  <bgColor indexed="10"/>
                </patternFill>
              </fill>
            </x14:dxf>
          </x14:cfRule>
          <xm:sqref>BK7</xm:sqref>
        </x14:conditionalFormatting>
        <x14:conditionalFormatting xmlns:xm="http://schemas.microsoft.com/office/excel/2006/main">
          <x14:cfRule type="cellIs" priority="355" stopIfTrue="1" operator="lessThan" id="{00000000-0000-0000-0000-000000000000}">
            <xm:f>INDEX('1.Locations'!$F$2:$F$32,$BC$8 + 1)</xm:f>
            <x14:dxf>
              <fill>
                <patternFill>
                  <bgColor indexed="52"/>
                </patternFill>
              </fill>
            </x14:dxf>
          </x14:cfRule>
          <xm:sqref>BJ8</xm:sqref>
        </x14:conditionalFormatting>
        <x14:conditionalFormatting xmlns:xm="http://schemas.microsoft.com/office/excel/2006/main">
          <x14:cfRule type="expression" priority="356" stopIfTrue="1" id="{00000000-0000-0000-0000-000000000000}">
            <xm:f>(60 * HOUR($BK$8) + MINUTE($BK$8)) &gt;(60 * HOUR(INDEX('1.Locations'!$G$2:$G$32,$BC$8 + 1)) +MINUTE(INDEX('1.Locations'!$G$2:$G$32,$BC$8 + 1)))</xm:f>
            <x14:dxf>
              <fill>
                <patternFill>
                  <bgColor indexed="10"/>
                </patternFill>
              </fill>
            </x14:dxf>
          </x14:cfRule>
          <xm:sqref>BK8</xm:sqref>
        </x14:conditionalFormatting>
        <x14:conditionalFormatting xmlns:xm="http://schemas.microsoft.com/office/excel/2006/main">
          <x14:cfRule type="cellIs" priority="357" stopIfTrue="1" operator="lessThan" id="{00000000-0000-0000-0000-000000000000}">
            <xm:f>INDEX('1.Locations'!$F$2:$F$32,$BC$9 + 1)</xm:f>
            <x14:dxf>
              <fill>
                <patternFill>
                  <bgColor indexed="52"/>
                </patternFill>
              </fill>
            </x14:dxf>
          </x14:cfRule>
          <xm:sqref>BJ9</xm:sqref>
        </x14:conditionalFormatting>
        <x14:conditionalFormatting xmlns:xm="http://schemas.microsoft.com/office/excel/2006/main">
          <x14:cfRule type="expression" priority="358" stopIfTrue="1" id="{00000000-0000-0000-0000-000000000000}">
            <xm:f>(60 * HOUR($BK$9) + MINUTE($BK$9)) &gt;(60 * HOUR(INDEX('1.Locations'!$G$2:$G$32,$BC$9 + 1)) +MINUTE(INDEX('1.Locations'!$G$2:$G$32,$BC$9 + 1)))</xm:f>
            <x14:dxf>
              <fill>
                <patternFill>
                  <bgColor indexed="10"/>
                </patternFill>
              </fill>
            </x14:dxf>
          </x14:cfRule>
          <xm:sqref>BK9</xm:sqref>
        </x14:conditionalFormatting>
        <x14:conditionalFormatting xmlns:xm="http://schemas.microsoft.com/office/excel/2006/main">
          <x14:cfRule type="cellIs" priority="359" stopIfTrue="1" operator="lessThan" id="{00000000-0000-0000-0000-000000000000}">
            <xm:f>INDEX('1.Locations'!$F$2:$F$32,$BC$10 + 1)</xm:f>
            <x14:dxf>
              <fill>
                <patternFill>
                  <bgColor indexed="52"/>
                </patternFill>
              </fill>
            </x14:dxf>
          </x14:cfRule>
          <xm:sqref>BJ10</xm:sqref>
        </x14:conditionalFormatting>
        <x14:conditionalFormatting xmlns:xm="http://schemas.microsoft.com/office/excel/2006/main">
          <x14:cfRule type="expression" priority="360" stopIfTrue="1" id="{00000000-0000-0000-0000-000000000000}">
            <xm:f>(60 * HOUR($BK$10) + MINUTE($BK$10)) &gt;(60 * HOUR(INDEX('1.Locations'!$G$2:$G$32,$BC$10 + 1)) +MINUTE(INDEX('1.Locations'!$G$2:$G$32,$BC$10 + 1)))</xm:f>
            <x14:dxf>
              <fill>
                <patternFill>
                  <bgColor indexed="10"/>
                </patternFill>
              </fill>
            </x14:dxf>
          </x14:cfRule>
          <xm:sqref>BK10</xm:sqref>
        </x14:conditionalFormatting>
        <x14:conditionalFormatting xmlns:xm="http://schemas.microsoft.com/office/excel/2006/main">
          <x14:cfRule type="cellIs" priority="361" stopIfTrue="1" operator="lessThan" id="{00000000-0000-0000-0000-000000000000}">
            <xm:f>INDEX('1.Locations'!$F$2:$F$32,$BC$11 + 1)</xm:f>
            <x14:dxf>
              <fill>
                <patternFill>
                  <bgColor indexed="52"/>
                </patternFill>
              </fill>
            </x14:dxf>
          </x14:cfRule>
          <xm:sqref>BJ11</xm:sqref>
        </x14:conditionalFormatting>
        <x14:conditionalFormatting xmlns:xm="http://schemas.microsoft.com/office/excel/2006/main">
          <x14:cfRule type="expression" priority="362" stopIfTrue="1" id="{00000000-0000-0000-0000-000000000000}">
            <xm:f>(60 * HOUR($BK$11) + MINUTE($BK$11)) &gt;(60 * HOUR(INDEX('1.Locations'!$G$2:$G$32,$BC$11 + 1)) +MINUTE(INDEX('1.Locations'!$G$2:$G$32,$BC$11 + 1)))</xm:f>
            <x14:dxf>
              <fill>
                <patternFill>
                  <bgColor indexed="10"/>
                </patternFill>
              </fill>
            </x14:dxf>
          </x14:cfRule>
          <xm:sqref>BK11</xm:sqref>
        </x14:conditionalFormatting>
        <x14:conditionalFormatting xmlns:xm="http://schemas.microsoft.com/office/excel/2006/main">
          <x14:cfRule type="cellIs" priority="363" stopIfTrue="1" operator="lessThan" id="{00000000-0000-0000-0000-000000000000}">
            <xm:f>INDEX('1.Locations'!$F$2:$F$32,$BC$12 + 1)</xm:f>
            <x14:dxf>
              <fill>
                <patternFill>
                  <bgColor indexed="52"/>
                </patternFill>
              </fill>
            </x14:dxf>
          </x14:cfRule>
          <xm:sqref>BJ12</xm:sqref>
        </x14:conditionalFormatting>
        <x14:conditionalFormatting xmlns:xm="http://schemas.microsoft.com/office/excel/2006/main">
          <x14:cfRule type="expression" priority="364" stopIfTrue="1" id="{00000000-0000-0000-0000-000000000000}">
            <xm:f>(60 * HOUR($BK$12) + MINUTE($BK$12)) &gt;(60 * HOUR(INDEX('1.Locations'!$G$2:$G$32,$BC$12 + 1)) +MINUTE(INDEX('1.Locations'!$G$2:$G$32,$BC$12 + 1)))</xm:f>
            <x14:dxf>
              <fill>
                <patternFill>
                  <bgColor indexed="10"/>
                </patternFill>
              </fill>
            </x14:dxf>
          </x14:cfRule>
          <xm:sqref>BK12</xm:sqref>
        </x14:conditionalFormatting>
        <x14:conditionalFormatting xmlns:xm="http://schemas.microsoft.com/office/excel/2006/main">
          <x14:cfRule type="cellIs" priority="365" stopIfTrue="1" operator="lessThan" id="{00000000-0000-0000-0000-000000000000}">
            <xm:f>INDEX('1.Locations'!$F$2:$F$32,$BC$13 + 1)</xm:f>
            <x14:dxf>
              <fill>
                <patternFill>
                  <bgColor indexed="52"/>
                </patternFill>
              </fill>
            </x14:dxf>
          </x14:cfRule>
          <xm:sqref>BJ13</xm:sqref>
        </x14:conditionalFormatting>
        <x14:conditionalFormatting xmlns:xm="http://schemas.microsoft.com/office/excel/2006/main">
          <x14:cfRule type="expression" priority="366" stopIfTrue="1" id="{00000000-0000-0000-0000-000000000000}">
            <xm:f>(60 * HOUR($BK$13) + MINUTE($BK$13)) &gt;(60 * HOUR(INDEX('1.Locations'!$G$2:$G$32,$BC$13 + 1)) +MINUTE(INDEX('1.Locations'!$G$2:$G$32,$BC$13 + 1)))</xm:f>
            <x14:dxf>
              <fill>
                <patternFill>
                  <bgColor indexed="10"/>
                </patternFill>
              </fill>
            </x14:dxf>
          </x14:cfRule>
          <xm:sqref>BK13</xm:sqref>
        </x14:conditionalFormatting>
        <x14:conditionalFormatting xmlns:xm="http://schemas.microsoft.com/office/excel/2006/main">
          <x14:cfRule type="cellIs" priority="367" stopIfTrue="1" operator="lessThan" id="{00000000-0000-0000-0000-000000000000}">
            <xm:f>INDEX('1.Locations'!$F$2:$F$32,$BC$14 + 1)</xm:f>
            <x14:dxf>
              <fill>
                <patternFill>
                  <bgColor indexed="52"/>
                </patternFill>
              </fill>
            </x14:dxf>
          </x14:cfRule>
          <xm:sqref>BJ14</xm:sqref>
        </x14:conditionalFormatting>
        <x14:conditionalFormatting xmlns:xm="http://schemas.microsoft.com/office/excel/2006/main">
          <x14:cfRule type="expression" priority="368" stopIfTrue="1" id="{00000000-0000-0000-0000-000000000000}">
            <xm:f>(60 * HOUR($BK$14) + MINUTE($BK$14)) &gt;(60 * HOUR(INDEX('1.Locations'!$G$2:$G$32,$BC$14 + 1)) +MINUTE(INDEX('1.Locations'!$G$2:$G$32,$BC$14 + 1)))</xm:f>
            <x14:dxf>
              <fill>
                <patternFill>
                  <bgColor indexed="10"/>
                </patternFill>
              </fill>
            </x14:dxf>
          </x14:cfRule>
          <xm:sqref>BK14</xm:sqref>
        </x14:conditionalFormatting>
        <x14:conditionalFormatting xmlns:xm="http://schemas.microsoft.com/office/excel/2006/main">
          <x14:cfRule type="cellIs" priority="369" stopIfTrue="1" operator="lessThan" id="{00000000-0000-0000-0000-000000000000}">
            <xm:f>INDEX('1.Locations'!$F$2:$F$32,$BC$15 + 1)</xm:f>
            <x14:dxf>
              <fill>
                <patternFill>
                  <bgColor indexed="52"/>
                </patternFill>
              </fill>
            </x14:dxf>
          </x14:cfRule>
          <xm:sqref>BJ15</xm:sqref>
        </x14:conditionalFormatting>
        <x14:conditionalFormatting xmlns:xm="http://schemas.microsoft.com/office/excel/2006/main">
          <x14:cfRule type="expression" priority="370" stopIfTrue="1" id="{00000000-0000-0000-0000-000000000000}">
            <xm:f>(60 * HOUR($BK$15) + MINUTE($BK$15)) &gt;(60 * HOUR(INDEX('1.Locations'!$G$2:$G$32,$BC$15 + 1)) +MINUTE(INDEX('1.Locations'!$G$2:$G$32,$BC$15 + 1)))</xm:f>
            <x14:dxf>
              <fill>
                <patternFill>
                  <bgColor indexed="10"/>
                </patternFill>
              </fill>
            </x14:dxf>
          </x14:cfRule>
          <xm:sqref>BK15</xm:sqref>
        </x14:conditionalFormatting>
        <x14:conditionalFormatting xmlns:xm="http://schemas.microsoft.com/office/excel/2006/main">
          <x14:cfRule type="cellIs" priority="371" stopIfTrue="1" operator="lessThan" id="{00000000-0000-0000-0000-000000000000}">
            <xm:f>INDEX('1.Locations'!$F$2:$F$32,$BC$16 + 1)</xm:f>
            <x14:dxf>
              <fill>
                <patternFill>
                  <bgColor indexed="52"/>
                </patternFill>
              </fill>
            </x14:dxf>
          </x14:cfRule>
          <xm:sqref>BJ16</xm:sqref>
        </x14:conditionalFormatting>
        <x14:conditionalFormatting xmlns:xm="http://schemas.microsoft.com/office/excel/2006/main">
          <x14:cfRule type="expression" priority="372" stopIfTrue="1" id="{00000000-0000-0000-0000-000000000000}">
            <xm:f>(60 * HOUR($BK$16) + MINUTE($BK$16)) &gt;(60 * HOUR(INDEX('1.Locations'!$G$2:$G$32,$BC$16 + 1)) +MINUTE(INDEX('1.Locations'!$G$2:$G$32,$BC$16 + 1)))</xm:f>
            <x14:dxf>
              <fill>
                <patternFill>
                  <bgColor indexed="10"/>
                </patternFill>
              </fill>
            </x14:dxf>
          </x14:cfRule>
          <xm:sqref>BK16</xm:sqref>
        </x14:conditionalFormatting>
        <x14:conditionalFormatting xmlns:xm="http://schemas.microsoft.com/office/excel/2006/main">
          <x14:cfRule type="cellIs" priority="373" stopIfTrue="1" operator="lessThan" id="{00000000-0000-0000-0000-000000000000}">
            <xm:f>INDEX('1.Locations'!$F$2:$F$32,$BC$17 + 1)</xm:f>
            <x14:dxf>
              <fill>
                <patternFill>
                  <bgColor indexed="52"/>
                </patternFill>
              </fill>
            </x14:dxf>
          </x14:cfRule>
          <xm:sqref>BJ17</xm:sqref>
        </x14:conditionalFormatting>
        <x14:conditionalFormatting xmlns:xm="http://schemas.microsoft.com/office/excel/2006/main">
          <x14:cfRule type="expression" priority="374" stopIfTrue="1" id="{00000000-0000-0000-0000-000000000000}">
            <xm:f>(60 * HOUR($BK$17) + MINUTE($BK$17)) &gt;(60 * HOUR(INDEX('1.Locations'!$G$2:$G$32,$BC$17 + 1)) +MINUTE(INDEX('1.Locations'!$G$2:$G$32,$BC$17 + 1)))</xm:f>
            <x14:dxf>
              <fill>
                <patternFill>
                  <bgColor indexed="10"/>
                </patternFill>
              </fill>
            </x14:dxf>
          </x14:cfRule>
          <xm:sqref>BK17</xm:sqref>
        </x14:conditionalFormatting>
        <x14:conditionalFormatting xmlns:xm="http://schemas.microsoft.com/office/excel/2006/main">
          <x14:cfRule type="cellIs" priority="375" stopIfTrue="1" operator="lessThan" id="{00000000-0000-0000-0000-000000000000}">
            <xm:f>INDEX('1.Locations'!$F$2:$F$32,$BC$18 + 1)</xm:f>
            <x14:dxf>
              <fill>
                <patternFill>
                  <bgColor indexed="52"/>
                </patternFill>
              </fill>
            </x14:dxf>
          </x14:cfRule>
          <xm:sqref>BJ18</xm:sqref>
        </x14:conditionalFormatting>
        <x14:conditionalFormatting xmlns:xm="http://schemas.microsoft.com/office/excel/2006/main">
          <x14:cfRule type="expression" priority="376" stopIfTrue="1" id="{00000000-0000-0000-0000-000000000000}">
            <xm:f>(60 * HOUR($BK$18) + MINUTE($BK$18)) &gt;(60 * HOUR(INDEX('1.Locations'!$G$2:$G$32,$BC$18 + 1)) +MINUTE(INDEX('1.Locations'!$G$2:$G$32,$BC$18 + 1)))</xm:f>
            <x14:dxf>
              <fill>
                <patternFill>
                  <bgColor indexed="10"/>
                </patternFill>
              </fill>
            </x14:dxf>
          </x14:cfRule>
          <xm:sqref>BK18</xm:sqref>
        </x14:conditionalFormatting>
        <x14:conditionalFormatting xmlns:xm="http://schemas.microsoft.com/office/excel/2006/main">
          <x14:cfRule type="cellIs" priority="377" stopIfTrue="1" operator="lessThan" id="{00000000-0000-0000-0000-000000000000}">
            <xm:f>INDEX('1.Locations'!$F$2:$F$32,$BC$19 + 1)</xm:f>
            <x14:dxf>
              <fill>
                <patternFill>
                  <bgColor indexed="52"/>
                </patternFill>
              </fill>
            </x14:dxf>
          </x14:cfRule>
          <xm:sqref>BJ19</xm:sqref>
        </x14:conditionalFormatting>
        <x14:conditionalFormatting xmlns:xm="http://schemas.microsoft.com/office/excel/2006/main">
          <x14:cfRule type="expression" priority="378" stopIfTrue="1" id="{00000000-0000-0000-0000-000000000000}">
            <xm:f>(60 * HOUR($BK$19) + MINUTE($BK$19)) &gt;(60 * HOUR(INDEX('1.Locations'!$G$2:$G$32,$BC$19 + 1)) +MINUTE(INDEX('1.Locations'!$G$2:$G$32,$BC$19 + 1)))</xm:f>
            <x14:dxf>
              <fill>
                <patternFill>
                  <bgColor indexed="10"/>
                </patternFill>
              </fill>
            </x14:dxf>
          </x14:cfRule>
          <xm:sqref>BK19</xm:sqref>
        </x14:conditionalFormatting>
        <x14:conditionalFormatting xmlns:xm="http://schemas.microsoft.com/office/excel/2006/main">
          <x14:cfRule type="cellIs" priority="379" stopIfTrue="1" operator="lessThan" id="{00000000-0000-0000-0000-000000000000}">
            <xm:f>INDEX('1.Locations'!$F$2:$F$32,$BC$20 + 1)</xm:f>
            <x14:dxf>
              <fill>
                <patternFill>
                  <bgColor indexed="52"/>
                </patternFill>
              </fill>
            </x14:dxf>
          </x14:cfRule>
          <xm:sqref>BJ20</xm:sqref>
        </x14:conditionalFormatting>
        <x14:conditionalFormatting xmlns:xm="http://schemas.microsoft.com/office/excel/2006/main">
          <x14:cfRule type="expression" priority="380" stopIfTrue="1" id="{00000000-0000-0000-0000-000000000000}">
            <xm:f>(60 * HOUR($BK$20) + MINUTE($BK$20)) &gt;(60 * HOUR(INDEX('1.Locations'!$G$2:$G$32,$BC$20 + 1)) +MINUTE(INDEX('1.Locations'!$G$2:$G$32,$BC$20 + 1)))</xm:f>
            <x14:dxf>
              <fill>
                <patternFill>
                  <bgColor indexed="10"/>
                </patternFill>
              </fill>
            </x14:dxf>
          </x14:cfRule>
          <xm:sqref>BK20</xm:sqref>
        </x14:conditionalFormatting>
        <x14:conditionalFormatting xmlns:xm="http://schemas.microsoft.com/office/excel/2006/main">
          <x14:cfRule type="cellIs" priority="381" stopIfTrue="1" operator="lessThan" id="{00000000-0000-0000-0000-000000000000}">
            <xm:f>INDEX('1.Locations'!$F$2:$F$32,$BC$21 + 1)</xm:f>
            <x14:dxf>
              <fill>
                <patternFill>
                  <bgColor indexed="52"/>
                </patternFill>
              </fill>
            </x14:dxf>
          </x14:cfRule>
          <xm:sqref>BJ21</xm:sqref>
        </x14:conditionalFormatting>
        <x14:conditionalFormatting xmlns:xm="http://schemas.microsoft.com/office/excel/2006/main">
          <x14:cfRule type="expression" priority="382" stopIfTrue="1" id="{00000000-0000-0000-0000-000000000000}">
            <xm:f>(60 * HOUR($BK$21) + MINUTE($BK$21)) &gt;(60 * HOUR(INDEX('1.Locations'!$G$2:$G$32,$BC$21 + 1)) +MINUTE(INDEX('1.Locations'!$G$2:$G$32,$BC$21 + 1)))</xm:f>
            <x14:dxf>
              <fill>
                <patternFill>
                  <bgColor indexed="10"/>
                </patternFill>
              </fill>
            </x14:dxf>
          </x14:cfRule>
          <xm:sqref>BK21</xm:sqref>
        </x14:conditionalFormatting>
        <x14:conditionalFormatting xmlns:xm="http://schemas.microsoft.com/office/excel/2006/main">
          <x14:cfRule type="cellIs" priority="383" stopIfTrue="1" operator="lessThan" id="{00000000-0000-0000-0000-000000000000}">
            <xm:f>INDEX('1.Locations'!$F$2:$F$32,$BC$22 + 1)</xm:f>
            <x14:dxf>
              <fill>
                <patternFill>
                  <bgColor indexed="52"/>
                </patternFill>
              </fill>
            </x14:dxf>
          </x14:cfRule>
          <xm:sqref>BJ22</xm:sqref>
        </x14:conditionalFormatting>
        <x14:conditionalFormatting xmlns:xm="http://schemas.microsoft.com/office/excel/2006/main">
          <x14:cfRule type="expression" priority="384" stopIfTrue="1" id="{00000000-0000-0000-0000-000000000000}">
            <xm:f>(60 * HOUR($BK$22) + MINUTE($BK$22)) &gt;(60 * HOUR(INDEX('1.Locations'!$G$2:$G$32,$BC$22 + 1)) +MINUTE(INDEX('1.Locations'!$G$2:$G$32,$BC$22 + 1)))</xm:f>
            <x14:dxf>
              <fill>
                <patternFill>
                  <bgColor indexed="10"/>
                </patternFill>
              </fill>
            </x14:dxf>
          </x14:cfRule>
          <xm:sqref>BK22</xm:sqref>
        </x14:conditionalFormatting>
        <x14:conditionalFormatting xmlns:xm="http://schemas.microsoft.com/office/excel/2006/main">
          <x14:cfRule type="cellIs" priority="385" stopIfTrue="1" operator="lessThan" id="{00000000-0000-0000-0000-000000000000}">
            <xm:f>INDEX('1.Locations'!$F$2:$F$32,$BC$23 + 1)</xm:f>
            <x14:dxf>
              <fill>
                <patternFill>
                  <bgColor indexed="52"/>
                </patternFill>
              </fill>
            </x14:dxf>
          </x14:cfRule>
          <xm:sqref>BJ23</xm:sqref>
        </x14:conditionalFormatting>
        <x14:conditionalFormatting xmlns:xm="http://schemas.microsoft.com/office/excel/2006/main">
          <x14:cfRule type="expression" priority="386" stopIfTrue="1" id="{00000000-0000-0000-0000-000000000000}">
            <xm:f>(60 * HOUR($BK$23) + MINUTE($BK$23)) &gt;(60 * HOUR(INDEX('1.Locations'!$G$2:$G$32,$BC$23 + 1)) +MINUTE(INDEX('1.Locations'!$G$2:$G$32,$BC$23 + 1)))</xm:f>
            <x14:dxf>
              <fill>
                <patternFill>
                  <bgColor indexed="10"/>
                </patternFill>
              </fill>
            </x14:dxf>
          </x14:cfRule>
          <xm:sqref>BK23</xm:sqref>
        </x14:conditionalFormatting>
        <x14:conditionalFormatting xmlns:xm="http://schemas.microsoft.com/office/excel/2006/main">
          <x14:cfRule type="cellIs" priority="387" stopIfTrue="1" operator="lessThan" id="{00000000-0000-0000-0000-000000000000}">
            <xm:f>INDEX('1.Locations'!$F$2:$F$32,$BC$24 + 1)</xm:f>
            <x14:dxf>
              <fill>
                <patternFill>
                  <bgColor indexed="52"/>
                </patternFill>
              </fill>
            </x14:dxf>
          </x14:cfRule>
          <xm:sqref>BJ24</xm:sqref>
        </x14:conditionalFormatting>
        <x14:conditionalFormatting xmlns:xm="http://schemas.microsoft.com/office/excel/2006/main">
          <x14:cfRule type="expression" priority="388" stopIfTrue="1" id="{00000000-0000-0000-0000-000000000000}">
            <xm:f>(60 * HOUR($BK$24) + MINUTE($BK$24)) &gt;(60 * HOUR(INDEX('1.Locations'!$G$2:$G$32,$BC$24 + 1)) +MINUTE(INDEX('1.Locations'!$G$2:$G$32,$BC$24 + 1)))</xm:f>
            <x14:dxf>
              <fill>
                <patternFill>
                  <bgColor indexed="10"/>
                </patternFill>
              </fill>
            </x14:dxf>
          </x14:cfRule>
          <xm:sqref>BK24</xm:sqref>
        </x14:conditionalFormatting>
        <x14:conditionalFormatting xmlns:xm="http://schemas.microsoft.com/office/excel/2006/main">
          <x14:cfRule type="cellIs" priority="389" stopIfTrue="1" operator="lessThan" id="{00000000-0000-0000-0000-000000000000}">
            <xm:f>INDEX('1.Locations'!$F$2:$F$32,$BC$25 + 1)</xm:f>
            <x14:dxf>
              <fill>
                <patternFill>
                  <bgColor indexed="5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expression" priority="390" stopIfTrue="1" id="{00000000-0000-0000-0000-000000000000}">
            <xm:f>(60 * HOUR($BK$25) + MINUTE($BK$25)) &gt;(60 * HOUR(INDEX('1.Locations'!$G$2:$G$32,$BC$25 + 1)) +MINUTE(INDEX('1.Locations'!$G$2:$G$32,$BC$25 + 1)))</xm:f>
            <x14:dxf>
              <fill>
                <patternFill>
                  <bgColor indexed="10"/>
                </patternFill>
              </fill>
            </x14:dxf>
          </x14:cfRule>
          <xm:sqref>BK25</xm:sqref>
        </x14:conditionalFormatting>
        <x14:conditionalFormatting xmlns:xm="http://schemas.microsoft.com/office/excel/2006/main">
          <x14:cfRule type="cellIs" priority="391" stopIfTrue="1" operator="lessThan" id="{00000000-0000-0000-0000-000000000000}">
            <xm:f>INDEX('1.Locations'!$F$2:$F$32,$BC$26 + 1)</xm:f>
            <x14:dxf>
              <fill>
                <patternFill>
                  <bgColor indexed="52"/>
                </patternFill>
              </fill>
            </x14:dxf>
          </x14:cfRule>
          <xm:sqref>BJ26</xm:sqref>
        </x14:conditionalFormatting>
        <x14:conditionalFormatting xmlns:xm="http://schemas.microsoft.com/office/excel/2006/main">
          <x14:cfRule type="expression" priority="392" stopIfTrue="1" id="{00000000-0000-0000-0000-000000000000}">
            <xm:f>(60 * HOUR($BK$26) + MINUTE($BK$26)) &gt;(60 * HOUR(INDEX('1.Locations'!$G$2:$G$32,$BC$26 + 1)) +MINUTE(INDEX('1.Locations'!$G$2:$G$32,$BC$26 + 1)))</xm:f>
            <x14:dxf>
              <fill>
                <patternFill>
                  <bgColor indexed="10"/>
                </patternFill>
              </fill>
            </x14:dxf>
          </x14:cfRule>
          <xm:sqref>BK26</xm:sqref>
        </x14:conditionalFormatting>
        <x14:conditionalFormatting xmlns:xm="http://schemas.microsoft.com/office/excel/2006/main">
          <x14:cfRule type="cellIs" priority="393" stopIfTrue="1" operator="lessThan" id="{00000000-0000-0000-0000-000000000000}">
            <xm:f>INDEX('1.Locations'!$F$2:$F$32,$BC$27 + 1)</xm:f>
            <x14:dxf>
              <fill>
                <patternFill>
                  <bgColor indexed="52"/>
                </patternFill>
              </fill>
            </x14:dxf>
          </x14:cfRule>
          <xm:sqref>BJ27</xm:sqref>
        </x14:conditionalFormatting>
        <x14:conditionalFormatting xmlns:xm="http://schemas.microsoft.com/office/excel/2006/main">
          <x14:cfRule type="expression" priority="394" stopIfTrue="1" id="{00000000-0000-0000-0000-000000000000}">
            <xm:f>(60 * HOUR($BK$27) + MINUTE($BK$27)) &gt;(60 * HOUR(INDEX('1.Locations'!$G$2:$G$32,$BC$27 + 1)) +MINUTE(INDEX('1.Locations'!$G$2:$G$32,$BC$27 + 1)))</xm:f>
            <x14:dxf>
              <fill>
                <patternFill>
                  <bgColor indexed="10"/>
                </patternFill>
              </fill>
            </x14:dxf>
          </x14:cfRule>
          <xm:sqref>BK27</xm:sqref>
        </x14:conditionalFormatting>
        <x14:conditionalFormatting xmlns:xm="http://schemas.microsoft.com/office/excel/2006/main">
          <x14:cfRule type="cellIs" priority="395" stopIfTrue="1" operator="lessThan" id="{00000000-0000-0000-0000-000000000000}">
            <xm:f>INDEX('1.Locations'!$F$2:$F$32,$BC$28 + 1)</xm:f>
            <x14:dxf>
              <fill>
                <patternFill>
                  <bgColor indexed="52"/>
                </patternFill>
              </fill>
            </x14:dxf>
          </x14:cfRule>
          <xm:sqref>BJ28</xm:sqref>
        </x14:conditionalFormatting>
        <x14:conditionalFormatting xmlns:xm="http://schemas.microsoft.com/office/excel/2006/main">
          <x14:cfRule type="expression" priority="396" stopIfTrue="1" id="{00000000-0000-0000-0000-000000000000}">
            <xm:f>(60 * HOUR($BK$28) + MINUTE($BK$28)) &gt;(60 * HOUR(INDEX('1.Locations'!$G$2:$G$32,$BC$28 + 1)) +MINUTE(INDEX('1.Locations'!$G$2:$G$32,$BC$28 + 1)))</xm:f>
            <x14:dxf>
              <fill>
                <patternFill>
                  <bgColor indexed="10"/>
                </patternFill>
              </fill>
            </x14:dxf>
          </x14:cfRule>
          <xm:sqref>BK28</xm:sqref>
        </x14:conditionalFormatting>
        <x14:conditionalFormatting xmlns:xm="http://schemas.microsoft.com/office/excel/2006/main">
          <x14:cfRule type="cellIs" priority="397" stopIfTrue="1" operator="lessThan" id="{00000000-0000-0000-0000-000000000000}">
            <xm:f>INDEX('1.Locations'!$F$2:$F$32,$BC$29 + 1)</xm:f>
            <x14:dxf>
              <fill>
                <patternFill>
                  <bgColor indexed="52"/>
                </patternFill>
              </fill>
            </x14:dxf>
          </x14:cfRule>
          <xm:sqref>BJ29</xm:sqref>
        </x14:conditionalFormatting>
        <x14:conditionalFormatting xmlns:xm="http://schemas.microsoft.com/office/excel/2006/main">
          <x14:cfRule type="expression" priority="398" stopIfTrue="1" id="{00000000-0000-0000-0000-000000000000}">
            <xm:f>(60 * HOUR($BK$29) + MINUTE($BK$29)) &gt;(60 * HOUR(INDEX('1.Locations'!$G$2:$G$32,$BC$29 + 1)) +MINUTE(INDEX('1.Locations'!$G$2:$G$32,$BC$29 + 1)))</xm:f>
            <x14:dxf>
              <fill>
                <patternFill>
                  <bgColor indexed="10"/>
                </patternFill>
              </fill>
            </x14:dxf>
          </x14:cfRule>
          <xm:sqref>BK29</xm:sqref>
        </x14:conditionalFormatting>
        <x14:conditionalFormatting xmlns:xm="http://schemas.microsoft.com/office/excel/2006/main">
          <x14:cfRule type="cellIs" priority="399" stopIfTrue="1" operator="lessThan" id="{00000000-0000-0000-0000-000000000000}">
            <xm:f>INDEX('1.Locations'!$F$2:$F$32,$BC$30 + 1)</xm:f>
            <x14:dxf>
              <fill>
                <patternFill>
                  <bgColor indexed="52"/>
                </patternFill>
              </fill>
            </x14:dxf>
          </x14:cfRule>
          <xm:sqref>BJ30</xm:sqref>
        </x14:conditionalFormatting>
        <x14:conditionalFormatting xmlns:xm="http://schemas.microsoft.com/office/excel/2006/main">
          <x14:cfRule type="expression" priority="400" stopIfTrue="1" id="{00000000-0000-0000-0000-000000000000}">
            <xm:f>(60 * HOUR($BK$30) + MINUTE($BK$30)) &gt;(60 * HOUR(INDEX('1.Locations'!$G$2:$G$32,$BC$30 + 1)) +MINUTE(INDEX('1.Locations'!$G$2:$G$32,$BC$30 + 1)))</xm:f>
            <x14:dxf>
              <fill>
                <patternFill>
                  <bgColor indexed="10"/>
                </patternFill>
              </fill>
            </x14:dxf>
          </x14:cfRule>
          <xm:sqref>BK30</xm:sqref>
        </x14:conditionalFormatting>
        <x14:conditionalFormatting xmlns:xm="http://schemas.microsoft.com/office/excel/2006/main">
          <x14:cfRule type="cellIs" priority="401" stopIfTrue="1" operator="lessThan" id="{00000000-0000-0000-0000-000000000000}">
            <xm:f>INDEX('1.Locations'!$F$2:$F$32,$BC$31 + 1)</xm:f>
            <x14:dxf>
              <fill>
                <patternFill>
                  <bgColor indexed="52"/>
                </patternFill>
              </fill>
            </x14:dxf>
          </x14:cfRule>
          <xm:sqref>BJ31</xm:sqref>
        </x14:conditionalFormatting>
        <x14:conditionalFormatting xmlns:xm="http://schemas.microsoft.com/office/excel/2006/main">
          <x14:cfRule type="expression" priority="402" stopIfTrue="1" id="{00000000-0000-0000-0000-000000000000}">
            <xm:f>(60 * HOUR($BK$31) + MINUTE($BK$31)) &gt;(60 * HOUR(INDEX('1.Locations'!$G$2:$G$32,$BC$31 + 1)) +MINUTE(INDEX('1.Locations'!$G$2:$G$32,$BC$31 + 1)))</xm:f>
            <x14:dxf>
              <fill>
                <patternFill>
                  <bgColor indexed="10"/>
                </patternFill>
              </fill>
            </x14:dxf>
          </x14:cfRule>
          <xm:sqref>BK31</xm:sqref>
        </x14:conditionalFormatting>
        <x14:conditionalFormatting xmlns:xm="http://schemas.microsoft.com/office/excel/2006/main">
          <x14:cfRule type="cellIs" priority="403" stopIfTrue="1" operator="lessThan" id="{00000000-0000-0000-0000-000000000000}">
            <xm:f>INDEX('1.Locations'!$F$2:$F$32,$BC$32 + 1)</xm:f>
            <x14:dxf>
              <fill>
                <patternFill>
                  <bgColor indexed="52"/>
                </patternFill>
              </fill>
            </x14:dxf>
          </x14:cfRule>
          <xm:sqref>BJ32</xm:sqref>
        </x14:conditionalFormatting>
        <x14:conditionalFormatting xmlns:xm="http://schemas.microsoft.com/office/excel/2006/main">
          <x14:cfRule type="expression" priority="404" stopIfTrue="1" id="{00000000-0000-0000-0000-000000000000}">
            <xm:f>(60 * HOUR($BK$32) + MINUTE($BK$32)) &gt;(60 * HOUR(INDEX('1.Locations'!$G$2:$G$32,$BC$32 + 1)) +MINUTE(INDEX('1.Locations'!$G$2:$G$32,$BC$32 + 1)))</xm:f>
            <x14:dxf>
              <fill>
                <patternFill>
                  <bgColor indexed="10"/>
                </patternFill>
              </fill>
            </x14:dxf>
          </x14:cfRule>
          <xm:sqref>BK32</xm:sqref>
        </x14:conditionalFormatting>
        <x14:conditionalFormatting xmlns:xm="http://schemas.microsoft.com/office/excel/2006/main">
          <x14:cfRule type="cellIs" priority="405" stopIfTrue="1" operator="lessThan" id="{00000000-0000-0000-0000-000000000000}">
            <xm:f>INDEX('1.Locations'!$F$2:$F$32,$BC$33 + 1)</xm:f>
            <x14:dxf>
              <fill>
                <patternFill>
                  <bgColor indexed="52"/>
                </patternFill>
              </fill>
            </x14:dxf>
          </x14:cfRule>
          <xm:sqref>BJ33</xm:sqref>
        </x14:conditionalFormatting>
        <x14:conditionalFormatting xmlns:xm="http://schemas.microsoft.com/office/excel/2006/main">
          <x14:cfRule type="expression" priority="406" stopIfTrue="1" id="{00000000-0000-0000-0000-000000000000}">
            <xm:f>(60 * HOUR($BK$33) + MINUTE($BK$33)) &gt;(60 * HOUR(INDEX('1.Locations'!$G$2:$G$32,$BC$33 + 1)) +MINUTE(INDEX('1.Locations'!$G$2:$G$32,$BC$33 + 1)))</xm:f>
            <x14:dxf>
              <fill>
                <patternFill>
                  <bgColor indexed="10"/>
                </patternFill>
              </fill>
            </x14:dxf>
          </x14:cfRule>
          <xm:sqref>BK33</xm:sqref>
        </x14:conditionalFormatting>
        <x14:conditionalFormatting xmlns:xm="http://schemas.microsoft.com/office/excel/2006/main">
          <x14:cfRule type="cellIs" priority="407" stopIfTrue="1" operator="lessThan" id="{00000000-0000-0000-0000-000000000000}">
            <xm:f>INDEX('1.Locations'!$F$2:$F$32,$BC$34 + 1)</xm:f>
            <x14:dxf>
              <fill>
                <patternFill>
                  <bgColor indexed="52"/>
                </patternFill>
              </fill>
            </x14:dxf>
          </x14:cfRule>
          <xm:sqref>BJ34</xm:sqref>
        </x14:conditionalFormatting>
        <x14:conditionalFormatting xmlns:xm="http://schemas.microsoft.com/office/excel/2006/main">
          <x14:cfRule type="expression" priority="408" stopIfTrue="1" id="{00000000-0000-0000-0000-000000000000}">
            <xm:f>(60 * HOUR($BK$34) + MINUTE($BK$34)) &gt;(60 * HOUR(INDEX('1.Locations'!$G$2:$G$32,$BC$34 + 1)) +MINUTE(INDEX('1.Locations'!$G$2:$G$32,$BC$34 + 1)))</xm:f>
            <x14:dxf>
              <fill>
                <patternFill>
                  <bgColor indexed="10"/>
                </patternFill>
              </fill>
            </x14:dxf>
          </x14:cfRule>
          <xm:sqref>BK34</xm:sqref>
        </x14:conditionalFormatting>
        <x14:conditionalFormatting xmlns:xm="http://schemas.microsoft.com/office/excel/2006/main">
          <x14:cfRule type="cellIs" priority="409" stopIfTrue="1" operator="lessThan" id="{00000000-0000-0000-0000-000000000000}">
            <xm:f>INDEX('1.Locations'!$F$2:$F$32,$BC$35 + 1)</xm:f>
            <x14:dxf>
              <fill>
                <patternFill>
                  <bgColor indexed="52"/>
                </patternFill>
              </fill>
            </x14:dxf>
          </x14:cfRule>
          <xm:sqref>BJ35</xm:sqref>
        </x14:conditionalFormatting>
        <x14:conditionalFormatting xmlns:xm="http://schemas.microsoft.com/office/excel/2006/main">
          <x14:cfRule type="expression" priority="410" stopIfTrue="1" id="{00000000-0000-0000-0000-000000000000}">
            <xm:f>(60 * HOUR($BK$35) + MINUTE($BK$35)) &gt;(60 * HOUR(INDEX('1.Locations'!$G$2:$G$32,$BC$35 + 1)) +MINUTE(INDEX('1.Locations'!$G$2:$G$32,$BC$35 + 1)))</xm:f>
            <x14:dxf>
              <fill>
                <patternFill>
                  <bgColor indexed="10"/>
                </patternFill>
              </fill>
            </x14:dxf>
          </x14:cfRule>
          <xm:sqref>BK35</xm:sqref>
        </x14:conditionalFormatting>
        <x14:conditionalFormatting xmlns:xm="http://schemas.microsoft.com/office/excel/2006/main">
          <x14:cfRule type="cellIs" priority="411" stopIfTrue="1" operator="lessThan" id="{00000000-0000-0000-0000-000000000000}">
            <xm:f>INDEX('1.Locations'!$F$2:$F$32,$BC$36 + 1)</xm:f>
            <x14:dxf>
              <fill>
                <patternFill>
                  <bgColor indexed="52"/>
                </patternFill>
              </fill>
            </x14:dxf>
          </x14:cfRule>
          <xm:sqref>BJ36</xm:sqref>
        </x14:conditionalFormatting>
        <x14:conditionalFormatting xmlns:xm="http://schemas.microsoft.com/office/excel/2006/main">
          <x14:cfRule type="expression" priority="412" stopIfTrue="1" id="{00000000-0000-0000-0000-000000000000}">
            <xm:f>(60 * HOUR($BK$36) + MINUTE($BK$36)) &gt;(60 * HOUR(INDEX('1.Locations'!$G$2:$G$32,$BC$36 + 1)) +MINUTE(INDEX('1.Locations'!$G$2:$G$32,$BC$36 + 1)))</xm:f>
            <x14:dxf>
              <fill>
                <patternFill>
                  <bgColor indexed="10"/>
                </patternFill>
              </fill>
            </x14:dxf>
          </x14:cfRule>
          <xm:sqref>BK36</xm:sqref>
        </x14:conditionalFormatting>
        <x14:conditionalFormatting xmlns:xm="http://schemas.microsoft.com/office/excel/2006/main">
          <x14:cfRule type="cellIs" priority="413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BF6:BF36</xm:sqref>
        </x14:conditionalFormatting>
        <x14:conditionalFormatting xmlns:xm="http://schemas.microsoft.com/office/excel/2006/main">
          <x14:cfRule type="cellIs" priority="414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BG6:BG36</xm:sqref>
        </x14:conditionalFormatting>
        <x14:conditionalFormatting xmlns:xm="http://schemas.microsoft.com/office/excel/2006/main">
          <x14:cfRule type="cellIs" priority="415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BI6:BI36</xm:sqref>
        </x14:conditionalFormatting>
        <x14:conditionalFormatting xmlns:xm="http://schemas.microsoft.com/office/excel/2006/main">
          <x14:cfRule type="cellIs" priority="416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BL6:BL36</xm:sqref>
        </x14:conditionalFormatting>
        <x14:conditionalFormatting xmlns:xm="http://schemas.microsoft.com/office/excel/2006/main">
          <x14:cfRule type="cellIs" priority="418" stopIfTrue="1" operator="lessThan" id="{00000000-0000-0000-0000-000000000000}">
            <xm:f>INDEX('1.Locations'!$F$2:$F$32,$BP$5 + 1)</xm:f>
            <x14:dxf>
              <fill>
                <patternFill>
                  <bgColor indexed="52"/>
                </patternFill>
              </fill>
            </x14:dxf>
          </x14:cfRule>
          <xm:sqref>BW5</xm:sqref>
        </x14:conditionalFormatting>
        <x14:conditionalFormatting xmlns:xm="http://schemas.microsoft.com/office/excel/2006/main">
          <x14:cfRule type="expression" priority="419" stopIfTrue="1" id="{00000000-0000-0000-0000-000000000000}">
            <xm:f>(60 * HOUR($BX$5) + MINUTE($BX$5)) &gt;(60 * HOUR(INDEX('1.Locations'!$G$2:$G$32,$BP$5 + 1)) +MINUTE(INDEX('1.Locations'!$G$2:$G$32,$BP$5 + 1)))</xm:f>
            <x14:dxf>
              <fill>
                <patternFill>
                  <bgColor indexed="10"/>
                </patternFill>
              </fill>
            </x14:dxf>
          </x14:cfRule>
          <xm:sqref>BX5</xm:sqref>
        </x14:conditionalFormatting>
        <x14:conditionalFormatting xmlns:xm="http://schemas.microsoft.com/office/excel/2006/main">
          <x14:cfRule type="cellIs" priority="420" stopIfTrue="1" operator="lessThan" id="{00000000-0000-0000-0000-000000000000}">
            <xm:f>INDEX('1.Locations'!$F$2:$F$32,$BP$6 + 1)</xm:f>
            <x14:dxf>
              <fill>
                <patternFill>
                  <bgColor indexed="52"/>
                </patternFill>
              </fill>
            </x14:dxf>
          </x14:cfRule>
          <xm:sqref>BW6</xm:sqref>
        </x14:conditionalFormatting>
        <x14:conditionalFormatting xmlns:xm="http://schemas.microsoft.com/office/excel/2006/main">
          <x14:cfRule type="expression" priority="421" stopIfTrue="1" id="{00000000-0000-0000-0000-000000000000}">
            <xm:f>(60 * HOUR($BX$6) + MINUTE($BX$6)) &gt;(60 * HOUR(INDEX('1.Locations'!$G$2:$G$32,$BP$6 + 1)) +MINUTE(INDEX('1.Locations'!$G$2:$G$32,$BP$6 + 1)))</xm:f>
            <x14:dxf>
              <fill>
                <patternFill>
                  <bgColor indexed="10"/>
                </patternFill>
              </fill>
            </x14:dxf>
          </x14:cfRule>
          <xm:sqref>BX6</xm:sqref>
        </x14:conditionalFormatting>
        <x14:conditionalFormatting xmlns:xm="http://schemas.microsoft.com/office/excel/2006/main">
          <x14:cfRule type="cellIs" priority="422" stopIfTrue="1" operator="lessThan" id="{00000000-0000-0000-0000-000000000000}">
            <xm:f>INDEX('1.Locations'!$F$2:$F$32,$BP$7 + 1)</xm:f>
            <x14:dxf>
              <fill>
                <patternFill>
                  <bgColor indexed="52"/>
                </patternFill>
              </fill>
            </x14:dxf>
          </x14:cfRule>
          <xm:sqref>BW7</xm:sqref>
        </x14:conditionalFormatting>
        <x14:conditionalFormatting xmlns:xm="http://schemas.microsoft.com/office/excel/2006/main">
          <x14:cfRule type="expression" priority="423" stopIfTrue="1" id="{00000000-0000-0000-0000-000000000000}">
            <xm:f>(60 * HOUR($BX$7) + MINUTE($BX$7)) &gt;(60 * HOUR(INDEX('1.Locations'!$G$2:$G$32,$BP$7 + 1)) +MINUTE(INDEX('1.Locations'!$G$2:$G$32,$BP$7 + 1)))</xm:f>
            <x14:dxf>
              <fill>
                <patternFill>
                  <bgColor indexed="10"/>
                </patternFill>
              </fill>
            </x14:dxf>
          </x14:cfRule>
          <xm:sqref>BX7</xm:sqref>
        </x14:conditionalFormatting>
        <x14:conditionalFormatting xmlns:xm="http://schemas.microsoft.com/office/excel/2006/main">
          <x14:cfRule type="cellIs" priority="424" stopIfTrue="1" operator="lessThan" id="{00000000-0000-0000-0000-000000000000}">
            <xm:f>INDEX('1.Locations'!$F$2:$F$32,$BP$8 + 1)</xm:f>
            <x14:dxf>
              <fill>
                <patternFill>
                  <bgColor indexed="52"/>
                </patternFill>
              </fill>
            </x14:dxf>
          </x14:cfRule>
          <xm:sqref>BW8</xm:sqref>
        </x14:conditionalFormatting>
        <x14:conditionalFormatting xmlns:xm="http://schemas.microsoft.com/office/excel/2006/main">
          <x14:cfRule type="expression" priority="425" stopIfTrue="1" id="{00000000-0000-0000-0000-000000000000}">
            <xm:f>(60 * HOUR($BX$8) + MINUTE($BX$8)) &gt;(60 * HOUR(INDEX('1.Locations'!$G$2:$G$32,$BP$8 + 1)) +MINUTE(INDEX('1.Locations'!$G$2:$G$32,$BP$8 + 1)))</xm:f>
            <x14:dxf>
              <fill>
                <patternFill>
                  <bgColor indexed="10"/>
                </patternFill>
              </fill>
            </x14:dxf>
          </x14:cfRule>
          <xm:sqref>BX8</xm:sqref>
        </x14:conditionalFormatting>
        <x14:conditionalFormatting xmlns:xm="http://schemas.microsoft.com/office/excel/2006/main">
          <x14:cfRule type="cellIs" priority="426" stopIfTrue="1" operator="lessThan" id="{00000000-0000-0000-0000-000000000000}">
            <xm:f>INDEX('1.Locations'!$F$2:$F$32,$BP$9 + 1)</xm:f>
            <x14:dxf>
              <fill>
                <patternFill>
                  <bgColor indexed="52"/>
                </patternFill>
              </fill>
            </x14:dxf>
          </x14:cfRule>
          <xm:sqref>BW9</xm:sqref>
        </x14:conditionalFormatting>
        <x14:conditionalFormatting xmlns:xm="http://schemas.microsoft.com/office/excel/2006/main">
          <x14:cfRule type="expression" priority="427" stopIfTrue="1" id="{00000000-0000-0000-0000-000000000000}">
            <xm:f>(60 * HOUR($BX$9) + MINUTE($BX$9)) &gt;(60 * HOUR(INDEX('1.Locations'!$G$2:$G$32,$BP$9 + 1)) +MINUTE(INDEX('1.Locations'!$G$2:$G$32,$BP$9 + 1)))</xm:f>
            <x14:dxf>
              <fill>
                <patternFill>
                  <bgColor indexed="10"/>
                </patternFill>
              </fill>
            </x14:dxf>
          </x14:cfRule>
          <xm:sqref>BX9</xm:sqref>
        </x14:conditionalFormatting>
        <x14:conditionalFormatting xmlns:xm="http://schemas.microsoft.com/office/excel/2006/main">
          <x14:cfRule type="cellIs" priority="428" stopIfTrue="1" operator="lessThan" id="{00000000-0000-0000-0000-000000000000}">
            <xm:f>INDEX('1.Locations'!$F$2:$F$32,$BP$10 + 1)</xm:f>
            <x14:dxf>
              <fill>
                <patternFill>
                  <bgColor indexed="52"/>
                </patternFill>
              </fill>
            </x14:dxf>
          </x14:cfRule>
          <xm:sqref>BW10</xm:sqref>
        </x14:conditionalFormatting>
        <x14:conditionalFormatting xmlns:xm="http://schemas.microsoft.com/office/excel/2006/main">
          <x14:cfRule type="expression" priority="429" stopIfTrue="1" id="{00000000-0000-0000-0000-000000000000}">
            <xm:f>(60 * HOUR($BX$10) + MINUTE($BX$10)) &gt;(60 * HOUR(INDEX('1.Locations'!$G$2:$G$32,$BP$10 + 1)) +MINUTE(INDEX('1.Locations'!$G$2:$G$32,$BP$10 + 1)))</xm:f>
            <x14:dxf>
              <fill>
                <patternFill>
                  <bgColor indexed="10"/>
                </patternFill>
              </fill>
            </x14:dxf>
          </x14:cfRule>
          <xm:sqref>BX10</xm:sqref>
        </x14:conditionalFormatting>
        <x14:conditionalFormatting xmlns:xm="http://schemas.microsoft.com/office/excel/2006/main">
          <x14:cfRule type="cellIs" priority="430" stopIfTrue="1" operator="lessThan" id="{00000000-0000-0000-0000-000000000000}">
            <xm:f>INDEX('1.Locations'!$F$2:$F$32,$BP$11 + 1)</xm:f>
            <x14:dxf>
              <fill>
                <patternFill>
                  <bgColor indexed="52"/>
                </patternFill>
              </fill>
            </x14:dxf>
          </x14:cfRule>
          <xm:sqref>BW11</xm:sqref>
        </x14:conditionalFormatting>
        <x14:conditionalFormatting xmlns:xm="http://schemas.microsoft.com/office/excel/2006/main">
          <x14:cfRule type="expression" priority="431" stopIfTrue="1" id="{00000000-0000-0000-0000-000000000000}">
            <xm:f>(60 * HOUR($BX$11) + MINUTE($BX$11)) &gt;(60 * HOUR(INDEX('1.Locations'!$G$2:$G$32,$BP$11 + 1)) +MINUTE(INDEX('1.Locations'!$G$2:$G$32,$BP$11 + 1)))</xm:f>
            <x14:dxf>
              <fill>
                <patternFill>
                  <bgColor indexed="10"/>
                </patternFill>
              </fill>
            </x14:dxf>
          </x14:cfRule>
          <xm:sqref>BX11</xm:sqref>
        </x14:conditionalFormatting>
        <x14:conditionalFormatting xmlns:xm="http://schemas.microsoft.com/office/excel/2006/main">
          <x14:cfRule type="cellIs" priority="432" stopIfTrue="1" operator="lessThan" id="{00000000-0000-0000-0000-000000000000}">
            <xm:f>INDEX('1.Locations'!$F$2:$F$32,$BP$12 + 1)</xm:f>
            <x14:dxf>
              <fill>
                <patternFill>
                  <bgColor indexed="52"/>
                </patternFill>
              </fill>
            </x14:dxf>
          </x14:cfRule>
          <xm:sqref>BW12</xm:sqref>
        </x14:conditionalFormatting>
        <x14:conditionalFormatting xmlns:xm="http://schemas.microsoft.com/office/excel/2006/main">
          <x14:cfRule type="expression" priority="433" stopIfTrue="1" id="{00000000-0000-0000-0000-000000000000}">
            <xm:f>(60 * HOUR($BX$12) + MINUTE($BX$12)) &gt;(60 * HOUR(INDEX('1.Locations'!$G$2:$G$32,$BP$12 + 1)) +MINUTE(INDEX('1.Locations'!$G$2:$G$32,$BP$12 + 1)))</xm:f>
            <x14:dxf>
              <fill>
                <patternFill>
                  <bgColor indexed="10"/>
                </patternFill>
              </fill>
            </x14:dxf>
          </x14:cfRule>
          <xm:sqref>BX12</xm:sqref>
        </x14:conditionalFormatting>
        <x14:conditionalFormatting xmlns:xm="http://schemas.microsoft.com/office/excel/2006/main">
          <x14:cfRule type="cellIs" priority="434" stopIfTrue="1" operator="lessThan" id="{00000000-0000-0000-0000-000000000000}">
            <xm:f>INDEX('1.Locations'!$F$2:$F$32,$BP$13 + 1)</xm:f>
            <x14:dxf>
              <fill>
                <patternFill>
                  <bgColor indexed="52"/>
                </patternFill>
              </fill>
            </x14:dxf>
          </x14:cfRule>
          <xm:sqref>BW13</xm:sqref>
        </x14:conditionalFormatting>
        <x14:conditionalFormatting xmlns:xm="http://schemas.microsoft.com/office/excel/2006/main">
          <x14:cfRule type="expression" priority="435" stopIfTrue="1" id="{00000000-0000-0000-0000-000000000000}">
            <xm:f>(60 * HOUR($BX$13) + MINUTE($BX$13)) &gt;(60 * HOUR(INDEX('1.Locations'!$G$2:$G$32,$BP$13 + 1)) +MINUTE(INDEX('1.Locations'!$G$2:$G$32,$BP$13 + 1)))</xm:f>
            <x14:dxf>
              <fill>
                <patternFill>
                  <bgColor indexed="10"/>
                </patternFill>
              </fill>
            </x14:dxf>
          </x14:cfRule>
          <xm:sqref>BX13</xm:sqref>
        </x14:conditionalFormatting>
        <x14:conditionalFormatting xmlns:xm="http://schemas.microsoft.com/office/excel/2006/main">
          <x14:cfRule type="cellIs" priority="436" stopIfTrue="1" operator="lessThan" id="{00000000-0000-0000-0000-000000000000}">
            <xm:f>INDEX('1.Locations'!$F$2:$F$32,$BP$14 + 1)</xm:f>
            <x14:dxf>
              <fill>
                <patternFill>
                  <bgColor indexed="52"/>
                </patternFill>
              </fill>
            </x14:dxf>
          </x14:cfRule>
          <xm:sqref>BW14</xm:sqref>
        </x14:conditionalFormatting>
        <x14:conditionalFormatting xmlns:xm="http://schemas.microsoft.com/office/excel/2006/main">
          <x14:cfRule type="expression" priority="437" stopIfTrue="1" id="{00000000-0000-0000-0000-000000000000}">
            <xm:f>(60 * HOUR($BX$14) + MINUTE($BX$14)) &gt;(60 * HOUR(INDEX('1.Locations'!$G$2:$G$32,$BP$14 + 1)) +MINUTE(INDEX('1.Locations'!$G$2:$G$32,$BP$14 + 1)))</xm:f>
            <x14:dxf>
              <fill>
                <patternFill>
                  <bgColor indexed="10"/>
                </patternFill>
              </fill>
            </x14:dxf>
          </x14:cfRule>
          <xm:sqref>BX14</xm:sqref>
        </x14:conditionalFormatting>
        <x14:conditionalFormatting xmlns:xm="http://schemas.microsoft.com/office/excel/2006/main">
          <x14:cfRule type="cellIs" priority="438" stopIfTrue="1" operator="lessThan" id="{00000000-0000-0000-0000-000000000000}">
            <xm:f>INDEX('1.Locations'!$F$2:$F$32,$BP$15 + 1)</xm:f>
            <x14:dxf>
              <fill>
                <patternFill>
                  <bgColor indexed="52"/>
                </patternFill>
              </fill>
            </x14:dxf>
          </x14:cfRule>
          <xm:sqref>BW15</xm:sqref>
        </x14:conditionalFormatting>
        <x14:conditionalFormatting xmlns:xm="http://schemas.microsoft.com/office/excel/2006/main">
          <x14:cfRule type="expression" priority="439" stopIfTrue="1" id="{00000000-0000-0000-0000-000000000000}">
            <xm:f>(60 * HOUR($BX$15) + MINUTE($BX$15)) &gt;(60 * HOUR(INDEX('1.Locations'!$G$2:$G$32,$BP$15 + 1)) +MINUTE(INDEX('1.Locations'!$G$2:$G$32,$BP$15 + 1)))</xm:f>
            <x14:dxf>
              <fill>
                <patternFill>
                  <bgColor indexed="10"/>
                </patternFill>
              </fill>
            </x14:dxf>
          </x14:cfRule>
          <xm:sqref>BX15</xm:sqref>
        </x14:conditionalFormatting>
        <x14:conditionalFormatting xmlns:xm="http://schemas.microsoft.com/office/excel/2006/main">
          <x14:cfRule type="cellIs" priority="440" stopIfTrue="1" operator="lessThan" id="{00000000-0000-0000-0000-000000000000}">
            <xm:f>INDEX('1.Locations'!$F$2:$F$32,$BP$16 + 1)</xm:f>
            <x14:dxf>
              <fill>
                <patternFill>
                  <bgColor indexed="52"/>
                </patternFill>
              </fill>
            </x14:dxf>
          </x14:cfRule>
          <xm:sqref>BW16</xm:sqref>
        </x14:conditionalFormatting>
        <x14:conditionalFormatting xmlns:xm="http://schemas.microsoft.com/office/excel/2006/main">
          <x14:cfRule type="expression" priority="441" stopIfTrue="1" id="{00000000-0000-0000-0000-000000000000}">
            <xm:f>(60 * HOUR($BX$16) + MINUTE($BX$16)) &gt;(60 * HOUR(INDEX('1.Locations'!$G$2:$G$32,$BP$16 + 1)) +MINUTE(INDEX('1.Locations'!$G$2:$G$32,$BP$16 + 1)))</xm:f>
            <x14:dxf>
              <fill>
                <patternFill>
                  <bgColor indexed="10"/>
                </patternFill>
              </fill>
            </x14:dxf>
          </x14:cfRule>
          <xm:sqref>BX16</xm:sqref>
        </x14:conditionalFormatting>
        <x14:conditionalFormatting xmlns:xm="http://schemas.microsoft.com/office/excel/2006/main">
          <x14:cfRule type="cellIs" priority="442" stopIfTrue="1" operator="lessThan" id="{00000000-0000-0000-0000-000000000000}">
            <xm:f>INDEX('1.Locations'!$F$2:$F$32,$BP$17 + 1)</xm:f>
            <x14:dxf>
              <fill>
                <patternFill>
                  <bgColor indexed="52"/>
                </patternFill>
              </fill>
            </x14:dxf>
          </x14:cfRule>
          <xm:sqref>BW17</xm:sqref>
        </x14:conditionalFormatting>
        <x14:conditionalFormatting xmlns:xm="http://schemas.microsoft.com/office/excel/2006/main">
          <x14:cfRule type="expression" priority="443" stopIfTrue="1" id="{00000000-0000-0000-0000-000000000000}">
            <xm:f>(60 * HOUR($BX$17) + MINUTE($BX$17)) &gt;(60 * HOUR(INDEX('1.Locations'!$G$2:$G$32,$BP$17 + 1)) +MINUTE(INDEX('1.Locations'!$G$2:$G$32,$BP$17 + 1)))</xm:f>
            <x14:dxf>
              <fill>
                <patternFill>
                  <bgColor indexed="10"/>
                </patternFill>
              </fill>
            </x14:dxf>
          </x14:cfRule>
          <xm:sqref>BX17</xm:sqref>
        </x14:conditionalFormatting>
        <x14:conditionalFormatting xmlns:xm="http://schemas.microsoft.com/office/excel/2006/main">
          <x14:cfRule type="cellIs" priority="444" stopIfTrue="1" operator="lessThan" id="{00000000-0000-0000-0000-000000000000}">
            <xm:f>INDEX('1.Locations'!$F$2:$F$32,$BP$18 + 1)</xm:f>
            <x14:dxf>
              <fill>
                <patternFill>
                  <bgColor indexed="52"/>
                </patternFill>
              </fill>
            </x14:dxf>
          </x14:cfRule>
          <xm:sqref>BW18</xm:sqref>
        </x14:conditionalFormatting>
        <x14:conditionalFormatting xmlns:xm="http://schemas.microsoft.com/office/excel/2006/main">
          <x14:cfRule type="expression" priority="445" stopIfTrue="1" id="{00000000-0000-0000-0000-000000000000}">
            <xm:f>(60 * HOUR($BX$18) + MINUTE($BX$18)) &gt;(60 * HOUR(INDEX('1.Locations'!$G$2:$G$32,$BP$18 + 1)) +MINUTE(INDEX('1.Locations'!$G$2:$G$32,$BP$18 + 1)))</xm:f>
            <x14:dxf>
              <fill>
                <patternFill>
                  <bgColor indexed="10"/>
                </patternFill>
              </fill>
            </x14:dxf>
          </x14:cfRule>
          <xm:sqref>BX18</xm:sqref>
        </x14:conditionalFormatting>
        <x14:conditionalFormatting xmlns:xm="http://schemas.microsoft.com/office/excel/2006/main">
          <x14:cfRule type="cellIs" priority="446" stopIfTrue="1" operator="lessThan" id="{00000000-0000-0000-0000-000000000000}">
            <xm:f>INDEX('1.Locations'!$F$2:$F$32,$BP$19 + 1)</xm:f>
            <x14:dxf>
              <fill>
                <patternFill>
                  <bgColor indexed="52"/>
                </patternFill>
              </fill>
            </x14:dxf>
          </x14:cfRule>
          <xm:sqref>BW19</xm:sqref>
        </x14:conditionalFormatting>
        <x14:conditionalFormatting xmlns:xm="http://schemas.microsoft.com/office/excel/2006/main">
          <x14:cfRule type="expression" priority="447" stopIfTrue="1" id="{00000000-0000-0000-0000-000000000000}">
            <xm:f>(60 * HOUR($BX$19) + MINUTE($BX$19)) &gt;(60 * HOUR(INDEX('1.Locations'!$G$2:$G$32,$BP$19 + 1)) +MINUTE(INDEX('1.Locations'!$G$2:$G$32,$BP$19 + 1)))</xm:f>
            <x14:dxf>
              <fill>
                <patternFill>
                  <bgColor indexed="10"/>
                </patternFill>
              </fill>
            </x14:dxf>
          </x14:cfRule>
          <xm:sqref>BX19</xm:sqref>
        </x14:conditionalFormatting>
        <x14:conditionalFormatting xmlns:xm="http://schemas.microsoft.com/office/excel/2006/main">
          <x14:cfRule type="cellIs" priority="448" stopIfTrue="1" operator="lessThan" id="{00000000-0000-0000-0000-000000000000}">
            <xm:f>INDEX('1.Locations'!$F$2:$F$32,$BP$20 + 1)</xm:f>
            <x14:dxf>
              <fill>
                <patternFill>
                  <bgColor indexed="52"/>
                </patternFill>
              </fill>
            </x14:dxf>
          </x14:cfRule>
          <xm:sqref>BW20</xm:sqref>
        </x14:conditionalFormatting>
        <x14:conditionalFormatting xmlns:xm="http://schemas.microsoft.com/office/excel/2006/main">
          <x14:cfRule type="expression" priority="449" stopIfTrue="1" id="{00000000-0000-0000-0000-000000000000}">
            <xm:f>(60 * HOUR($BX$20) + MINUTE($BX$20)) &gt;(60 * HOUR(INDEX('1.Locations'!$G$2:$G$32,$BP$20 + 1)) +MINUTE(INDEX('1.Locations'!$G$2:$G$32,$BP$20 + 1)))</xm:f>
            <x14:dxf>
              <fill>
                <patternFill>
                  <bgColor indexed="10"/>
                </patternFill>
              </fill>
            </x14:dxf>
          </x14:cfRule>
          <xm:sqref>BX20</xm:sqref>
        </x14:conditionalFormatting>
        <x14:conditionalFormatting xmlns:xm="http://schemas.microsoft.com/office/excel/2006/main">
          <x14:cfRule type="cellIs" priority="450" stopIfTrue="1" operator="lessThan" id="{00000000-0000-0000-0000-000000000000}">
            <xm:f>INDEX('1.Locations'!$F$2:$F$32,$BP$21 + 1)</xm:f>
            <x14:dxf>
              <fill>
                <patternFill>
                  <bgColor indexed="52"/>
                </patternFill>
              </fill>
            </x14:dxf>
          </x14:cfRule>
          <xm:sqref>BW21</xm:sqref>
        </x14:conditionalFormatting>
        <x14:conditionalFormatting xmlns:xm="http://schemas.microsoft.com/office/excel/2006/main">
          <x14:cfRule type="expression" priority="451" stopIfTrue="1" id="{00000000-0000-0000-0000-000000000000}">
            <xm:f>(60 * HOUR($BX$21) + MINUTE($BX$21)) &gt;(60 * HOUR(INDEX('1.Locations'!$G$2:$G$32,$BP$21 + 1)) +MINUTE(INDEX('1.Locations'!$G$2:$G$32,$BP$21 + 1)))</xm:f>
            <x14:dxf>
              <fill>
                <patternFill>
                  <bgColor indexed="10"/>
                </patternFill>
              </fill>
            </x14:dxf>
          </x14:cfRule>
          <xm:sqref>BX21</xm:sqref>
        </x14:conditionalFormatting>
        <x14:conditionalFormatting xmlns:xm="http://schemas.microsoft.com/office/excel/2006/main">
          <x14:cfRule type="cellIs" priority="452" stopIfTrue="1" operator="lessThan" id="{00000000-0000-0000-0000-000000000000}">
            <xm:f>INDEX('1.Locations'!$F$2:$F$32,$BP$22 + 1)</xm:f>
            <x14:dxf>
              <fill>
                <patternFill>
                  <bgColor indexed="52"/>
                </patternFill>
              </fill>
            </x14:dxf>
          </x14:cfRule>
          <xm:sqref>BW22</xm:sqref>
        </x14:conditionalFormatting>
        <x14:conditionalFormatting xmlns:xm="http://schemas.microsoft.com/office/excel/2006/main">
          <x14:cfRule type="expression" priority="453" stopIfTrue="1" id="{00000000-0000-0000-0000-000000000000}">
            <xm:f>(60 * HOUR($BX$22) + MINUTE($BX$22)) &gt;(60 * HOUR(INDEX('1.Locations'!$G$2:$G$32,$BP$22 + 1)) +MINUTE(INDEX('1.Locations'!$G$2:$G$32,$BP$22 + 1)))</xm:f>
            <x14:dxf>
              <fill>
                <patternFill>
                  <bgColor indexed="10"/>
                </patternFill>
              </fill>
            </x14:dxf>
          </x14:cfRule>
          <xm:sqref>BX22</xm:sqref>
        </x14:conditionalFormatting>
        <x14:conditionalFormatting xmlns:xm="http://schemas.microsoft.com/office/excel/2006/main">
          <x14:cfRule type="cellIs" priority="454" stopIfTrue="1" operator="lessThan" id="{00000000-0000-0000-0000-000000000000}">
            <xm:f>INDEX('1.Locations'!$F$2:$F$32,$BP$23 + 1)</xm:f>
            <x14:dxf>
              <fill>
                <patternFill>
                  <bgColor indexed="52"/>
                </patternFill>
              </fill>
            </x14:dxf>
          </x14:cfRule>
          <xm:sqref>BW23</xm:sqref>
        </x14:conditionalFormatting>
        <x14:conditionalFormatting xmlns:xm="http://schemas.microsoft.com/office/excel/2006/main">
          <x14:cfRule type="expression" priority="455" stopIfTrue="1" id="{00000000-0000-0000-0000-000000000000}">
            <xm:f>(60 * HOUR($BX$23) + MINUTE($BX$23)) &gt;(60 * HOUR(INDEX('1.Locations'!$G$2:$G$32,$BP$23 + 1)) +MINUTE(INDEX('1.Locations'!$G$2:$G$32,$BP$23 + 1)))</xm:f>
            <x14:dxf>
              <fill>
                <patternFill>
                  <bgColor indexed="10"/>
                </patternFill>
              </fill>
            </x14:dxf>
          </x14:cfRule>
          <xm:sqref>BX23</xm:sqref>
        </x14:conditionalFormatting>
        <x14:conditionalFormatting xmlns:xm="http://schemas.microsoft.com/office/excel/2006/main">
          <x14:cfRule type="cellIs" priority="456" stopIfTrue="1" operator="lessThan" id="{00000000-0000-0000-0000-000000000000}">
            <xm:f>INDEX('1.Locations'!$F$2:$F$32,$BP$24 + 1)</xm:f>
            <x14:dxf>
              <fill>
                <patternFill>
                  <bgColor indexed="52"/>
                </patternFill>
              </fill>
            </x14:dxf>
          </x14:cfRule>
          <xm:sqref>BW24</xm:sqref>
        </x14:conditionalFormatting>
        <x14:conditionalFormatting xmlns:xm="http://schemas.microsoft.com/office/excel/2006/main">
          <x14:cfRule type="expression" priority="457" stopIfTrue="1" id="{00000000-0000-0000-0000-000000000000}">
            <xm:f>(60 * HOUR($BX$24) + MINUTE($BX$24)) &gt;(60 * HOUR(INDEX('1.Locations'!$G$2:$G$32,$BP$24 + 1)) +MINUTE(INDEX('1.Locations'!$G$2:$G$32,$BP$24 + 1)))</xm:f>
            <x14:dxf>
              <fill>
                <patternFill>
                  <bgColor indexed="10"/>
                </patternFill>
              </fill>
            </x14:dxf>
          </x14:cfRule>
          <xm:sqref>BX24</xm:sqref>
        </x14:conditionalFormatting>
        <x14:conditionalFormatting xmlns:xm="http://schemas.microsoft.com/office/excel/2006/main">
          <x14:cfRule type="cellIs" priority="458" stopIfTrue="1" operator="lessThan" id="{00000000-0000-0000-0000-000000000000}">
            <xm:f>INDEX('1.Locations'!$F$2:$F$32,$BP$25 + 1)</xm:f>
            <x14:dxf>
              <fill>
                <patternFill>
                  <bgColor indexed="52"/>
                </patternFill>
              </fill>
            </x14:dxf>
          </x14:cfRule>
          <xm:sqref>BW25</xm:sqref>
        </x14:conditionalFormatting>
        <x14:conditionalFormatting xmlns:xm="http://schemas.microsoft.com/office/excel/2006/main">
          <x14:cfRule type="expression" priority="459" stopIfTrue="1" id="{00000000-0000-0000-0000-000000000000}">
            <xm:f>(60 * HOUR($BX$25) + MINUTE($BX$25)) &gt;(60 * HOUR(INDEX('1.Locations'!$G$2:$G$32,$BP$25 + 1)) +MINUTE(INDEX('1.Locations'!$G$2:$G$32,$BP$25 + 1)))</xm:f>
            <x14:dxf>
              <fill>
                <patternFill>
                  <bgColor indexed="10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ellIs" priority="460" stopIfTrue="1" operator="lessThan" id="{00000000-0000-0000-0000-000000000000}">
            <xm:f>INDEX('1.Locations'!$F$2:$F$32,$BP$26 + 1)</xm:f>
            <x14:dxf>
              <fill>
                <patternFill>
                  <bgColor indexed="52"/>
                </patternFill>
              </fill>
            </x14:dxf>
          </x14:cfRule>
          <xm:sqref>BW26</xm:sqref>
        </x14:conditionalFormatting>
        <x14:conditionalFormatting xmlns:xm="http://schemas.microsoft.com/office/excel/2006/main">
          <x14:cfRule type="expression" priority="461" stopIfTrue="1" id="{00000000-0000-0000-0000-000000000000}">
            <xm:f>(60 * HOUR($BX$26) + MINUTE($BX$26)) &gt;(60 * HOUR(INDEX('1.Locations'!$G$2:$G$32,$BP$26 + 1)) +MINUTE(INDEX('1.Locations'!$G$2:$G$32,$BP$26 + 1)))</xm:f>
            <x14:dxf>
              <fill>
                <patternFill>
                  <bgColor indexed="10"/>
                </patternFill>
              </fill>
            </x14:dxf>
          </x14:cfRule>
          <xm:sqref>BX26</xm:sqref>
        </x14:conditionalFormatting>
        <x14:conditionalFormatting xmlns:xm="http://schemas.microsoft.com/office/excel/2006/main">
          <x14:cfRule type="cellIs" priority="462" stopIfTrue="1" operator="lessThan" id="{00000000-0000-0000-0000-000000000000}">
            <xm:f>INDEX('1.Locations'!$F$2:$F$32,$BP$27 + 1)</xm:f>
            <x14:dxf>
              <fill>
                <patternFill>
                  <bgColor indexed="52"/>
                </patternFill>
              </fill>
            </x14:dxf>
          </x14:cfRule>
          <xm:sqref>BW27</xm:sqref>
        </x14:conditionalFormatting>
        <x14:conditionalFormatting xmlns:xm="http://schemas.microsoft.com/office/excel/2006/main">
          <x14:cfRule type="expression" priority="463" stopIfTrue="1" id="{00000000-0000-0000-0000-000000000000}">
            <xm:f>(60 * HOUR($BX$27) + MINUTE($BX$27)) &gt;(60 * HOUR(INDEX('1.Locations'!$G$2:$G$32,$BP$27 + 1)) +MINUTE(INDEX('1.Locations'!$G$2:$G$32,$BP$27 + 1)))</xm:f>
            <x14:dxf>
              <fill>
                <patternFill>
                  <bgColor indexed="10"/>
                </patternFill>
              </fill>
            </x14:dxf>
          </x14:cfRule>
          <xm:sqref>BX27</xm:sqref>
        </x14:conditionalFormatting>
        <x14:conditionalFormatting xmlns:xm="http://schemas.microsoft.com/office/excel/2006/main">
          <x14:cfRule type="cellIs" priority="464" stopIfTrue="1" operator="lessThan" id="{00000000-0000-0000-0000-000000000000}">
            <xm:f>INDEX('1.Locations'!$F$2:$F$32,$BP$28 + 1)</xm:f>
            <x14:dxf>
              <fill>
                <patternFill>
                  <bgColor indexed="52"/>
                </patternFill>
              </fill>
            </x14:dxf>
          </x14:cfRule>
          <xm:sqref>BW28</xm:sqref>
        </x14:conditionalFormatting>
        <x14:conditionalFormatting xmlns:xm="http://schemas.microsoft.com/office/excel/2006/main">
          <x14:cfRule type="expression" priority="465" stopIfTrue="1" id="{00000000-0000-0000-0000-000000000000}">
            <xm:f>(60 * HOUR($BX$28) + MINUTE($BX$28)) &gt;(60 * HOUR(INDEX('1.Locations'!$G$2:$G$32,$BP$28 + 1)) +MINUTE(INDEX('1.Locations'!$G$2:$G$32,$BP$28 + 1)))</xm:f>
            <x14:dxf>
              <fill>
                <patternFill>
                  <bgColor indexed="10"/>
                </patternFill>
              </fill>
            </x14:dxf>
          </x14:cfRule>
          <xm:sqref>BX28</xm:sqref>
        </x14:conditionalFormatting>
        <x14:conditionalFormatting xmlns:xm="http://schemas.microsoft.com/office/excel/2006/main">
          <x14:cfRule type="cellIs" priority="466" stopIfTrue="1" operator="lessThan" id="{00000000-0000-0000-0000-000000000000}">
            <xm:f>INDEX('1.Locations'!$F$2:$F$32,$BP$29 + 1)</xm:f>
            <x14:dxf>
              <fill>
                <patternFill>
                  <bgColor indexed="52"/>
                </patternFill>
              </fill>
            </x14:dxf>
          </x14:cfRule>
          <xm:sqref>BW29</xm:sqref>
        </x14:conditionalFormatting>
        <x14:conditionalFormatting xmlns:xm="http://schemas.microsoft.com/office/excel/2006/main">
          <x14:cfRule type="expression" priority="467" stopIfTrue="1" id="{00000000-0000-0000-0000-000000000000}">
            <xm:f>(60 * HOUR($BX$29) + MINUTE($BX$29)) &gt;(60 * HOUR(INDEX('1.Locations'!$G$2:$G$32,$BP$29 + 1)) +MINUTE(INDEX('1.Locations'!$G$2:$G$32,$BP$29 + 1)))</xm:f>
            <x14:dxf>
              <fill>
                <patternFill>
                  <bgColor indexed="10"/>
                </patternFill>
              </fill>
            </x14:dxf>
          </x14:cfRule>
          <xm:sqref>BX29</xm:sqref>
        </x14:conditionalFormatting>
        <x14:conditionalFormatting xmlns:xm="http://schemas.microsoft.com/office/excel/2006/main">
          <x14:cfRule type="cellIs" priority="468" stopIfTrue="1" operator="lessThan" id="{00000000-0000-0000-0000-000000000000}">
            <xm:f>INDEX('1.Locations'!$F$2:$F$32,$BP$30 + 1)</xm:f>
            <x14:dxf>
              <fill>
                <patternFill>
                  <bgColor indexed="52"/>
                </patternFill>
              </fill>
            </x14:dxf>
          </x14:cfRule>
          <xm:sqref>BW30</xm:sqref>
        </x14:conditionalFormatting>
        <x14:conditionalFormatting xmlns:xm="http://schemas.microsoft.com/office/excel/2006/main">
          <x14:cfRule type="expression" priority="469" stopIfTrue="1" id="{00000000-0000-0000-0000-000000000000}">
            <xm:f>(60 * HOUR($BX$30) + MINUTE($BX$30)) &gt;(60 * HOUR(INDEX('1.Locations'!$G$2:$G$32,$BP$30 + 1)) +MINUTE(INDEX('1.Locations'!$G$2:$G$32,$BP$30 + 1)))</xm:f>
            <x14:dxf>
              <fill>
                <patternFill>
                  <bgColor indexed="10"/>
                </patternFill>
              </fill>
            </x14:dxf>
          </x14:cfRule>
          <xm:sqref>BX30</xm:sqref>
        </x14:conditionalFormatting>
        <x14:conditionalFormatting xmlns:xm="http://schemas.microsoft.com/office/excel/2006/main">
          <x14:cfRule type="cellIs" priority="470" stopIfTrue="1" operator="lessThan" id="{00000000-0000-0000-0000-000000000000}">
            <xm:f>INDEX('1.Locations'!$F$2:$F$32,$BP$31 + 1)</xm:f>
            <x14:dxf>
              <fill>
                <patternFill>
                  <bgColor indexed="52"/>
                </patternFill>
              </fill>
            </x14:dxf>
          </x14:cfRule>
          <xm:sqref>BW31</xm:sqref>
        </x14:conditionalFormatting>
        <x14:conditionalFormatting xmlns:xm="http://schemas.microsoft.com/office/excel/2006/main">
          <x14:cfRule type="expression" priority="471" stopIfTrue="1" id="{00000000-0000-0000-0000-000000000000}">
            <xm:f>(60 * HOUR($BX$31) + MINUTE($BX$31)) &gt;(60 * HOUR(INDEX('1.Locations'!$G$2:$G$32,$BP$31 + 1)) +MINUTE(INDEX('1.Locations'!$G$2:$G$32,$BP$31 + 1)))</xm:f>
            <x14:dxf>
              <fill>
                <patternFill>
                  <bgColor indexed="10"/>
                </patternFill>
              </fill>
            </x14:dxf>
          </x14:cfRule>
          <xm:sqref>BX31</xm:sqref>
        </x14:conditionalFormatting>
        <x14:conditionalFormatting xmlns:xm="http://schemas.microsoft.com/office/excel/2006/main">
          <x14:cfRule type="cellIs" priority="472" stopIfTrue="1" operator="lessThan" id="{00000000-0000-0000-0000-000000000000}">
            <xm:f>INDEX('1.Locations'!$F$2:$F$32,$BP$32 + 1)</xm:f>
            <x14:dxf>
              <fill>
                <patternFill>
                  <bgColor indexed="52"/>
                </patternFill>
              </fill>
            </x14:dxf>
          </x14:cfRule>
          <xm:sqref>BW32</xm:sqref>
        </x14:conditionalFormatting>
        <x14:conditionalFormatting xmlns:xm="http://schemas.microsoft.com/office/excel/2006/main">
          <x14:cfRule type="expression" priority="473" stopIfTrue="1" id="{00000000-0000-0000-0000-000000000000}">
            <xm:f>(60 * HOUR($BX$32) + MINUTE($BX$32)) &gt;(60 * HOUR(INDEX('1.Locations'!$G$2:$G$32,$BP$32 + 1)) +MINUTE(INDEX('1.Locations'!$G$2:$G$32,$BP$32 + 1)))</xm:f>
            <x14:dxf>
              <fill>
                <patternFill>
                  <bgColor indexed="10"/>
                </patternFill>
              </fill>
            </x14:dxf>
          </x14:cfRule>
          <xm:sqref>BX32</xm:sqref>
        </x14:conditionalFormatting>
        <x14:conditionalFormatting xmlns:xm="http://schemas.microsoft.com/office/excel/2006/main">
          <x14:cfRule type="cellIs" priority="474" stopIfTrue="1" operator="lessThan" id="{00000000-0000-0000-0000-000000000000}">
            <xm:f>INDEX('1.Locations'!$F$2:$F$32,$BP$33 + 1)</xm:f>
            <x14:dxf>
              <fill>
                <patternFill>
                  <bgColor indexed="52"/>
                </patternFill>
              </fill>
            </x14:dxf>
          </x14:cfRule>
          <xm:sqref>BW33</xm:sqref>
        </x14:conditionalFormatting>
        <x14:conditionalFormatting xmlns:xm="http://schemas.microsoft.com/office/excel/2006/main">
          <x14:cfRule type="expression" priority="475" stopIfTrue="1" id="{00000000-0000-0000-0000-000000000000}">
            <xm:f>(60 * HOUR($BX$33) + MINUTE($BX$33)) &gt;(60 * HOUR(INDEX('1.Locations'!$G$2:$G$32,$BP$33 + 1)) +MINUTE(INDEX('1.Locations'!$G$2:$G$32,$BP$33 + 1)))</xm:f>
            <x14:dxf>
              <fill>
                <patternFill>
                  <bgColor indexed="10"/>
                </patternFill>
              </fill>
            </x14:dxf>
          </x14:cfRule>
          <xm:sqref>BX33</xm:sqref>
        </x14:conditionalFormatting>
        <x14:conditionalFormatting xmlns:xm="http://schemas.microsoft.com/office/excel/2006/main">
          <x14:cfRule type="cellIs" priority="476" stopIfTrue="1" operator="lessThan" id="{00000000-0000-0000-0000-000000000000}">
            <xm:f>INDEX('1.Locations'!$F$2:$F$32,$BP$34 + 1)</xm:f>
            <x14:dxf>
              <fill>
                <patternFill>
                  <bgColor indexed="52"/>
                </patternFill>
              </fill>
            </x14:dxf>
          </x14:cfRule>
          <xm:sqref>BW34</xm:sqref>
        </x14:conditionalFormatting>
        <x14:conditionalFormatting xmlns:xm="http://schemas.microsoft.com/office/excel/2006/main">
          <x14:cfRule type="expression" priority="477" stopIfTrue="1" id="{00000000-0000-0000-0000-000000000000}">
            <xm:f>(60 * HOUR($BX$34) + MINUTE($BX$34)) &gt;(60 * HOUR(INDEX('1.Locations'!$G$2:$G$32,$BP$34 + 1)) +MINUTE(INDEX('1.Locations'!$G$2:$G$32,$BP$34 + 1)))</xm:f>
            <x14:dxf>
              <fill>
                <patternFill>
                  <bgColor indexed="10"/>
                </patternFill>
              </fill>
            </x14:dxf>
          </x14:cfRule>
          <xm:sqref>BX34</xm:sqref>
        </x14:conditionalFormatting>
        <x14:conditionalFormatting xmlns:xm="http://schemas.microsoft.com/office/excel/2006/main">
          <x14:cfRule type="cellIs" priority="478" stopIfTrue="1" operator="lessThan" id="{00000000-0000-0000-0000-000000000000}">
            <xm:f>INDEX('1.Locations'!$F$2:$F$32,$BP$35 + 1)</xm:f>
            <x14:dxf>
              <fill>
                <patternFill>
                  <bgColor indexed="52"/>
                </patternFill>
              </fill>
            </x14:dxf>
          </x14:cfRule>
          <xm:sqref>BW35</xm:sqref>
        </x14:conditionalFormatting>
        <x14:conditionalFormatting xmlns:xm="http://schemas.microsoft.com/office/excel/2006/main">
          <x14:cfRule type="expression" priority="479" stopIfTrue="1" id="{00000000-0000-0000-0000-000000000000}">
            <xm:f>(60 * HOUR($BX$35) + MINUTE($BX$35)) &gt;(60 * HOUR(INDEX('1.Locations'!$G$2:$G$32,$BP$35 + 1)) +MINUTE(INDEX('1.Locations'!$G$2:$G$32,$BP$35 + 1)))</xm:f>
            <x14:dxf>
              <fill>
                <patternFill>
                  <bgColor indexed="10"/>
                </patternFill>
              </fill>
            </x14:dxf>
          </x14:cfRule>
          <xm:sqref>BX35</xm:sqref>
        </x14:conditionalFormatting>
        <x14:conditionalFormatting xmlns:xm="http://schemas.microsoft.com/office/excel/2006/main">
          <x14:cfRule type="cellIs" priority="480" stopIfTrue="1" operator="lessThan" id="{00000000-0000-0000-0000-000000000000}">
            <xm:f>INDEX('1.Locations'!$F$2:$F$32,$BP$36 + 1)</xm:f>
            <x14:dxf>
              <fill>
                <patternFill>
                  <bgColor indexed="52"/>
                </patternFill>
              </fill>
            </x14:dxf>
          </x14:cfRule>
          <xm:sqref>BW36</xm:sqref>
        </x14:conditionalFormatting>
        <x14:conditionalFormatting xmlns:xm="http://schemas.microsoft.com/office/excel/2006/main">
          <x14:cfRule type="expression" priority="481" stopIfTrue="1" id="{00000000-0000-0000-0000-000000000000}">
            <xm:f>(60 * HOUR($BX$36) + MINUTE($BX$36)) &gt;(60 * HOUR(INDEX('1.Locations'!$G$2:$G$32,$BP$36 + 1)) +MINUTE(INDEX('1.Locations'!$G$2:$G$32,$BP$36 + 1)))</xm:f>
            <x14:dxf>
              <fill>
                <patternFill>
                  <bgColor indexed="10"/>
                </patternFill>
              </fill>
            </x14:dxf>
          </x14:cfRule>
          <xm:sqref>BX36</xm:sqref>
        </x14:conditionalFormatting>
        <x14:conditionalFormatting xmlns:xm="http://schemas.microsoft.com/office/excel/2006/main">
          <x14:cfRule type="cellIs" priority="482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BS6:BS36</xm:sqref>
        </x14:conditionalFormatting>
        <x14:conditionalFormatting xmlns:xm="http://schemas.microsoft.com/office/excel/2006/main">
          <x14:cfRule type="cellIs" priority="483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BT6:BT36</xm:sqref>
        </x14:conditionalFormatting>
        <x14:conditionalFormatting xmlns:xm="http://schemas.microsoft.com/office/excel/2006/main">
          <x14:cfRule type="cellIs" priority="484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BV6:BV36</xm:sqref>
        </x14:conditionalFormatting>
        <x14:conditionalFormatting xmlns:xm="http://schemas.microsoft.com/office/excel/2006/main">
          <x14:cfRule type="cellIs" priority="485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BY6:BY36</xm:sqref>
        </x14:conditionalFormatting>
        <x14:conditionalFormatting xmlns:xm="http://schemas.microsoft.com/office/excel/2006/main">
          <x14:cfRule type="cellIs" priority="487" stopIfTrue="1" operator="lessThan" id="{00000000-0000-0000-0000-000000000000}">
            <xm:f>INDEX('1.Locations'!$F$2:$F$32,$CC$5 + 1)</xm:f>
            <x14:dxf>
              <fill>
                <patternFill>
                  <bgColor indexed="52"/>
                </patternFill>
              </fill>
            </x14:dxf>
          </x14:cfRule>
          <xm:sqref>CJ5</xm:sqref>
        </x14:conditionalFormatting>
        <x14:conditionalFormatting xmlns:xm="http://schemas.microsoft.com/office/excel/2006/main">
          <x14:cfRule type="expression" priority="488" stopIfTrue="1" id="{00000000-0000-0000-0000-000000000000}">
            <xm:f>(60 * HOUR($CK$5) + MINUTE($CK$5)) &gt;(60 * HOUR(INDEX('1.Locations'!$G$2:$G$32,$CC$5 + 1)) +MINUTE(INDEX('1.Locations'!$G$2:$G$32,$CC$5 + 1)))</xm:f>
            <x14:dxf>
              <fill>
                <patternFill>
                  <bgColor indexed="10"/>
                </patternFill>
              </fill>
            </x14:dxf>
          </x14:cfRule>
          <xm:sqref>CK5</xm:sqref>
        </x14:conditionalFormatting>
        <x14:conditionalFormatting xmlns:xm="http://schemas.microsoft.com/office/excel/2006/main">
          <x14:cfRule type="cellIs" priority="489" stopIfTrue="1" operator="lessThan" id="{00000000-0000-0000-0000-000000000000}">
            <xm:f>INDEX('1.Locations'!$F$2:$F$32,$CC$6 + 1)</xm:f>
            <x14:dxf>
              <fill>
                <patternFill>
                  <bgColor indexed="52"/>
                </patternFill>
              </fill>
            </x14:dxf>
          </x14:cfRule>
          <xm:sqref>CJ6</xm:sqref>
        </x14:conditionalFormatting>
        <x14:conditionalFormatting xmlns:xm="http://schemas.microsoft.com/office/excel/2006/main">
          <x14:cfRule type="expression" priority="490" stopIfTrue="1" id="{00000000-0000-0000-0000-000000000000}">
            <xm:f>(60 * HOUR($CK$6) + MINUTE($CK$6)) &gt;(60 * HOUR(INDEX('1.Locations'!$G$2:$G$32,$CC$6 + 1)) +MINUTE(INDEX('1.Locations'!$G$2:$G$32,$CC$6 + 1)))</xm:f>
            <x14:dxf>
              <fill>
                <patternFill>
                  <bgColor indexed="10"/>
                </patternFill>
              </fill>
            </x14:dxf>
          </x14:cfRule>
          <xm:sqref>CK6</xm:sqref>
        </x14:conditionalFormatting>
        <x14:conditionalFormatting xmlns:xm="http://schemas.microsoft.com/office/excel/2006/main">
          <x14:cfRule type="cellIs" priority="491" stopIfTrue="1" operator="lessThan" id="{00000000-0000-0000-0000-000000000000}">
            <xm:f>INDEX('1.Locations'!$F$2:$F$32,$CC$7 + 1)</xm:f>
            <x14:dxf>
              <fill>
                <patternFill>
                  <bgColor indexed="52"/>
                </patternFill>
              </fill>
            </x14:dxf>
          </x14:cfRule>
          <xm:sqref>CJ7</xm:sqref>
        </x14:conditionalFormatting>
        <x14:conditionalFormatting xmlns:xm="http://schemas.microsoft.com/office/excel/2006/main">
          <x14:cfRule type="expression" priority="492" stopIfTrue="1" id="{00000000-0000-0000-0000-000000000000}">
            <xm:f>(60 * HOUR($CK$7) + MINUTE($CK$7)) &gt;(60 * HOUR(INDEX('1.Locations'!$G$2:$G$32,$CC$7 + 1)) +MINUTE(INDEX('1.Locations'!$G$2:$G$32,$CC$7 + 1)))</xm:f>
            <x14:dxf>
              <fill>
                <patternFill>
                  <bgColor indexed="10"/>
                </patternFill>
              </fill>
            </x14:dxf>
          </x14:cfRule>
          <xm:sqref>CK7</xm:sqref>
        </x14:conditionalFormatting>
        <x14:conditionalFormatting xmlns:xm="http://schemas.microsoft.com/office/excel/2006/main">
          <x14:cfRule type="cellIs" priority="493" stopIfTrue="1" operator="lessThan" id="{00000000-0000-0000-0000-000000000000}">
            <xm:f>INDEX('1.Locations'!$F$2:$F$32,$CC$8 + 1)</xm:f>
            <x14:dxf>
              <fill>
                <patternFill>
                  <bgColor indexed="52"/>
                </patternFill>
              </fill>
            </x14:dxf>
          </x14:cfRule>
          <xm:sqref>CJ8</xm:sqref>
        </x14:conditionalFormatting>
        <x14:conditionalFormatting xmlns:xm="http://schemas.microsoft.com/office/excel/2006/main">
          <x14:cfRule type="expression" priority="494" stopIfTrue="1" id="{00000000-0000-0000-0000-000000000000}">
            <xm:f>(60 * HOUR($CK$8) + MINUTE($CK$8)) &gt;(60 * HOUR(INDEX('1.Locations'!$G$2:$G$32,$CC$8 + 1)) +MINUTE(INDEX('1.Locations'!$G$2:$G$32,$CC$8 + 1)))</xm:f>
            <x14:dxf>
              <fill>
                <patternFill>
                  <bgColor indexed="10"/>
                </patternFill>
              </fill>
            </x14:dxf>
          </x14:cfRule>
          <xm:sqref>CK8</xm:sqref>
        </x14:conditionalFormatting>
        <x14:conditionalFormatting xmlns:xm="http://schemas.microsoft.com/office/excel/2006/main">
          <x14:cfRule type="cellIs" priority="495" stopIfTrue="1" operator="lessThan" id="{00000000-0000-0000-0000-000000000000}">
            <xm:f>INDEX('1.Locations'!$F$2:$F$32,$CC$9 + 1)</xm:f>
            <x14:dxf>
              <fill>
                <patternFill>
                  <bgColor indexed="52"/>
                </patternFill>
              </fill>
            </x14:dxf>
          </x14:cfRule>
          <xm:sqref>CJ9</xm:sqref>
        </x14:conditionalFormatting>
        <x14:conditionalFormatting xmlns:xm="http://schemas.microsoft.com/office/excel/2006/main">
          <x14:cfRule type="expression" priority="496" stopIfTrue="1" id="{00000000-0000-0000-0000-000000000000}">
            <xm:f>(60 * HOUR($CK$9) + MINUTE($CK$9)) &gt;(60 * HOUR(INDEX('1.Locations'!$G$2:$G$32,$CC$9 + 1)) +MINUTE(INDEX('1.Locations'!$G$2:$G$32,$CC$9 + 1)))</xm:f>
            <x14:dxf>
              <fill>
                <patternFill>
                  <bgColor indexed="10"/>
                </patternFill>
              </fill>
            </x14:dxf>
          </x14:cfRule>
          <xm:sqref>CK9</xm:sqref>
        </x14:conditionalFormatting>
        <x14:conditionalFormatting xmlns:xm="http://schemas.microsoft.com/office/excel/2006/main">
          <x14:cfRule type="cellIs" priority="497" stopIfTrue="1" operator="lessThan" id="{00000000-0000-0000-0000-000000000000}">
            <xm:f>INDEX('1.Locations'!$F$2:$F$32,$CC$10 + 1)</xm:f>
            <x14:dxf>
              <fill>
                <patternFill>
                  <bgColor indexed="52"/>
                </patternFill>
              </fill>
            </x14:dxf>
          </x14:cfRule>
          <xm:sqref>CJ10</xm:sqref>
        </x14:conditionalFormatting>
        <x14:conditionalFormatting xmlns:xm="http://schemas.microsoft.com/office/excel/2006/main">
          <x14:cfRule type="expression" priority="498" stopIfTrue="1" id="{00000000-0000-0000-0000-000000000000}">
            <xm:f>(60 * HOUR($CK$10) + MINUTE($CK$10)) &gt;(60 * HOUR(INDEX('1.Locations'!$G$2:$G$32,$CC$10 + 1)) +MINUTE(INDEX('1.Locations'!$G$2:$G$32,$CC$10 + 1)))</xm:f>
            <x14:dxf>
              <fill>
                <patternFill>
                  <bgColor indexed="10"/>
                </patternFill>
              </fill>
            </x14:dxf>
          </x14:cfRule>
          <xm:sqref>CK10</xm:sqref>
        </x14:conditionalFormatting>
        <x14:conditionalFormatting xmlns:xm="http://schemas.microsoft.com/office/excel/2006/main">
          <x14:cfRule type="cellIs" priority="499" stopIfTrue="1" operator="lessThan" id="{00000000-0000-0000-0000-000000000000}">
            <xm:f>INDEX('1.Locations'!$F$2:$F$32,$CC$11 + 1)</xm:f>
            <x14:dxf>
              <fill>
                <patternFill>
                  <bgColor indexed="52"/>
                </patternFill>
              </fill>
            </x14:dxf>
          </x14:cfRule>
          <xm:sqref>CJ11</xm:sqref>
        </x14:conditionalFormatting>
        <x14:conditionalFormatting xmlns:xm="http://schemas.microsoft.com/office/excel/2006/main">
          <x14:cfRule type="expression" priority="500" stopIfTrue="1" id="{00000000-0000-0000-0000-000000000000}">
            <xm:f>(60 * HOUR($CK$11) + MINUTE($CK$11)) &gt;(60 * HOUR(INDEX('1.Locations'!$G$2:$G$32,$CC$11 + 1)) +MINUTE(INDEX('1.Locations'!$G$2:$G$32,$CC$11 + 1)))</xm:f>
            <x14:dxf>
              <fill>
                <patternFill>
                  <bgColor indexed="10"/>
                </patternFill>
              </fill>
            </x14:dxf>
          </x14:cfRule>
          <xm:sqref>CK11</xm:sqref>
        </x14:conditionalFormatting>
        <x14:conditionalFormatting xmlns:xm="http://schemas.microsoft.com/office/excel/2006/main">
          <x14:cfRule type="cellIs" priority="501" stopIfTrue="1" operator="lessThan" id="{00000000-0000-0000-0000-000000000000}">
            <xm:f>INDEX('1.Locations'!$F$2:$F$32,$CC$12 + 1)</xm:f>
            <x14:dxf>
              <fill>
                <patternFill>
                  <bgColor indexed="52"/>
                </patternFill>
              </fill>
            </x14:dxf>
          </x14:cfRule>
          <xm:sqref>CJ12</xm:sqref>
        </x14:conditionalFormatting>
        <x14:conditionalFormatting xmlns:xm="http://schemas.microsoft.com/office/excel/2006/main">
          <x14:cfRule type="expression" priority="502" stopIfTrue="1" id="{00000000-0000-0000-0000-000000000000}">
            <xm:f>(60 * HOUR($CK$12) + MINUTE($CK$12)) &gt;(60 * HOUR(INDEX('1.Locations'!$G$2:$G$32,$CC$12 + 1)) +MINUTE(INDEX('1.Locations'!$G$2:$G$32,$CC$12 + 1)))</xm:f>
            <x14:dxf>
              <fill>
                <patternFill>
                  <bgColor indexed="10"/>
                </patternFill>
              </fill>
            </x14:dxf>
          </x14:cfRule>
          <xm:sqref>CK12</xm:sqref>
        </x14:conditionalFormatting>
        <x14:conditionalFormatting xmlns:xm="http://schemas.microsoft.com/office/excel/2006/main">
          <x14:cfRule type="cellIs" priority="503" stopIfTrue="1" operator="lessThan" id="{00000000-0000-0000-0000-000000000000}">
            <xm:f>INDEX('1.Locations'!$F$2:$F$32,$CC$13 + 1)</xm:f>
            <x14:dxf>
              <fill>
                <patternFill>
                  <bgColor indexed="52"/>
                </patternFill>
              </fill>
            </x14:dxf>
          </x14:cfRule>
          <xm:sqref>CJ13</xm:sqref>
        </x14:conditionalFormatting>
        <x14:conditionalFormatting xmlns:xm="http://schemas.microsoft.com/office/excel/2006/main">
          <x14:cfRule type="expression" priority="504" stopIfTrue="1" id="{00000000-0000-0000-0000-000000000000}">
            <xm:f>(60 * HOUR($CK$13) + MINUTE($CK$13)) &gt;(60 * HOUR(INDEX('1.Locations'!$G$2:$G$32,$CC$13 + 1)) +MINUTE(INDEX('1.Locations'!$G$2:$G$32,$CC$13 + 1)))</xm:f>
            <x14:dxf>
              <fill>
                <patternFill>
                  <bgColor indexed="10"/>
                </patternFill>
              </fill>
            </x14:dxf>
          </x14:cfRule>
          <xm:sqref>CK13</xm:sqref>
        </x14:conditionalFormatting>
        <x14:conditionalFormatting xmlns:xm="http://schemas.microsoft.com/office/excel/2006/main">
          <x14:cfRule type="cellIs" priority="505" stopIfTrue="1" operator="lessThan" id="{00000000-0000-0000-0000-000000000000}">
            <xm:f>INDEX('1.Locations'!$F$2:$F$32,$CC$14 + 1)</xm:f>
            <x14:dxf>
              <fill>
                <patternFill>
                  <bgColor indexed="52"/>
                </patternFill>
              </fill>
            </x14:dxf>
          </x14:cfRule>
          <xm:sqref>CJ14</xm:sqref>
        </x14:conditionalFormatting>
        <x14:conditionalFormatting xmlns:xm="http://schemas.microsoft.com/office/excel/2006/main">
          <x14:cfRule type="expression" priority="506" stopIfTrue="1" id="{00000000-0000-0000-0000-000000000000}">
            <xm:f>(60 * HOUR($CK$14) + MINUTE($CK$14)) &gt;(60 * HOUR(INDEX('1.Locations'!$G$2:$G$32,$CC$14 + 1)) +MINUTE(INDEX('1.Locations'!$G$2:$G$32,$CC$14 + 1)))</xm:f>
            <x14:dxf>
              <fill>
                <patternFill>
                  <bgColor indexed="10"/>
                </patternFill>
              </fill>
            </x14:dxf>
          </x14:cfRule>
          <xm:sqref>CK14</xm:sqref>
        </x14:conditionalFormatting>
        <x14:conditionalFormatting xmlns:xm="http://schemas.microsoft.com/office/excel/2006/main">
          <x14:cfRule type="cellIs" priority="507" stopIfTrue="1" operator="lessThan" id="{00000000-0000-0000-0000-000000000000}">
            <xm:f>INDEX('1.Locations'!$F$2:$F$32,$CC$15 + 1)</xm:f>
            <x14:dxf>
              <fill>
                <patternFill>
                  <bgColor indexed="52"/>
                </patternFill>
              </fill>
            </x14:dxf>
          </x14:cfRule>
          <xm:sqref>CJ15</xm:sqref>
        </x14:conditionalFormatting>
        <x14:conditionalFormatting xmlns:xm="http://schemas.microsoft.com/office/excel/2006/main">
          <x14:cfRule type="expression" priority="508" stopIfTrue="1" id="{00000000-0000-0000-0000-000000000000}">
            <xm:f>(60 * HOUR($CK$15) + MINUTE($CK$15)) &gt;(60 * HOUR(INDEX('1.Locations'!$G$2:$G$32,$CC$15 + 1)) +MINUTE(INDEX('1.Locations'!$G$2:$G$32,$CC$15 + 1)))</xm:f>
            <x14:dxf>
              <fill>
                <patternFill>
                  <bgColor indexed="10"/>
                </patternFill>
              </fill>
            </x14:dxf>
          </x14:cfRule>
          <xm:sqref>CK15</xm:sqref>
        </x14:conditionalFormatting>
        <x14:conditionalFormatting xmlns:xm="http://schemas.microsoft.com/office/excel/2006/main">
          <x14:cfRule type="cellIs" priority="509" stopIfTrue="1" operator="lessThan" id="{00000000-0000-0000-0000-000000000000}">
            <xm:f>INDEX('1.Locations'!$F$2:$F$32,$CC$16 + 1)</xm:f>
            <x14:dxf>
              <fill>
                <patternFill>
                  <bgColor indexed="52"/>
                </patternFill>
              </fill>
            </x14:dxf>
          </x14:cfRule>
          <xm:sqref>CJ16</xm:sqref>
        </x14:conditionalFormatting>
        <x14:conditionalFormatting xmlns:xm="http://schemas.microsoft.com/office/excel/2006/main">
          <x14:cfRule type="expression" priority="510" stopIfTrue="1" id="{00000000-0000-0000-0000-000000000000}">
            <xm:f>(60 * HOUR($CK$16) + MINUTE($CK$16)) &gt;(60 * HOUR(INDEX('1.Locations'!$G$2:$G$32,$CC$16 + 1)) +MINUTE(INDEX('1.Locations'!$G$2:$G$32,$CC$16 + 1)))</xm:f>
            <x14:dxf>
              <fill>
                <patternFill>
                  <bgColor indexed="10"/>
                </patternFill>
              </fill>
            </x14:dxf>
          </x14:cfRule>
          <xm:sqref>CK16</xm:sqref>
        </x14:conditionalFormatting>
        <x14:conditionalFormatting xmlns:xm="http://schemas.microsoft.com/office/excel/2006/main">
          <x14:cfRule type="cellIs" priority="511" stopIfTrue="1" operator="lessThan" id="{00000000-0000-0000-0000-000000000000}">
            <xm:f>INDEX('1.Locations'!$F$2:$F$32,$CC$17 + 1)</xm:f>
            <x14:dxf>
              <fill>
                <patternFill>
                  <bgColor indexed="52"/>
                </patternFill>
              </fill>
            </x14:dxf>
          </x14:cfRule>
          <xm:sqref>CJ17</xm:sqref>
        </x14:conditionalFormatting>
        <x14:conditionalFormatting xmlns:xm="http://schemas.microsoft.com/office/excel/2006/main">
          <x14:cfRule type="expression" priority="512" stopIfTrue="1" id="{00000000-0000-0000-0000-000000000000}">
            <xm:f>(60 * HOUR($CK$17) + MINUTE($CK$17)) &gt;(60 * HOUR(INDEX('1.Locations'!$G$2:$G$32,$CC$17 + 1)) +MINUTE(INDEX('1.Locations'!$G$2:$G$32,$CC$17 + 1)))</xm:f>
            <x14:dxf>
              <fill>
                <patternFill>
                  <bgColor indexed="10"/>
                </patternFill>
              </fill>
            </x14:dxf>
          </x14:cfRule>
          <xm:sqref>CK17</xm:sqref>
        </x14:conditionalFormatting>
        <x14:conditionalFormatting xmlns:xm="http://schemas.microsoft.com/office/excel/2006/main">
          <x14:cfRule type="cellIs" priority="513" stopIfTrue="1" operator="lessThan" id="{00000000-0000-0000-0000-000000000000}">
            <xm:f>INDEX('1.Locations'!$F$2:$F$32,$CC$18 + 1)</xm:f>
            <x14:dxf>
              <fill>
                <patternFill>
                  <bgColor indexed="52"/>
                </patternFill>
              </fill>
            </x14:dxf>
          </x14:cfRule>
          <xm:sqref>CJ18</xm:sqref>
        </x14:conditionalFormatting>
        <x14:conditionalFormatting xmlns:xm="http://schemas.microsoft.com/office/excel/2006/main">
          <x14:cfRule type="expression" priority="514" stopIfTrue="1" id="{00000000-0000-0000-0000-000000000000}">
            <xm:f>(60 * HOUR($CK$18) + MINUTE($CK$18)) &gt;(60 * HOUR(INDEX('1.Locations'!$G$2:$G$32,$CC$18 + 1)) +MINUTE(INDEX('1.Locations'!$G$2:$G$32,$CC$18 + 1)))</xm:f>
            <x14:dxf>
              <fill>
                <patternFill>
                  <bgColor indexed="10"/>
                </patternFill>
              </fill>
            </x14:dxf>
          </x14:cfRule>
          <xm:sqref>CK18</xm:sqref>
        </x14:conditionalFormatting>
        <x14:conditionalFormatting xmlns:xm="http://schemas.microsoft.com/office/excel/2006/main">
          <x14:cfRule type="cellIs" priority="515" stopIfTrue="1" operator="lessThan" id="{00000000-0000-0000-0000-000000000000}">
            <xm:f>INDEX('1.Locations'!$F$2:$F$32,$CC$19 + 1)</xm:f>
            <x14:dxf>
              <fill>
                <patternFill>
                  <bgColor indexed="52"/>
                </patternFill>
              </fill>
            </x14:dxf>
          </x14:cfRule>
          <xm:sqref>CJ19</xm:sqref>
        </x14:conditionalFormatting>
        <x14:conditionalFormatting xmlns:xm="http://schemas.microsoft.com/office/excel/2006/main">
          <x14:cfRule type="expression" priority="516" stopIfTrue="1" id="{00000000-0000-0000-0000-000000000000}">
            <xm:f>(60 * HOUR($CK$19) + MINUTE($CK$19)) &gt;(60 * HOUR(INDEX('1.Locations'!$G$2:$G$32,$CC$19 + 1)) +MINUTE(INDEX('1.Locations'!$G$2:$G$32,$CC$19 + 1)))</xm:f>
            <x14:dxf>
              <fill>
                <patternFill>
                  <bgColor indexed="10"/>
                </patternFill>
              </fill>
            </x14:dxf>
          </x14:cfRule>
          <xm:sqref>CK19</xm:sqref>
        </x14:conditionalFormatting>
        <x14:conditionalFormatting xmlns:xm="http://schemas.microsoft.com/office/excel/2006/main">
          <x14:cfRule type="cellIs" priority="517" stopIfTrue="1" operator="lessThan" id="{00000000-0000-0000-0000-000000000000}">
            <xm:f>INDEX('1.Locations'!$F$2:$F$32,$CC$20 + 1)</xm:f>
            <x14:dxf>
              <fill>
                <patternFill>
                  <bgColor indexed="52"/>
                </patternFill>
              </fill>
            </x14:dxf>
          </x14:cfRule>
          <xm:sqref>CJ20</xm:sqref>
        </x14:conditionalFormatting>
        <x14:conditionalFormatting xmlns:xm="http://schemas.microsoft.com/office/excel/2006/main">
          <x14:cfRule type="expression" priority="518" stopIfTrue="1" id="{00000000-0000-0000-0000-000000000000}">
            <xm:f>(60 * HOUR($CK$20) + MINUTE($CK$20)) &gt;(60 * HOUR(INDEX('1.Locations'!$G$2:$G$32,$CC$20 + 1)) +MINUTE(INDEX('1.Locations'!$G$2:$G$32,$CC$20 + 1)))</xm:f>
            <x14:dxf>
              <fill>
                <patternFill>
                  <bgColor indexed="10"/>
                </patternFill>
              </fill>
            </x14:dxf>
          </x14:cfRule>
          <xm:sqref>CK20</xm:sqref>
        </x14:conditionalFormatting>
        <x14:conditionalFormatting xmlns:xm="http://schemas.microsoft.com/office/excel/2006/main">
          <x14:cfRule type="cellIs" priority="519" stopIfTrue="1" operator="lessThan" id="{00000000-0000-0000-0000-000000000000}">
            <xm:f>INDEX('1.Locations'!$F$2:$F$32,$CC$21 + 1)</xm:f>
            <x14:dxf>
              <fill>
                <patternFill>
                  <bgColor indexed="52"/>
                </patternFill>
              </fill>
            </x14:dxf>
          </x14:cfRule>
          <xm:sqref>CJ21</xm:sqref>
        </x14:conditionalFormatting>
        <x14:conditionalFormatting xmlns:xm="http://schemas.microsoft.com/office/excel/2006/main">
          <x14:cfRule type="expression" priority="520" stopIfTrue="1" id="{00000000-0000-0000-0000-000000000000}">
            <xm:f>(60 * HOUR($CK$21) + MINUTE($CK$21)) &gt;(60 * HOUR(INDEX('1.Locations'!$G$2:$G$32,$CC$21 + 1)) +MINUTE(INDEX('1.Locations'!$G$2:$G$32,$CC$21 + 1)))</xm:f>
            <x14:dxf>
              <fill>
                <patternFill>
                  <bgColor indexed="10"/>
                </patternFill>
              </fill>
            </x14:dxf>
          </x14:cfRule>
          <xm:sqref>CK21</xm:sqref>
        </x14:conditionalFormatting>
        <x14:conditionalFormatting xmlns:xm="http://schemas.microsoft.com/office/excel/2006/main">
          <x14:cfRule type="cellIs" priority="521" stopIfTrue="1" operator="lessThan" id="{00000000-0000-0000-0000-000000000000}">
            <xm:f>INDEX('1.Locations'!$F$2:$F$32,$CC$22 + 1)</xm:f>
            <x14:dxf>
              <fill>
                <patternFill>
                  <bgColor indexed="52"/>
                </patternFill>
              </fill>
            </x14:dxf>
          </x14:cfRule>
          <xm:sqref>CJ22</xm:sqref>
        </x14:conditionalFormatting>
        <x14:conditionalFormatting xmlns:xm="http://schemas.microsoft.com/office/excel/2006/main">
          <x14:cfRule type="expression" priority="522" stopIfTrue="1" id="{00000000-0000-0000-0000-000000000000}">
            <xm:f>(60 * HOUR($CK$22) + MINUTE($CK$22)) &gt;(60 * HOUR(INDEX('1.Locations'!$G$2:$G$32,$CC$22 + 1)) +MINUTE(INDEX('1.Locations'!$G$2:$G$32,$CC$22 + 1)))</xm:f>
            <x14:dxf>
              <fill>
                <patternFill>
                  <bgColor indexed="10"/>
                </patternFill>
              </fill>
            </x14:dxf>
          </x14:cfRule>
          <xm:sqref>CK22</xm:sqref>
        </x14:conditionalFormatting>
        <x14:conditionalFormatting xmlns:xm="http://schemas.microsoft.com/office/excel/2006/main">
          <x14:cfRule type="cellIs" priority="523" stopIfTrue="1" operator="lessThan" id="{00000000-0000-0000-0000-000000000000}">
            <xm:f>INDEX('1.Locations'!$F$2:$F$32,$CC$23 + 1)</xm:f>
            <x14:dxf>
              <fill>
                <patternFill>
                  <bgColor indexed="52"/>
                </patternFill>
              </fill>
            </x14:dxf>
          </x14:cfRule>
          <xm:sqref>CJ23</xm:sqref>
        </x14:conditionalFormatting>
        <x14:conditionalFormatting xmlns:xm="http://schemas.microsoft.com/office/excel/2006/main">
          <x14:cfRule type="expression" priority="524" stopIfTrue="1" id="{00000000-0000-0000-0000-000000000000}">
            <xm:f>(60 * HOUR($CK$23) + MINUTE($CK$23)) &gt;(60 * HOUR(INDEX('1.Locations'!$G$2:$G$32,$CC$23 + 1)) +MINUTE(INDEX('1.Locations'!$G$2:$G$32,$CC$23 + 1)))</xm:f>
            <x14:dxf>
              <fill>
                <patternFill>
                  <bgColor indexed="10"/>
                </patternFill>
              </fill>
            </x14:dxf>
          </x14:cfRule>
          <xm:sqref>CK23</xm:sqref>
        </x14:conditionalFormatting>
        <x14:conditionalFormatting xmlns:xm="http://schemas.microsoft.com/office/excel/2006/main">
          <x14:cfRule type="cellIs" priority="525" stopIfTrue="1" operator="lessThan" id="{00000000-0000-0000-0000-000000000000}">
            <xm:f>INDEX('1.Locations'!$F$2:$F$32,$CC$24 + 1)</xm:f>
            <x14:dxf>
              <fill>
                <patternFill>
                  <bgColor indexed="52"/>
                </patternFill>
              </fill>
            </x14:dxf>
          </x14:cfRule>
          <xm:sqref>CJ24</xm:sqref>
        </x14:conditionalFormatting>
        <x14:conditionalFormatting xmlns:xm="http://schemas.microsoft.com/office/excel/2006/main">
          <x14:cfRule type="expression" priority="526" stopIfTrue="1" id="{00000000-0000-0000-0000-000000000000}">
            <xm:f>(60 * HOUR($CK$24) + MINUTE($CK$24)) &gt;(60 * HOUR(INDEX('1.Locations'!$G$2:$G$32,$CC$24 + 1)) +MINUTE(INDEX('1.Locations'!$G$2:$G$32,$CC$24 + 1)))</xm:f>
            <x14:dxf>
              <fill>
                <patternFill>
                  <bgColor indexed="10"/>
                </patternFill>
              </fill>
            </x14:dxf>
          </x14:cfRule>
          <xm:sqref>CK24</xm:sqref>
        </x14:conditionalFormatting>
        <x14:conditionalFormatting xmlns:xm="http://schemas.microsoft.com/office/excel/2006/main">
          <x14:cfRule type="cellIs" priority="527" stopIfTrue="1" operator="lessThan" id="{00000000-0000-0000-0000-000000000000}">
            <xm:f>INDEX('1.Locations'!$F$2:$F$32,$CC$25 + 1)</xm:f>
            <x14:dxf>
              <fill>
                <patternFill>
                  <bgColor indexed="52"/>
                </patternFill>
              </fill>
            </x14:dxf>
          </x14:cfRule>
          <xm:sqref>CJ25</xm:sqref>
        </x14:conditionalFormatting>
        <x14:conditionalFormatting xmlns:xm="http://schemas.microsoft.com/office/excel/2006/main">
          <x14:cfRule type="expression" priority="528" stopIfTrue="1" id="{00000000-0000-0000-0000-000000000000}">
            <xm:f>(60 * HOUR($CK$25) + MINUTE($CK$25)) &gt;(60 * HOUR(INDEX('1.Locations'!$G$2:$G$32,$CC$25 + 1)) +MINUTE(INDEX('1.Locations'!$G$2:$G$32,$CC$25 + 1)))</xm:f>
            <x14:dxf>
              <fill>
                <patternFill>
                  <bgColor indexed="10"/>
                </patternFill>
              </fill>
            </x14:dxf>
          </x14:cfRule>
          <xm:sqref>CK25</xm:sqref>
        </x14:conditionalFormatting>
        <x14:conditionalFormatting xmlns:xm="http://schemas.microsoft.com/office/excel/2006/main">
          <x14:cfRule type="cellIs" priority="529" stopIfTrue="1" operator="lessThan" id="{00000000-0000-0000-0000-000000000000}">
            <xm:f>INDEX('1.Locations'!$F$2:$F$32,$CC$26 + 1)</xm:f>
            <x14:dxf>
              <fill>
                <patternFill>
                  <bgColor indexed="52"/>
                </patternFill>
              </fill>
            </x14:dxf>
          </x14:cfRule>
          <xm:sqref>CJ26</xm:sqref>
        </x14:conditionalFormatting>
        <x14:conditionalFormatting xmlns:xm="http://schemas.microsoft.com/office/excel/2006/main">
          <x14:cfRule type="expression" priority="530" stopIfTrue="1" id="{00000000-0000-0000-0000-000000000000}">
            <xm:f>(60 * HOUR($CK$26) + MINUTE($CK$26)) &gt;(60 * HOUR(INDEX('1.Locations'!$G$2:$G$32,$CC$26 + 1)) +MINUTE(INDEX('1.Locations'!$G$2:$G$32,$CC$26 + 1)))</xm:f>
            <x14:dxf>
              <fill>
                <patternFill>
                  <bgColor indexed="10"/>
                </patternFill>
              </fill>
            </x14:dxf>
          </x14:cfRule>
          <xm:sqref>CK26</xm:sqref>
        </x14:conditionalFormatting>
        <x14:conditionalFormatting xmlns:xm="http://schemas.microsoft.com/office/excel/2006/main">
          <x14:cfRule type="cellIs" priority="531" stopIfTrue="1" operator="lessThan" id="{00000000-0000-0000-0000-000000000000}">
            <xm:f>INDEX('1.Locations'!$F$2:$F$32,$CC$27 + 1)</xm:f>
            <x14:dxf>
              <fill>
                <patternFill>
                  <bgColor indexed="52"/>
                </patternFill>
              </fill>
            </x14:dxf>
          </x14:cfRule>
          <xm:sqref>CJ27</xm:sqref>
        </x14:conditionalFormatting>
        <x14:conditionalFormatting xmlns:xm="http://schemas.microsoft.com/office/excel/2006/main">
          <x14:cfRule type="expression" priority="532" stopIfTrue="1" id="{00000000-0000-0000-0000-000000000000}">
            <xm:f>(60 * HOUR($CK$27) + MINUTE($CK$27)) &gt;(60 * HOUR(INDEX('1.Locations'!$G$2:$G$32,$CC$27 + 1)) +MINUTE(INDEX('1.Locations'!$G$2:$G$32,$CC$27 + 1)))</xm:f>
            <x14:dxf>
              <fill>
                <patternFill>
                  <bgColor indexed="10"/>
                </patternFill>
              </fill>
            </x14:dxf>
          </x14:cfRule>
          <xm:sqref>CK27</xm:sqref>
        </x14:conditionalFormatting>
        <x14:conditionalFormatting xmlns:xm="http://schemas.microsoft.com/office/excel/2006/main">
          <x14:cfRule type="cellIs" priority="533" stopIfTrue="1" operator="lessThan" id="{00000000-0000-0000-0000-000000000000}">
            <xm:f>INDEX('1.Locations'!$F$2:$F$32,$CC$28 + 1)</xm:f>
            <x14:dxf>
              <fill>
                <patternFill>
                  <bgColor indexed="52"/>
                </patternFill>
              </fill>
            </x14:dxf>
          </x14:cfRule>
          <xm:sqref>CJ28</xm:sqref>
        </x14:conditionalFormatting>
        <x14:conditionalFormatting xmlns:xm="http://schemas.microsoft.com/office/excel/2006/main">
          <x14:cfRule type="expression" priority="534" stopIfTrue="1" id="{00000000-0000-0000-0000-000000000000}">
            <xm:f>(60 * HOUR($CK$28) + MINUTE($CK$28)) &gt;(60 * HOUR(INDEX('1.Locations'!$G$2:$G$32,$CC$28 + 1)) +MINUTE(INDEX('1.Locations'!$G$2:$G$32,$CC$28 + 1)))</xm:f>
            <x14:dxf>
              <fill>
                <patternFill>
                  <bgColor indexed="10"/>
                </patternFill>
              </fill>
            </x14:dxf>
          </x14:cfRule>
          <xm:sqref>CK28</xm:sqref>
        </x14:conditionalFormatting>
        <x14:conditionalFormatting xmlns:xm="http://schemas.microsoft.com/office/excel/2006/main">
          <x14:cfRule type="cellIs" priority="535" stopIfTrue="1" operator="lessThan" id="{00000000-0000-0000-0000-000000000000}">
            <xm:f>INDEX('1.Locations'!$F$2:$F$32,$CC$29 + 1)</xm:f>
            <x14:dxf>
              <fill>
                <patternFill>
                  <bgColor indexed="52"/>
                </patternFill>
              </fill>
            </x14:dxf>
          </x14:cfRule>
          <xm:sqref>CJ29</xm:sqref>
        </x14:conditionalFormatting>
        <x14:conditionalFormatting xmlns:xm="http://schemas.microsoft.com/office/excel/2006/main">
          <x14:cfRule type="expression" priority="536" stopIfTrue="1" id="{00000000-0000-0000-0000-000000000000}">
            <xm:f>(60 * HOUR($CK$29) + MINUTE($CK$29)) &gt;(60 * HOUR(INDEX('1.Locations'!$G$2:$G$32,$CC$29 + 1)) +MINUTE(INDEX('1.Locations'!$G$2:$G$32,$CC$29 + 1)))</xm:f>
            <x14:dxf>
              <fill>
                <patternFill>
                  <bgColor indexed="10"/>
                </patternFill>
              </fill>
            </x14:dxf>
          </x14:cfRule>
          <xm:sqref>CK29</xm:sqref>
        </x14:conditionalFormatting>
        <x14:conditionalFormatting xmlns:xm="http://schemas.microsoft.com/office/excel/2006/main">
          <x14:cfRule type="cellIs" priority="537" stopIfTrue="1" operator="lessThan" id="{00000000-0000-0000-0000-000000000000}">
            <xm:f>INDEX('1.Locations'!$F$2:$F$32,$CC$30 + 1)</xm:f>
            <x14:dxf>
              <fill>
                <patternFill>
                  <bgColor indexed="52"/>
                </patternFill>
              </fill>
            </x14:dxf>
          </x14:cfRule>
          <xm:sqref>CJ30</xm:sqref>
        </x14:conditionalFormatting>
        <x14:conditionalFormatting xmlns:xm="http://schemas.microsoft.com/office/excel/2006/main">
          <x14:cfRule type="expression" priority="538" stopIfTrue="1" id="{00000000-0000-0000-0000-000000000000}">
            <xm:f>(60 * HOUR($CK$30) + MINUTE($CK$30)) &gt;(60 * HOUR(INDEX('1.Locations'!$G$2:$G$32,$CC$30 + 1)) +MINUTE(INDEX('1.Locations'!$G$2:$G$32,$CC$30 + 1)))</xm:f>
            <x14:dxf>
              <fill>
                <patternFill>
                  <bgColor indexed="10"/>
                </patternFill>
              </fill>
            </x14:dxf>
          </x14:cfRule>
          <xm:sqref>CK30</xm:sqref>
        </x14:conditionalFormatting>
        <x14:conditionalFormatting xmlns:xm="http://schemas.microsoft.com/office/excel/2006/main">
          <x14:cfRule type="cellIs" priority="539" stopIfTrue="1" operator="lessThan" id="{00000000-0000-0000-0000-000000000000}">
            <xm:f>INDEX('1.Locations'!$F$2:$F$32,$CC$31 + 1)</xm:f>
            <x14:dxf>
              <fill>
                <patternFill>
                  <bgColor indexed="52"/>
                </patternFill>
              </fill>
            </x14:dxf>
          </x14:cfRule>
          <xm:sqref>CJ31</xm:sqref>
        </x14:conditionalFormatting>
        <x14:conditionalFormatting xmlns:xm="http://schemas.microsoft.com/office/excel/2006/main">
          <x14:cfRule type="expression" priority="540" stopIfTrue="1" id="{00000000-0000-0000-0000-000000000000}">
            <xm:f>(60 * HOUR($CK$31) + MINUTE($CK$31)) &gt;(60 * HOUR(INDEX('1.Locations'!$G$2:$G$32,$CC$31 + 1)) +MINUTE(INDEX('1.Locations'!$G$2:$G$32,$CC$31 + 1)))</xm:f>
            <x14:dxf>
              <fill>
                <patternFill>
                  <bgColor indexed="10"/>
                </patternFill>
              </fill>
            </x14:dxf>
          </x14:cfRule>
          <xm:sqref>CK31</xm:sqref>
        </x14:conditionalFormatting>
        <x14:conditionalFormatting xmlns:xm="http://schemas.microsoft.com/office/excel/2006/main">
          <x14:cfRule type="cellIs" priority="541" stopIfTrue="1" operator="lessThan" id="{00000000-0000-0000-0000-000000000000}">
            <xm:f>INDEX('1.Locations'!$F$2:$F$32,$CC$32 + 1)</xm:f>
            <x14:dxf>
              <fill>
                <patternFill>
                  <bgColor indexed="52"/>
                </patternFill>
              </fill>
            </x14:dxf>
          </x14:cfRule>
          <xm:sqref>CJ32</xm:sqref>
        </x14:conditionalFormatting>
        <x14:conditionalFormatting xmlns:xm="http://schemas.microsoft.com/office/excel/2006/main">
          <x14:cfRule type="expression" priority="542" stopIfTrue="1" id="{00000000-0000-0000-0000-000000000000}">
            <xm:f>(60 * HOUR($CK$32) + MINUTE($CK$32)) &gt;(60 * HOUR(INDEX('1.Locations'!$G$2:$G$32,$CC$32 + 1)) +MINUTE(INDEX('1.Locations'!$G$2:$G$32,$CC$32 + 1)))</xm:f>
            <x14:dxf>
              <fill>
                <patternFill>
                  <bgColor indexed="10"/>
                </patternFill>
              </fill>
            </x14:dxf>
          </x14:cfRule>
          <xm:sqref>CK32</xm:sqref>
        </x14:conditionalFormatting>
        <x14:conditionalFormatting xmlns:xm="http://schemas.microsoft.com/office/excel/2006/main">
          <x14:cfRule type="cellIs" priority="543" stopIfTrue="1" operator="lessThan" id="{00000000-0000-0000-0000-000000000000}">
            <xm:f>INDEX('1.Locations'!$F$2:$F$32,$CC$33 + 1)</xm:f>
            <x14:dxf>
              <fill>
                <patternFill>
                  <bgColor indexed="52"/>
                </patternFill>
              </fill>
            </x14:dxf>
          </x14:cfRule>
          <xm:sqref>CJ33</xm:sqref>
        </x14:conditionalFormatting>
        <x14:conditionalFormatting xmlns:xm="http://schemas.microsoft.com/office/excel/2006/main">
          <x14:cfRule type="expression" priority="544" stopIfTrue="1" id="{00000000-0000-0000-0000-000000000000}">
            <xm:f>(60 * HOUR($CK$33) + MINUTE($CK$33)) &gt;(60 * HOUR(INDEX('1.Locations'!$G$2:$G$32,$CC$33 + 1)) +MINUTE(INDEX('1.Locations'!$G$2:$G$32,$CC$33 + 1)))</xm:f>
            <x14:dxf>
              <fill>
                <patternFill>
                  <bgColor indexed="10"/>
                </patternFill>
              </fill>
            </x14:dxf>
          </x14:cfRule>
          <xm:sqref>CK33</xm:sqref>
        </x14:conditionalFormatting>
        <x14:conditionalFormatting xmlns:xm="http://schemas.microsoft.com/office/excel/2006/main">
          <x14:cfRule type="cellIs" priority="545" stopIfTrue="1" operator="lessThan" id="{00000000-0000-0000-0000-000000000000}">
            <xm:f>INDEX('1.Locations'!$F$2:$F$32,$CC$34 + 1)</xm:f>
            <x14:dxf>
              <fill>
                <patternFill>
                  <bgColor indexed="52"/>
                </patternFill>
              </fill>
            </x14:dxf>
          </x14:cfRule>
          <xm:sqref>CJ34</xm:sqref>
        </x14:conditionalFormatting>
        <x14:conditionalFormatting xmlns:xm="http://schemas.microsoft.com/office/excel/2006/main">
          <x14:cfRule type="expression" priority="546" stopIfTrue="1" id="{00000000-0000-0000-0000-000000000000}">
            <xm:f>(60 * HOUR($CK$34) + MINUTE($CK$34)) &gt;(60 * HOUR(INDEX('1.Locations'!$G$2:$G$32,$CC$34 + 1)) +MINUTE(INDEX('1.Locations'!$G$2:$G$32,$CC$34 + 1)))</xm:f>
            <x14:dxf>
              <fill>
                <patternFill>
                  <bgColor indexed="10"/>
                </patternFill>
              </fill>
            </x14:dxf>
          </x14:cfRule>
          <xm:sqref>CK34</xm:sqref>
        </x14:conditionalFormatting>
        <x14:conditionalFormatting xmlns:xm="http://schemas.microsoft.com/office/excel/2006/main">
          <x14:cfRule type="cellIs" priority="547" stopIfTrue="1" operator="lessThan" id="{00000000-0000-0000-0000-000000000000}">
            <xm:f>INDEX('1.Locations'!$F$2:$F$32,$CC$35 + 1)</xm:f>
            <x14:dxf>
              <fill>
                <patternFill>
                  <bgColor indexed="52"/>
                </patternFill>
              </fill>
            </x14:dxf>
          </x14:cfRule>
          <xm:sqref>CJ35</xm:sqref>
        </x14:conditionalFormatting>
        <x14:conditionalFormatting xmlns:xm="http://schemas.microsoft.com/office/excel/2006/main">
          <x14:cfRule type="expression" priority="548" stopIfTrue="1" id="{00000000-0000-0000-0000-000000000000}">
            <xm:f>(60 * HOUR($CK$35) + MINUTE($CK$35)) &gt;(60 * HOUR(INDEX('1.Locations'!$G$2:$G$32,$CC$35 + 1)) +MINUTE(INDEX('1.Locations'!$G$2:$G$32,$CC$35 + 1)))</xm:f>
            <x14:dxf>
              <fill>
                <patternFill>
                  <bgColor indexed="10"/>
                </patternFill>
              </fill>
            </x14:dxf>
          </x14:cfRule>
          <xm:sqref>CK35</xm:sqref>
        </x14:conditionalFormatting>
        <x14:conditionalFormatting xmlns:xm="http://schemas.microsoft.com/office/excel/2006/main">
          <x14:cfRule type="cellIs" priority="549" stopIfTrue="1" operator="lessThan" id="{00000000-0000-0000-0000-000000000000}">
            <xm:f>INDEX('1.Locations'!$F$2:$F$32,$CC$36 + 1)</xm:f>
            <x14:dxf>
              <fill>
                <patternFill>
                  <bgColor indexed="52"/>
                </patternFill>
              </fill>
            </x14:dxf>
          </x14:cfRule>
          <xm:sqref>CJ36</xm:sqref>
        </x14:conditionalFormatting>
        <x14:conditionalFormatting xmlns:xm="http://schemas.microsoft.com/office/excel/2006/main">
          <x14:cfRule type="expression" priority="550" stopIfTrue="1" id="{00000000-0000-0000-0000-000000000000}">
            <xm:f>(60 * HOUR($CK$36) + MINUTE($CK$36)) &gt;(60 * HOUR(INDEX('1.Locations'!$G$2:$G$32,$CC$36 + 1)) +MINUTE(INDEX('1.Locations'!$G$2:$G$32,$CC$36 + 1)))</xm:f>
            <x14:dxf>
              <fill>
                <patternFill>
                  <bgColor indexed="10"/>
                </patternFill>
              </fill>
            </x14:dxf>
          </x14:cfRule>
          <xm:sqref>CK36</xm:sqref>
        </x14:conditionalFormatting>
        <x14:conditionalFormatting xmlns:xm="http://schemas.microsoft.com/office/excel/2006/main">
          <x14:cfRule type="cellIs" priority="551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CF6:CF36</xm:sqref>
        </x14:conditionalFormatting>
        <x14:conditionalFormatting xmlns:xm="http://schemas.microsoft.com/office/excel/2006/main">
          <x14:cfRule type="cellIs" priority="552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CG6:CG36</xm:sqref>
        </x14:conditionalFormatting>
        <x14:conditionalFormatting xmlns:xm="http://schemas.microsoft.com/office/excel/2006/main">
          <x14:cfRule type="cellIs" priority="553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CI6:CI36</xm:sqref>
        </x14:conditionalFormatting>
        <x14:conditionalFormatting xmlns:xm="http://schemas.microsoft.com/office/excel/2006/main">
          <x14:cfRule type="cellIs" priority="554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CL6:CL36</xm:sqref>
        </x14:conditionalFormatting>
        <x14:conditionalFormatting xmlns:xm="http://schemas.microsoft.com/office/excel/2006/main">
          <x14:cfRule type="cellIs" priority="556" stopIfTrue="1" operator="lessThan" id="{00000000-0000-0000-0000-000000000000}">
            <xm:f>INDEX('1.Locations'!$F$2:$F$32,$CP$5 + 1)</xm:f>
            <x14:dxf>
              <fill>
                <patternFill>
                  <bgColor indexed="52"/>
                </patternFill>
              </fill>
            </x14:dxf>
          </x14:cfRule>
          <xm:sqref>CW5</xm:sqref>
        </x14:conditionalFormatting>
        <x14:conditionalFormatting xmlns:xm="http://schemas.microsoft.com/office/excel/2006/main">
          <x14:cfRule type="expression" priority="557" stopIfTrue="1" id="{00000000-0000-0000-0000-000000000000}">
            <xm:f>(60 * HOUR($CX$5) + MINUTE($CX$5)) &gt;(60 * HOUR(INDEX('1.Locations'!$G$2:$G$32,$CP$5 + 1)) +MINUTE(INDEX('1.Locations'!$G$2:$G$32,$CP$5 + 1)))</xm:f>
            <x14:dxf>
              <fill>
                <patternFill>
                  <bgColor indexed="10"/>
                </patternFill>
              </fill>
            </x14:dxf>
          </x14:cfRule>
          <xm:sqref>CX5</xm:sqref>
        </x14:conditionalFormatting>
        <x14:conditionalFormatting xmlns:xm="http://schemas.microsoft.com/office/excel/2006/main">
          <x14:cfRule type="cellIs" priority="558" stopIfTrue="1" operator="lessThan" id="{00000000-0000-0000-0000-000000000000}">
            <xm:f>INDEX('1.Locations'!$F$2:$F$32,$CP$6 + 1)</xm:f>
            <x14:dxf>
              <fill>
                <patternFill>
                  <bgColor indexed="52"/>
                </patternFill>
              </fill>
            </x14:dxf>
          </x14:cfRule>
          <xm:sqref>CW6</xm:sqref>
        </x14:conditionalFormatting>
        <x14:conditionalFormatting xmlns:xm="http://schemas.microsoft.com/office/excel/2006/main">
          <x14:cfRule type="expression" priority="559" stopIfTrue="1" id="{00000000-0000-0000-0000-000000000000}">
            <xm:f>(60 * HOUR($CX$6) + MINUTE($CX$6)) &gt;(60 * HOUR(INDEX('1.Locations'!$G$2:$G$32,$CP$6 + 1)) +MINUTE(INDEX('1.Locations'!$G$2:$G$32,$CP$6 + 1)))</xm:f>
            <x14:dxf>
              <fill>
                <patternFill>
                  <bgColor indexed="10"/>
                </patternFill>
              </fill>
            </x14:dxf>
          </x14:cfRule>
          <xm:sqref>CX6</xm:sqref>
        </x14:conditionalFormatting>
        <x14:conditionalFormatting xmlns:xm="http://schemas.microsoft.com/office/excel/2006/main">
          <x14:cfRule type="cellIs" priority="560" stopIfTrue="1" operator="lessThan" id="{00000000-0000-0000-0000-000000000000}">
            <xm:f>INDEX('1.Locations'!$F$2:$F$32,$CP$7 + 1)</xm:f>
            <x14:dxf>
              <fill>
                <patternFill>
                  <bgColor indexed="52"/>
                </patternFill>
              </fill>
            </x14:dxf>
          </x14:cfRule>
          <xm:sqref>CW7</xm:sqref>
        </x14:conditionalFormatting>
        <x14:conditionalFormatting xmlns:xm="http://schemas.microsoft.com/office/excel/2006/main">
          <x14:cfRule type="expression" priority="561" stopIfTrue="1" id="{00000000-0000-0000-0000-000000000000}">
            <xm:f>(60 * HOUR($CX$7) + MINUTE($CX$7)) &gt;(60 * HOUR(INDEX('1.Locations'!$G$2:$G$32,$CP$7 + 1)) +MINUTE(INDEX('1.Locations'!$G$2:$G$32,$CP$7 + 1)))</xm:f>
            <x14:dxf>
              <fill>
                <patternFill>
                  <bgColor indexed="10"/>
                </patternFill>
              </fill>
            </x14:dxf>
          </x14:cfRule>
          <xm:sqref>CX7</xm:sqref>
        </x14:conditionalFormatting>
        <x14:conditionalFormatting xmlns:xm="http://schemas.microsoft.com/office/excel/2006/main">
          <x14:cfRule type="cellIs" priority="562" stopIfTrue="1" operator="lessThan" id="{00000000-0000-0000-0000-000000000000}">
            <xm:f>INDEX('1.Locations'!$F$2:$F$32,$CP$8 + 1)</xm:f>
            <x14:dxf>
              <fill>
                <patternFill>
                  <bgColor indexed="52"/>
                </patternFill>
              </fill>
            </x14:dxf>
          </x14:cfRule>
          <xm:sqref>CW8</xm:sqref>
        </x14:conditionalFormatting>
        <x14:conditionalFormatting xmlns:xm="http://schemas.microsoft.com/office/excel/2006/main">
          <x14:cfRule type="expression" priority="563" stopIfTrue="1" id="{00000000-0000-0000-0000-000000000000}">
            <xm:f>(60 * HOUR($CX$8) + MINUTE($CX$8)) &gt;(60 * HOUR(INDEX('1.Locations'!$G$2:$G$32,$CP$8 + 1)) +MINUTE(INDEX('1.Locations'!$G$2:$G$32,$CP$8 + 1)))</xm:f>
            <x14:dxf>
              <fill>
                <patternFill>
                  <bgColor indexed="10"/>
                </patternFill>
              </fill>
            </x14:dxf>
          </x14:cfRule>
          <xm:sqref>CX8</xm:sqref>
        </x14:conditionalFormatting>
        <x14:conditionalFormatting xmlns:xm="http://schemas.microsoft.com/office/excel/2006/main">
          <x14:cfRule type="cellIs" priority="564" stopIfTrue="1" operator="lessThan" id="{00000000-0000-0000-0000-000000000000}">
            <xm:f>INDEX('1.Locations'!$F$2:$F$32,$CP$9 + 1)</xm:f>
            <x14:dxf>
              <fill>
                <patternFill>
                  <bgColor indexed="52"/>
                </patternFill>
              </fill>
            </x14:dxf>
          </x14:cfRule>
          <xm:sqref>CW9</xm:sqref>
        </x14:conditionalFormatting>
        <x14:conditionalFormatting xmlns:xm="http://schemas.microsoft.com/office/excel/2006/main">
          <x14:cfRule type="expression" priority="565" stopIfTrue="1" id="{00000000-0000-0000-0000-000000000000}">
            <xm:f>(60 * HOUR($CX$9) + MINUTE($CX$9)) &gt;(60 * HOUR(INDEX('1.Locations'!$G$2:$G$32,$CP$9 + 1)) +MINUTE(INDEX('1.Locations'!$G$2:$G$32,$CP$9 + 1)))</xm:f>
            <x14:dxf>
              <fill>
                <patternFill>
                  <bgColor indexed="10"/>
                </patternFill>
              </fill>
            </x14:dxf>
          </x14:cfRule>
          <xm:sqref>CX9</xm:sqref>
        </x14:conditionalFormatting>
        <x14:conditionalFormatting xmlns:xm="http://schemas.microsoft.com/office/excel/2006/main">
          <x14:cfRule type="cellIs" priority="566" stopIfTrue="1" operator="lessThan" id="{00000000-0000-0000-0000-000000000000}">
            <xm:f>INDEX('1.Locations'!$F$2:$F$32,$CP$10 + 1)</xm:f>
            <x14:dxf>
              <fill>
                <patternFill>
                  <bgColor indexed="52"/>
                </patternFill>
              </fill>
            </x14:dxf>
          </x14:cfRule>
          <xm:sqref>CW10</xm:sqref>
        </x14:conditionalFormatting>
        <x14:conditionalFormatting xmlns:xm="http://schemas.microsoft.com/office/excel/2006/main">
          <x14:cfRule type="expression" priority="567" stopIfTrue="1" id="{00000000-0000-0000-0000-000000000000}">
            <xm:f>(60 * HOUR($CX$10) + MINUTE($CX$10)) &gt;(60 * HOUR(INDEX('1.Locations'!$G$2:$G$32,$CP$10 + 1)) +MINUTE(INDEX('1.Locations'!$G$2:$G$32,$CP$10 + 1)))</xm:f>
            <x14:dxf>
              <fill>
                <patternFill>
                  <bgColor indexed="10"/>
                </patternFill>
              </fill>
            </x14:dxf>
          </x14:cfRule>
          <xm:sqref>CX10</xm:sqref>
        </x14:conditionalFormatting>
        <x14:conditionalFormatting xmlns:xm="http://schemas.microsoft.com/office/excel/2006/main">
          <x14:cfRule type="cellIs" priority="568" stopIfTrue="1" operator="lessThan" id="{00000000-0000-0000-0000-000000000000}">
            <xm:f>INDEX('1.Locations'!$F$2:$F$32,$CP$11 + 1)</xm:f>
            <x14:dxf>
              <fill>
                <patternFill>
                  <bgColor indexed="52"/>
                </patternFill>
              </fill>
            </x14:dxf>
          </x14:cfRule>
          <xm:sqref>CW11</xm:sqref>
        </x14:conditionalFormatting>
        <x14:conditionalFormatting xmlns:xm="http://schemas.microsoft.com/office/excel/2006/main">
          <x14:cfRule type="expression" priority="569" stopIfTrue="1" id="{00000000-0000-0000-0000-000000000000}">
            <xm:f>(60 * HOUR($CX$11) + MINUTE($CX$11)) &gt;(60 * HOUR(INDEX('1.Locations'!$G$2:$G$32,$CP$11 + 1)) +MINUTE(INDEX('1.Locations'!$G$2:$G$32,$CP$11 + 1)))</xm:f>
            <x14:dxf>
              <fill>
                <patternFill>
                  <bgColor indexed="10"/>
                </patternFill>
              </fill>
            </x14:dxf>
          </x14:cfRule>
          <xm:sqref>CX11</xm:sqref>
        </x14:conditionalFormatting>
        <x14:conditionalFormatting xmlns:xm="http://schemas.microsoft.com/office/excel/2006/main">
          <x14:cfRule type="cellIs" priority="570" stopIfTrue="1" operator="lessThan" id="{00000000-0000-0000-0000-000000000000}">
            <xm:f>INDEX('1.Locations'!$F$2:$F$32,$CP$12 + 1)</xm:f>
            <x14:dxf>
              <fill>
                <patternFill>
                  <bgColor indexed="52"/>
                </patternFill>
              </fill>
            </x14:dxf>
          </x14:cfRule>
          <xm:sqref>CW12</xm:sqref>
        </x14:conditionalFormatting>
        <x14:conditionalFormatting xmlns:xm="http://schemas.microsoft.com/office/excel/2006/main">
          <x14:cfRule type="expression" priority="571" stopIfTrue="1" id="{00000000-0000-0000-0000-000000000000}">
            <xm:f>(60 * HOUR($CX$12) + MINUTE($CX$12)) &gt;(60 * HOUR(INDEX('1.Locations'!$G$2:$G$32,$CP$12 + 1)) +MINUTE(INDEX('1.Locations'!$G$2:$G$32,$CP$12 + 1)))</xm:f>
            <x14:dxf>
              <fill>
                <patternFill>
                  <bgColor indexed="10"/>
                </patternFill>
              </fill>
            </x14:dxf>
          </x14:cfRule>
          <xm:sqref>CX12</xm:sqref>
        </x14:conditionalFormatting>
        <x14:conditionalFormatting xmlns:xm="http://schemas.microsoft.com/office/excel/2006/main">
          <x14:cfRule type="cellIs" priority="572" stopIfTrue="1" operator="lessThan" id="{00000000-0000-0000-0000-000000000000}">
            <xm:f>INDEX('1.Locations'!$F$2:$F$32,$CP$13 + 1)</xm:f>
            <x14:dxf>
              <fill>
                <patternFill>
                  <bgColor indexed="52"/>
                </patternFill>
              </fill>
            </x14:dxf>
          </x14:cfRule>
          <xm:sqref>CW13</xm:sqref>
        </x14:conditionalFormatting>
        <x14:conditionalFormatting xmlns:xm="http://schemas.microsoft.com/office/excel/2006/main">
          <x14:cfRule type="expression" priority="573" stopIfTrue="1" id="{00000000-0000-0000-0000-000000000000}">
            <xm:f>(60 * HOUR($CX$13) + MINUTE($CX$13)) &gt;(60 * HOUR(INDEX('1.Locations'!$G$2:$G$32,$CP$13 + 1)) +MINUTE(INDEX('1.Locations'!$G$2:$G$32,$CP$13 + 1)))</xm:f>
            <x14:dxf>
              <fill>
                <patternFill>
                  <bgColor indexed="10"/>
                </patternFill>
              </fill>
            </x14:dxf>
          </x14:cfRule>
          <xm:sqref>CX13</xm:sqref>
        </x14:conditionalFormatting>
        <x14:conditionalFormatting xmlns:xm="http://schemas.microsoft.com/office/excel/2006/main">
          <x14:cfRule type="cellIs" priority="574" stopIfTrue="1" operator="lessThan" id="{00000000-0000-0000-0000-000000000000}">
            <xm:f>INDEX('1.Locations'!$F$2:$F$32,$CP$14 + 1)</xm:f>
            <x14:dxf>
              <fill>
                <patternFill>
                  <bgColor indexed="52"/>
                </patternFill>
              </fill>
            </x14:dxf>
          </x14:cfRule>
          <xm:sqref>CW14</xm:sqref>
        </x14:conditionalFormatting>
        <x14:conditionalFormatting xmlns:xm="http://schemas.microsoft.com/office/excel/2006/main">
          <x14:cfRule type="expression" priority="575" stopIfTrue="1" id="{00000000-0000-0000-0000-000000000000}">
            <xm:f>(60 * HOUR($CX$14) + MINUTE($CX$14)) &gt;(60 * HOUR(INDEX('1.Locations'!$G$2:$G$32,$CP$14 + 1)) +MINUTE(INDEX('1.Locations'!$G$2:$G$32,$CP$14 + 1)))</xm:f>
            <x14:dxf>
              <fill>
                <patternFill>
                  <bgColor indexed="10"/>
                </patternFill>
              </fill>
            </x14:dxf>
          </x14:cfRule>
          <xm:sqref>CX14</xm:sqref>
        </x14:conditionalFormatting>
        <x14:conditionalFormatting xmlns:xm="http://schemas.microsoft.com/office/excel/2006/main">
          <x14:cfRule type="cellIs" priority="576" stopIfTrue="1" operator="lessThan" id="{00000000-0000-0000-0000-000000000000}">
            <xm:f>INDEX('1.Locations'!$F$2:$F$32,$CP$15 + 1)</xm:f>
            <x14:dxf>
              <fill>
                <patternFill>
                  <bgColor indexed="52"/>
                </patternFill>
              </fill>
            </x14:dxf>
          </x14:cfRule>
          <xm:sqref>CW15</xm:sqref>
        </x14:conditionalFormatting>
        <x14:conditionalFormatting xmlns:xm="http://schemas.microsoft.com/office/excel/2006/main">
          <x14:cfRule type="expression" priority="577" stopIfTrue="1" id="{00000000-0000-0000-0000-000000000000}">
            <xm:f>(60 * HOUR($CX$15) + MINUTE($CX$15)) &gt;(60 * HOUR(INDEX('1.Locations'!$G$2:$G$32,$CP$15 + 1)) +MINUTE(INDEX('1.Locations'!$G$2:$G$32,$CP$15 + 1)))</xm:f>
            <x14:dxf>
              <fill>
                <patternFill>
                  <bgColor indexed="10"/>
                </patternFill>
              </fill>
            </x14:dxf>
          </x14:cfRule>
          <xm:sqref>CX15</xm:sqref>
        </x14:conditionalFormatting>
        <x14:conditionalFormatting xmlns:xm="http://schemas.microsoft.com/office/excel/2006/main">
          <x14:cfRule type="cellIs" priority="578" stopIfTrue="1" operator="lessThan" id="{00000000-0000-0000-0000-000000000000}">
            <xm:f>INDEX('1.Locations'!$F$2:$F$32,$CP$16 + 1)</xm:f>
            <x14:dxf>
              <fill>
                <patternFill>
                  <bgColor indexed="52"/>
                </patternFill>
              </fill>
            </x14:dxf>
          </x14:cfRule>
          <xm:sqref>CW16</xm:sqref>
        </x14:conditionalFormatting>
        <x14:conditionalFormatting xmlns:xm="http://schemas.microsoft.com/office/excel/2006/main">
          <x14:cfRule type="expression" priority="579" stopIfTrue="1" id="{00000000-0000-0000-0000-000000000000}">
            <xm:f>(60 * HOUR($CX$16) + MINUTE($CX$16)) &gt;(60 * HOUR(INDEX('1.Locations'!$G$2:$G$32,$CP$16 + 1)) +MINUTE(INDEX('1.Locations'!$G$2:$G$32,$CP$16 + 1)))</xm:f>
            <x14:dxf>
              <fill>
                <patternFill>
                  <bgColor indexed="10"/>
                </patternFill>
              </fill>
            </x14:dxf>
          </x14:cfRule>
          <xm:sqref>CX16</xm:sqref>
        </x14:conditionalFormatting>
        <x14:conditionalFormatting xmlns:xm="http://schemas.microsoft.com/office/excel/2006/main">
          <x14:cfRule type="cellIs" priority="580" stopIfTrue="1" operator="lessThan" id="{00000000-0000-0000-0000-000000000000}">
            <xm:f>INDEX('1.Locations'!$F$2:$F$32,$CP$17 + 1)</xm:f>
            <x14:dxf>
              <fill>
                <patternFill>
                  <bgColor indexed="52"/>
                </patternFill>
              </fill>
            </x14:dxf>
          </x14:cfRule>
          <xm:sqref>CW17</xm:sqref>
        </x14:conditionalFormatting>
        <x14:conditionalFormatting xmlns:xm="http://schemas.microsoft.com/office/excel/2006/main">
          <x14:cfRule type="expression" priority="581" stopIfTrue="1" id="{00000000-0000-0000-0000-000000000000}">
            <xm:f>(60 * HOUR($CX$17) + MINUTE($CX$17)) &gt;(60 * HOUR(INDEX('1.Locations'!$G$2:$G$32,$CP$17 + 1)) +MINUTE(INDEX('1.Locations'!$G$2:$G$32,$CP$17 + 1)))</xm:f>
            <x14:dxf>
              <fill>
                <patternFill>
                  <bgColor indexed="10"/>
                </patternFill>
              </fill>
            </x14:dxf>
          </x14:cfRule>
          <xm:sqref>CX17</xm:sqref>
        </x14:conditionalFormatting>
        <x14:conditionalFormatting xmlns:xm="http://schemas.microsoft.com/office/excel/2006/main">
          <x14:cfRule type="cellIs" priority="582" stopIfTrue="1" operator="lessThan" id="{00000000-0000-0000-0000-000000000000}">
            <xm:f>INDEX('1.Locations'!$F$2:$F$32,$CP$18 + 1)</xm:f>
            <x14:dxf>
              <fill>
                <patternFill>
                  <bgColor indexed="52"/>
                </patternFill>
              </fill>
            </x14:dxf>
          </x14:cfRule>
          <xm:sqref>CW18</xm:sqref>
        </x14:conditionalFormatting>
        <x14:conditionalFormatting xmlns:xm="http://schemas.microsoft.com/office/excel/2006/main">
          <x14:cfRule type="expression" priority="583" stopIfTrue="1" id="{00000000-0000-0000-0000-000000000000}">
            <xm:f>(60 * HOUR($CX$18) + MINUTE($CX$18)) &gt;(60 * HOUR(INDEX('1.Locations'!$G$2:$G$32,$CP$18 + 1)) +MINUTE(INDEX('1.Locations'!$G$2:$G$32,$CP$18 + 1)))</xm:f>
            <x14:dxf>
              <fill>
                <patternFill>
                  <bgColor indexed="10"/>
                </patternFill>
              </fill>
            </x14:dxf>
          </x14:cfRule>
          <xm:sqref>CX18</xm:sqref>
        </x14:conditionalFormatting>
        <x14:conditionalFormatting xmlns:xm="http://schemas.microsoft.com/office/excel/2006/main">
          <x14:cfRule type="cellIs" priority="584" stopIfTrue="1" operator="lessThan" id="{00000000-0000-0000-0000-000000000000}">
            <xm:f>INDEX('1.Locations'!$F$2:$F$32,$CP$19 + 1)</xm:f>
            <x14:dxf>
              <fill>
                <patternFill>
                  <bgColor indexed="52"/>
                </patternFill>
              </fill>
            </x14:dxf>
          </x14:cfRule>
          <xm:sqref>CW19</xm:sqref>
        </x14:conditionalFormatting>
        <x14:conditionalFormatting xmlns:xm="http://schemas.microsoft.com/office/excel/2006/main">
          <x14:cfRule type="expression" priority="585" stopIfTrue="1" id="{00000000-0000-0000-0000-000000000000}">
            <xm:f>(60 * HOUR($CX$19) + MINUTE($CX$19)) &gt;(60 * HOUR(INDEX('1.Locations'!$G$2:$G$32,$CP$19 + 1)) +MINUTE(INDEX('1.Locations'!$G$2:$G$32,$CP$19 + 1)))</xm:f>
            <x14:dxf>
              <fill>
                <patternFill>
                  <bgColor indexed="10"/>
                </patternFill>
              </fill>
            </x14:dxf>
          </x14:cfRule>
          <xm:sqref>CX19</xm:sqref>
        </x14:conditionalFormatting>
        <x14:conditionalFormatting xmlns:xm="http://schemas.microsoft.com/office/excel/2006/main">
          <x14:cfRule type="cellIs" priority="586" stopIfTrue="1" operator="lessThan" id="{00000000-0000-0000-0000-000000000000}">
            <xm:f>INDEX('1.Locations'!$F$2:$F$32,$CP$20 + 1)</xm:f>
            <x14:dxf>
              <fill>
                <patternFill>
                  <bgColor indexed="52"/>
                </patternFill>
              </fill>
            </x14:dxf>
          </x14:cfRule>
          <xm:sqref>CW20</xm:sqref>
        </x14:conditionalFormatting>
        <x14:conditionalFormatting xmlns:xm="http://schemas.microsoft.com/office/excel/2006/main">
          <x14:cfRule type="expression" priority="587" stopIfTrue="1" id="{00000000-0000-0000-0000-000000000000}">
            <xm:f>(60 * HOUR($CX$20) + MINUTE($CX$20)) &gt;(60 * HOUR(INDEX('1.Locations'!$G$2:$G$32,$CP$20 + 1)) +MINUTE(INDEX('1.Locations'!$G$2:$G$32,$CP$20 + 1)))</xm:f>
            <x14:dxf>
              <fill>
                <patternFill>
                  <bgColor indexed="10"/>
                </patternFill>
              </fill>
            </x14:dxf>
          </x14:cfRule>
          <xm:sqref>CX20</xm:sqref>
        </x14:conditionalFormatting>
        <x14:conditionalFormatting xmlns:xm="http://schemas.microsoft.com/office/excel/2006/main">
          <x14:cfRule type="cellIs" priority="588" stopIfTrue="1" operator="lessThan" id="{00000000-0000-0000-0000-000000000000}">
            <xm:f>INDEX('1.Locations'!$F$2:$F$32,$CP$21 + 1)</xm:f>
            <x14:dxf>
              <fill>
                <patternFill>
                  <bgColor indexed="52"/>
                </patternFill>
              </fill>
            </x14:dxf>
          </x14:cfRule>
          <xm:sqref>CW21</xm:sqref>
        </x14:conditionalFormatting>
        <x14:conditionalFormatting xmlns:xm="http://schemas.microsoft.com/office/excel/2006/main">
          <x14:cfRule type="expression" priority="589" stopIfTrue="1" id="{00000000-0000-0000-0000-000000000000}">
            <xm:f>(60 * HOUR($CX$21) + MINUTE($CX$21)) &gt;(60 * HOUR(INDEX('1.Locations'!$G$2:$G$32,$CP$21 + 1)) +MINUTE(INDEX('1.Locations'!$G$2:$G$32,$CP$21 + 1)))</xm:f>
            <x14:dxf>
              <fill>
                <patternFill>
                  <bgColor indexed="10"/>
                </patternFill>
              </fill>
            </x14:dxf>
          </x14:cfRule>
          <xm:sqref>CX21</xm:sqref>
        </x14:conditionalFormatting>
        <x14:conditionalFormatting xmlns:xm="http://schemas.microsoft.com/office/excel/2006/main">
          <x14:cfRule type="cellIs" priority="590" stopIfTrue="1" operator="lessThan" id="{00000000-0000-0000-0000-000000000000}">
            <xm:f>INDEX('1.Locations'!$F$2:$F$32,$CP$22 + 1)</xm:f>
            <x14:dxf>
              <fill>
                <patternFill>
                  <bgColor indexed="52"/>
                </patternFill>
              </fill>
            </x14:dxf>
          </x14:cfRule>
          <xm:sqref>CW22</xm:sqref>
        </x14:conditionalFormatting>
        <x14:conditionalFormatting xmlns:xm="http://schemas.microsoft.com/office/excel/2006/main">
          <x14:cfRule type="expression" priority="591" stopIfTrue="1" id="{00000000-0000-0000-0000-000000000000}">
            <xm:f>(60 * HOUR($CX$22) + MINUTE($CX$22)) &gt;(60 * HOUR(INDEX('1.Locations'!$G$2:$G$32,$CP$22 + 1)) +MINUTE(INDEX('1.Locations'!$G$2:$G$32,$CP$22 + 1)))</xm:f>
            <x14:dxf>
              <fill>
                <patternFill>
                  <bgColor indexed="10"/>
                </patternFill>
              </fill>
            </x14:dxf>
          </x14:cfRule>
          <xm:sqref>CX22</xm:sqref>
        </x14:conditionalFormatting>
        <x14:conditionalFormatting xmlns:xm="http://schemas.microsoft.com/office/excel/2006/main">
          <x14:cfRule type="cellIs" priority="592" stopIfTrue="1" operator="lessThan" id="{00000000-0000-0000-0000-000000000000}">
            <xm:f>INDEX('1.Locations'!$F$2:$F$32,$CP$23 + 1)</xm:f>
            <x14:dxf>
              <fill>
                <patternFill>
                  <bgColor indexed="52"/>
                </patternFill>
              </fill>
            </x14:dxf>
          </x14:cfRule>
          <xm:sqref>CW23</xm:sqref>
        </x14:conditionalFormatting>
        <x14:conditionalFormatting xmlns:xm="http://schemas.microsoft.com/office/excel/2006/main">
          <x14:cfRule type="expression" priority="593" stopIfTrue="1" id="{00000000-0000-0000-0000-000000000000}">
            <xm:f>(60 * HOUR($CX$23) + MINUTE($CX$23)) &gt;(60 * HOUR(INDEX('1.Locations'!$G$2:$G$32,$CP$23 + 1)) +MINUTE(INDEX('1.Locations'!$G$2:$G$32,$CP$23 + 1)))</xm:f>
            <x14:dxf>
              <fill>
                <patternFill>
                  <bgColor indexed="10"/>
                </patternFill>
              </fill>
            </x14:dxf>
          </x14:cfRule>
          <xm:sqref>CX23</xm:sqref>
        </x14:conditionalFormatting>
        <x14:conditionalFormatting xmlns:xm="http://schemas.microsoft.com/office/excel/2006/main">
          <x14:cfRule type="cellIs" priority="594" stopIfTrue="1" operator="lessThan" id="{00000000-0000-0000-0000-000000000000}">
            <xm:f>INDEX('1.Locations'!$F$2:$F$32,$CP$24 + 1)</xm:f>
            <x14:dxf>
              <fill>
                <patternFill>
                  <bgColor indexed="52"/>
                </patternFill>
              </fill>
            </x14:dxf>
          </x14:cfRule>
          <xm:sqref>CW24</xm:sqref>
        </x14:conditionalFormatting>
        <x14:conditionalFormatting xmlns:xm="http://schemas.microsoft.com/office/excel/2006/main">
          <x14:cfRule type="expression" priority="595" stopIfTrue="1" id="{00000000-0000-0000-0000-000000000000}">
            <xm:f>(60 * HOUR($CX$24) + MINUTE($CX$24)) &gt;(60 * HOUR(INDEX('1.Locations'!$G$2:$G$32,$CP$24 + 1)) +MINUTE(INDEX('1.Locations'!$G$2:$G$32,$CP$24 + 1)))</xm:f>
            <x14:dxf>
              <fill>
                <patternFill>
                  <bgColor indexed="10"/>
                </patternFill>
              </fill>
            </x14:dxf>
          </x14:cfRule>
          <xm:sqref>CX24</xm:sqref>
        </x14:conditionalFormatting>
        <x14:conditionalFormatting xmlns:xm="http://schemas.microsoft.com/office/excel/2006/main">
          <x14:cfRule type="cellIs" priority="596" stopIfTrue="1" operator="lessThan" id="{00000000-0000-0000-0000-000000000000}">
            <xm:f>INDEX('1.Locations'!$F$2:$F$32,$CP$25 + 1)</xm:f>
            <x14:dxf>
              <fill>
                <patternFill>
                  <bgColor indexed="52"/>
                </patternFill>
              </fill>
            </x14:dxf>
          </x14:cfRule>
          <xm:sqref>CW25</xm:sqref>
        </x14:conditionalFormatting>
        <x14:conditionalFormatting xmlns:xm="http://schemas.microsoft.com/office/excel/2006/main">
          <x14:cfRule type="expression" priority="597" stopIfTrue="1" id="{00000000-0000-0000-0000-000000000000}">
            <xm:f>(60 * HOUR($CX$25) + MINUTE($CX$25)) &gt;(60 * HOUR(INDEX('1.Locations'!$G$2:$G$32,$CP$25 + 1)) +MINUTE(INDEX('1.Locations'!$G$2:$G$32,$CP$25 + 1)))</xm:f>
            <x14:dxf>
              <fill>
                <patternFill>
                  <bgColor indexed="10"/>
                </patternFill>
              </fill>
            </x14:dxf>
          </x14:cfRule>
          <xm:sqref>CX25</xm:sqref>
        </x14:conditionalFormatting>
        <x14:conditionalFormatting xmlns:xm="http://schemas.microsoft.com/office/excel/2006/main">
          <x14:cfRule type="cellIs" priority="598" stopIfTrue="1" operator="lessThan" id="{00000000-0000-0000-0000-000000000000}">
            <xm:f>INDEX('1.Locations'!$F$2:$F$32,$CP$26 + 1)</xm:f>
            <x14:dxf>
              <fill>
                <patternFill>
                  <bgColor indexed="52"/>
                </patternFill>
              </fill>
            </x14:dxf>
          </x14:cfRule>
          <xm:sqref>CW26</xm:sqref>
        </x14:conditionalFormatting>
        <x14:conditionalFormatting xmlns:xm="http://schemas.microsoft.com/office/excel/2006/main">
          <x14:cfRule type="expression" priority="599" stopIfTrue="1" id="{00000000-0000-0000-0000-000000000000}">
            <xm:f>(60 * HOUR($CX$26) + MINUTE($CX$26)) &gt;(60 * HOUR(INDEX('1.Locations'!$G$2:$G$32,$CP$26 + 1)) +MINUTE(INDEX('1.Locations'!$G$2:$G$32,$CP$26 + 1)))</xm:f>
            <x14:dxf>
              <fill>
                <patternFill>
                  <bgColor indexed="10"/>
                </patternFill>
              </fill>
            </x14:dxf>
          </x14:cfRule>
          <xm:sqref>CX26</xm:sqref>
        </x14:conditionalFormatting>
        <x14:conditionalFormatting xmlns:xm="http://schemas.microsoft.com/office/excel/2006/main">
          <x14:cfRule type="cellIs" priority="600" stopIfTrue="1" operator="lessThan" id="{00000000-0000-0000-0000-000000000000}">
            <xm:f>INDEX('1.Locations'!$F$2:$F$32,$CP$27 + 1)</xm:f>
            <x14:dxf>
              <fill>
                <patternFill>
                  <bgColor indexed="52"/>
                </patternFill>
              </fill>
            </x14:dxf>
          </x14:cfRule>
          <xm:sqref>CW27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(60 * HOUR($CX$27) + MINUTE($CX$27)) &gt;(60 * HOUR(INDEX('1.Locations'!$G$2:$G$32,$CP$27 + 1)) +MINUTE(INDEX('1.Locations'!$G$2:$G$32,$CP$27 + 1)))</xm:f>
            <x14:dxf>
              <fill>
                <patternFill>
                  <bgColor indexed="10"/>
                </patternFill>
              </fill>
            </x14:dxf>
          </x14:cfRule>
          <xm:sqref>CX27</xm:sqref>
        </x14:conditionalFormatting>
        <x14:conditionalFormatting xmlns:xm="http://schemas.microsoft.com/office/excel/2006/main">
          <x14:cfRule type="cellIs" priority="602" stopIfTrue="1" operator="lessThan" id="{00000000-0000-0000-0000-000000000000}">
            <xm:f>INDEX('1.Locations'!$F$2:$F$32,$CP$28 + 1)</xm:f>
            <x14:dxf>
              <fill>
                <patternFill>
                  <bgColor indexed="52"/>
                </patternFill>
              </fill>
            </x14:dxf>
          </x14:cfRule>
          <xm:sqref>CW28</xm:sqref>
        </x14:conditionalFormatting>
        <x14:conditionalFormatting xmlns:xm="http://schemas.microsoft.com/office/excel/2006/main">
          <x14:cfRule type="expression" priority="603" stopIfTrue="1" id="{00000000-0000-0000-0000-000000000000}">
            <xm:f>(60 * HOUR($CX$28) + MINUTE($CX$28)) &gt;(60 * HOUR(INDEX('1.Locations'!$G$2:$G$32,$CP$28 + 1)) +MINUTE(INDEX('1.Locations'!$G$2:$G$32,$CP$28 + 1)))</xm:f>
            <x14:dxf>
              <fill>
                <patternFill>
                  <bgColor indexed="10"/>
                </patternFill>
              </fill>
            </x14:dxf>
          </x14:cfRule>
          <xm:sqref>CX28</xm:sqref>
        </x14:conditionalFormatting>
        <x14:conditionalFormatting xmlns:xm="http://schemas.microsoft.com/office/excel/2006/main">
          <x14:cfRule type="cellIs" priority="604" stopIfTrue="1" operator="lessThan" id="{00000000-0000-0000-0000-000000000000}">
            <xm:f>INDEX('1.Locations'!$F$2:$F$32,$CP$29 + 1)</xm:f>
            <x14:dxf>
              <fill>
                <patternFill>
                  <bgColor indexed="52"/>
                </patternFill>
              </fill>
            </x14:dxf>
          </x14:cfRule>
          <xm:sqref>CW29</xm:sqref>
        </x14:conditionalFormatting>
        <x14:conditionalFormatting xmlns:xm="http://schemas.microsoft.com/office/excel/2006/main">
          <x14:cfRule type="expression" priority="605" stopIfTrue="1" id="{00000000-0000-0000-0000-000000000000}">
            <xm:f>(60 * HOUR($CX$29) + MINUTE($CX$29)) &gt;(60 * HOUR(INDEX('1.Locations'!$G$2:$G$32,$CP$29 + 1)) +MINUTE(INDEX('1.Locations'!$G$2:$G$32,$CP$29 + 1)))</xm:f>
            <x14:dxf>
              <fill>
                <patternFill>
                  <bgColor indexed="10"/>
                </patternFill>
              </fill>
            </x14:dxf>
          </x14:cfRule>
          <xm:sqref>CX29</xm:sqref>
        </x14:conditionalFormatting>
        <x14:conditionalFormatting xmlns:xm="http://schemas.microsoft.com/office/excel/2006/main">
          <x14:cfRule type="cellIs" priority="606" stopIfTrue="1" operator="lessThan" id="{00000000-0000-0000-0000-000000000000}">
            <xm:f>INDEX('1.Locations'!$F$2:$F$32,$CP$30 + 1)</xm:f>
            <x14:dxf>
              <fill>
                <patternFill>
                  <bgColor indexed="52"/>
                </patternFill>
              </fill>
            </x14:dxf>
          </x14:cfRule>
          <xm:sqref>CW30</xm:sqref>
        </x14:conditionalFormatting>
        <x14:conditionalFormatting xmlns:xm="http://schemas.microsoft.com/office/excel/2006/main">
          <x14:cfRule type="expression" priority="607" stopIfTrue="1" id="{00000000-0000-0000-0000-000000000000}">
            <xm:f>(60 * HOUR($CX$30) + MINUTE($CX$30)) &gt;(60 * HOUR(INDEX('1.Locations'!$G$2:$G$32,$CP$30 + 1)) +MINUTE(INDEX('1.Locations'!$G$2:$G$32,$CP$30 + 1)))</xm:f>
            <x14:dxf>
              <fill>
                <patternFill>
                  <bgColor indexed="10"/>
                </patternFill>
              </fill>
            </x14:dxf>
          </x14:cfRule>
          <xm:sqref>CX30</xm:sqref>
        </x14:conditionalFormatting>
        <x14:conditionalFormatting xmlns:xm="http://schemas.microsoft.com/office/excel/2006/main">
          <x14:cfRule type="cellIs" priority="608" stopIfTrue="1" operator="lessThan" id="{00000000-0000-0000-0000-000000000000}">
            <xm:f>INDEX('1.Locations'!$F$2:$F$32,$CP$31 + 1)</xm:f>
            <x14:dxf>
              <fill>
                <patternFill>
                  <bgColor indexed="52"/>
                </patternFill>
              </fill>
            </x14:dxf>
          </x14:cfRule>
          <xm:sqref>CW31</xm:sqref>
        </x14:conditionalFormatting>
        <x14:conditionalFormatting xmlns:xm="http://schemas.microsoft.com/office/excel/2006/main">
          <x14:cfRule type="expression" priority="609" stopIfTrue="1" id="{00000000-0000-0000-0000-000000000000}">
            <xm:f>(60 * HOUR($CX$31) + MINUTE($CX$31)) &gt;(60 * HOUR(INDEX('1.Locations'!$G$2:$G$32,$CP$31 + 1)) +MINUTE(INDEX('1.Locations'!$G$2:$G$32,$CP$31 + 1)))</xm:f>
            <x14:dxf>
              <fill>
                <patternFill>
                  <bgColor indexed="10"/>
                </patternFill>
              </fill>
            </x14:dxf>
          </x14:cfRule>
          <xm:sqref>CX31</xm:sqref>
        </x14:conditionalFormatting>
        <x14:conditionalFormatting xmlns:xm="http://schemas.microsoft.com/office/excel/2006/main">
          <x14:cfRule type="cellIs" priority="610" stopIfTrue="1" operator="lessThan" id="{00000000-0000-0000-0000-000000000000}">
            <xm:f>INDEX('1.Locations'!$F$2:$F$32,$CP$32 + 1)</xm:f>
            <x14:dxf>
              <fill>
                <patternFill>
                  <bgColor indexed="52"/>
                </patternFill>
              </fill>
            </x14:dxf>
          </x14:cfRule>
          <xm:sqref>CW32</xm:sqref>
        </x14:conditionalFormatting>
        <x14:conditionalFormatting xmlns:xm="http://schemas.microsoft.com/office/excel/2006/main">
          <x14:cfRule type="expression" priority="611" stopIfTrue="1" id="{00000000-0000-0000-0000-000000000000}">
            <xm:f>(60 * HOUR($CX$32) + MINUTE($CX$32)) &gt;(60 * HOUR(INDEX('1.Locations'!$G$2:$G$32,$CP$32 + 1)) +MINUTE(INDEX('1.Locations'!$G$2:$G$32,$CP$32 + 1)))</xm:f>
            <x14:dxf>
              <fill>
                <patternFill>
                  <bgColor indexed="10"/>
                </patternFill>
              </fill>
            </x14:dxf>
          </x14:cfRule>
          <xm:sqref>CX32</xm:sqref>
        </x14:conditionalFormatting>
        <x14:conditionalFormatting xmlns:xm="http://schemas.microsoft.com/office/excel/2006/main">
          <x14:cfRule type="cellIs" priority="612" stopIfTrue="1" operator="lessThan" id="{00000000-0000-0000-0000-000000000000}">
            <xm:f>INDEX('1.Locations'!$F$2:$F$32,$CP$33 + 1)</xm:f>
            <x14:dxf>
              <fill>
                <patternFill>
                  <bgColor indexed="52"/>
                </patternFill>
              </fill>
            </x14:dxf>
          </x14:cfRule>
          <xm:sqref>CW33</xm:sqref>
        </x14:conditionalFormatting>
        <x14:conditionalFormatting xmlns:xm="http://schemas.microsoft.com/office/excel/2006/main">
          <x14:cfRule type="expression" priority="613" stopIfTrue="1" id="{00000000-0000-0000-0000-000000000000}">
            <xm:f>(60 * HOUR($CX$33) + MINUTE($CX$33)) &gt;(60 * HOUR(INDEX('1.Locations'!$G$2:$G$32,$CP$33 + 1)) +MINUTE(INDEX('1.Locations'!$G$2:$G$32,$CP$33 + 1)))</xm:f>
            <x14:dxf>
              <fill>
                <patternFill>
                  <bgColor indexed="10"/>
                </patternFill>
              </fill>
            </x14:dxf>
          </x14:cfRule>
          <xm:sqref>CX33</xm:sqref>
        </x14:conditionalFormatting>
        <x14:conditionalFormatting xmlns:xm="http://schemas.microsoft.com/office/excel/2006/main">
          <x14:cfRule type="cellIs" priority="614" stopIfTrue="1" operator="lessThan" id="{00000000-0000-0000-0000-000000000000}">
            <xm:f>INDEX('1.Locations'!$F$2:$F$32,$CP$34 + 1)</xm:f>
            <x14:dxf>
              <fill>
                <patternFill>
                  <bgColor indexed="52"/>
                </patternFill>
              </fill>
            </x14:dxf>
          </x14:cfRule>
          <xm:sqref>CW34</xm:sqref>
        </x14:conditionalFormatting>
        <x14:conditionalFormatting xmlns:xm="http://schemas.microsoft.com/office/excel/2006/main">
          <x14:cfRule type="expression" priority="615" stopIfTrue="1" id="{00000000-0000-0000-0000-000000000000}">
            <xm:f>(60 * HOUR($CX$34) + MINUTE($CX$34)) &gt;(60 * HOUR(INDEX('1.Locations'!$G$2:$G$32,$CP$34 + 1)) +MINUTE(INDEX('1.Locations'!$G$2:$G$32,$CP$34 + 1)))</xm:f>
            <x14:dxf>
              <fill>
                <patternFill>
                  <bgColor indexed="10"/>
                </patternFill>
              </fill>
            </x14:dxf>
          </x14:cfRule>
          <xm:sqref>CX34</xm:sqref>
        </x14:conditionalFormatting>
        <x14:conditionalFormatting xmlns:xm="http://schemas.microsoft.com/office/excel/2006/main">
          <x14:cfRule type="cellIs" priority="616" stopIfTrue="1" operator="lessThan" id="{00000000-0000-0000-0000-000000000000}">
            <xm:f>INDEX('1.Locations'!$F$2:$F$32,$CP$35 + 1)</xm:f>
            <x14:dxf>
              <fill>
                <patternFill>
                  <bgColor indexed="52"/>
                </patternFill>
              </fill>
            </x14:dxf>
          </x14:cfRule>
          <xm:sqref>CW35</xm:sqref>
        </x14:conditionalFormatting>
        <x14:conditionalFormatting xmlns:xm="http://schemas.microsoft.com/office/excel/2006/main">
          <x14:cfRule type="expression" priority="617" stopIfTrue="1" id="{00000000-0000-0000-0000-000000000000}">
            <xm:f>(60 * HOUR($CX$35) + MINUTE($CX$35)) &gt;(60 * HOUR(INDEX('1.Locations'!$G$2:$G$32,$CP$35 + 1)) +MINUTE(INDEX('1.Locations'!$G$2:$G$32,$CP$35 + 1)))</xm:f>
            <x14:dxf>
              <fill>
                <patternFill>
                  <bgColor indexed="10"/>
                </patternFill>
              </fill>
            </x14:dxf>
          </x14:cfRule>
          <xm:sqref>CX35</xm:sqref>
        </x14:conditionalFormatting>
        <x14:conditionalFormatting xmlns:xm="http://schemas.microsoft.com/office/excel/2006/main">
          <x14:cfRule type="cellIs" priority="618" stopIfTrue="1" operator="lessThan" id="{00000000-0000-0000-0000-000000000000}">
            <xm:f>INDEX('1.Locations'!$F$2:$F$32,$CP$36 + 1)</xm:f>
            <x14:dxf>
              <fill>
                <patternFill>
                  <bgColor indexed="52"/>
                </patternFill>
              </fill>
            </x14:dxf>
          </x14:cfRule>
          <xm:sqref>CW36</xm:sqref>
        </x14:conditionalFormatting>
        <x14:conditionalFormatting xmlns:xm="http://schemas.microsoft.com/office/excel/2006/main">
          <x14:cfRule type="expression" priority="619" stopIfTrue="1" id="{00000000-0000-0000-0000-000000000000}">
            <xm:f>(60 * HOUR($CX$36) + MINUTE($CX$36)) &gt;(60 * HOUR(INDEX('1.Locations'!$G$2:$G$32,$CP$36 + 1)) +MINUTE(INDEX('1.Locations'!$G$2:$G$32,$CP$36 + 1)))</xm:f>
            <x14:dxf>
              <fill>
                <patternFill>
                  <bgColor indexed="10"/>
                </patternFill>
              </fill>
            </x14:dxf>
          </x14:cfRule>
          <xm:sqref>CX36</xm:sqref>
        </x14:conditionalFormatting>
        <x14:conditionalFormatting xmlns:xm="http://schemas.microsoft.com/office/excel/2006/main">
          <x14:cfRule type="cellIs" priority="620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CS6:CS36</xm:sqref>
        </x14:conditionalFormatting>
        <x14:conditionalFormatting xmlns:xm="http://schemas.microsoft.com/office/excel/2006/main">
          <x14:cfRule type="cellIs" priority="621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CT6:CT36</xm:sqref>
        </x14:conditionalFormatting>
        <x14:conditionalFormatting xmlns:xm="http://schemas.microsoft.com/office/excel/2006/main">
          <x14:cfRule type="cellIs" priority="622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CV6:CV36</xm:sqref>
        </x14:conditionalFormatting>
        <x14:conditionalFormatting xmlns:xm="http://schemas.microsoft.com/office/excel/2006/main">
          <x14:cfRule type="cellIs" priority="623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CY6:CY36</xm:sqref>
        </x14:conditionalFormatting>
        <x14:conditionalFormatting xmlns:xm="http://schemas.microsoft.com/office/excel/2006/main">
          <x14:cfRule type="cellIs" priority="625" stopIfTrue="1" operator="lessThan" id="{00000000-0000-0000-0000-000000000000}">
            <xm:f>INDEX('1.Locations'!$F$2:$F$32,$DC$5 + 1)</xm:f>
            <x14:dxf>
              <fill>
                <patternFill>
                  <bgColor indexed="52"/>
                </patternFill>
              </fill>
            </x14:dxf>
          </x14:cfRule>
          <xm:sqref>DJ5</xm:sqref>
        </x14:conditionalFormatting>
        <x14:conditionalFormatting xmlns:xm="http://schemas.microsoft.com/office/excel/2006/main">
          <x14:cfRule type="expression" priority="626" stopIfTrue="1" id="{00000000-0000-0000-0000-000000000000}">
            <xm:f>(60 * HOUR($DK$5) + MINUTE($DK$5)) &gt;(60 * HOUR(INDEX('1.Locations'!$G$2:$G$32,$DC$5 + 1)) +MINUTE(INDEX('1.Locations'!$G$2:$G$32,$DC$5 + 1)))</xm:f>
            <x14:dxf>
              <fill>
                <patternFill>
                  <bgColor indexed="10"/>
                </patternFill>
              </fill>
            </x14:dxf>
          </x14:cfRule>
          <xm:sqref>DK5</xm:sqref>
        </x14:conditionalFormatting>
        <x14:conditionalFormatting xmlns:xm="http://schemas.microsoft.com/office/excel/2006/main">
          <x14:cfRule type="cellIs" priority="627" stopIfTrue="1" operator="lessThan" id="{00000000-0000-0000-0000-000000000000}">
            <xm:f>INDEX('1.Locations'!$F$2:$F$32,$DC$6 + 1)</xm:f>
            <x14:dxf>
              <fill>
                <patternFill>
                  <bgColor indexed="52"/>
                </patternFill>
              </fill>
            </x14:dxf>
          </x14:cfRule>
          <xm:sqref>DJ6</xm:sqref>
        </x14:conditionalFormatting>
        <x14:conditionalFormatting xmlns:xm="http://schemas.microsoft.com/office/excel/2006/main">
          <x14:cfRule type="expression" priority="628" stopIfTrue="1" id="{00000000-0000-0000-0000-000000000000}">
            <xm:f>(60 * HOUR($DK$6) + MINUTE($DK$6)) &gt;(60 * HOUR(INDEX('1.Locations'!$G$2:$G$32,$DC$6 + 1)) +MINUTE(INDEX('1.Locations'!$G$2:$G$32,$DC$6 + 1)))</xm:f>
            <x14:dxf>
              <fill>
                <patternFill>
                  <bgColor indexed="10"/>
                </patternFill>
              </fill>
            </x14:dxf>
          </x14:cfRule>
          <xm:sqref>DK6</xm:sqref>
        </x14:conditionalFormatting>
        <x14:conditionalFormatting xmlns:xm="http://schemas.microsoft.com/office/excel/2006/main">
          <x14:cfRule type="cellIs" priority="629" stopIfTrue="1" operator="lessThan" id="{00000000-0000-0000-0000-000000000000}">
            <xm:f>INDEX('1.Locations'!$F$2:$F$32,$DC$7 + 1)</xm:f>
            <x14:dxf>
              <fill>
                <patternFill>
                  <bgColor indexed="52"/>
                </patternFill>
              </fill>
            </x14:dxf>
          </x14:cfRule>
          <xm:sqref>DJ7</xm:sqref>
        </x14:conditionalFormatting>
        <x14:conditionalFormatting xmlns:xm="http://schemas.microsoft.com/office/excel/2006/main">
          <x14:cfRule type="expression" priority="630" stopIfTrue="1" id="{00000000-0000-0000-0000-000000000000}">
            <xm:f>(60 * HOUR($DK$7) + MINUTE($DK$7)) &gt;(60 * HOUR(INDEX('1.Locations'!$G$2:$G$32,$DC$7 + 1)) +MINUTE(INDEX('1.Locations'!$G$2:$G$32,$DC$7 + 1)))</xm:f>
            <x14:dxf>
              <fill>
                <patternFill>
                  <bgColor indexed="10"/>
                </patternFill>
              </fill>
            </x14:dxf>
          </x14:cfRule>
          <xm:sqref>DK7</xm:sqref>
        </x14:conditionalFormatting>
        <x14:conditionalFormatting xmlns:xm="http://schemas.microsoft.com/office/excel/2006/main">
          <x14:cfRule type="cellIs" priority="631" stopIfTrue="1" operator="lessThan" id="{00000000-0000-0000-0000-000000000000}">
            <xm:f>INDEX('1.Locations'!$F$2:$F$32,$DC$8 + 1)</xm:f>
            <x14:dxf>
              <fill>
                <patternFill>
                  <bgColor indexed="52"/>
                </patternFill>
              </fill>
            </x14:dxf>
          </x14:cfRule>
          <xm:sqref>DJ8</xm:sqref>
        </x14:conditionalFormatting>
        <x14:conditionalFormatting xmlns:xm="http://schemas.microsoft.com/office/excel/2006/main">
          <x14:cfRule type="expression" priority="632" stopIfTrue="1" id="{00000000-0000-0000-0000-000000000000}">
            <xm:f>(60 * HOUR($DK$8) + MINUTE($DK$8)) &gt;(60 * HOUR(INDEX('1.Locations'!$G$2:$G$32,$DC$8 + 1)) +MINUTE(INDEX('1.Locations'!$G$2:$G$32,$DC$8 + 1)))</xm:f>
            <x14:dxf>
              <fill>
                <patternFill>
                  <bgColor indexed="10"/>
                </patternFill>
              </fill>
            </x14:dxf>
          </x14:cfRule>
          <xm:sqref>DK8</xm:sqref>
        </x14:conditionalFormatting>
        <x14:conditionalFormatting xmlns:xm="http://schemas.microsoft.com/office/excel/2006/main">
          <x14:cfRule type="cellIs" priority="633" stopIfTrue="1" operator="lessThan" id="{00000000-0000-0000-0000-000000000000}">
            <xm:f>INDEX('1.Locations'!$F$2:$F$32,$DC$9 + 1)</xm:f>
            <x14:dxf>
              <fill>
                <patternFill>
                  <bgColor indexed="52"/>
                </patternFill>
              </fill>
            </x14:dxf>
          </x14:cfRule>
          <xm:sqref>DJ9</xm:sqref>
        </x14:conditionalFormatting>
        <x14:conditionalFormatting xmlns:xm="http://schemas.microsoft.com/office/excel/2006/main">
          <x14:cfRule type="expression" priority="634" stopIfTrue="1" id="{00000000-0000-0000-0000-000000000000}">
            <xm:f>(60 * HOUR($DK$9) + MINUTE($DK$9)) &gt;(60 * HOUR(INDEX('1.Locations'!$G$2:$G$32,$DC$9 + 1)) +MINUTE(INDEX('1.Locations'!$G$2:$G$32,$DC$9 + 1)))</xm:f>
            <x14:dxf>
              <fill>
                <patternFill>
                  <bgColor indexed="10"/>
                </patternFill>
              </fill>
            </x14:dxf>
          </x14:cfRule>
          <xm:sqref>DK9</xm:sqref>
        </x14:conditionalFormatting>
        <x14:conditionalFormatting xmlns:xm="http://schemas.microsoft.com/office/excel/2006/main">
          <x14:cfRule type="cellIs" priority="635" stopIfTrue="1" operator="lessThan" id="{00000000-0000-0000-0000-000000000000}">
            <xm:f>INDEX('1.Locations'!$F$2:$F$32,$DC$10 + 1)</xm:f>
            <x14:dxf>
              <fill>
                <patternFill>
                  <bgColor indexed="52"/>
                </patternFill>
              </fill>
            </x14:dxf>
          </x14:cfRule>
          <xm:sqref>DJ10</xm:sqref>
        </x14:conditionalFormatting>
        <x14:conditionalFormatting xmlns:xm="http://schemas.microsoft.com/office/excel/2006/main">
          <x14:cfRule type="expression" priority="636" stopIfTrue="1" id="{00000000-0000-0000-0000-000000000000}">
            <xm:f>(60 * HOUR($DK$10) + MINUTE($DK$10)) &gt;(60 * HOUR(INDEX('1.Locations'!$G$2:$G$32,$DC$10 + 1)) +MINUTE(INDEX('1.Locations'!$G$2:$G$32,$DC$10 + 1)))</xm:f>
            <x14:dxf>
              <fill>
                <patternFill>
                  <bgColor indexed="10"/>
                </patternFill>
              </fill>
            </x14:dxf>
          </x14:cfRule>
          <xm:sqref>DK10</xm:sqref>
        </x14:conditionalFormatting>
        <x14:conditionalFormatting xmlns:xm="http://schemas.microsoft.com/office/excel/2006/main">
          <x14:cfRule type="cellIs" priority="637" stopIfTrue="1" operator="lessThan" id="{00000000-0000-0000-0000-000000000000}">
            <xm:f>INDEX('1.Locations'!$F$2:$F$32,$DC$11 + 1)</xm:f>
            <x14:dxf>
              <fill>
                <patternFill>
                  <bgColor indexed="52"/>
                </patternFill>
              </fill>
            </x14:dxf>
          </x14:cfRule>
          <xm:sqref>DJ11</xm:sqref>
        </x14:conditionalFormatting>
        <x14:conditionalFormatting xmlns:xm="http://schemas.microsoft.com/office/excel/2006/main">
          <x14:cfRule type="expression" priority="638" stopIfTrue="1" id="{00000000-0000-0000-0000-000000000000}">
            <xm:f>(60 * HOUR($DK$11) + MINUTE($DK$11)) &gt;(60 * HOUR(INDEX('1.Locations'!$G$2:$G$32,$DC$11 + 1)) +MINUTE(INDEX('1.Locations'!$G$2:$G$32,$DC$11 + 1)))</xm:f>
            <x14:dxf>
              <fill>
                <patternFill>
                  <bgColor indexed="10"/>
                </patternFill>
              </fill>
            </x14:dxf>
          </x14:cfRule>
          <xm:sqref>DK11</xm:sqref>
        </x14:conditionalFormatting>
        <x14:conditionalFormatting xmlns:xm="http://schemas.microsoft.com/office/excel/2006/main">
          <x14:cfRule type="cellIs" priority="639" stopIfTrue="1" operator="lessThan" id="{00000000-0000-0000-0000-000000000000}">
            <xm:f>INDEX('1.Locations'!$F$2:$F$32,$DC$12 + 1)</xm:f>
            <x14:dxf>
              <fill>
                <patternFill>
                  <bgColor indexed="52"/>
                </patternFill>
              </fill>
            </x14:dxf>
          </x14:cfRule>
          <xm:sqref>DJ12</xm:sqref>
        </x14:conditionalFormatting>
        <x14:conditionalFormatting xmlns:xm="http://schemas.microsoft.com/office/excel/2006/main">
          <x14:cfRule type="expression" priority="640" stopIfTrue="1" id="{00000000-0000-0000-0000-000000000000}">
            <xm:f>(60 * HOUR($DK$12) + MINUTE($DK$12)) &gt;(60 * HOUR(INDEX('1.Locations'!$G$2:$G$32,$DC$12 + 1)) +MINUTE(INDEX('1.Locations'!$G$2:$G$32,$DC$12 + 1)))</xm:f>
            <x14:dxf>
              <fill>
                <patternFill>
                  <bgColor indexed="10"/>
                </patternFill>
              </fill>
            </x14:dxf>
          </x14:cfRule>
          <xm:sqref>DK12</xm:sqref>
        </x14:conditionalFormatting>
        <x14:conditionalFormatting xmlns:xm="http://schemas.microsoft.com/office/excel/2006/main">
          <x14:cfRule type="cellIs" priority="641" stopIfTrue="1" operator="lessThan" id="{00000000-0000-0000-0000-000000000000}">
            <xm:f>INDEX('1.Locations'!$F$2:$F$32,$DC$13 + 1)</xm:f>
            <x14:dxf>
              <fill>
                <patternFill>
                  <bgColor indexed="52"/>
                </patternFill>
              </fill>
            </x14:dxf>
          </x14:cfRule>
          <xm:sqref>DJ13</xm:sqref>
        </x14:conditionalFormatting>
        <x14:conditionalFormatting xmlns:xm="http://schemas.microsoft.com/office/excel/2006/main">
          <x14:cfRule type="expression" priority="642" stopIfTrue="1" id="{00000000-0000-0000-0000-000000000000}">
            <xm:f>(60 * HOUR($DK$13) + MINUTE($DK$13)) &gt;(60 * HOUR(INDEX('1.Locations'!$G$2:$G$32,$DC$13 + 1)) +MINUTE(INDEX('1.Locations'!$G$2:$G$32,$DC$13 + 1)))</xm:f>
            <x14:dxf>
              <fill>
                <patternFill>
                  <bgColor indexed="10"/>
                </patternFill>
              </fill>
            </x14:dxf>
          </x14:cfRule>
          <xm:sqref>DK13</xm:sqref>
        </x14:conditionalFormatting>
        <x14:conditionalFormatting xmlns:xm="http://schemas.microsoft.com/office/excel/2006/main">
          <x14:cfRule type="cellIs" priority="643" stopIfTrue="1" operator="lessThan" id="{00000000-0000-0000-0000-000000000000}">
            <xm:f>INDEX('1.Locations'!$F$2:$F$32,$DC$14 + 1)</xm:f>
            <x14:dxf>
              <fill>
                <patternFill>
                  <bgColor indexed="52"/>
                </patternFill>
              </fill>
            </x14:dxf>
          </x14:cfRule>
          <xm:sqref>DJ14</xm:sqref>
        </x14:conditionalFormatting>
        <x14:conditionalFormatting xmlns:xm="http://schemas.microsoft.com/office/excel/2006/main">
          <x14:cfRule type="expression" priority="644" stopIfTrue="1" id="{00000000-0000-0000-0000-000000000000}">
            <xm:f>(60 * HOUR($DK$14) + MINUTE($DK$14)) &gt;(60 * HOUR(INDEX('1.Locations'!$G$2:$G$32,$DC$14 + 1)) +MINUTE(INDEX('1.Locations'!$G$2:$G$32,$DC$14 + 1)))</xm:f>
            <x14:dxf>
              <fill>
                <patternFill>
                  <bgColor indexed="10"/>
                </patternFill>
              </fill>
            </x14:dxf>
          </x14:cfRule>
          <xm:sqref>DK14</xm:sqref>
        </x14:conditionalFormatting>
        <x14:conditionalFormatting xmlns:xm="http://schemas.microsoft.com/office/excel/2006/main">
          <x14:cfRule type="cellIs" priority="645" stopIfTrue="1" operator="lessThan" id="{00000000-0000-0000-0000-000000000000}">
            <xm:f>INDEX('1.Locations'!$F$2:$F$32,$DC$15 + 1)</xm:f>
            <x14:dxf>
              <fill>
                <patternFill>
                  <bgColor indexed="52"/>
                </patternFill>
              </fill>
            </x14:dxf>
          </x14:cfRule>
          <xm:sqref>DJ15</xm:sqref>
        </x14:conditionalFormatting>
        <x14:conditionalFormatting xmlns:xm="http://schemas.microsoft.com/office/excel/2006/main">
          <x14:cfRule type="expression" priority="646" stopIfTrue="1" id="{00000000-0000-0000-0000-000000000000}">
            <xm:f>(60 * HOUR($DK$15) + MINUTE($DK$15)) &gt;(60 * HOUR(INDEX('1.Locations'!$G$2:$G$32,$DC$15 + 1)) +MINUTE(INDEX('1.Locations'!$G$2:$G$32,$DC$15 + 1)))</xm:f>
            <x14:dxf>
              <fill>
                <patternFill>
                  <bgColor indexed="10"/>
                </patternFill>
              </fill>
            </x14:dxf>
          </x14:cfRule>
          <xm:sqref>DK15</xm:sqref>
        </x14:conditionalFormatting>
        <x14:conditionalFormatting xmlns:xm="http://schemas.microsoft.com/office/excel/2006/main">
          <x14:cfRule type="cellIs" priority="647" stopIfTrue="1" operator="lessThan" id="{00000000-0000-0000-0000-000000000000}">
            <xm:f>INDEX('1.Locations'!$F$2:$F$32,$DC$16 + 1)</xm:f>
            <x14:dxf>
              <fill>
                <patternFill>
                  <bgColor indexed="52"/>
                </patternFill>
              </fill>
            </x14:dxf>
          </x14:cfRule>
          <xm:sqref>DJ16</xm:sqref>
        </x14:conditionalFormatting>
        <x14:conditionalFormatting xmlns:xm="http://schemas.microsoft.com/office/excel/2006/main">
          <x14:cfRule type="expression" priority="648" stopIfTrue="1" id="{00000000-0000-0000-0000-000000000000}">
            <xm:f>(60 * HOUR($DK$16) + MINUTE($DK$16)) &gt;(60 * HOUR(INDEX('1.Locations'!$G$2:$G$32,$DC$16 + 1)) +MINUTE(INDEX('1.Locations'!$G$2:$G$32,$DC$16 + 1)))</xm:f>
            <x14:dxf>
              <fill>
                <patternFill>
                  <bgColor indexed="10"/>
                </patternFill>
              </fill>
            </x14:dxf>
          </x14:cfRule>
          <xm:sqref>DK16</xm:sqref>
        </x14:conditionalFormatting>
        <x14:conditionalFormatting xmlns:xm="http://schemas.microsoft.com/office/excel/2006/main">
          <x14:cfRule type="cellIs" priority="649" stopIfTrue="1" operator="lessThan" id="{00000000-0000-0000-0000-000000000000}">
            <xm:f>INDEX('1.Locations'!$F$2:$F$32,$DC$17 + 1)</xm:f>
            <x14:dxf>
              <fill>
                <patternFill>
                  <bgColor indexed="52"/>
                </patternFill>
              </fill>
            </x14:dxf>
          </x14:cfRule>
          <xm:sqref>DJ17</xm:sqref>
        </x14:conditionalFormatting>
        <x14:conditionalFormatting xmlns:xm="http://schemas.microsoft.com/office/excel/2006/main">
          <x14:cfRule type="expression" priority="650" stopIfTrue="1" id="{00000000-0000-0000-0000-000000000000}">
            <xm:f>(60 * HOUR($DK$17) + MINUTE($DK$17)) &gt;(60 * HOUR(INDEX('1.Locations'!$G$2:$G$32,$DC$17 + 1)) +MINUTE(INDEX('1.Locations'!$G$2:$G$32,$DC$17 + 1)))</xm:f>
            <x14:dxf>
              <fill>
                <patternFill>
                  <bgColor indexed="10"/>
                </patternFill>
              </fill>
            </x14:dxf>
          </x14:cfRule>
          <xm:sqref>DK17</xm:sqref>
        </x14:conditionalFormatting>
        <x14:conditionalFormatting xmlns:xm="http://schemas.microsoft.com/office/excel/2006/main">
          <x14:cfRule type="cellIs" priority="651" stopIfTrue="1" operator="lessThan" id="{00000000-0000-0000-0000-000000000000}">
            <xm:f>INDEX('1.Locations'!$F$2:$F$32,$DC$18 + 1)</xm:f>
            <x14:dxf>
              <fill>
                <patternFill>
                  <bgColor indexed="52"/>
                </patternFill>
              </fill>
            </x14:dxf>
          </x14:cfRule>
          <xm:sqref>DJ18</xm:sqref>
        </x14:conditionalFormatting>
        <x14:conditionalFormatting xmlns:xm="http://schemas.microsoft.com/office/excel/2006/main">
          <x14:cfRule type="expression" priority="652" stopIfTrue="1" id="{00000000-0000-0000-0000-000000000000}">
            <xm:f>(60 * HOUR($DK$18) + MINUTE($DK$18)) &gt;(60 * HOUR(INDEX('1.Locations'!$G$2:$G$32,$DC$18 + 1)) +MINUTE(INDEX('1.Locations'!$G$2:$G$32,$DC$18 + 1)))</xm:f>
            <x14:dxf>
              <fill>
                <patternFill>
                  <bgColor indexed="10"/>
                </patternFill>
              </fill>
            </x14:dxf>
          </x14:cfRule>
          <xm:sqref>DK18</xm:sqref>
        </x14:conditionalFormatting>
        <x14:conditionalFormatting xmlns:xm="http://schemas.microsoft.com/office/excel/2006/main">
          <x14:cfRule type="cellIs" priority="653" stopIfTrue="1" operator="lessThan" id="{00000000-0000-0000-0000-000000000000}">
            <xm:f>INDEX('1.Locations'!$F$2:$F$32,$DC$19 + 1)</xm:f>
            <x14:dxf>
              <fill>
                <patternFill>
                  <bgColor indexed="52"/>
                </patternFill>
              </fill>
            </x14:dxf>
          </x14:cfRule>
          <xm:sqref>DJ19</xm:sqref>
        </x14:conditionalFormatting>
        <x14:conditionalFormatting xmlns:xm="http://schemas.microsoft.com/office/excel/2006/main">
          <x14:cfRule type="expression" priority="654" stopIfTrue="1" id="{00000000-0000-0000-0000-000000000000}">
            <xm:f>(60 * HOUR($DK$19) + MINUTE($DK$19)) &gt;(60 * HOUR(INDEX('1.Locations'!$G$2:$G$32,$DC$19 + 1)) +MINUTE(INDEX('1.Locations'!$G$2:$G$32,$DC$19 + 1)))</xm:f>
            <x14:dxf>
              <fill>
                <patternFill>
                  <bgColor indexed="10"/>
                </patternFill>
              </fill>
            </x14:dxf>
          </x14:cfRule>
          <xm:sqref>DK19</xm:sqref>
        </x14:conditionalFormatting>
        <x14:conditionalFormatting xmlns:xm="http://schemas.microsoft.com/office/excel/2006/main">
          <x14:cfRule type="cellIs" priority="655" stopIfTrue="1" operator="lessThan" id="{00000000-0000-0000-0000-000000000000}">
            <xm:f>INDEX('1.Locations'!$F$2:$F$32,$DC$20 + 1)</xm:f>
            <x14:dxf>
              <fill>
                <patternFill>
                  <bgColor indexed="52"/>
                </patternFill>
              </fill>
            </x14:dxf>
          </x14:cfRule>
          <xm:sqref>DJ20</xm:sqref>
        </x14:conditionalFormatting>
        <x14:conditionalFormatting xmlns:xm="http://schemas.microsoft.com/office/excel/2006/main">
          <x14:cfRule type="expression" priority="656" stopIfTrue="1" id="{00000000-0000-0000-0000-000000000000}">
            <xm:f>(60 * HOUR($DK$20) + MINUTE($DK$20)) &gt;(60 * HOUR(INDEX('1.Locations'!$G$2:$G$32,$DC$20 + 1)) +MINUTE(INDEX('1.Locations'!$G$2:$G$32,$DC$20 + 1)))</xm:f>
            <x14:dxf>
              <fill>
                <patternFill>
                  <bgColor indexed="10"/>
                </patternFill>
              </fill>
            </x14:dxf>
          </x14:cfRule>
          <xm:sqref>DK20</xm:sqref>
        </x14:conditionalFormatting>
        <x14:conditionalFormatting xmlns:xm="http://schemas.microsoft.com/office/excel/2006/main">
          <x14:cfRule type="cellIs" priority="657" stopIfTrue="1" operator="lessThan" id="{00000000-0000-0000-0000-000000000000}">
            <xm:f>INDEX('1.Locations'!$F$2:$F$32,$DC$21 + 1)</xm:f>
            <x14:dxf>
              <fill>
                <patternFill>
                  <bgColor indexed="52"/>
                </patternFill>
              </fill>
            </x14:dxf>
          </x14:cfRule>
          <xm:sqref>DJ21</xm:sqref>
        </x14:conditionalFormatting>
        <x14:conditionalFormatting xmlns:xm="http://schemas.microsoft.com/office/excel/2006/main">
          <x14:cfRule type="expression" priority="658" stopIfTrue="1" id="{00000000-0000-0000-0000-000000000000}">
            <xm:f>(60 * HOUR($DK$21) + MINUTE($DK$21)) &gt;(60 * HOUR(INDEX('1.Locations'!$G$2:$G$32,$DC$21 + 1)) +MINUTE(INDEX('1.Locations'!$G$2:$G$32,$DC$21 + 1)))</xm:f>
            <x14:dxf>
              <fill>
                <patternFill>
                  <bgColor indexed="10"/>
                </patternFill>
              </fill>
            </x14:dxf>
          </x14:cfRule>
          <xm:sqref>DK21</xm:sqref>
        </x14:conditionalFormatting>
        <x14:conditionalFormatting xmlns:xm="http://schemas.microsoft.com/office/excel/2006/main">
          <x14:cfRule type="cellIs" priority="659" stopIfTrue="1" operator="lessThan" id="{00000000-0000-0000-0000-000000000000}">
            <xm:f>INDEX('1.Locations'!$F$2:$F$32,$DC$22 + 1)</xm:f>
            <x14:dxf>
              <fill>
                <patternFill>
                  <bgColor indexed="52"/>
                </patternFill>
              </fill>
            </x14:dxf>
          </x14:cfRule>
          <xm:sqref>DJ22</xm:sqref>
        </x14:conditionalFormatting>
        <x14:conditionalFormatting xmlns:xm="http://schemas.microsoft.com/office/excel/2006/main">
          <x14:cfRule type="expression" priority="660" stopIfTrue="1" id="{00000000-0000-0000-0000-000000000000}">
            <xm:f>(60 * HOUR($DK$22) + MINUTE($DK$22)) &gt;(60 * HOUR(INDEX('1.Locations'!$G$2:$G$32,$DC$22 + 1)) +MINUTE(INDEX('1.Locations'!$G$2:$G$32,$DC$22 + 1)))</xm:f>
            <x14:dxf>
              <fill>
                <patternFill>
                  <bgColor indexed="10"/>
                </patternFill>
              </fill>
            </x14:dxf>
          </x14:cfRule>
          <xm:sqref>DK22</xm:sqref>
        </x14:conditionalFormatting>
        <x14:conditionalFormatting xmlns:xm="http://schemas.microsoft.com/office/excel/2006/main">
          <x14:cfRule type="cellIs" priority="661" stopIfTrue="1" operator="lessThan" id="{00000000-0000-0000-0000-000000000000}">
            <xm:f>INDEX('1.Locations'!$F$2:$F$32,$DC$23 + 1)</xm:f>
            <x14:dxf>
              <fill>
                <patternFill>
                  <bgColor indexed="52"/>
                </patternFill>
              </fill>
            </x14:dxf>
          </x14:cfRule>
          <xm:sqref>DJ23</xm:sqref>
        </x14:conditionalFormatting>
        <x14:conditionalFormatting xmlns:xm="http://schemas.microsoft.com/office/excel/2006/main">
          <x14:cfRule type="expression" priority="662" stopIfTrue="1" id="{00000000-0000-0000-0000-000000000000}">
            <xm:f>(60 * HOUR($DK$23) + MINUTE($DK$23)) &gt;(60 * HOUR(INDEX('1.Locations'!$G$2:$G$32,$DC$23 + 1)) +MINUTE(INDEX('1.Locations'!$G$2:$G$32,$DC$23 + 1)))</xm:f>
            <x14:dxf>
              <fill>
                <patternFill>
                  <bgColor indexed="10"/>
                </patternFill>
              </fill>
            </x14:dxf>
          </x14:cfRule>
          <xm:sqref>DK23</xm:sqref>
        </x14:conditionalFormatting>
        <x14:conditionalFormatting xmlns:xm="http://schemas.microsoft.com/office/excel/2006/main">
          <x14:cfRule type="cellIs" priority="663" stopIfTrue="1" operator="lessThan" id="{00000000-0000-0000-0000-000000000000}">
            <xm:f>INDEX('1.Locations'!$F$2:$F$32,$DC$24 + 1)</xm:f>
            <x14:dxf>
              <fill>
                <patternFill>
                  <bgColor indexed="52"/>
                </patternFill>
              </fill>
            </x14:dxf>
          </x14:cfRule>
          <xm:sqref>DJ24</xm:sqref>
        </x14:conditionalFormatting>
        <x14:conditionalFormatting xmlns:xm="http://schemas.microsoft.com/office/excel/2006/main">
          <x14:cfRule type="expression" priority="664" stopIfTrue="1" id="{00000000-0000-0000-0000-000000000000}">
            <xm:f>(60 * HOUR($DK$24) + MINUTE($DK$24)) &gt;(60 * HOUR(INDEX('1.Locations'!$G$2:$G$32,$DC$24 + 1)) +MINUTE(INDEX('1.Locations'!$G$2:$G$32,$DC$24 + 1)))</xm:f>
            <x14:dxf>
              <fill>
                <patternFill>
                  <bgColor indexed="10"/>
                </patternFill>
              </fill>
            </x14:dxf>
          </x14:cfRule>
          <xm:sqref>DK24</xm:sqref>
        </x14:conditionalFormatting>
        <x14:conditionalFormatting xmlns:xm="http://schemas.microsoft.com/office/excel/2006/main">
          <x14:cfRule type="cellIs" priority="665" stopIfTrue="1" operator="lessThan" id="{00000000-0000-0000-0000-000000000000}">
            <xm:f>INDEX('1.Locations'!$F$2:$F$32,$DC$25 + 1)</xm:f>
            <x14:dxf>
              <fill>
                <patternFill>
                  <bgColor indexed="52"/>
                </patternFill>
              </fill>
            </x14:dxf>
          </x14:cfRule>
          <xm:sqref>DJ25</xm:sqref>
        </x14:conditionalFormatting>
        <x14:conditionalFormatting xmlns:xm="http://schemas.microsoft.com/office/excel/2006/main">
          <x14:cfRule type="expression" priority="666" stopIfTrue="1" id="{00000000-0000-0000-0000-000000000000}">
            <xm:f>(60 * HOUR($DK$25) + MINUTE($DK$25)) &gt;(60 * HOUR(INDEX('1.Locations'!$G$2:$G$32,$DC$25 + 1)) +MINUTE(INDEX('1.Locations'!$G$2:$G$32,$DC$25 + 1)))</xm:f>
            <x14:dxf>
              <fill>
                <patternFill>
                  <bgColor indexed="10"/>
                </patternFill>
              </fill>
            </x14:dxf>
          </x14:cfRule>
          <xm:sqref>DK25</xm:sqref>
        </x14:conditionalFormatting>
        <x14:conditionalFormatting xmlns:xm="http://schemas.microsoft.com/office/excel/2006/main">
          <x14:cfRule type="cellIs" priority="667" stopIfTrue="1" operator="lessThan" id="{00000000-0000-0000-0000-000000000000}">
            <xm:f>INDEX('1.Locations'!$F$2:$F$32,$DC$26 + 1)</xm:f>
            <x14:dxf>
              <fill>
                <patternFill>
                  <bgColor indexed="52"/>
                </patternFill>
              </fill>
            </x14:dxf>
          </x14:cfRule>
          <xm:sqref>DJ26</xm:sqref>
        </x14:conditionalFormatting>
        <x14:conditionalFormatting xmlns:xm="http://schemas.microsoft.com/office/excel/2006/main">
          <x14:cfRule type="expression" priority="668" stopIfTrue="1" id="{00000000-0000-0000-0000-000000000000}">
            <xm:f>(60 * HOUR($DK$26) + MINUTE($DK$26)) &gt;(60 * HOUR(INDEX('1.Locations'!$G$2:$G$32,$DC$26 + 1)) +MINUTE(INDEX('1.Locations'!$G$2:$G$32,$DC$26 + 1)))</xm:f>
            <x14:dxf>
              <fill>
                <patternFill>
                  <bgColor indexed="10"/>
                </patternFill>
              </fill>
            </x14:dxf>
          </x14:cfRule>
          <xm:sqref>DK26</xm:sqref>
        </x14:conditionalFormatting>
        <x14:conditionalFormatting xmlns:xm="http://schemas.microsoft.com/office/excel/2006/main">
          <x14:cfRule type="cellIs" priority="669" stopIfTrue="1" operator="lessThan" id="{00000000-0000-0000-0000-000000000000}">
            <xm:f>INDEX('1.Locations'!$F$2:$F$32,$DC$27 + 1)</xm:f>
            <x14:dxf>
              <fill>
                <patternFill>
                  <bgColor indexed="52"/>
                </patternFill>
              </fill>
            </x14:dxf>
          </x14:cfRule>
          <xm:sqref>DJ27</xm:sqref>
        </x14:conditionalFormatting>
        <x14:conditionalFormatting xmlns:xm="http://schemas.microsoft.com/office/excel/2006/main">
          <x14:cfRule type="expression" priority="670" stopIfTrue="1" id="{00000000-0000-0000-0000-000000000000}">
            <xm:f>(60 * HOUR($DK$27) + MINUTE($DK$27)) &gt;(60 * HOUR(INDEX('1.Locations'!$G$2:$G$32,$DC$27 + 1)) +MINUTE(INDEX('1.Locations'!$G$2:$G$32,$DC$27 + 1)))</xm:f>
            <x14:dxf>
              <fill>
                <patternFill>
                  <bgColor indexed="10"/>
                </patternFill>
              </fill>
            </x14:dxf>
          </x14:cfRule>
          <xm:sqref>DK27</xm:sqref>
        </x14:conditionalFormatting>
        <x14:conditionalFormatting xmlns:xm="http://schemas.microsoft.com/office/excel/2006/main">
          <x14:cfRule type="cellIs" priority="671" stopIfTrue="1" operator="lessThan" id="{00000000-0000-0000-0000-000000000000}">
            <xm:f>INDEX('1.Locations'!$F$2:$F$32,$DC$28 + 1)</xm:f>
            <x14:dxf>
              <fill>
                <patternFill>
                  <bgColor indexed="52"/>
                </patternFill>
              </fill>
            </x14:dxf>
          </x14:cfRule>
          <xm:sqref>DJ28</xm:sqref>
        </x14:conditionalFormatting>
        <x14:conditionalFormatting xmlns:xm="http://schemas.microsoft.com/office/excel/2006/main">
          <x14:cfRule type="expression" priority="672" stopIfTrue="1" id="{00000000-0000-0000-0000-000000000000}">
            <xm:f>(60 * HOUR($DK$28) + MINUTE($DK$28)) &gt;(60 * HOUR(INDEX('1.Locations'!$G$2:$G$32,$DC$28 + 1)) +MINUTE(INDEX('1.Locations'!$G$2:$G$32,$DC$28 + 1)))</xm:f>
            <x14:dxf>
              <fill>
                <patternFill>
                  <bgColor indexed="10"/>
                </patternFill>
              </fill>
            </x14:dxf>
          </x14:cfRule>
          <xm:sqref>DK28</xm:sqref>
        </x14:conditionalFormatting>
        <x14:conditionalFormatting xmlns:xm="http://schemas.microsoft.com/office/excel/2006/main">
          <x14:cfRule type="cellIs" priority="673" stopIfTrue="1" operator="lessThan" id="{00000000-0000-0000-0000-000000000000}">
            <xm:f>INDEX('1.Locations'!$F$2:$F$32,$DC$29 + 1)</xm:f>
            <x14:dxf>
              <fill>
                <patternFill>
                  <bgColor indexed="52"/>
                </patternFill>
              </fill>
            </x14:dxf>
          </x14:cfRule>
          <xm:sqref>DJ29</xm:sqref>
        </x14:conditionalFormatting>
        <x14:conditionalFormatting xmlns:xm="http://schemas.microsoft.com/office/excel/2006/main">
          <x14:cfRule type="expression" priority="674" stopIfTrue="1" id="{00000000-0000-0000-0000-000000000000}">
            <xm:f>(60 * HOUR($DK$29) + MINUTE($DK$29)) &gt;(60 * HOUR(INDEX('1.Locations'!$G$2:$G$32,$DC$29 + 1)) +MINUTE(INDEX('1.Locations'!$G$2:$G$32,$DC$29 + 1)))</xm:f>
            <x14:dxf>
              <fill>
                <patternFill>
                  <bgColor indexed="10"/>
                </patternFill>
              </fill>
            </x14:dxf>
          </x14:cfRule>
          <xm:sqref>DK29</xm:sqref>
        </x14:conditionalFormatting>
        <x14:conditionalFormatting xmlns:xm="http://schemas.microsoft.com/office/excel/2006/main">
          <x14:cfRule type="cellIs" priority="675" stopIfTrue="1" operator="lessThan" id="{00000000-0000-0000-0000-000000000000}">
            <xm:f>INDEX('1.Locations'!$F$2:$F$32,$DC$30 + 1)</xm:f>
            <x14:dxf>
              <fill>
                <patternFill>
                  <bgColor indexed="52"/>
                </patternFill>
              </fill>
            </x14:dxf>
          </x14:cfRule>
          <xm:sqref>DJ30</xm:sqref>
        </x14:conditionalFormatting>
        <x14:conditionalFormatting xmlns:xm="http://schemas.microsoft.com/office/excel/2006/main">
          <x14:cfRule type="expression" priority="676" stopIfTrue="1" id="{00000000-0000-0000-0000-000000000000}">
            <xm:f>(60 * HOUR($DK$30) + MINUTE($DK$30)) &gt;(60 * HOUR(INDEX('1.Locations'!$G$2:$G$32,$DC$30 + 1)) +MINUTE(INDEX('1.Locations'!$G$2:$G$32,$DC$30 + 1)))</xm:f>
            <x14:dxf>
              <fill>
                <patternFill>
                  <bgColor indexed="10"/>
                </patternFill>
              </fill>
            </x14:dxf>
          </x14:cfRule>
          <xm:sqref>DK30</xm:sqref>
        </x14:conditionalFormatting>
        <x14:conditionalFormatting xmlns:xm="http://schemas.microsoft.com/office/excel/2006/main">
          <x14:cfRule type="cellIs" priority="677" stopIfTrue="1" operator="lessThan" id="{00000000-0000-0000-0000-000000000000}">
            <xm:f>INDEX('1.Locations'!$F$2:$F$32,$DC$31 + 1)</xm:f>
            <x14:dxf>
              <fill>
                <patternFill>
                  <bgColor indexed="52"/>
                </patternFill>
              </fill>
            </x14:dxf>
          </x14:cfRule>
          <xm:sqref>DJ31</xm:sqref>
        </x14:conditionalFormatting>
        <x14:conditionalFormatting xmlns:xm="http://schemas.microsoft.com/office/excel/2006/main">
          <x14:cfRule type="expression" priority="678" stopIfTrue="1" id="{00000000-0000-0000-0000-000000000000}">
            <xm:f>(60 * HOUR($DK$31) + MINUTE($DK$31)) &gt;(60 * HOUR(INDEX('1.Locations'!$G$2:$G$32,$DC$31 + 1)) +MINUTE(INDEX('1.Locations'!$G$2:$G$32,$DC$31 + 1)))</xm:f>
            <x14:dxf>
              <fill>
                <patternFill>
                  <bgColor indexed="10"/>
                </patternFill>
              </fill>
            </x14:dxf>
          </x14:cfRule>
          <xm:sqref>DK31</xm:sqref>
        </x14:conditionalFormatting>
        <x14:conditionalFormatting xmlns:xm="http://schemas.microsoft.com/office/excel/2006/main">
          <x14:cfRule type="cellIs" priority="679" stopIfTrue="1" operator="lessThan" id="{00000000-0000-0000-0000-000000000000}">
            <xm:f>INDEX('1.Locations'!$F$2:$F$32,$DC$32 + 1)</xm:f>
            <x14:dxf>
              <fill>
                <patternFill>
                  <bgColor indexed="52"/>
                </patternFill>
              </fill>
            </x14:dxf>
          </x14:cfRule>
          <xm:sqref>DJ32</xm:sqref>
        </x14:conditionalFormatting>
        <x14:conditionalFormatting xmlns:xm="http://schemas.microsoft.com/office/excel/2006/main">
          <x14:cfRule type="expression" priority="680" stopIfTrue="1" id="{00000000-0000-0000-0000-000000000000}">
            <xm:f>(60 * HOUR($DK$32) + MINUTE($DK$32)) &gt;(60 * HOUR(INDEX('1.Locations'!$G$2:$G$32,$DC$32 + 1)) +MINUTE(INDEX('1.Locations'!$G$2:$G$32,$DC$32 + 1)))</xm:f>
            <x14:dxf>
              <fill>
                <patternFill>
                  <bgColor indexed="10"/>
                </patternFill>
              </fill>
            </x14:dxf>
          </x14:cfRule>
          <xm:sqref>DK32</xm:sqref>
        </x14:conditionalFormatting>
        <x14:conditionalFormatting xmlns:xm="http://schemas.microsoft.com/office/excel/2006/main">
          <x14:cfRule type="cellIs" priority="681" stopIfTrue="1" operator="lessThan" id="{00000000-0000-0000-0000-000000000000}">
            <xm:f>INDEX('1.Locations'!$F$2:$F$32,$DC$33 + 1)</xm:f>
            <x14:dxf>
              <fill>
                <patternFill>
                  <bgColor indexed="52"/>
                </patternFill>
              </fill>
            </x14:dxf>
          </x14:cfRule>
          <xm:sqref>DJ33</xm:sqref>
        </x14:conditionalFormatting>
        <x14:conditionalFormatting xmlns:xm="http://schemas.microsoft.com/office/excel/2006/main">
          <x14:cfRule type="expression" priority="682" stopIfTrue="1" id="{00000000-0000-0000-0000-000000000000}">
            <xm:f>(60 * HOUR($DK$33) + MINUTE($DK$33)) &gt;(60 * HOUR(INDEX('1.Locations'!$G$2:$G$32,$DC$33 + 1)) +MINUTE(INDEX('1.Locations'!$G$2:$G$32,$DC$33 + 1)))</xm:f>
            <x14:dxf>
              <fill>
                <patternFill>
                  <bgColor indexed="10"/>
                </patternFill>
              </fill>
            </x14:dxf>
          </x14:cfRule>
          <xm:sqref>DK33</xm:sqref>
        </x14:conditionalFormatting>
        <x14:conditionalFormatting xmlns:xm="http://schemas.microsoft.com/office/excel/2006/main">
          <x14:cfRule type="cellIs" priority="683" stopIfTrue="1" operator="lessThan" id="{00000000-0000-0000-0000-000000000000}">
            <xm:f>INDEX('1.Locations'!$F$2:$F$32,$DC$34 + 1)</xm:f>
            <x14:dxf>
              <fill>
                <patternFill>
                  <bgColor indexed="52"/>
                </patternFill>
              </fill>
            </x14:dxf>
          </x14:cfRule>
          <xm:sqref>DJ34</xm:sqref>
        </x14:conditionalFormatting>
        <x14:conditionalFormatting xmlns:xm="http://schemas.microsoft.com/office/excel/2006/main">
          <x14:cfRule type="expression" priority="684" stopIfTrue="1" id="{00000000-0000-0000-0000-000000000000}">
            <xm:f>(60 * HOUR($DK$34) + MINUTE($DK$34)) &gt;(60 * HOUR(INDEX('1.Locations'!$G$2:$G$32,$DC$34 + 1)) +MINUTE(INDEX('1.Locations'!$G$2:$G$32,$DC$34 + 1)))</xm:f>
            <x14:dxf>
              <fill>
                <patternFill>
                  <bgColor indexed="10"/>
                </patternFill>
              </fill>
            </x14:dxf>
          </x14:cfRule>
          <xm:sqref>DK34</xm:sqref>
        </x14:conditionalFormatting>
        <x14:conditionalFormatting xmlns:xm="http://schemas.microsoft.com/office/excel/2006/main">
          <x14:cfRule type="cellIs" priority="685" stopIfTrue="1" operator="lessThan" id="{00000000-0000-0000-0000-000000000000}">
            <xm:f>INDEX('1.Locations'!$F$2:$F$32,$DC$35 + 1)</xm:f>
            <x14:dxf>
              <fill>
                <patternFill>
                  <bgColor indexed="52"/>
                </patternFill>
              </fill>
            </x14:dxf>
          </x14:cfRule>
          <xm:sqref>DJ35</xm:sqref>
        </x14:conditionalFormatting>
        <x14:conditionalFormatting xmlns:xm="http://schemas.microsoft.com/office/excel/2006/main">
          <x14:cfRule type="expression" priority="686" stopIfTrue="1" id="{00000000-0000-0000-0000-000000000000}">
            <xm:f>(60 * HOUR($DK$35) + MINUTE($DK$35)) &gt;(60 * HOUR(INDEX('1.Locations'!$G$2:$G$32,$DC$35 + 1)) +MINUTE(INDEX('1.Locations'!$G$2:$G$32,$DC$35 + 1)))</xm:f>
            <x14:dxf>
              <fill>
                <patternFill>
                  <bgColor indexed="10"/>
                </patternFill>
              </fill>
            </x14:dxf>
          </x14:cfRule>
          <xm:sqref>DK35</xm:sqref>
        </x14:conditionalFormatting>
        <x14:conditionalFormatting xmlns:xm="http://schemas.microsoft.com/office/excel/2006/main">
          <x14:cfRule type="cellIs" priority="687" stopIfTrue="1" operator="lessThan" id="{00000000-0000-0000-0000-000000000000}">
            <xm:f>INDEX('1.Locations'!$F$2:$F$32,$DC$36 + 1)</xm:f>
            <x14:dxf>
              <fill>
                <patternFill>
                  <bgColor indexed="52"/>
                </patternFill>
              </fill>
            </x14:dxf>
          </x14:cfRule>
          <xm:sqref>DJ36</xm:sqref>
        </x14:conditionalFormatting>
        <x14:conditionalFormatting xmlns:xm="http://schemas.microsoft.com/office/excel/2006/main">
          <x14:cfRule type="expression" priority="688" stopIfTrue="1" id="{00000000-0000-0000-0000-000000000000}">
            <xm:f>(60 * HOUR($DK$36) + MINUTE($DK$36)) &gt;(60 * HOUR(INDEX('1.Locations'!$G$2:$G$32,$DC$36 + 1)) +MINUTE(INDEX('1.Locations'!$G$2:$G$32,$DC$36 + 1)))</xm:f>
            <x14:dxf>
              <fill>
                <patternFill>
                  <bgColor indexed="10"/>
                </patternFill>
              </fill>
            </x14:dxf>
          </x14:cfRule>
          <xm:sqref>DK36</xm:sqref>
        </x14:conditionalFormatting>
        <x14:conditionalFormatting xmlns:xm="http://schemas.microsoft.com/office/excel/2006/main">
          <x14:cfRule type="cellIs" priority="689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DF6:DF36</xm:sqref>
        </x14:conditionalFormatting>
        <x14:conditionalFormatting xmlns:xm="http://schemas.microsoft.com/office/excel/2006/main">
          <x14:cfRule type="cellIs" priority="690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DG6:DG36</xm:sqref>
        </x14:conditionalFormatting>
        <x14:conditionalFormatting xmlns:xm="http://schemas.microsoft.com/office/excel/2006/main">
          <x14:cfRule type="cellIs" priority="691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DI6:DI36</xm:sqref>
        </x14:conditionalFormatting>
        <x14:conditionalFormatting xmlns:xm="http://schemas.microsoft.com/office/excel/2006/main">
          <x14:cfRule type="cellIs" priority="692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DL6:DL36</xm:sqref>
        </x14:conditionalFormatting>
        <x14:conditionalFormatting xmlns:xm="http://schemas.microsoft.com/office/excel/2006/main">
          <x14:cfRule type="cellIs" priority="694" stopIfTrue="1" operator="lessThan" id="{00000000-0000-0000-0000-000000000000}">
            <xm:f>INDEX('1.Locations'!$F$2:$F$32,$DP$5 + 1)</xm:f>
            <x14:dxf>
              <fill>
                <patternFill>
                  <bgColor indexed="52"/>
                </patternFill>
              </fill>
            </x14:dxf>
          </x14:cfRule>
          <xm:sqref>DW5</xm:sqref>
        </x14:conditionalFormatting>
        <x14:conditionalFormatting xmlns:xm="http://schemas.microsoft.com/office/excel/2006/main">
          <x14:cfRule type="expression" priority="695" stopIfTrue="1" id="{00000000-0000-0000-0000-000000000000}">
            <xm:f>(60 * HOUR($DX$5) + MINUTE($DX$5)) &gt;(60 * HOUR(INDEX('1.Locations'!$G$2:$G$32,$DP$5 + 1)) +MINUTE(INDEX('1.Locations'!$G$2:$G$32,$DP$5 + 1)))</xm:f>
            <x14:dxf>
              <fill>
                <patternFill>
                  <bgColor indexed="10"/>
                </patternFill>
              </fill>
            </x14:dxf>
          </x14:cfRule>
          <xm:sqref>DX5</xm:sqref>
        </x14:conditionalFormatting>
        <x14:conditionalFormatting xmlns:xm="http://schemas.microsoft.com/office/excel/2006/main">
          <x14:cfRule type="cellIs" priority="696" stopIfTrue="1" operator="lessThan" id="{00000000-0000-0000-0000-000000000000}">
            <xm:f>INDEX('1.Locations'!$F$2:$F$32,$DP$6 + 1)</xm:f>
            <x14:dxf>
              <fill>
                <patternFill>
                  <bgColor indexed="52"/>
                </patternFill>
              </fill>
            </x14:dxf>
          </x14:cfRule>
          <xm:sqref>DW6</xm:sqref>
        </x14:conditionalFormatting>
        <x14:conditionalFormatting xmlns:xm="http://schemas.microsoft.com/office/excel/2006/main">
          <x14:cfRule type="expression" priority="697" stopIfTrue="1" id="{00000000-0000-0000-0000-000000000000}">
            <xm:f>(60 * HOUR($DX$6) + MINUTE($DX$6)) &gt;(60 * HOUR(INDEX('1.Locations'!$G$2:$G$32,$DP$6 + 1)) +MINUTE(INDEX('1.Locations'!$G$2:$G$32,$DP$6 + 1)))</xm:f>
            <x14:dxf>
              <fill>
                <patternFill>
                  <bgColor indexed="10"/>
                </patternFill>
              </fill>
            </x14:dxf>
          </x14:cfRule>
          <xm:sqref>DX6</xm:sqref>
        </x14:conditionalFormatting>
        <x14:conditionalFormatting xmlns:xm="http://schemas.microsoft.com/office/excel/2006/main">
          <x14:cfRule type="cellIs" priority="698" stopIfTrue="1" operator="lessThan" id="{00000000-0000-0000-0000-000000000000}">
            <xm:f>INDEX('1.Locations'!$F$2:$F$32,$DP$7 + 1)</xm:f>
            <x14:dxf>
              <fill>
                <patternFill>
                  <bgColor indexed="52"/>
                </patternFill>
              </fill>
            </x14:dxf>
          </x14:cfRule>
          <xm:sqref>DW7</xm:sqref>
        </x14:conditionalFormatting>
        <x14:conditionalFormatting xmlns:xm="http://schemas.microsoft.com/office/excel/2006/main">
          <x14:cfRule type="expression" priority="699" stopIfTrue="1" id="{00000000-0000-0000-0000-000000000000}">
            <xm:f>(60 * HOUR($DX$7) + MINUTE($DX$7)) &gt;(60 * HOUR(INDEX('1.Locations'!$G$2:$G$32,$DP$7 + 1)) +MINUTE(INDEX('1.Locations'!$G$2:$G$32,$DP$7 + 1)))</xm:f>
            <x14:dxf>
              <fill>
                <patternFill>
                  <bgColor indexed="10"/>
                </patternFill>
              </fill>
            </x14:dxf>
          </x14:cfRule>
          <xm:sqref>DX7</xm:sqref>
        </x14:conditionalFormatting>
        <x14:conditionalFormatting xmlns:xm="http://schemas.microsoft.com/office/excel/2006/main">
          <x14:cfRule type="cellIs" priority="700" stopIfTrue="1" operator="lessThan" id="{00000000-0000-0000-0000-000000000000}">
            <xm:f>INDEX('1.Locations'!$F$2:$F$32,$DP$8 + 1)</xm:f>
            <x14:dxf>
              <fill>
                <patternFill>
                  <bgColor indexed="52"/>
                </patternFill>
              </fill>
            </x14:dxf>
          </x14:cfRule>
          <xm:sqref>DW8</xm:sqref>
        </x14:conditionalFormatting>
        <x14:conditionalFormatting xmlns:xm="http://schemas.microsoft.com/office/excel/2006/main">
          <x14:cfRule type="expression" priority="701" stopIfTrue="1" id="{00000000-0000-0000-0000-000000000000}">
            <xm:f>(60 * HOUR($DX$8) + MINUTE($DX$8)) &gt;(60 * HOUR(INDEX('1.Locations'!$G$2:$G$32,$DP$8 + 1)) +MINUTE(INDEX('1.Locations'!$G$2:$G$32,$DP$8 + 1)))</xm:f>
            <x14:dxf>
              <fill>
                <patternFill>
                  <bgColor indexed="10"/>
                </patternFill>
              </fill>
            </x14:dxf>
          </x14:cfRule>
          <xm:sqref>DX8</xm:sqref>
        </x14:conditionalFormatting>
        <x14:conditionalFormatting xmlns:xm="http://schemas.microsoft.com/office/excel/2006/main">
          <x14:cfRule type="cellIs" priority="702" stopIfTrue="1" operator="lessThan" id="{00000000-0000-0000-0000-000000000000}">
            <xm:f>INDEX('1.Locations'!$F$2:$F$32,$DP$9 + 1)</xm:f>
            <x14:dxf>
              <fill>
                <patternFill>
                  <bgColor indexed="52"/>
                </patternFill>
              </fill>
            </x14:dxf>
          </x14:cfRule>
          <xm:sqref>DW9</xm:sqref>
        </x14:conditionalFormatting>
        <x14:conditionalFormatting xmlns:xm="http://schemas.microsoft.com/office/excel/2006/main">
          <x14:cfRule type="expression" priority="703" stopIfTrue="1" id="{00000000-0000-0000-0000-000000000000}">
            <xm:f>(60 * HOUR($DX$9) + MINUTE($DX$9)) &gt;(60 * HOUR(INDEX('1.Locations'!$G$2:$G$32,$DP$9 + 1)) +MINUTE(INDEX('1.Locations'!$G$2:$G$32,$DP$9 + 1)))</xm:f>
            <x14:dxf>
              <fill>
                <patternFill>
                  <bgColor indexed="10"/>
                </patternFill>
              </fill>
            </x14:dxf>
          </x14:cfRule>
          <xm:sqref>DX9</xm:sqref>
        </x14:conditionalFormatting>
        <x14:conditionalFormatting xmlns:xm="http://schemas.microsoft.com/office/excel/2006/main">
          <x14:cfRule type="cellIs" priority="704" stopIfTrue="1" operator="lessThan" id="{00000000-0000-0000-0000-000000000000}">
            <xm:f>INDEX('1.Locations'!$F$2:$F$32,$DP$10 + 1)</xm:f>
            <x14:dxf>
              <fill>
                <patternFill>
                  <bgColor indexed="52"/>
                </patternFill>
              </fill>
            </x14:dxf>
          </x14:cfRule>
          <xm:sqref>DW10</xm:sqref>
        </x14:conditionalFormatting>
        <x14:conditionalFormatting xmlns:xm="http://schemas.microsoft.com/office/excel/2006/main">
          <x14:cfRule type="expression" priority="705" stopIfTrue="1" id="{00000000-0000-0000-0000-000000000000}">
            <xm:f>(60 * HOUR($DX$10) + MINUTE($DX$10)) &gt;(60 * HOUR(INDEX('1.Locations'!$G$2:$G$32,$DP$10 + 1)) +MINUTE(INDEX('1.Locations'!$G$2:$G$32,$DP$10 + 1)))</xm:f>
            <x14:dxf>
              <fill>
                <patternFill>
                  <bgColor indexed="10"/>
                </patternFill>
              </fill>
            </x14:dxf>
          </x14:cfRule>
          <xm:sqref>DX10</xm:sqref>
        </x14:conditionalFormatting>
        <x14:conditionalFormatting xmlns:xm="http://schemas.microsoft.com/office/excel/2006/main">
          <x14:cfRule type="cellIs" priority="706" stopIfTrue="1" operator="lessThan" id="{00000000-0000-0000-0000-000000000000}">
            <xm:f>INDEX('1.Locations'!$F$2:$F$32,$DP$11 + 1)</xm:f>
            <x14:dxf>
              <fill>
                <patternFill>
                  <bgColor indexed="52"/>
                </patternFill>
              </fill>
            </x14:dxf>
          </x14:cfRule>
          <xm:sqref>DW11</xm:sqref>
        </x14:conditionalFormatting>
        <x14:conditionalFormatting xmlns:xm="http://schemas.microsoft.com/office/excel/2006/main">
          <x14:cfRule type="expression" priority="707" stopIfTrue="1" id="{00000000-0000-0000-0000-000000000000}">
            <xm:f>(60 * HOUR($DX$11) + MINUTE($DX$11)) &gt;(60 * HOUR(INDEX('1.Locations'!$G$2:$G$32,$DP$11 + 1)) +MINUTE(INDEX('1.Locations'!$G$2:$G$32,$DP$11 + 1)))</xm:f>
            <x14:dxf>
              <fill>
                <patternFill>
                  <bgColor indexed="10"/>
                </patternFill>
              </fill>
            </x14:dxf>
          </x14:cfRule>
          <xm:sqref>DX11</xm:sqref>
        </x14:conditionalFormatting>
        <x14:conditionalFormatting xmlns:xm="http://schemas.microsoft.com/office/excel/2006/main">
          <x14:cfRule type="cellIs" priority="708" stopIfTrue="1" operator="lessThan" id="{00000000-0000-0000-0000-000000000000}">
            <xm:f>INDEX('1.Locations'!$F$2:$F$32,$DP$12 + 1)</xm:f>
            <x14:dxf>
              <fill>
                <patternFill>
                  <bgColor indexed="52"/>
                </patternFill>
              </fill>
            </x14:dxf>
          </x14:cfRule>
          <xm:sqref>DW12</xm:sqref>
        </x14:conditionalFormatting>
        <x14:conditionalFormatting xmlns:xm="http://schemas.microsoft.com/office/excel/2006/main">
          <x14:cfRule type="expression" priority="709" stopIfTrue="1" id="{00000000-0000-0000-0000-000000000000}">
            <xm:f>(60 * HOUR($DX$12) + MINUTE($DX$12)) &gt;(60 * HOUR(INDEX('1.Locations'!$G$2:$G$32,$DP$12 + 1)) +MINUTE(INDEX('1.Locations'!$G$2:$G$32,$DP$12 + 1)))</xm:f>
            <x14:dxf>
              <fill>
                <patternFill>
                  <bgColor indexed="10"/>
                </patternFill>
              </fill>
            </x14:dxf>
          </x14:cfRule>
          <xm:sqref>DX12</xm:sqref>
        </x14:conditionalFormatting>
        <x14:conditionalFormatting xmlns:xm="http://schemas.microsoft.com/office/excel/2006/main">
          <x14:cfRule type="cellIs" priority="710" stopIfTrue="1" operator="lessThan" id="{00000000-0000-0000-0000-000000000000}">
            <xm:f>INDEX('1.Locations'!$F$2:$F$32,$DP$13 + 1)</xm:f>
            <x14:dxf>
              <fill>
                <patternFill>
                  <bgColor indexed="52"/>
                </patternFill>
              </fill>
            </x14:dxf>
          </x14:cfRule>
          <xm:sqref>DW13</xm:sqref>
        </x14:conditionalFormatting>
        <x14:conditionalFormatting xmlns:xm="http://schemas.microsoft.com/office/excel/2006/main">
          <x14:cfRule type="expression" priority="711" stopIfTrue="1" id="{00000000-0000-0000-0000-000000000000}">
            <xm:f>(60 * HOUR($DX$13) + MINUTE($DX$13)) &gt;(60 * HOUR(INDEX('1.Locations'!$G$2:$G$32,$DP$13 + 1)) +MINUTE(INDEX('1.Locations'!$G$2:$G$32,$DP$13 + 1)))</xm:f>
            <x14:dxf>
              <fill>
                <patternFill>
                  <bgColor indexed="10"/>
                </patternFill>
              </fill>
            </x14:dxf>
          </x14:cfRule>
          <xm:sqref>DX13</xm:sqref>
        </x14:conditionalFormatting>
        <x14:conditionalFormatting xmlns:xm="http://schemas.microsoft.com/office/excel/2006/main">
          <x14:cfRule type="cellIs" priority="712" stopIfTrue="1" operator="lessThan" id="{00000000-0000-0000-0000-000000000000}">
            <xm:f>INDEX('1.Locations'!$F$2:$F$32,$DP$14 + 1)</xm:f>
            <x14:dxf>
              <fill>
                <patternFill>
                  <bgColor indexed="52"/>
                </patternFill>
              </fill>
            </x14:dxf>
          </x14:cfRule>
          <xm:sqref>DW14</xm:sqref>
        </x14:conditionalFormatting>
        <x14:conditionalFormatting xmlns:xm="http://schemas.microsoft.com/office/excel/2006/main">
          <x14:cfRule type="expression" priority="713" stopIfTrue="1" id="{00000000-0000-0000-0000-000000000000}">
            <xm:f>(60 * HOUR($DX$14) + MINUTE($DX$14)) &gt;(60 * HOUR(INDEX('1.Locations'!$G$2:$G$32,$DP$14 + 1)) +MINUTE(INDEX('1.Locations'!$G$2:$G$32,$DP$14 + 1)))</xm:f>
            <x14:dxf>
              <fill>
                <patternFill>
                  <bgColor indexed="10"/>
                </patternFill>
              </fill>
            </x14:dxf>
          </x14:cfRule>
          <xm:sqref>DX14</xm:sqref>
        </x14:conditionalFormatting>
        <x14:conditionalFormatting xmlns:xm="http://schemas.microsoft.com/office/excel/2006/main">
          <x14:cfRule type="cellIs" priority="714" stopIfTrue="1" operator="lessThan" id="{00000000-0000-0000-0000-000000000000}">
            <xm:f>INDEX('1.Locations'!$F$2:$F$32,$DP$15 + 1)</xm:f>
            <x14:dxf>
              <fill>
                <patternFill>
                  <bgColor indexed="52"/>
                </patternFill>
              </fill>
            </x14:dxf>
          </x14:cfRule>
          <xm:sqref>DW15</xm:sqref>
        </x14:conditionalFormatting>
        <x14:conditionalFormatting xmlns:xm="http://schemas.microsoft.com/office/excel/2006/main">
          <x14:cfRule type="expression" priority="715" stopIfTrue="1" id="{00000000-0000-0000-0000-000000000000}">
            <xm:f>(60 * HOUR($DX$15) + MINUTE($DX$15)) &gt;(60 * HOUR(INDEX('1.Locations'!$G$2:$G$32,$DP$15 + 1)) +MINUTE(INDEX('1.Locations'!$G$2:$G$32,$DP$15 + 1)))</xm:f>
            <x14:dxf>
              <fill>
                <patternFill>
                  <bgColor indexed="10"/>
                </patternFill>
              </fill>
            </x14:dxf>
          </x14:cfRule>
          <xm:sqref>DX15</xm:sqref>
        </x14:conditionalFormatting>
        <x14:conditionalFormatting xmlns:xm="http://schemas.microsoft.com/office/excel/2006/main">
          <x14:cfRule type="cellIs" priority="716" stopIfTrue="1" operator="lessThan" id="{00000000-0000-0000-0000-000000000000}">
            <xm:f>INDEX('1.Locations'!$F$2:$F$32,$DP$16 + 1)</xm:f>
            <x14:dxf>
              <fill>
                <patternFill>
                  <bgColor indexed="52"/>
                </patternFill>
              </fill>
            </x14:dxf>
          </x14:cfRule>
          <xm:sqref>DW16</xm:sqref>
        </x14:conditionalFormatting>
        <x14:conditionalFormatting xmlns:xm="http://schemas.microsoft.com/office/excel/2006/main">
          <x14:cfRule type="expression" priority="717" stopIfTrue="1" id="{00000000-0000-0000-0000-000000000000}">
            <xm:f>(60 * HOUR($DX$16) + MINUTE($DX$16)) &gt;(60 * HOUR(INDEX('1.Locations'!$G$2:$G$32,$DP$16 + 1)) +MINUTE(INDEX('1.Locations'!$G$2:$G$32,$DP$16 + 1)))</xm:f>
            <x14:dxf>
              <fill>
                <patternFill>
                  <bgColor indexed="10"/>
                </patternFill>
              </fill>
            </x14:dxf>
          </x14:cfRule>
          <xm:sqref>DX16</xm:sqref>
        </x14:conditionalFormatting>
        <x14:conditionalFormatting xmlns:xm="http://schemas.microsoft.com/office/excel/2006/main">
          <x14:cfRule type="cellIs" priority="718" stopIfTrue="1" operator="lessThan" id="{00000000-0000-0000-0000-000000000000}">
            <xm:f>INDEX('1.Locations'!$F$2:$F$32,$DP$17 + 1)</xm:f>
            <x14:dxf>
              <fill>
                <patternFill>
                  <bgColor indexed="52"/>
                </patternFill>
              </fill>
            </x14:dxf>
          </x14:cfRule>
          <xm:sqref>DW17</xm:sqref>
        </x14:conditionalFormatting>
        <x14:conditionalFormatting xmlns:xm="http://schemas.microsoft.com/office/excel/2006/main">
          <x14:cfRule type="expression" priority="719" stopIfTrue="1" id="{00000000-0000-0000-0000-000000000000}">
            <xm:f>(60 * HOUR($DX$17) + MINUTE($DX$17)) &gt;(60 * HOUR(INDEX('1.Locations'!$G$2:$G$32,$DP$17 + 1)) +MINUTE(INDEX('1.Locations'!$G$2:$G$32,$DP$17 + 1)))</xm:f>
            <x14:dxf>
              <fill>
                <patternFill>
                  <bgColor indexed="10"/>
                </patternFill>
              </fill>
            </x14:dxf>
          </x14:cfRule>
          <xm:sqref>DX17</xm:sqref>
        </x14:conditionalFormatting>
        <x14:conditionalFormatting xmlns:xm="http://schemas.microsoft.com/office/excel/2006/main">
          <x14:cfRule type="cellIs" priority="720" stopIfTrue="1" operator="lessThan" id="{00000000-0000-0000-0000-000000000000}">
            <xm:f>INDEX('1.Locations'!$F$2:$F$32,$DP$18 + 1)</xm:f>
            <x14:dxf>
              <fill>
                <patternFill>
                  <bgColor indexed="52"/>
                </patternFill>
              </fill>
            </x14:dxf>
          </x14:cfRule>
          <xm:sqref>DW18</xm:sqref>
        </x14:conditionalFormatting>
        <x14:conditionalFormatting xmlns:xm="http://schemas.microsoft.com/office/excel/2006/main">
          <x14:cfRule type="expression" priority="721" stopIfTrue="1" id="{00000000-0000-0000-0000-000000000000}">
            <xm:f>(60 * HOUR($DX$18) + MINUTE($DX$18)) &gt;(60 * HOUR(INDEX('1.Locations'!$G$2:$G$32,$DP$18 + 1)) +MINUTE(INDEX('1.Locations'!$G$2:$G$32,$DP$18 + 1)))</xm:f>
            <x14:dxf>
              <fill>
                <patternFill>
                  <bgColor indexed="10"/>
                </patternFill>
              </fill>
            </x14:dxf>
          </x14:cfRule>
          <xm:sqref>DX18</xm:sqref>
        </x14:conditionalFormatting>
        <x14:conditionalFormatting xmlns:xm="http://schemas.microsoft.com/office/excel/2006/main">
          <x14:cfRule type="cellIs" priority="722" stopIfTrue="1" operator="lessThan" id="{00000000-0000-0000-0000-000000000000}">
            <xm:f>INDEX('1.Locations'!$F$2:$F$32,$DP$19 + 1)</xm:f>
            <x14:dxf>
              <fill>
                <patternFill>
                  <bgColor indexed="52"/>
                </patternFill>
              </fill>
            </x14:dxf>
          </x14:cfRule>
          <xm:sqref>DW19</xm:sqref>
        </x14:conditionalFormatting>
        <x14:conditionalFormatting xmlns:xm="http://schemas.microsoft.com/office/excel/2006/main">
          <x14:cfRule type="expression" priority="723" stopIfTrue="1" id="{00000000-0000-0000-0000-000000000000}">
            <xm:f>(60 * HOUR($DX$19) + MINUTE($DX$19)) &gt;(60 * HOUR(INDEX('1.Locations'!$G$2:$G$32,$DP$19 + 1)) +MINUTE(INDEX('1.Locations'!$G$2:$G$32,$DP$19 + 1)))</xm:f>
            <x14:dxf>
              <fill>
                <patternFill>
                  <bgColor indexed="10"/>
                </patternFill>
              </fill>
            </x14:dxf>
          </x14:cfRule>
          <xm:sqref>DX19</xm:sqref>
        </x14:conditionalFormatting>
        <x14:conditionalFormatting xmlns:xm="http://schemas.microsoft.com/office/excel/2006/main">
          <x14:cfRule type="cellIs" priority="724" stopIfTrue="1" operator="lessThan" id="{00000000-0000-0000-0000-000000000000}">
            <xm:f>INDEX('1.Locations'!$F$2:$F$32,$DP$20 + 1)</xm:f>
            <x14:dxf>
              <fill>
                <patternFill>
                  <bgColor indexed="52"/>
                </patternFill>
              </fill>
            </x14:dxf>
          </x14:cfRule>
          <xm:sqref>DW20</xm:sqref>
        </x14:conditionalFormatting>
        <x14:conditionalFormatting xmlns:xm="http://schemas.microsoft.com/office/excel/2006/main">
          <x14:cfRule type="expression" priority="725" stopIfTrue="1" id="{00000000-0000-0000-0000-000000000000}">
            <xm:f>(60 * HOUR($DX$20) + MINUTE($DX$20)) &gt;(60 * HOUR(INDEX('1.Locations'!$G$2:$G$32,$DP$20 + 1)) +MINUTE(INDEX('1.Locations'!$G$2:$G$32,$DP$20 + 1)))</xm:f>
            <x14:dxf>
              <fill>
                <patternFill>
                  <bgColor indexed="10"/>
                </patternFill>
              </fill>
            </x14:dxf>
          </x14:cfRule>
          <xm:sqref>DX20</xm:sqref>
        </x14:conditionalFormatting>
        <x14:conditionalFormatting xmlns:xm="http://schemas.microsoft.com/office/excel/2006/main">
          <x14:cfRule type="cellIs" priority="726" stopIfTrue="1" operator="lessThan" id="{00000000-0000-0000-0000-000000000000}">
            <xm:f>INDEX('1.Locations'!$F$2:$F$32,$DP$21 + 1)</xm:f>
            <x14:dxf>
              <fill>
                <patternFill>
                  <bgColor indexed="52"/>
                </patternFill>
              </fill>
            </x14:dxf>
          </x14:cfRule>
          <xm:sqref>DW21</xm:sqref>
        </x14:conditionalFormatting>
        <x14:conditionalFormatting xmlns:xm="http://schemas.microsoft.com/office/excel/2006/main">
          <x14:cfRule type="expression" priority="727" stopIfTrue="1" id="{00000000-0000-0000-0000-000000000000}">
            <xm:f>(60 * HOUR($DX$21) + MINUTE($DX$21)) &gt;(60 * HOUR(INDEX('1.Locations'!$G$2:$G$32,$DP$21 + 1)) +MINUTE(INDEX('1.Locations'!$G$2:$G$32,$DP$21 + 1)))</xm:f>
            <x14:dxf>
              <fill>
                <patternFill>
                  <bgColor indexed="10"/>
                </patternFill>
              </fill>
            </x14:dxf>
          </x14:cfRule>
          <xm:sqref>DX21</xm:sqref>
        </x14:conditionalFormatting>
        <x14:conditionalFormatting xmlns:xm="http://schemas.microsoft.com/office/excel/2006/main">
          <x14:cfRule type="cellIs" priority="728" stopIfTrue="1" operator="lessThan" id="{00000000-0000-0000-0000-000000000000}">
            <xm:f>INDEX('1.Locations'!$F$2:$F$32,$DP$22 + 1)</xm:f>
            <x14:dxf>
              <fill>
                <patternFill>
                  <bgColor indexed="52"/>
                </patternFill>
              </fill>
            </x14:dxf>
          </x14:cfRule>
          <xm:sqref>DW22</xm:sqref>
        </x14:conditionalFormatting>
        <x14:conditionalFormatting xmlns:xm="http://schemas.microsoft.com/office/excel/2006/main">
          <x14:cfRule type="expression" priority="729" stopIfTrue="1" id="{00000000-0000-0000-0000-000000000000}">
            <xm:f>(60 * HOUR($DX$22) + MINUTE($DX$22)) &gt;(60 * HOUR(INDEX('1.Locations'!$G$2:$G$32,$DP$22 + 1)) +MINUTE(INDEX('1.Locations'!$G$2:$G$32,$DP$22 + 1)))</xm:f>
            <x14:dxf>
              <fill>
                <patternFill>
                  <bgColor indexed="10"/>
                </patternFill>
              </fill>
            </x14:dxf>
          </x14:cfRule>
          <xm:sqref>DX22</xm:sqref>
        </x14:conditionalFormatting>
        <x14:conditionalFormatting xmlns:xm="http://schemas.microsoft.com/office/excel/2006/main">
          <x14:cfRule type="cellIs" priority="730" stopIfTrue="1" operator="lessThan" id="{00000000-0000-0000-0000-000000000000}">
            <xm:f>INDEX('1.Locations'!$F$2:$F$32,$DP$23 + 1)</xm:f>
            <x14:dxf>
              <fill>
                <patternFill>
                  <bgColor indexed="52"/>
                </patternFill>
              </fill>
            </x14:dxf>
          </x14:cfRule>
          <xm:sqref>DW23</xm:sqref>
        </x14:conditionalFormatting>
        <x14:conditionalFormatting xmlns:xm="http://schemas.microsoft.com/office/excel/2006/main">
          <x14:cfRule type="expression" priority="731" stopIfTrue="1" id="{00000000-0000-0000-0000-000000000000}">
            <xm:f>(60 * HOUR($DX$23) + MINUTE($DX$23)) &gt;(60 * HOUR(INDEX('1.Locations'!$G$2:$G$32,$DP$23 + 1)) +MINUTE(INDEX('1.Locations'!$G$2:$G$32,$DP$23 + 1)))</xm:f>
            <x14:dxf>
              <fill>
                <patternFill>
                  <bgColor indexed="10"/>
                </patternFill>
              </fill>
            </x14:dxf>
          </x14:cfRule>
          <xm:sqref>DX23</xm:sqref>
        </x14:conditionalFormatting>
        <x14:conditionalFormatting xmlns:xm="http://schemas.microsoft.com/office/excel/2006/main">
          <x14:cfRule type="cellIs" priority="732" stopIfTrue="1" operator="lessThan" id="{00000000-0000-0000-0000-000000000000}">
            <xm:f>INDEX('1.Locations'!$F$2:$F$32,$DP$24 + 1)</xm:f>
            <x14:dxf>
              <fill>
                <patternFill>
                  <bgColor indexed="52"/>
                </patternFill>
              </fill>
            </x14:dxf>
          </x14:cfRule>
          <xm:sqref>DW24</xm:sqref>
        </x14:conditionalFormatting>
        <x14:conditionalFormatting xmlns:xm="http://schemas.microsoft.com/office/excel/2006/main">
          <x14:cfRule type="expression" priority="733" stopIfTrue="1" id="{00000000-0000-0000-0000-000000000000}">
            <xm:f>(60 * HOUR($DX$24) + MINUTE($DX$24)) &gt;(60 * HOUR(INDEX('1.Locations'!$G$2:$G$32,$DP$24 + 1)) +MINUTE(INDEX('1.Locations'!$G$2:$G$32,$DP$24 + 1)))</xm:f>
            <x14:dxf>
              <fill>
                <patternFill>
                  <bgColor indexed="10"/>
                </patternFill>
              </fill>
            </x14:dxf>
          </x14:cfRule>
          <xm:sqref>DX24</xm:sqref>
        </x14:conditionalFormatting>
        <x14:conditionalFormatting xmlns:xm="http://schemas.microsoft.com/office/excel/2006/main">
          <x14:cfRule type="cellIs" priority="734" stopIfTrue="1" operator="lessThan" id="{00000000-0000-0000-0000-000000000000}">
            <xm:f>INDEX('1.Locations'!$F$2:$F$32,$DP$25 + 1)</xm:f>
            <x14:dxf>
              <fill>
                <patternFill>
                  <bgColor indexed="52"/>
                </patternFill>
              </fill>
            </x14:dxf>
          </x14:cfRule>
          <xm:sqref>DW25</xm:sqref>
        </x14:conditionalFormatting>
        <x14:conditionalFormatting xmlns:xm="http://schemas.microsoft.com/office/excel/2006/main">
          <x14:cfRule type="expression" priority="735" stopIfTrue="1" id="{00000000-0000-0000-0000-000000000000}">
            <xm:f>(60 * HOUR($DX$25) + MINUTE($DX$25)) &gt;(60 * HOUR(INDEX('1.Locations'!$G$2:$G$32,$DP$25 + 1)) +MINUTE(INDEX('1.Locations'!$G$2:$G$32,$DP$25 + 1)))</xm:f>
            <x14:dxf>
              <fill>
                <patternFill>
                  <bgColor indexed="10"/>
                </patternFill>
              </fill>
            </x14:dxf>
          </x14:cfRule>
          <xm:sqref>DX25</xm:sqref>
        </x14:conditionalFormatting>
        <x14:conditionalFormatting xmlns:xm="http://schemas.microsoft.com/office/excel/2006/main">
          <x14:cfRule type="cellIs" priority="736" stopIfTrue="1" operator="lessThan" id="{00000000-0000-0000-0000-000000000000}">
            <xm:f>INDEX('1.Locations'!$F$2:$F$32,$DP$26 + 1)</xm:f>
            <x14:dxf>
              <fill>
                <patternFill>
                  <bgColor indexed="52"/>
                </patternFill>
              </fill>
            </x14:dxf>
          </x14:cfRule>
          <xm:sqref>DW26</xm:sqref>
        </x14:conditionalFormatting>
        <x14:conditionalFormatting xmlns:xm="http://schemas.microsoft.com/office/excel/2006/main">
          <x14:cfRule type="expression" priority="737" stopIfTrue="1" id="{00000000-0000-0000-0000-000000000000}">
            <xm:f>(60 * HOUR($DX$26) + MINUTE($DX$26)) &gt;(60 * HOUR(INDEX('1.Locations'!$G$2:$G$32,$DP$26 + 1)) +MINUTE(INDEX('1.Locations'!$G$2:$G$32,$DP$26 + 1)))</xm:f>
            <x14:dxf>
              <fill>
                <patternFill>
                  <bgColor indexed="10"/>
                </patternFill>
              </fill>
            </x14:dxf>
          </x14:cfRule>
          <xm:sqref>DX26</xm:sqref>
        </x14:conditionalFormatting>
        <x14:conditionalFormatting xmlns:xm="http://schemas.microsoft.com/office/excel/2006/main">
          <x14:cfRule type="cellIs" priority="738" stopIfTrue="1" operator="lessThan" id="{00000000-0000-0000-0000-000000000000}">
            <xm:f>INDEX('1.Locations'!$F$2:$F$32,$DP$27 + 1)</xm:f>
            <x14:dxf>
              <fill>
                <patternFill>
                  <bgColor indexed="52"/>
                </patternFill>
              </fill>
            </x14:dxf>
          </x14:cfRule>
          <xm:sqref>DW27</xm:sqref>
        </x14:conditionalFormatting>
        <x14:conditionalFormatting xmlns:xm="http://schemas.microsoft.com/office/excel/2006/main">
          <x14:cfRule type="expression" priority="739" stopIfTrue="1" id="{00000000-0000-0000-0000-000000000000}">
            <xm:f>(60 * HOUR($DX$27) + MINUTE($DX$27)) &gt;(60 * HOUR(INDEX('1.Locations'!$G$2:$G$32,$DP$27 + 1)) +MINUTE(INDEX('1.Locations'!$G$2:$G$32,$DP$27 + 1)))</xm:f>
            <x14:dxf>
              <fill>
                <patternFill>
                  <bgColor indexed="10"/>
                </patternFill>
              </fill>
            </x14:dxf>
          </x14:cfRule>
          <xm:sqref>DX27</xm:sqref>
        </x14:conditionalFormatting>
        <x14:conditionalFormatting xmlns:xm="http://schemas.microsoft.com/office/excel/2006/main">
          <x14:cfRule type="cellIs" priority="740" stopIfTrue="1" operator="lessThan" id="{00000000-0000-0000-0000-000000000000}">
            <xm:f>INDEX('1.Locations'!$F$2:$F$32,$DP$28 + 1)</xm:f>
            <x14:dxf>
              <fill>
                <patternFill>
                  <bgColor indexed="52"/>
                </patternFill>
              </fill>
            </x14:dxf>
          </x14:cfRule>
          <xm:sqref>DW28</xm:sqref>
        </x14:conditionalFormatting>
        <x14:conditionalFormatting xmlns:xm="http://schemas.microsoft.com/office/excel/2006/main">
          <x14:cfRule type="expression" priority="741" stopIfTrue="1" id="{00000000-0000-0000-0000-000000000000}">
            <xm:f>(60 * HOUR($DX$28) + MINUTE($DX$28)) &gt;(60 * HOUR(INDEX('1.Locations'!$G$2:$G$32,$DP$28 + 1)) +MINUTE(INDEX('1.Locations'!$G$2:$G$32,$DP$28 + 1)))</xm:f>
            <x14:dxf>
              <fill>
                <patternFill>
                  <bgColor indexed="10"/>
                </patternFill>
              </fill>
            </x14:dxf>
          </x14:cfRule>
          <xm:sqref>DX28</xm:sqref>
        </x14:conditionalFormatting>
        <x14:conditionalFormatting xmlns:xm="http://schemas.microsoft.com/office/excel/2006/main">
          <x14:cfRule type="cellIs" priority="742" stopIfTrue="1" operator="lessThan" id="{00000000-0000-0000-0000-000000000000}">
            <xm:f>INDEX('1.Locations'!$F$2:$F$32,$DP$29 + 1)</xm:f>
            <x14:dxf>
              <fill>
                <patternFill>
                  <bgColor indexed="52"/>
                </patternFill>
              </fill>
            </x14:dxf>
          </x14:cfRule>
          <xm:sqref>DW29</xm:sqref>
        </x14:conditionalFormatting>
        <x14:conditionalFormatting xmlns:xm="http://schemas.microsoft.com/office/excel/2006/main">
          <x14:cfRule type="expression" priority="743" stopIfTrue="1" id="{00000000-0000-0000-0000-000000000000}">
            <xm:f>(60 * HOUR($DX$29) + MINUTE($DX$29)) &gt;(60 * HOUR(INDEX('1.Locations'!$G$2:$G$32,$DP$29 + 1)) +MINUTE(INDEX('1.Locations'!$G$2:$G$32,$DP$29 + 1)))</xm:f>
            <x14:dxf>
              <fill>
                <patternFill>
                  <bgColor indexed="10"/>
                </patternFill>
              </fill>
            </x14:dxf>
          </x14:cfRule>
          <xm:sqref>DX29</xm:sqref>
        </x14:conditionalFormatting>
        <x14:conditionalFormatting xmlns:xm="http://schemas.microsoft.com/office/excel/2006/main">
          <x14:cfRule type="cellIs" priority="744" stopIfTrue="1" operator="lessThan" id="{00000000-0000-0000-0000-000000000000}">
            <xm:f>INDEX('1.Locations'!$F$2:$F$32,$DP$30 + 1)</xm:f>
            <x14:dxf>
              <fill>
                <patternFill>
                  <bgColor indexed="52"/>
                </patternFill>
              </fill>
            </x14:dxf>
          </x14:cfRule>
          <xm:sqref>DW30</xm:sqref>
        </x14:conditionalFormatting>
        <x14:conditionalFormatting xmlns:xm="http://schemas.microsoft.com/office/excel/2006/main">
          <x14:cfRule type="expression" priority="745" stopIfTrue="1" id="{00000000-0000-0000-0000-000000000000}">
            <xm:f>(60 * HOUR($DX$30) + MINUTE($DX$30)) &gt;(60 * HOUR(INDEX('1.Locations'!$G$2:$G$32,$DP$30 + 1)) +MINUTE(INDEX('1.Locations'!$G$2:$G$32,$DP$30 + 1)))</xm:f>
            <x14:dxf>
              <fill>
                <patternFill>
                  <bgColor indexed="10"/>
                </patternFill>
              </fill>
            </x14:dxf>
          </x14:cfRule>
          <xm:sqref>DX30</xm:sqref>
        </x14:conditionalFormatting>
        <x14:conditionalFormatting xmlns:xm="http://schemas.microsoft.com/office/excel/2006/main">
          <x14:cfRule type="cellIs" priority="746" stopIfTrue="1" operator="lessThan" id="{00000000-0000-0000-0000-000000000000}">
            <xm:f>INDEX('1.Locations'!$F$2:$F$32,$DP$31 + 1)</xm:f>
            <x14:dxf>
              <fill>
                <patternFill>
                  <bgColor indexed="52"/>
                </patternFill>
              </fill>
            </x14:dxf>
          </x14:cfRule>
          <xm:sqref>DW31</xm:sqref>
        </x14:conditionalFormatting>
        <x14:conditionalFormatting xmlns:xm="http://schemas.microsoft.com/office/excel/2006/main">
          <x14:cfRule type="expression" priority="747" stopIfTrue="1" id="{00000000-0000-0000-0000-000000000000}">
            <xm:f>(60 * HOUR($DX$31) + MINUTE($DX$31)) &gt;(60 * HOUR(INDEX('1.Locations'!$G$2:$G$32,$DP$31 + 1)) +MINUTE(INDEX('1.Locations'!$G$2:$G$32,$DP$31 + 1)))</xm:f>
            <x14:dxf>
              <fill>
                <patternFill>
                  <bgColor indexed="10"/>
                </patternFill>
              </fill>
            </x14:dxf>
          </x14:cfRule>
          <xm:sqref>DX31</xm:sqref>
        </x14:conditionalFormatting>
        <x14:conditionalFormatting xmlns:xm="http://schemas.microsoft.com/office/excel/2006/main">
          <x14:cfRule type="cellIs" priority="748" stopIfTrue="1" operator="lessThan" id="{00000000-0000-0000-0000-000000000000}">
            <xm:f>INDEX('1.Locations'!$F$2:$F$32,$DP$32 + 1)</xm:f>
            <x14:dxf>
              <fill>
                <patternFill>
                  <bgColor indexed="52"/>
                </patternFill>
              </fill>
            </x14:dxf>
          </x14:cfRule>
          <xm:sqref>DW32</xm:sqref>
        </x14:conditionalFormatting>
        <x14:conditionalFormatting xmlns:xm="http://schemas.microsoft.com/office/excel/2006/main">
          <x14:cfRule type="expression" priority="749" stopIfTrue="1" id="{00000000-0000-0000-0000-000000000000}">
            <xm:f>(60 * HOUR($DX$32) + MINUTE($DX$32)) &gt;(60 * HOUR(INDEX('1.Locations'!$G$2:$G$32,$DP$32 + 1)) +MINUTE(INDEX('1.Locations'!$G$2:$G$32,$DP$32 + 1)))</xm:f>
            <x14:dxf>
              <fill>
                <patternFill>
                  <bgColor indexed="10"/>
                </patternFill>
              </fill>
            </x14:dxf>
          </x14:cfRule>
          <xm:sqref>DX32</xm:sqref>
        </x14:conditionalFormatting>
        <x14:conditionalFormatting xmlns:xm="http://schemas.microsoft.com/office/excel/2006/main">
          <x14:cfRule type="cellIs" priority="750" stopIfTrue="1" operator="lessThan" id="{00000000-0000-0000-0000-000000000000}">
            <xm:f>INDEX('1.Locations'!$F$2:$F$32,$DP$33 + 1)</xm:f>
            <x14:dxf>
              <fill>
                <patternFill>
                  <bgColor indexed="52"/>
                </patternFill>
              </fill>
            </x14:dxf>
          </x14:cfRule>
          <xm:sqref>DW33</xm:sqref>
        </x14:conditionalFormatting>
        <x14:conditionalFormatting xmlns:xm="http://schemas.microsoft.com/office/excel/2006/main">
          <x14:cfRule type="expression" priority="751" stopIfTrue="1" id="{00000000-0000-0000-0000-000000000000}">
            <xm:f>(60 * HOUR($DX$33) + MINUTE($DX$33)) &gt;(60 * HOUR(INDEX('1.Locations'!$G$2:$G$32,$DP$33 + 1)) +MINUTE(INDEX('1.Locations'!$G$2:$G$32,$DP$33 + 1)))</xm:f>
            <x14:dxf>
              <fill>
                <patternFill>
                  <bgColor indexed="10"/>
                </patternFill>
              </fill>
            </x14:dxf>
          </x14:cfRule>
          <xm:sqref>DX33</xm:sqref>
        </x14:conditionalFormatting>
        <x14:conditionalFormatting xmlns:xm="http://schemas.microsoft.com/office/excel/2006/main">
          <x14:cfRule type="cellIs" priority="752" stopIfTrue="1" operator="lessThan" id="{00000000-0000-0000-0000-000000000000}">
            <xm:f>INDEX('1.Locations'!$F$2:$F$32,$DP$34 + 1)</xm:f>
            <x14:dxf>
              <fill>
                <patternFill>
                  <bgColor indexed="52"/>
                </patternFill>
              </fill>
            </x14:dxf>
          </x14:cfRule>
          <xm:sqref>DW34</xm:sqref>
        </x14:conditionalFormatting>
        <x14:conditionalFormatting xmlns:xm="http://schemas.microsoft.com/office/excel/2006/main">
          <x14:cfRule type="expression" priority="753" stopIfTrue="1" id="{00000000-0000-0000-0000-000000000000}">
            <xm:f>(60 * HOUR($DX$34) + MINUTE($DX$34)) &gt;(60 * HOUR(INDEX('1.Locations'!$G$2:$G$32,$DP$34 + 1)) +MINUTE(INDEX('1.Locations'!$G$2:$G$32,$DP$34 + 1)))</xm:f>
            <x14:dxf>
              <fill>
                <patternFill>
                  <bgColor indexed="10"/>
                </patternFill>
              </fill>
            </x14:dxf>
          </x14:cfRule>
          <xm:sqref>DX34</xm:sqref>
        </x14:conditionalFormatting>
        <x14:conditionalFormatting xmlns:xm="http://schemas.microsoft.com/office/excel/2006/main">
          <x14:cfRule type="cellIs" priority="754" stopIfTrue="1" operator="lessThan" id="{00000000-0000-0000-0000-000000000000}">
            <xm:f>INDEX('1.Locations'!$F$2:$F$32,$DP$35 + 1)</xm:f>
            <x14:dxf>
              <fill>
                <patternFill>
                  <bgColor indexed="52"/>
                </patternFill>
              </fill>
            </x14:dxf>
          </x14:cfRule>
          <xm:sqref>DW35</xm:sqref>
        </x14:conditionalFormatting>
        <x14:conditionalFormatting xmlns:xm="http://schemas.microsoft.com/office/excel/2006/main">
          <x14:cfRule type="expression" priority="755" stopIfTrue="1" id="{00000000-0000-0000-0000-000000000000}">
            <xm:f>(60 * HOUR($DX$35) + MINUTE($DX$35)) &gt;(60 * HOUR(INDEX('1.Locations'!$G$2:$G$32,$DP$35 + 1)) +MINUTE(INDEX('1.Locations'!$G$2:$G$32,$DP$35 + 1)))</xm:f>
            <x14:dxf>
              <fill>
                <patternFill>
                  <bgColor indexed="10"/>
                </patternFill>
              </fill>
            </x14:dxf>
          </x14:cfRule>
          <xm:sqref>DX35</xm:sqref>
        </x14:conditionalFormatting>
        <x14:conditionalFormatting xmlns:xm="http://schemas.microsoft.com/office/excel/2006/main">
          <x14:cfRule type="cellIs" priority="756" stopIfTrue="1" operator="lessThan" id="{00000000-0000-0000-0000-000000000000}">
            <xm:f>INDEX('1.Locations'!$F$2:$F$32,$DP$36 + 1)</xm:f>
            <x14:dxf>
              <fill>
                <patternFill>
                  <bgColor indexed="52"/>
                </patternFill>
              </fill>
            </x14:dxf>
          </x14:cfRule>
          <xm:sqref>DW36</xm:sqref>
        </x14:conditionalFormatting>
        <x14:conditionalFormatting xmlns:xm="http://schemas.microsoft.com/office/excel/2006/main">
          <x14:cfRule type="expression" priority="757" stopIfTrue="1" id="{00000000-0000-0000-0000-000000000000}">
            <xm:f>(60 * HOUR($DX$36) + MINUTE($DX$36)) &gt;(60 * HOUR(INDEX('1.Locations'!$G$2:$G$32,$DP$36 + 1)) +MINUTE(INDEX('1.Locations'!$G$2:$G$32,$DP$36 + 1)))</xm:f>
            <x14:dxf>
              <fill>
                <patternFill>
                  <bgColor indexed="10"/>
                </patternFill>
              </fill>
            </x14:dxf>
          </x14:cfRule>
          <xm:sqref>DX36</xm:sqref>
        </x14:conditionalFormatting>
        <x14:conditionalFormatting xmlns:xm="http://schemas.microsoft.com/office/excel/2006/main">
          <x14:cfRule type="cellIs" priority="758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DS6:DS36</xm:sqref>
        </x14:conditionalFormatting>
        <x14:conditionalFormatting xmlns:xm="http://schemas.microsoft.com/office/excel/2006/main">
          <x14:cfRule type="cellIs" priority="759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DT6:DT36</xm:sqref>
        </x14:conditionalFormatting>
        <x14:conditionalFormatting xmlns:xm="http://schemas.microsoft.com/office/excel/2006/main">
          <x14:cfRule type="cellIs" priority="760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DV6:DV36</xm:sqref>
        </x14:conditionalFormatting>
        <x14:conditionalFormatting xmlns:xm="http://schemas.microsoft.com/office/excel/2006/main">
          <x14:cfRule type="cellIs" priority="761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DY6:DY36</xm:sqref>
        </x14:conditionalFormatting>
        <x14:conditionalFormatting xmlns:xm="http://schemas.microsoft.com/office/excel/2006/main">
          <x14:cfRule type="cellIs" priority="763" stopIfTrue="1" operator="lessThan" id="{00000000-0000-0000-0000-000000000000}">
            <xm:f>INDEX('1.Locations'!$F$2:$F$32,$EC$5 + 1)</xm:f>
            <x14:dxf>
              <fill>
                <patternFill>
                  <bgColor indexed="52"/>
                </patternFill>
              </fill>
            </x14:dxf>
          </x14:cfRule>
          <xm:sqref>EJ5</xm:sqref>
        </x14:conditionalFormatting>
        <x14:conditionalFormatting xmlns:xm="http://schemas.microsoft.com/office/excel/2006/main">
          <x14:cfRule type="expression" priority="764" stopIfTrue="1" id="{00000000-0000-0000-0000-000000000000}">
            <xm:f>(60 * HOUR($EK$5) + MINUTE($EK$5)) &gt;(60 * HOUR(INDEX('1.Locations'!$G$2:$G$32,$EC$5 + 1)) +MINUTE(INDEX('1.Locations'!$G$2:$G$32,$EC$5 + 1)))</xm:f>
            <x14:dxf>
              <fill>
                <patternFill>
                  <bgColor indexed="10"/>
                </patternFill>
              </fill>
            </x14:dxf>
          </x14:cfRule>
          <xm:sqref>EK5</xm:sqref>
        </x14:conditionalFormatting>
        <x14:conditionalFormatting xmlns:xm="http://schemas.microsoft.com/office/excel/2006/main">
          <x14:cfRule type="cellIs" priority="765" stopIfTrue="1" operator="lessThan" id="{00000000-0000-0000-0000-000000000000}">
            <xm:f>INDEX('1.Locations'!$F$2:$F$32,$EC$6 + 1)</xm:f>
            <x14:dxf>
              <fill>
                <patternFill>
                  <bgColor indexed="52"/>
                </patternFill>
              </fill>
            </x14:dxf>
          </x14:cfRule>
          <xm:sqref>EJ6</xm:sqref>
        </x14:conditionalFormatting>
        <x14:conditionalFormatting xmlns:xm="http://schemas.microsoft.com/office/excel/2006/main">
          <x14:cfRule type="expression" priority="766" stopIfTrue="1" id="{00000000-0000-0000-0000-000000000000}">
            <xm:f>(60 * HOUR($EK$6) + MINUTE($EK$6)) &gt;(60 * HOUR(INDEX('1.Locations'!$G$2:$G$32,$EC$6 + 1)) +MINUTE(INDEX('1.Locations'!$G$2:$G$32,$EC$6 + 1)))</xm:f>
            <x14:dxf>
              <fill>
                <patternFill>
                  <bgColor indexed="10"/>
                </patternFill>
              </fill>
            </x14:dxf>
          </x14:cfRule>
          <xm:sqref>EK6</xm:sqref>
        </x14:conditionalFormatting>
        <x14:conditionalFormatting xmlns:xm="http://schemas.microsoft.com/office/excel/2006/main">
          <x14:cfRule type="cellIs" priority="767" stopIfTrue="1" operator="lessThan" id="{00000000-0000-0000-0000-000000000000}">
            <xm:f>INDEX('1.Locations'!$F$2:$F$32,$EC$7 + 1)</xm:f>
            <x14:dxf>
              <fill>
                <patternFill>
                  <bgColor indexed="52"/>
                </patternFill>
              </fill>
            </x14:dxf>
          </x14:cfRule>
          <xm:sqref>EJ7</xm:sqref>
        </x14:conditionalFormatting>
        <x14:conditionalFormatting xmlns:xm="http://schemas.microsoft.com/office/excel/2006/main">
          <x14:cfRule type="expression" priority="768" stopIfTrue="1" id="{00000000-0000-0000-0000-000000000000}">
            <xm:f>(60 * HOUR($EK$7) + MINUTE($EK$7)) &gt;(60 * HOUR(INDEX('1.Locations'!$G$2:$G$32,$EC$7 + 1)) +MINUTE(INDEX('1.Locations'!$G$2:$G$32,$EC$7 + 1)))</xm:f>
            <x14:dxf>
              <fill>
                <patternFill>
                  <bgColor indexed="10"/>
                </patternFill>
              </fill>
            </x14:dxf>
          </x14:cfRule>
          <xm:sqref>EK7</xm:sqref>
        </x14:conditionalFormatting>
        <x14:conditionalFormatting xmlns:xm="http://schemas.microsoft.com/office/excel/2006/main">
          <x14:cfRule type="cellIs" priority="769" stopIfTrue="1" operator="lessThan" id="{00000000-0000-0000-0000-000000000000}">
            <xm:f>INDEX('1.Locations'!$F$2:$F$32,$EC$8 + 1)</xm:f>
            <x14:dxf>
              <fill>
                <patternFill>
                  <bgColor indexed="52"/>
                </patternFill>
              </fill>
            </x14:dxf>
          </x14:cfRule>
          <xm:sqref>EJ8</xm:sqref>
        </x14:conditionalFormatting>
        <x14:conditionalFormatting xmlns:xm="http://schemas.microsoft.com/office/excel/2006/main">
          <x14:cfRule type="expression" priority="770" stopIfTrue="1" id="{00000000-0000-0000-0000-000000000000}">
            <xm:f>(60 * HOUR($EK$8) + MINUTE($EK$8)) &gt;(60 * HOUR(INDEX('1.Locations'!$G$2:$G$32,$EC$8 + 1)) +MINUTE(INDEX('1.Locations'!$G$2:$G$32,$EC$8 + 1)))</xm:f>
            <x14:dxf>
              <fill>
                <patternFill>
                  <bgColor indexed="10"/>
                </patternFill>
              </fill>
            </x14:dxf>
          </x14:cfRule>
          <xm:sqref>EK8</xm:sqref>
        </x14:conditionalFormatting>
        <x14:conditionalFormatting xmlns:xm="http://schemas.microsoft.com/office/excel/2006/main">
          <x14:cfRule type="cellIs" priority="771" stopIfTrue="1" operator="lessThan" id="{00000000-0000-0000-0000-000000000000}">
            <xm:f>INDEX('1.Locations'!$F$2:$F$32,$EC$9 + 1)</xm:f>
            <x14:dxf>
              <fill>
                <patternFill>
                  <bgColor indexed="52"/>
                </patternFill>
              </fill>
            </x14:dxf>
          </x14:cfRule>
          <xm:sqref>EJ9</xm:sqref>
        </x14:conditionalFormatting>
        <x14:conditionalFormatting xmlns:xm="http://schemas.microsoft.com/office/excel/2006/main">
          <x14:cfRule type="expression" priority="772" stopIfTrue="1" id="{00000000-0000-0000-0000-000000000000}">
            <xm:f>(60 * HOUR($EK$9) + MINUTE($EK$9)) &gt;(60 * HOUR(INDEX('1.Locations'!$G$2:$G$32,$EC$9 + 1)) +MINUTE(INDEX('1.Locations'!$G$2:$G$32,$EC$9 + 1)))</xm:f>
            <x14:dxf>
              <fill>
                <patternFill>
                  <bgColor indexed="10"/>
                </patternFill>
              </fill>
            </x14:dxf>
          </x14:cfRule>
          <xm:sqref>EK9</xm:sqref>
        </x14:conditionalFormatting>
        <x14:conditionalFormatting xmlns:xm="http://schemas.microsoft.com/office/excel/2006/main">
          <x14:cfRule type="cellIs" priority="773" stopIfTrue="1" operator="lessThan" id="{00000000-0000-0000-0000-000000000000}">
            <xm:f>INDEX('1.Locations'!$F$2:$F$32,$EC$10 + 1)</xm:f>
            <x14:dxf>
              <fill>
                <patternFill>
                  <bgColor indexed="52"/>
                </patternFill>
              </fill>
            </x14:dxf>
          </x14:cfRule>
          <xm:sqref>EJ10</xm:sqref>
        </x14:conditionalFormatting>
        <x14:conditionalFormatting xmlns:xm="http://schemas.microsoft.com/office/excel/2006/main">
          <x14:cfRule type="expression" priority="774" stopIfTrue="1" id="{00000000-0000-0000-0000-000000000000}">
            <xm:f>(60 * HOUR($EK$10) + MINUTE($EK$10)) &gt;(60 * HOUR(INDEX('1.Locations'!$G$2:$G$32,$EC$10 + 1)) +MINUTE(INDEX('1.Locations'!$G$2:$G$32,$EC$10 + 1)))</xm:f>
            <x14:dxf>
              <fill>
                <patternFill>
                  <bgColor indexed="10"/>
                </patternFill>
              </fill>
            </x14:dxf>
          </x14:cfRule>
          <xm:sqref>EK10</xm:sqref>
        </x14:conditionalFormatting>
        <x14:conditionalFormatting xmlns:xm="http://schemas.microsoft.com/office/excel/2006/main">
          <x14:cfRule type="cellIs" priority="775" stopIfTrue="1" operator="lessThan" id="{00000000-0000-0000-0000-000000000000}">
            <xm:f>INDEX('1.Locations'!$F$2:$F$32,$EC$11 + 1)</xm:f>
            <x14:dxf>
              <fill>
                <patternFill>
                  <bgColor indexed="52"/>
                </patternFill>
              </fill>
            </x14:dxf>
          </x14:cfRule>
          <xm:sqref>EJ11</xm:sqref>
        </x14:conditionalFormatting>
        <x14:conditionalFormatting xmlns:xm="http://schemas.microsoft.com/office/excel/2006/main">
          <x14:cfRule type="expression" priority="776" stopIfTrue="1" id="{00000000-0000-0000-0000-000000000000}">
            <xm:f>(60 * HOUR($EK$11) + MINUTE($EK$11)) &gt;(60 * HOUR(INDEX('1.Locations'!$G$2:$G$32,$EC$11 + 1)) +MINUTE(INDEX('1.Locations'!$G$2:$G$32,$EC$11 + 1)))</xm:f>
            <x14:dxf>
              <fill>
                <patternFill>
                  <bgColor indexed="10"/>
                </patternFill>
              </fill>
            </x14:dxf>
          </x14:cfRule>
          <xm:sqref>EK11</xm:sqref>
        </x14:conditionalFormatting>
        <x14:conditionalFormatting xmlns:xm="http://schemas.microsoft.com/office/excel/2006/main">
          <x14:cfRule type="cellIs" priority="777" stopIfTrue="1" operator="lessThan" id="{00000000-0000-0000-0000-000000000000}">
            <xm:f>INDEX('1.Locations'!$F$2:$F$32,$EC$12 + 1)</xm:f>
            <x14:dxf>
              <fill>
                <patternFill>
                  <bgColor indexed="52"/>
                </patternFill>
              </fill>
            </x14:dxf>
          </x14:cfRule>
          <xm:sqref>EJ12</xm:sqref>
        </x14:conditionalFormatting>
        <x14:conditionalFormatting xmlns:xm="http://schemas.microsoft.com/office/excel/2006/main">
          <x14:cfRule type="expression" priority="778" stopIfTrue="1" id="{00000000-0000-0000-0000-000000000000}">
            <xm:f>(60 * HOUR($EK$12) + MINUTE($EK$12)) &gt;(60 * HOUR(INDEX('1.Locations'!$G$2:$G$32,$EC$12 + 1)) +MINUTE(INDEX('1.Locations'!$G$2:$G$32,$EC$12 + 1)))</xm:f>
            <x14:dxf>
              <fill>
                <patternFill>
                  <bgColor indexed="10"/>
                </patternFill>
              </fill>
            </x14:dxf>
          </x14:cfRule>
          <xm:sqref>EK12</xm:sqref>
        </x14:conditionalFormatting>
        <x14:conditionalFormatting xmlns:xm="http://schemas.microsoft.com/office/excel/2006/main">
          <x14:cfRule type="cellIs" priority="779" stopIfTrue="1" operator="lessThan" id="{00000000-0000-0000-0000-000000000000}">
            <xm:f>INDEX('1.Locations'!$F$2:$F$32,$EC$13 + 1)</xm:f>
            <x14:dxf>
              <fill>
                <patternFill>
                  <bgColor indexed="52"/>
                </patternFill>
              </fill>
            </x14:dxf>
          </x14:cfRule>
          <xm:sqref>EJ13</xm:sqref>
        </x14:conditionalFormatting>
        <x14:conditionalFormatting xmlns:xm="http://schemas.microsoft.com/office/excel/2006/main">
          <x14:cfRule type="expression" priority="780" stopIfTrue="1" id="{00000000-0000-0000-0000-000000000000}">
            <xm:f>(60 * HOUR($EK$13) + MINUTE($EK$13)) &gt;(60 * HOUR(INDEX('1.Locations'!$G$2:$G$32,$EC$13 + 1)) +MINUTE(INDEX('1.Locations'!$G$2:$G$32,$EC$13 + 1)))</xm:f>
            <x14:dxf>
              <fill>
                <patternFill>
                  <bgColor indexed="10"/>
                </patternFill>
              </fill>
            </x14:dxf>
          </x14:cfRule>
          <xm:sqref>EK13</xm:sqref>
        </x14:conditionalFormatting>
        <x14:conditionalFormatting xmlns:xm="http://schemas.microsoft.com/office/excel/2006/main">
          <x14:cfRule type="cellIs" priority="781" stopIfTrue="1" operator="lessThan" id="{00000000-0000-0000-0000-000000000000}">
            <xm:f>INDEX('1.Locations'!$F$2:$F$32,$EC$14 + 1)</xm:f>
            <x14:dxf>
              <fill>
                <patternFill>
                  <bgColor indexed="52"/>
                </patternFill>
              </fill>
            </x14:dxf>
          </x14:cfRule>
          <xm:sqref>EJ14</xm:sqref>
        </x14:conditionalFormatting>
        <x14:conditionalFormatting xmlns:xm="http://schemas.microsoft.com/office/excel/2006/main">
          <x14:cfRule type="expression" priority="782" stopIfTrue="1" id="{00000000-0000-0000-0000-000000000000}">
            <xm:f>(60 * HOUR($EK$14) + MINUTE($EK$14)) &gt;(60 * HOUR(INDEX('1.Locations'!$G$2:$G$32,$EC$14 + 1)) +MINUTE(INDEX('1.Locations'!$G$2:$G$32,$EC$14 + 1)))</xm:f>
            <x14:dxf>
              <fill>
                <patternFill>
                  <bgColor indexed="10"/>
                </patternFill>
              </fill>
            </x14:dxf>
          </x14:cfRule>
          <xm:sqref>EK14</xm:sqref>
        </x14:conditionalFormatting>
        <x14:conditionalFormatting xmlns:xm="http://schemas.microsoft.com/office/excel/2006/main">
          <x14:cfRule type="cellIs" priority="783" stopIfTrue="1" operator="lessThan" id="{00000000-0000-0000-0000-000000000000}">
            <xm:f>INDEX('1.Locations'!$F$2:$F$32,$EC$15 + 1)</xm:f>
            <x14:dxf>
              <fill>
                <patternFill>
                  <bgColor indexed="52"/>
                </patternFill>
              </fill>
            </x14:dxf>
          </x14:cfRule>
          <xm:sqref>EJ15</xm:sqref>
        </x14:conditionalFormatting>
        <x14:conditionalFormatting xmlns:xm="http://schemas.microsoft.com/office/excel/2006/main">
          <x14:cfRule type="expression" priority="784" stopIfTrue="1" id="{00000000-0000-0000-0000-000000000000}">
            <xm:f>(60 * HOUR($EK$15) + MINUTE($EK$15)) &gt;(60 * HOUR(INDEX('1.Locations'!$G$2:$G$32,$EC$15 + 1)) +MINUTE(INDEX('1.Locations'!$G$2:$G$32,$EC$15 + 1)))</xm:f>
            <x14:dxf>
              <fill>
                <patternFill>
                  <bgColor indexed="10"/>
                </patternFill>
              </fill>
            </x14:dxf>
          </x14:cfRule>
          <xm:sqref>EK15</xm:sqref>
        </x14:conditionalFormatting>
        <x14:conditionalFormatting xmlns:xm="http://schemas.microsoft.com/office/excel/2006/main">
          <x14:cfRule type="cellIs" priority="785" stopIfTrue="1" operator="lessThan" id="{00000000-0000-0000-0000-000000000000}">
            <xm:f>INDEX('1.Locations'!$F$2:$F$32,$EC$16 + 1)</xm:f>
            <x14:dxf>
              <fill>
                <patternFill>
                  <bgColor indexed="52"/>
                </patternFill>
              </fill>
            </x14:dxf>
          </x14:cfRule>
          <xm:sqref>EJ16</xm:sqref>
        </x14:conditionalFormatting>
        <x14:conditionalFormatting xmlns:xm="http://schemas.microsoft.com/office/excel/2006/main">
          <x14:cfRule type="expression" priority="786" stopIfTrue="1" id="{00000000-0000-0000-0000-000000000000}">
            <xm:f>(60 * HOUR($EK$16) + MINUTE($EK$16)) &gt;(60 * HOUR(INDEX('1.Locations'!$G$2:$G$32,$EC$16 + 1)) +MINUTE(INDEX('1.Locations'!$G$2:$G$32,$EC$16 + 1)))</xm:f>
            <x14:dxf>
              <fill>
                <patternFill>
                  <bgColor indexed="10"/>
                </patternFill>
              </fill>
            </x14:dxf>
          </x14:cfRule>
          <xm:sqref>EK16</xm:sqref>
        </x14:conditionalFormatting>
        <x14:conditionalFormatting xmlns:xm="http://schemas.microsoft.com/office/excel/2006/main">
          <x14:cfRule type="cellIs" priority="787" stopIfTrue="1" operator="lessThan" id="{00000000-0000-0000-0000-000000000000}">
            <xm:f>INDEX('1.Locations'!$F$2:$F$32,$EC$17 + 1)</xm:f>
            <x14:dxf>
              <fill>
                <patternFill>
                  <bgColor indexed="52"/>
                </patternFill>
              </fill>
            </x14:dxf>
          </x14:cfRule>
          <xm:sqref>EJ17</xm:sqref>
        </x14:conditionalFormatting>
        <x14:conditionalFormatting xmlns:xm="http://schemas.microsoft.com/office/excel/2006/main">
          <x14:cfRule type="expression" priority="788" stopIfTrue="1" id="{00000000-0000-0000-0000-000000000000}">
            <xm:f>(60 * HOUR($EK$17) + MINUTE($EK$17)) &gt;(60 * HOUR(INDEX('1.Locations'!$G$2:$G$32,$EC$17 + 1)) +MINUTE(INDEX('1.Locations'!$G$2:$G$32,$EC$17 + 1)))</xm:f>
            <x14:dxf>
              <fill>
                <patternFill>
                  <bgColor indexed="10"/>
                </patternFill>
              </fill>
            </x14:dxf>
          </x14:cfRule>
          <xm:sqref>EK17</xm:sqref>
        </x14:conditionalFormatting>
        <x14:conditionalFormatting xmlns:xm="http://schemas.microsoft.com/office/excel/2006/main">
          <x14:cfRule type="cellIs" priority="789" stopIfTrue="1" operator="lessThan" id="{00000000-0000-0000-0000-000000000000}">
            <xm:f>INDEX('1.Locations'!$F$2:$F$32,$EC$18 + 1)</xm:f>
            <x14:dxf>
              <fill>
                <patternFill>
                  <bgColor indexed="52"/>
                </patternFill>
              </fill>
            </x14:dxf>
          </x14:cfRule>
          <xm:sqref>EJ18</xm:sqref>
        </x14:conditionalFormatting>
        <x14:conditionalFormatting xmlns:xm="http://schemas.microsoft.com/office/excel/2006/main">
          <x14:cfRule type="expression" priority="790" stopIfTrue="1" id="{00000000-0000-0000-0000-000000000000}">
            <xm:f>(60 * HOUR($EK$18) + MINUTE($EK$18)) &gt;(60 * HOUR(INDEX('1.Locations'!$G$2:$G$32,$EC$18 + 1)) +MINUTE(INDEX('1.Locations'!$G$2:$G$32,$EC$18 + 1)))</xm:f>
            <x14:dxf>
              <fill>
                <patternFill>
                  <bgColor indexed="10"/>
                </patternFill>
              </fill>
            </x14:dxf>
          </x14:cfRule>
          <xm:sqref>EK18</xm:sqref>
        </x14:conditionalFormatting>
        <x14:conditionalFormatting xmlns:xm="http://schemas.microsoft.com/office/excel/2006/main">
          <x14:cfRule type="cellIs" priority="791" stopIfTrue="1" operator="lessThan" id="{00000000-0000-0000-0000-000000000000}">
            <xm:f>INDEX('1.Locations'!$F$2:$F$32,$EC$19 + 1)</xm:f>
            <x14:dxf>
              <fill>
                <patternFill>
                  <bgColor indexed="52"/>
                </patternFill>
              </fill>
            </x14:dxf>
          </x14:cfRule>
          <xm:sqref>EJ19</xm:sqref>
        </x14:conditionalFormatting>
        <x14:conditionalFormatting xmlns:xm="http://schemas.microsoft.com/office/excel/2006/main">
          <x14:cfRule type="expression" priority="792" stopIfTrue="1" id="{00000000-0000-0000-0000-000000000000}">
            <xm:f>(60 * HOUR($EK$19) + MINUTE($EK$19)) &gt;(60 * HOUR(INDEX('1.Locations'!$G$2:$G$32,$EC$19 + 1)) +MINUTE(INDEX('1.Locations'!$G$2:$G$32,$EC$19 + 1)))</xm:f>
            <x14:dxf>
              <fill>
                <patternFill>
                  <bgColor indexed="10"/>
                </patternFill>
              </fill>
            </x14:dxf>
          </x14:cfRule>
          <xm:sqref>EK19</xm:sqref>
        </x14:conditionalFormatting>
        <x14:conditionalFormatting xmlns:xm="http://schemas.microsoft.com/office/excel/2006/main">
          <x14:cfRule type="cellIs" priority="793" stopIfTrue="1" operator="lessThan" id="{00000000-0000-0000-0000-000000000000}">
            <xm:f>INDEX('1.Locations'!$F$2:$F$32,$EC$20 + 1)</xm:f>
            <x14:dxf>
              <fill>
                <patternFill>
                  <bgColor indexed="52"/>
                </patternFill>
              </fill>
            </x14:dxf>
          </x14:cfRule>
          <xm:sqref>EJ20</xm:sqref>
        </x14:conditionalFormatting>
        <x14:conditionalFormatting xmlns:xm="http://schemas.microsoft.com/office/excel/2006/main">
          <x14:cfRule type="expression" priority="794" stopIfTrue="1" id="{00000000-0000-0000-0000-000000000000}">
            <xm:f>(60 * HOUR($EK$20) + MINUTE($EK$20)) &gt;(60 * HOUR(INDEX('1.Locations'!$G$2:$G$32,$EC$20 + 1)) +MINUTE(INDEX('1.Locations'!$G$2:$G$32,$EC$20 + 1)))</xm:f>
            <x14:dxf>
              <fill>
                <patternFill>
                  <bgColor indexed="10"/>
                </patternFill>
              </fill>
            </x14:dxf>
          </x14:cfRule>
          <xm:sqref>EK20</xm:sqref>
        </x14:conditionalFormatting>
        <x14:conditionalFormatting xmlns:xm="http://schemas.microsoft.com/office/excel/2006/main">
          <x14:cfRule type="cellIs" priority="795" stopIfTrue="1" operator="lessThan" id="{00000000-0000-0000-0000-000000000000}">
            <xm:f>INDEX('1.Locations'!$F$2:$F$32,$EC$21 + 1)</xm:f>
            <x14:dxf>
              <fill>
                <patternFill>
                  <bgColor indexed="52"/>
                </patternFill>
              </fill>
            </x14:dxf>
          </x14:cfRule>
          <xm:sqref>EJ21</xm:sqref>
        </x14:conditionalFormatting>
        <x14:conditionalFormatting xmlns:xm="http://schemas.microsoft.com/office/excel/2006/main">
          <x14:cfRule type="expression" priority="796" stopIfTrue="1" id="{00000000-0000-0000-0000-000000000000}">
            <xm:f>(60 * HOUR($EK$21) + MINUTE($EK$21)) &gt;(60 * HOUR(INDEX('1.Locations'!$G$2:$G$32,$EC$21 + 1)) +MINUTE(INDEX('1.Locations'!$G$2:$G$32,$EC$21 + 1)))</xm:f>
            <x14:dxf>
              <fill>
                <patternFill>
                  <bgColor indexed="10"/>
                </patternFill>
              </fill>
            </x14:dxf>
          </x14:cfRule>
          <xm:sqref>EK21</xm:sqref>
        </x14:conditionalFormatting>
        <x14:conditionalFormatting xmlns:xm="http://schemas.microsoft.com/office/excel/2006/main">
          <x14:cfRule type="cellIs" priority="797" stopIfTrue="1" operator="lessThan" id="{00000000-0000-0000-0000-000000000000}">
            <xm:f>INDEX('1.Locations'!$F$2:$F$32,$EC$22 + 1)</xm:f>
            <x14:dxf>
              <fill>
                <patternFill>
                  <bgColor indexed="52"/>
                </patternFill>
              </fill>
            </x14:dxf>
          </x14:cfRule>
          <xm:sqref>EJ22</xm:sqref>
        </x14:conditionalFormatting>
        <x14:conditionalFormatting xmlns:xm="http://schemas.microsoft.com/office/excel/2006/main">
          <x14:cfRule type="expression" priority="798" stopIfTrue="1" id="{00000000-0000-0000-0000-000000000000}">
            <xm:f>(60 * HOUR($EK$22) + MINUTE($EK$22)) &gt;(60 * HOUR(INDEX('1.Locations'!$G$2:$G$32,$EC$22 + 1)) +MINUTE(INDEX('1.Locations'!$G$2:$G$32,$EC$22 + 1)))</xm:f>
            <x14:dxf>
              <fill>
                <patternFill>
                  <bgColor indexed="10"/>
                </patternFill>
              </fill>
            </x14:dxf>
          </x14:cfRule>
          <xm:sqref>EK22</xm:sqref>
        </x14:conditionalFormatting>
        <x14:conditionalFormatting xmlns:xm="http://schemas.microsoft.com/office/excel/2006/main">
          <x14:cfRule type="cellIs" priority="799" stopIfTrue="1" operator="lessThan" id="{00000000-0000-0000-0000-000000000000}">
            <xm:f>INDEX('1.Locations'!$F$2:$F$32,$EC$23 + 1)</xm:f>
            <x14:dxf>
              <fill>
                <patternFill>
                  <bgColor indexed="52"/>
                </patternFill>
              </fill>
            </x14:dxf>
          </x14:cfRule>
          <xm:sqref>EJ23</xm:sqref>
        </x14:conditionalFormatting>
        <x14:conditionalFormatting xmlns:xm="http://schemas.microsoft.com/office/excel/2006/main">
          <x14:cfRule type="expression" priority="800" stopIfTrue="1" id="{00000000-0000-0000-0000-000000000000}">
            <xm:f>(60 * HOUR($EK$23) + MINUTE($EK$23)) &gt;(60 * HOUR(INDEX('1.Locations'!$G$2:$G$32,$EC$23 + 1)) +MINUTE(INDEX('1.Locations'!$G$2:$G$32,$EC$23 + 1)))</xm:f>
            <x14:dxf>
              <fill>
                <patternFill>
                  <bgColor indexed="10"/>
                </patternFill>
              </fill>
            </x14:dxf>
          </x14:cfRule>
          <xm:sqref>EK23</xm:sqref>
        </x14:conditionalFormatting>
        <x14:conditionalFormatting xmlns:xm="http://schemas.microsoft.com/office/excel/2006/main">
          <x14:cfRule type="cellIs" priority="801" stopIfTrue="1" operator="lessThan" id="{00000000-0000-0000-0000-000000000000}">
            <xm:f>INDEX('1.Locations'!$F$2:$F$32,$EC$24 + 1)</xm:f>
            <x14:dxf>
              <fill>
                <patternFill>
                  <bgColor indexed="52"/>
                </patternFill>
              </fill>
            </x14:dxf>
          </x14:cfRule>
          <xm:sqref>EJ24</xm:sqref>
        </x14:conditionalFormatting>
        <x14:conditionalFormatting xmlns:xm="http://schemas.microsoft.com/office/excel/2006/main">
          <x14:cfRule type="expression" priority="802" stopIfTrue="1" id="{00000000-0000-0000-0000-000000000000}">
            <xm:f>(60 * HOUR($EK$24) + MINUTE($EK$24)) &gt;(60 * HOUR(INDEX('1.Locations'!$G$2:$G$32,$EC$24 + 1)) +MINUTE(INDEX('1.Locations'!$G$2:$G$32,$EC$24 + 1)))</xm:f>
            <x14:dxf>
              <fill>
                <patternFill>
                  <bgColor indexed="10"/>
                </patternFill>
              </fill>
            </x14:dxf>
          </x14:cfRule>
          <xm:sqref>EK24</xm:sqref>
        </x14:conditionalFormatting>
        <x14:conditionalFormatting xmlns:xm="http://schemas.microsoft.com/office/excel/2006/main">
          <x14:cfRule type="cellIs" priority="803" stopIfTrue="1" operator="lessThan" id="{00000000-0000-0000-0000-000000000000}">
            <xm:f>INDEX('1.Locations'!$F$2:$F$32,$EC$25 + 1)</xm:f>
            <x14:dxf>
              <fill>
                <patternFill>
                  <bgColor indexed="52"/>
                </patternFill>
              </fill>
            </x14:dxf>
          </x14:cfRule>
          <xm:sqref>EJ25</xm:sqref>
        </x14:conditionalFormatting>
        <x14:conditionalFormatting xmlns:xm="http://schemas.microsoft.com/office/excel/2006/main">
          <x14:cfRule type="expression" priority="804" stopIfTrue="1" id="{00000000-0000-0000-0000-000000000000}">
            <xm:f>(60 * HOUR($EK$25) + MINUTE($EK$25)) &gt;(60 * HOUR(INDEX('1.Locations'!$G$2:$G$32,$EC$25 + 1)) +MINUTE(INDEX('1.Locations'!$G$2:$G$32,$EC$25 + 1)))</xm:f>
            <x14:dxf>
              <fill>
                <patternFill>
                  <bgColor indexed="10"/>
                </patternFill>
              </fill>
            </x14:dxf>
          </x14:cfRule>
          <xm:sqref>EK25</xm:sqref>
        </x14:conditionalFormatting>
        <x14:conditionalFormatting xmlns:xm="http://schemas.microsoft.com/office/excel/2006/main">
          <x14:cfRule type="cellIs" priority="805" stopIfTrue="1" operator="lessThan" id="{00000000-0000-0000-0000-000000000000}">
            <xm:f>INDEX('1.Locations'!$F$2:$F$32,$EC$26 + 1)</xm:f>
            <x14:dxf>
              <fill>
                <patternFill>
                  <bgColor indexed="52"/>
                </patternFill>
              </fill>
            </x14:dxf>
          </x14:cfRule>
          <xm:sqref>EJ26</xm:sqref>
        </x14:conditionalFormatting>
        <x14:conditionalFormatting xmlns:xm="http://schemas.microsoft.com/office/excel/2006/main">
          <x14:cfRule type="expression" priority="806" stopIfTrue="1" id="{00000000-0000-0000-0000-000000000000}">
            <xm:f>(60 * HOUR($EK$26) + MINUTE($EK$26)) &gt;(60 * HOUR(INDEX('1.Locations'!$G$2:$G$32,$EC$26 + 1)) +MINUTE(INDEX('1.Locations'!$G$2:$G$32,$EC$26 + 1)))</xm:f>
            <x14:dxf>
              <fill>
                <patternFill>
                  <bgColor indexed="10"/>
                </patternFill>
              </fill>
            </x14:dxf>
          </x14:cfRule>
          <xm:sqref>EK26</xm:sqref>
        </x14:conditionalFormatting>
        <x14:conditionalFormatting xmlns:xm="http://schemas.microsoft.com/office/excel/2006/main">
          <x14:cfRule type="cellIs" priority="807" stopIfTrue="1" operator="lessThan" id="{00000000-0000-0000-0000-000000000000}">
            <xm:f>INDEX('1.Locations'!$F$2:$F$32,$EC$27 + 1)</xm:f>
            <x14:dxf>
              <fill>
                <patternFill>
                  <bgColor indexed="52"/>
                </patternFill>
              </fill>
            </x14:dxf>
          </x14:cfRule>
          <xm:sqref>EJ27</xm:sqref>
        </x14:conditionalFormatting>
        <x14:conditionalFormatting xmlns:xm="http://schemas.microsoft.com/office/excel/2006/main">
          <x14:cfRule type="expression" priority="808" stopIfTrue="1" id="{00000000-0000-0000-0000-000000000000}">
            <xm:f>(60 * HOUR($EK$27) + MINUTE($EK$27)) &gt;(60 * HOUR(INDEX('1.Locations'!$G$2:$G$32,$EC$27 + 1)) +MINUTE(INDEX('1.Locations'!$G$2:$G$32,$EC$27 + 1)))</xm:f>
            <x14:dxf>
              <fill>
                <patternFill>
                  <bgColor indexed="10"/>
                </patternFill>
              </fill>
            </x14:dxf>
          </x14:cfRule>
          <xm:sqref>EK27</xm:sqref>
        </x14:conditionalFormatting>
        <x14:conditionalFormatting xmlns:xm="http://schemas.microsoft.com/office/excel/2006/main">
          <x14:cfRule type="cellIs" priority="809" stopIfTrue="1" operator="lessThan" id="{00000000-0000-0000-0000-000000000000}">
            <xm:f>INDEX('1.Locations'!$F$2:$F$32,$EC$28 + 1)</xm:f>
            <x14:dxf>
              <fill>
                <patternFill>
                  <bgColor indexed="52"/>
                </patternFill>
              </fill>
            </x14:dxf>
          </x14:cfRule>
          <xm:sqref>EJ28</xm:sqref>
        </x14:conditionalFormatting>
        <x14:conditionalFormatting xmlns:xm="http://schemas.microsoft.com/office/excel/2006/main">
          <x14:cfRule type="expression" priority="810" stopIfTrue="1" id="{00000000-0000-0000-0000-000000000000}">
            <xm:f>(60 * HOUR($EK$28) + MINUTE($EK$28)) &gt;(60 * HOUR(INDEX('1.Locations'!$G$2:$G$32,$EC$28 + 1)) +MINUTE(INDEX('1.Locations'!$G$2:$G$32,$EC$28 + 1)))</xm:f>
            <x14:dxf>
              <fill>
                <patternFill>
                  <bgColor indexed="10"/>
                </patternFill>
              </fill>
            </x14:dxf>
          </x14:cfRule>
          <xm:sqref>EK28</xm:sqref>
        </x14:conditionalFormatting>
        <x14:conditionalFormatting xmlns:xm="http://schemas.microsoft.com/office/excel/2006/main">
          <x14:cfRule type="cellIs" priority="811" stopIfTrue="1" operator="lessThan" id="{00000000-0000-0000-0000-000000000000}">
            <xm:f>INDEX('1.Locations'!$F$2:$F$32,$EC$29 + 1)</xm:f>
            <x14:dxf>
              <fill>
                <patternFill>
                  <bgColor indexed="52"/>
                </patternFill>
              </fill>
            </x14:dxf>
          </x14:cfRule>
          <xm:sqref>EJ29</xm:sqref>
        </x14:conditionalFormatting>
        <x14:conditionalFormatting xmlns:xm="http://schemas.microsoft.com/office/excel/2006/main">
          <x14:cfRule type="expression" priority="812" stopIfTrue="1" id="{00000000-0000-0000-0000-000000000000}">
            <xm:f>(60 * HOUR($EK$29) + MINUTE($EK$29)) &gt;(60 * HOUR(INDEX('1.Locations'!$G$2:$G$32,$EC$29 + 1)) +MINUTE(INDEX('1.Locations'!$G$2:$G$32,$EC$29 + 1)))</xm:f>
            <x14:dxf>
              <fill>
                <patternFill>
                  <bgColor indexed="10"/>
                </patternFill>
              </fill>
            </x14:dxf>
          </x14:cfRule>
          <xm:sqref>EK29</xm:sqref>
        </x14:conditionalFormatting>
        <x14:conditionalFormatting xmlns:xm="http://schemas.microsoft.com/office/excel/2006/main">
          <x14:cfRule type="cellIs" priority="813" stopIfTrue="1" operator="lessThan" id="{00000000-0000-0000-0000-000000000000}">
            <xm:f>INDEX('1.Locations'!$F$2:$F$32,$EC$30 + 1)</xm:f>
            <x14:dxf>
              <fill>
                <patternFill>
                  <bgColor indexed="52"/>
                </patternFill>
              </fill>
            </x14:dxf>
          </x14:cfRule>
          <xm:sqref>EJ30</xm:sqref>
        </x14:conditionalFormatting>
        <x14:conditionalFormatting xmlns:xm="http://schemas.microsoft.com/office/excel/2006/main">
          <x14:cfRule type="expression" priority="814" stopIfTrue="1" id="{00000000-0000-0000-0000-000000000000}">
            <xm:f>(60 * HOUR($EK$30) + MINUTE($EK$30)) &gt;(60 * HOUR(INDEX('1.Locations'!$G$2:$G$32,$EC$30 + 1)) +MINUTE(INDEX('1.Locations'!$G$2:$G$32,$EC$30 + 1)))</xm:f>
            <x14:dxf>
              <fill>
                <patternFill>
                  <bgColor indexed="10"/>
                </patternFill>
              </fill>
            </x14:dxf>
          </x14:cfRule>
          <xm:sqref>EK30</xm:sqref>
        </x14:conditionalFormatting>
        <x14:conditionalFormatting xmlns:xm="http://schemas.microsoft.com/office/excel/2006/main">
          <x14:cfRule type="cellIs" priority="815" stopIfTrue="1" operator="lessThan" id="{00000000-0000-0000-0000-000000000000}">
            <xm:f>INDEX('1.Locations'!$F$2:$F$32,$EC$31 + 1)</xm:f>
            <x14:dxf>
              <fill>
                <patternFill>
                  <bgColor indexed="52"/>
                </patternFill>
              </fill>
            </x14:dxf>
          </x14:cfRule>
          <xm:sqref>EJ31</xm:sqref>
        </x14:conditionalFormatting>
        <x14:conditionalFormatting xmlns:xm="http://schemas.microsoft.com/office/excel/2006/main">
          <x14:cfRule type="expression" priority="816" stopIfTrue="1" id="{00000000-0000-0000-0000-000000000000}">
            <xm:f>(60 * HOUR($EK$31) + MINUTE($EK$31)) &gt;(60 * HOUR(INDEX('1.Locations'!$G$2:$G$32,$EC$31 + 1)) +MINUTE(INDEX('1.Locations'!$G$2:$G$32,$EC$31 + 1)))</xm:f>
            <x14:dxf>
              <fill>
                <patternFill>
                  <bgColor indexed="10"/>
                </patternFill>
              </fill>
            </x14:dxf>
          </x14:cfRule>
          <xm:sqref>EK31</xm:sqref>
        </x14:conditionalFormatting>
        <x14:conditionalFormatting xmlns:xm="http://schemas.microsoft.com/office/excel/2006/main">
          <x14:cfRule type="cellIs" priority="817" stopIfTrue="1" operator="lessThan" id="{00000000-0000-0000-0000-000000000000}">
            <xm:f>INDEX('1.Locations'!$F$2:$F$32,$EC$32 + 1)</xm:f>
            <x14:dxf>
              <fill>
                <patternFill>
                  <bgColor indexed="52"/>
                </patternFill>
              </fill>
            </x14:dxf>
          </x14:cfRule>
          <xm:sqref>EJ32</xm:sqref>
        </x14:conditionalFormatting>
        <x14:conditionalFormatting xmlns:xm="http://schemas.microsoft.com/office/excel/2006/main">
          <x14:cfRule type="expression" priority="818" stopIfTrue="1" id="{00000000-0000-0000-0000-000000000000}">
            <xm:f>(60 * HOUR($EK$32) + MINUTE($EK$32)) &gt;(60 * HOUR(INDEX('1.Locations'!$G$2:$G$32,$EC$32 + 1)) +MINUTE(INDEX('1.Locations'!$G$2:$G$32,$EC$32 + 1)))</xm:f>
            <x14:dxf>
              <fill>
                <patternFill>
                  <bgColor indexed="10"/>
                </patternFill>
              </fill>
            </x14:dxf>
          </x14:cfRule>
          <xm:sqref>EK32</xm:sqref>
        </x14:conditionalFormatting>
        <x14:conditionalFormatting xmlns:xm="http://schemas.microsoft.com/office/excel/2006/main">
          <x14:cfRule type="cellIs" priority="819" stopIfTrue="1" operator="lessThan" id="{00000000-0000-0000-0000-000000000000}">
            <xm:f>INDEX('1.Locations'!$F$2:$F$32,$EC$33 + 1)</xm:f>
            <x14:dxf>
              <fill>
                <patternFill>
                  <bgColor indexed="52"/>
                </patternFill>
              </fill>
            </x14:dxf>
          </x14:cfRule>
          <xm:sqref>EJ33</xm:sqref>
        </x14:conditionalFormatting>
        <x14:conditionalFormatting xmlns:xm="http://schemas.microsoft.com/office/excel/2006/main">
          <x14:cfRule type="expression" priority="820" stopIfTrue="1" id="{00000000-0000-0000-0000-000000000000}">
            <xm:f>(60 * HOUR($EK$33) + MINUTE($EK$33)) &gt;(60 * HOUR(INDEX('1.Locations'!$G$2:$G$32,$EC$33 + 1)) +MINUTE(INDEX('1.Locations'!$G$2:$G$32,$EC$33 + 1)))</xm:f>
            <x14:dxf>
              <fill>
                <patternFill>
                  <bgColor indexed="10"/>
                </patternFill>
              </fill>
            </x14:dxf>
          </x14:cfRule>
          <xm:sqref>EK33</xm:sqref>
        </x14:conditionalFormatting>
        <x14:conditionalFormatting xmlns:xm="http://schemas.microsoft.com/office/excel/2006/main">
          <x14:cfRule type="cellIs" priority="821" stopIfTrue="1" operator="lessThan" id="{00000000-0000-0000-0000-000000000000}">
            <xm:f>INDEX('1.Locations'!$F$2:$F$32,$EC$34 + 1)</xm:f>
            <x14:dxf>
              <fill>
                <patternFill>
                  <bgColor indexed="52"/>
                </patternFill>
              </fill>
            </x14:dxf>
          </x14:cfRule>
          <xm:sqref>EJ34</xm:sqref>
        </x14:conditionalFormatting>
        <x14:conditionalFormatting xmlns:xm="http://schemas.microsoft.com/office/excel/2006/main">
          <x14:cfRule type="expression" priority="822" stopIfTrue="1" id="{00000000-0000-0000-0000-000000000000}">
            <xm:f>(60 * HOUR($EK$34) + MINUTE($EK$34)) &gt;(60 * HOUR(INDEX('1.Locations'!$G$2:$G$32,$EC$34 + 1)) +MINUTE(INDEX('1.Locations'!$G$2:$G$32,$EC$34 + 1)))</xm:f>
            <x14:dxf>
              <fill>
                <patternFill>
                  <bgColor indexed="10"/>
                </patternFill>
              </fill>
            </x14:dxf>
          </x14:cfRule>
          <xm:sqref>EK34</xm:sqref>
        </x14:conditionalFormatting>
        <x14:conditionalFormatting xmlns:xm="http://schemas.microsoft.com/office/excel/2006/main">
          <x14:cfRule type="cellIs" priority="823" stopIfTrue="1" operator="lessThan" id="{00000000-0000-0000-0000-000000000000}">
            <xm:f>INDEX('1.Locations'!$F$2:$F$32,$EC$35 + 1)</xm:f>
            <x14:dxf>
              <fill>
                <patternFill>
                  <bgColor indexed="52"/>
                </patternFill>
              </fill>
            </x14:dxf>
          </x14:cfRule>
          <xm:sqref>EJ35</xm:sqref>
        </x14:conditionalFormatting>
        <x14:conditionalFormatting xmlns:xm="http://schemas.microsoft.com/office/excel/2006/main">
          <x14:cfRule type="expression" priority="824" stopIfTrue="1" id="{00000000-0000-0000-0000-000000000000}">
            <xm:f>(60 * HOUR($EK$35) + MINUTE($EK$35)) &gt;(60 * HOUR(INDEX('1.Locations'!$G$2:$G$32,$EC$35 + 1)) +MINUTE(INDEX('1.Locations'!$G$2:$G$32,$EC$35 + 1)))</xm:f>
            <x14:dxf>
              <fill>
                <patternFill>
                  <bgColor indexed="10"/>
                </patternFill>
              </fill>
            </x14:dxf>
          </x14:cfRule>
          <xm:sqref>EK35</xm:sqref>
        </x14:conditionalFormatting>
        <x14:conditionalFormatting xmlns:xm="http://schemas.microsoft.com/office/excel/2006/main">
          <x14:cfRule type="cellIs" priority="825" stopIfTrue="1" operator="lessThan" id="{00000000-0000-0000-0000-000000000000}">
            <xm:f>INDEX('1.Locations'!$F$2:$F$32,$EC$36 + 1)</xm:f>
            <x14:dxf>
              <fill>
                <patternFill>
                  <bgColor indexed="52"/>
                </patternFill>
              </fill>
            </x14:dxf>
          </x14:cfRule>
          <xm:sqref>EJ36</xm:sqref>
        </x14:conditionalFormatting>
        <x14:conditionalFormatting xmlns:xm="http://schemas.microsoft.com/office/excel/2006/main">
          <x14:cfRule type="expression" priority="826" stopIfTrue="1" id="{00000000-0000-0000-0000-000000000000}">
            <xm:f>(60 * HOUR($EK$36) + MINUTE($EK$36)) &gt;(60 * HOUR(INDEX('1.Locations'!$G$2:$G$32,$EC$36 + 1)) +MINUTE(INDEX('1.Locations'!$G$2:$G$32,$EC$36 + 1)))</xm:f>
            <x14:dxf>
              <fill>
                <patternFill>
                  <bgColor indexed="10"/>
                </patternFill>
              </fill>
            </x14:dxf>
          </x14:cfRule>
          <xm:sqref>EK36</xm:sqref>
        </x14:conditionalFormatting>
        <x14:conditionalFormatting xmlns:xm="http://schemas.microsoft.com/office/excel/2006/main">
          <x14:cfRule type="cellIs" priority="827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EF6:EF36</xm:sqref>
        </x14:conditionalFormatting>
        <x14:conditionalFormatting xmlns:xm="http://schemas.microsoft.com/office/excel/2006/main">
          <x14:cfRule type="cellIs" priority="828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EG6:EG36</xm:sqref>
        </x14:conditionalFormatting>
        <x14:conditionalFormatting xmlns:xm="http://schemas.microsoft.com/office/excel/2006/main">
          <x14:cfRule type="cellIs" priority="829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EI6:EI36</xm:sqref>
        </x14:conditionalFormatting>
        <x14:conditionalFormatting xmlns:xm="http://schemas.microsoft.com/office/excel/2006/main">
          <x14:cfRule type="cellIs" priority="830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EL6:EL36</xm:sqref>
        </x14:conditionalFormatting>
        <x14:conditionalFormatting xmlns:xm="http://schemas.microsoft.com/office/excel/2006/main">
          <x14:cfRule type="cellIs" priority="832" stopIfTrue="1" operator="lessThan" id="{00000000-0000-0000-0000-000000000000}">
            <xm:f>INDEX('1.Locations'!$F$2:$F$32,$EP$5 + 1)</xm:f>
            <x14:dxf>
              <fill>
                <patternFill>
                  <bgColor indexed="52"/>
                </patternFill>
              </fill>
            </x14:dxf>
          </x14:cfRule>
          <xm:sqref>EW5</xm:sqref>
        </x14:conditionalFormatting>
        <x14:conditionalFormatting xmlns:xm="http://schemas.microsoft.com/office/excel/2006/main">
          <x14:cfRule type="expression" priority="833" stopIfTrue="1" id="{00000000-0000-0000-0000-000000000000}">
            <xm:f>(60 * HOUR($EX$5) + MINUTE($EX$5)) &gt;(60 * HOUR(INDEX('1.Locations'!$G$2:$G$32,$EP$5 + 1)) +MINUTE(INDEX('1.Locations'!$G$2:$G$32,$EP$5 + 1)))</xm:f>
            <x14:dxf>
              <fill>
                <patternFill>
                  <bgColor indexed="10"/>
                </patternFill>
              </fill>
            </x14:dxf>
          </x14:cfRule>
          <xm:sqref>EX5</xm:sqref>
        </x14:conditionalFormatting>
        <x14:conditionalFormatting xmlns:xm="http://schemas.microsoft.com/office/excel/2006/main">
          <x14:cfRule type="cellIs" priority="834" stopIfTrue="1" operator="lessThan" id="{00000000-0000-0000-0000-000000000000}">
            <xm:f>INDEX('1.Locations'!$F$2:$F$32,$EP$6 + 1)</xm:f>
            <x14:dxf>
              <fill>
                <patternFill>
                  <bgColor indexed="52"/>
                </patternFill>
              </fill>
            </x14:dxf>
          </x14:cfRule>
          <xm:sqref>EW6</xm:sqref>
        </x14:conditionalFormatting>
        <x14:conditionalFormatting xmlns:xm="http://schemas.microsoft.com/office/excel/2006/main">
          <x14:cfRule type="expression" priority="835" stopIfTrue="1" id="{00000000-0000-0000-0000-000000000000}">
            <xm:f>(60 * HOUR($EX$6) + MINUTE($EX$6)) &gt;(60 * HOUR(INDEX('1.Locations'!$G$2:$G$32,$EP$6 + 1)) +MINUTE(INDEX('1.Locations'!$G$2:$G$32,$EP$6 + 1)))</xm:f>
            <x14:dxf>
              <fill>
                <patternFill>
                  <bgColor indexed="10"/>
                </patternFill>
              </fill>
            </x14:dxf>
          </x14:cfRule>
          <xm:sqref>EX6</xm:sqref>
        </x14:conditionalFormatting>
        <x14:conditionalFormatting xmlns:xm="http://schemas.microsoft.com/office/excel/2006/main">
          <x14:cfRule type="cellIs" priority="836" stopIfTrue="1" operator="lessThan" id="{00000000-0000-0000-0000-000000000000}">
            <xm:f>INDEX('1.Locations'!$F$2:$F$32,$EP$7 + 1)</xm:f>
            <x14:dxf>
              <fill>
                <patternFill>
                  <bgColor indexed="52"/>
                </patternFill>
              </fill>
            </x14:dxf>
          </x14:cfRule>
          <xm:sqref>EW7</xm:sqref>
        </x14:conditionalFormatting>
        <x14:conditionalFormatting xmlns:xm="http://schemas.microsoft.com/office/excel/2006/main">
          <x14:cfRule type="expression" priority="837" stopIfTrue="1" id="{00000000-0000-0000-0000-000000000000}">
            <xm:f>(60 * HOUR($EX$7) + MINUTE($EX$7)) &gt;(60 * HOUR(INDEX('1.Locations'!$G$2:$G$32,$EP$7 + 1)) +MINUTE(INDEX('1.Locations'!$G$2:$G$32,$EP$7 + 1)))</xm:f>
            <x14:dxf>
              <fill>
                <patternFill>
                  <bgColor indexed="10"/>
                </patternFill>
              </fill>
            </x14:dxf>
          </x14:cfRule>
          <xm:sqref>EX7</xm:sqref>
        </x14:conditionalFormatting>
        <x14:conditionalFormatting xmlns:xm="http://schemas.microsoft.com/office/excel/2006/main">
          <x14:cfRule type="cellIs" priority="838" stopIfTrue="1" operator="lessThan" id="{00000000-0000-0000-0000-000000000000}">
            <xm:f>INDEX('1.Locations'!$F$2:$F$32,$EP$8 + 1)</xm:f>
            <x14:dxf>
              <fill>
                <patternFill>
                  <bgColor indexed="52"/>
                </patternFill>
              </fill>
            </x14:dxf>
          </x14:cfRule>
          <xm:sqref>EW8</xm:sqref>
        </x14:conditionalFormatting>
        <x14:conditionalFormatting xmlns:xm="http://schemas.microsoft.com/office/excel/2006/main">
          <x14:cfRule type="expression" priority="839" stopIfTrue="1" id="{00000000-0000-0000-0000-000000000000}">
            <xm:f>(60 * HOUR($EX$8) + MINUTE($EX$8)) &gt;(60 * HOUR(INDEX('1.Locations'!$G$2:$G$32,$EP$8 + 1)) +MINUTE(INDEX('1.Locations'!$G$2:$G$32,$EP$8 + 1)))</xm:f>
            <x14:dxf>
              <fill>
                <patternFill>
                  <bgColor indexed="10"/>
                </patternFill>
              </fill>
            </x14:dxf>
          </x14:cfRule>
          <xm:sqref>EX8</xm:sqref>
        </x14:conditionalFormatting>
        <x14:conditionalFormatting xmlns:xm="http://schemas.microsoft.com/office/excel/2006/main">
          <x14:cfRule type="cellIs" priority="840" stopIfTrue="1" operator="lessThan" id="{00000000-0000-0000-0000-000000000000}">
            <xm:f>INDEX('1.Locations'!$F$2:$F$32,$EP$9 + 1)</xm:f>
            <x14:dxf>
              <fill>
                <patternFill>
                  <bgColor indexed="52"/>
                </patternFill>
              </fill>
            </x14:dxf>
          </x14:cfRule>
          <xm:sqref>EW9</xm:sqref>
        </x14:conditionalFormatting>
        <x14:conditionalFormatting xmlns:xm="http://schemas.microsoft.com/office/excel/2006/main">
          <x14:cfRule type="expression" priority="841" stopIfTrue="1" id="{00000000-0000-0000-0000-000000000000}">
            <xm:f>(60 * HOUR($EX$9) + MINUTE($EX$9)) &gt;(60 * HOUR(INDEX('1.Locations'!$G$2:$G$32,$EP$9 + 1)) +MINUTE(INDEX('1.Locations'!$G$2:$G$32,$EP$9 + 1)))</xm:f>
            <x14:dxf>
              <fill>
                <patternFill>
                  <bgColor indexed="10"/>
                </patternFill>
              </fill>
            </x14:dxf>
          </x14:cfRule>
          <xm:sqref>EX9</xm:sqref>
        </x14:conditionalFormatting>
        <x14:conditionalFormatting xmlns:xm="http://schemas.microsoft.com/office/excel/2006/main">
          <x14:cfRule type="cellIs" priority="842" stopIfTrue="1" operator="lessThan" id="{00000000-0000-0000-0000-000000000000}">
            <xm:f>INDEX('1.Locations'!$F$2:$F$32,$EP$10 + 1)</xm:f>
            <x14:dxf>
              <fill>
                <patternFill>
                  <bgColor indexed="52"/>
                </patternFill>
              </fill>
            </x14:dxf>
          </x14:cfRule>
          <xm:sqref>EW10</xm:sqref>
        </x14:conditionalFormatting>
        <x14:conditionalFormatting xmlns:xm="http://schemas.microsoft.com/office/excel/2006/main">
          <x14:cfRule type="expression" priority="843" stopIfTrue="1" id="{00000000-0000-0000-0000-000000000000}">
            <xm:f>(60 * HOUR($EX$10) + MINUTE($EX$10)) &gt;(60 * HOUR(INDEX('1.Locations'!$G$2:$G$32,$EP$10 + 1)) +MINUTE(INDEX('1.Locations'!$G$2:$G$32,$EP$10 + 1)))</xm:f>
            <x14:dxf>
              <fill>
                <patternFill>
                  <bgColor indexed="10"/>
                </patternFill>
              </fill>
            </x14:dxf>
          </x14:cfRule>
          <xm:sqref>EX10</xm:sqref>
        </x14:conditionalFormatting>
        <x14:conditionalFormatting xmlns:xm="http://schemas.microsoft.com/office/excel/2006/main">
          <x14:cfRule type="cellIs" priority="844" stopIfTrue="1" operator="lessThan" id="{00000000-0000-0000-0000-000000000000}">
            <xm:f>INDEX('1.Locations'!$F$2:$F$32,$EP$11 + 1)</xm:f>
            <x14:dxf>
              <fill>
                <patternFill>
                  <bgColor indexed="52"/>
                </patternFill>
              </fill>
            </x14:dxf>
          </x14:cfRule>
          <xm:sqref>EW11</xm:sqref>
        </x14:conditionalFormatting>
        <x14:conditionalFormatting xmlns:xm="http://schemas.microsoft.com/office/excel/2006/main">
          <x14:cfRule type="expression" priority="845" stopIfTrue="1" id="{00000000-0000-0000-0000-000000000000}">
            <xm:f>(60 * HOUR($EX$11) + MINUTE($EX$11)) &gt;(60 * HOUR(INDEX('1.Locations'!$G$2:$G$32,$EP$11 + 1)) +MINUTE(INDEX('1.Locations'!$G$2:$G$32,$EP$11 + 1)))</xm:f>
            <x14:dxf>
              <fill>
                <patternFill>
                  <bgColor indexed="10"/>
                </patternFill>
              </fill>
            </x14:dxf>
          </x14:cfRule>
          <xm:sqref>EX11</xm:sqref>
        </x14:conditionalFormatting>
        <x14:conditionalFormatting xmlns:xm="http://schemas.microsoft.com/office/excel/2006/main">
          <x14:cfRule type="cellIs" priority="846" stopIfTrue="1" operator="lessThan" id="{00000000-0000-0000-0000-000000000000}">
            <xm:f>INDEX('1.Locations'!$F$2:$F$32,$EP$12 + 1)</xm:f>
            <x14:dxf>
              <fill>
                <patternFill>
                  <bgColor indexed="52"/>
                </patternFill>
              </fill>
            </x14:dxf>
          </x14:cfRule>
          <xm:sqref>EW12</xm:sqref>
        </x14:conditionalFormatting>
        <x14:conditionalFormatting xmlns:xm="http://schemas.microsoft.com/office/excel/2006/main">
          <x14:cfRule type="expression" priority="847" stopIfTrue="1" id="{00000000-0000-0000-0000-000000000000}">
            <xm:f>(60 * HOUR($EX$12) + MINUTE($EX$12)) &gt;(60 * HOUR(INDEX('1.Locations'!$G$2:$G$32,$EP$12 + 1)) +MINUTE(INDEX('1.Locations'!$G$2:$G$32,$EP$12 + 1)))</xm:f>
            <x14:dxf>
              <fill>
                <patternFill>
                  <bgColor indexed="10"/>
                </patternFill>
              </fill>
            </x14:dxf>
          </x14:cfRule>
          <xm:sqref>EX12</xm:sqref>
        </x14:conditionalFormatting>
        <x14:conditionalFormatting xmlns:xm="http://schemas.microsoft.com/office/excel/2006/main">
          <x14:cfRule type="cellIs" priority="848" stopIfTrue="1" operator="lessThan" id="{00000000-0000-0000-0000-000000000000}">
            <xm:f>INDEX('1.Locations'!$F$2:$F$32,$EP$13 + 1)</xm:f>
            <x14:dxf>
              <fill>
                <patternFill>
                  <bgColor indexed="52"/>
                </patternFill>
              </fill>
            </x14:dxf>
          </x14:cfRule>
          <xm:sqref>EW13</xm:sqref>
        </x14:conditionalFormatting>
        <x14:conditionalFormatting xmlns:xm="http://schemas.microsoft.com/office/excel/2006/main">
          <x14:cfRule type="expression" priority="849" stopIfTrue="1" id="{00000000-0000-0000-0000-000000000000}">
            <xm:f>(60 * HOUR($EX$13) + MINUTE($EX$13)) &gt;(60 * HOUR(INDEX('1.Locations'!$G$2:$G$32,$EP$13 + 1)) +MINUTE(INDEX('1.Locations'!$G$2:$G$32,$EP$13 + 1)))</xm:f>
            <x14:dxf>
              <fill>
                <patternFill>
                  <bgColor indexed="10"/>
                </patternFill>
              </fill>
            </x14:dxf>
          </x14:cfRule>
          <xm:sqref>EX13</xm:sqref>
        </x14:conditionalFormatting>
        <x14:conditionalFormatting xmlns:xm="http://schemas.microsoft.com/office/excel/2006/main">
          <x14:cfRule type="cellIs" priority="850" stopIfTrue="1" operator="lessThan" id="{00000000-0000-0000-0000-000000000000}">
            <xm:f>INDEX('1.Locations'!$F$2:$F$32,$EP$14 + 1)</xm:f>
            <x14:dxf>
              <fill>
                <patternFill>
                  <bgColor indexed="52"/>
                </patternFill>
              </fill>
            </x14:dxf>
          </x14:cfRule>
          <xm:sqref>EW14</xm:sqref>
        </x14:conditionalFormatting>
        <x14:conditionalFormatting xmlns:xm="http://schemas.microsoft.com/office/excel/2006/main">
          <x14:cfRule type="expression" priority="851" stopIfTrue="1" id="{00000000-0000-0000-0000-000000000000}">
            <xm:f>(60 * HOUR($EX$14) + MINUTE($EX$14)) &gt;(60 * HOUR(INDEX('1.Locations'!$G$2:$G$32,$EP$14 + 1)) +MINUTE(INDEX('1.Locations'!$G$2:$G$32,$EP$14 + 1)))</xm:f>
            <x14:dxf>
              <fill>
                <patternFill>
                  <bgColor indexed="10"/>
                </patternFill>
              </fill>
            </x14:dxf>
          </x14:cfRule>
          <xm:sqref>EX14</xm:sqref>
        </x14:conditionalFormatting>
        <x14:conditionalFormatting xmlns:xm="http://schemas.microsoft.com/office/excel/2006/main">
          <x14:cfRule type="cellIs" priority="852" stopIfTrue="1" operator="lessThan" id="{00000000-0000-0000-0000-000000000000}">
            <xm:f>INDEX('1.Locations'!$F$2:$F$32,$EP$15 + 1)</xm:f>
            <x14:dxf>
              <fill>
                <patternFill>
                  <bgColor indexed="52"/>
                </patternFill>
              </fill>
            </x14:dxf>
          </x14:cfRule>
          <xm:sqref>EW15</xm:sqref>
        </x14:conditionalFormatting>
        <x14:conditionalFormatting xmlns:xm="http://schemas.microsoft.com/office/excel/2006/main">
          <x14:cfRule type="expression" priority="853" stopIfTrue="1" id="{00000000-0000-0000-0000-000000000000}">
            <xm:f>(60 * HOUR($EX$15) + MINUTE($EX$15)) &gt;(60 * HOUR(INDEX('1.Locations'!$G$2:$G$32,$EP$15 + 1)) +MINUTE(INDEX('1.Locations'!$G$2:$G$32,$EP$15 + 1)))</xm:f>
            <x14:dxf>
              <fill>
                <patternFill>
                  <bgColor indexed="10"/>
                </patternFill>
              </fill>
            </x14:dxf>
          </x14:cfRule>
          <xm:sqref>EX15</xm:sqref>
        </x14:conditionalFormatting>
        <x14:conditionalFormatting xmlns:xm="http://schemas.microsoft.com/office/excel/2006/main">
          <x14:cfRule type="cellIs" priority="854" stopIfTrue="1" operator="lessThan" id="{00000000-0000-0000-0000-000000000000}">
            <xm:f>INDEX('1.Locations'!$F$2:$F$32,$EP$16 + 1)</xm:f>
            <x14:dxf>
              <fill>
                <patternFill>
                  <bgColor indexed="52"/>
                </patternFill>
              </fill>
            </x14:dxf>
          </x14:cfRule>
          <xm:sqref>EW16</xm:sqref>
        </x14:conditionalFormatting>
        <x14:conditionalFormatting xmlns:xm="http://schemas.microsoft.com/office/excel/2006/main">
          <x14:cfRule type="expression" priority="855" stopIfTrue="1" id="{00000000-0000-0000-0000-000000000000}">
            <xm:f>(60 * HOUR($EX$16) + MINUTE($EX$16)) &gt;(60 * HOUR(INDEX('1.Locations'!$G$2:$G$32,$EP$16 + 1)) +MINUTE(INDEX('1.Locations'!$G$2:$G$32,$EP$16 + 1)))</xm:f>
            <x14:dxf>
              <fill>
                <patternFill>
                  <bgColor indexed="10"/>
                </patternFill>
              </fill>
            </x14:dxf>
          </x14:cfRule>
          <xm:sqref>EX16</xm:sqref>
        </x14:conditionalFormatting>
        <x14:conditionalFormatting xmlns:xm="http://schemas.microsoft.com/office/excel/2006/main">
          <x14:cfRule type="cellIs" priority="856" stopIfTrue="1" operator="lessThan" id="{00000000-0000-0000-0000-000000000000}">
            <xm:f>INDEX('1.Locations'!$F$2:$F$32,$EP$17 + 1)</xm:f>
            <x14:dxf>
              <fill>
                <patternFill>
                  <bgColor indexed="52"/>
                </patternFill>
              </fill>
            </x14:dxf>
          </x14:cfRule>
          <xm:sqref>EW17</xm:sqref>
        </x14:conditionalFormatting>
        <x14:conditionalFormatting xmlns:xm="http://schemas.microsoft.com/office/excel/2006/main">
          <x14:cfRule type="expression" priority="857" stopIfTrue="1" id="{00000000-0000-0000-0000-000000000000}">
            <xm:f>(60 * HOUR($EX$17) + MINUTE($EX$17)) &gt;(60 * HOUR(INDEX('1.Locations'!$G$2:$G$32,$EP$17 + 1)) +MINUTE(INDEX('1.Locations'!$G$2:$G$32,$EP$17 + 1)))</xm:f>
            <x14:dxf>
              <fill>
                <patternFill>
                  <bgColor indexed="10"/>
                </patternFill>
              </fill>
            </x14:dxf>
          </x14:cfRule>
          <xm:sqref>EX17</xm:sqref>
        </x14:conditionalFormatting>
        <x14:conditionalFormatting xmlns:xm="http://schemas.microsoft.com/office/excel/2006/main">
          <x14:cfRule type="cellIs" priority="858" stopIfTrue="1" operator="lessThan" id="{00000000-0000-0000-0000-000000000000}">
            <xm:f>INDEX('1.Locations'!$F$2:$F$32,$EP$18 + 1)</xm:f>
            <x14:dxf>
              <fill>
                <patternFill>
                  <bgColor indexed="52"/>
                </patternFill>
              </fill>
            </x14:dxf>
          </x14:cfRule>
          <xm:sqref>EW18</xm:sqref>
        </x14:conditionalFormatting>
        <x14:conditionalFormatting xmlns:xm="http://schemas.microsoft.com/office/excel/2006/main">
          <x14:cfRule type="expression" priority="859" stopIfTrue="1" id="{00000000-0000-0000-0000-000000000000}">
            <xm:f>(60 * HOUR($EX$18) + MINUTE($EX$18)) &gt;(60 * HOUR(INDEX('1.Locations'!$G$2:$G$32,$EP$18 + 1)) +MINUTE(INDEX('1.Locations'!$G$2:$G$32,$EP$18 + 1)))</xm:f>
            <x14:dxf>
              <fill>
                <patternFill>
                  <bgColor indexed="10"/>
                </patternFill>
              </fill>
            </x14:dxf>
          </x14:cfRule>
          <xm:sqref>EX18</xm:sqref>
        </x14:conditionalFormatting>
        <x14:conditionalFormatting xmlns:xm="http://schemas.microsoft.com/office/excel/2006/main">
          <x14:cfRule type="cellIs" priority="860" stopIfTrue="1" operator="lessThan" id="{00000000-0000-0000-0000-000000000000}">
            <xm:f>INDEX('1.Locations'!$F$2:$F$32,$EP$19 + 1)</xm:f>
            <x14:dxf>
              <fill>
                <patternFill>
                  <bgColor indexed="52"/>
                </patternFill>
              </fill>
            </x14:dxf>
          </x14:cfRule>
          <xm:sqref>EW19</xm:sqref>
        </x14:conditionalFormatting>
        <x14:conditionalFormatting xmlns:xm="http://schemas.microsoft.com/office/excel/2006/main">
          <x14:cfRule type="expression" priority="861" stopIfTrue="1" id="{00000000-0000-0000-0000-000000000000}">
            <xm:f>(60 * HOUR($EX$19) + MINUTE($EX$19)) &gt;(60 * HOUR(INDEX('1.Locations'!$G$2:$G$32,$EP$19 + 1)) +MINUTE(INDEX('1.Locations'!$G$2:$G$32,$EP$19 + 1)))</xm:f>
            <x14:dxf>
              <fill>
                <patternFill>
                  <bgColor indexed="10"/>
                </patternFill>
              </fill>
            </x14:dxf>
          </x14:cfRule>
          <xm:sqref>EX19</xm:sqref>
        </x14:conditionalFormatting>
        <x14:conditionalFormatting xmlns:xm="http://schemas.microsoft.com/office/excel/2006/main">
          <x14:cfRule type="cellIs" priority="862" stopIfTrue="1" operator="lessThan" id="{00000000-0000-0000-0000-000000000000}">
            <xm:f>INDEX('1.Locations'!$F$2:$F$32,$EP$20 + 1)</xm:f>
            <x14:dxf>
              <fill>
                <patternFill>
                  <bgColor indexed="52"/>
                </patternFill>
              </fill>
            </x14:dxf>
          </x14:cfRule>
          <xm:sqref>EW20</xm:sqref>
        </x14:conditionalFormatting>
        <x14:conditionalFormatting xmlns:xm="http://schemas.microsoft.com/office/excel/2006/main">
          <x14:cfRule type="expression" priority="863" stopIfTrue="1" id="{00000000-0000-0000-0000-000000000000}">
            <xm:f>(60 * HOUR($EX$20) + MINUTE($EX$20)) &gt;(60 * HOUR(INDEX('1.Locations'!$G$2:$G$32,$EP$20 + 1)) +MINUTE(INDEX('1.Locations'!$G$2:$G$32,$EP$20 + 1)))</xm:f>
            <x14:dxf>
              <fill>
                <patternFill>
                  <bgColor indexed="10"/>
                </patternFill>
              </fill>
            </x14:dxf>
          </x14:cfRule>
          <xm:sqref>EX20</xm:sqref>
        </x14:conditionalFormatting>
        <x14:conditionalFormatting xmlns:xm="http://schemas.microsoft.com/office/excel/2006/main">
          <x14:cfRule type="cellIs" priority="864" stopIfTrue="1" operator="lessThan" id="{00000000-0000-0000-0000-000000000000}">
            <xm:f>INDEX('1.Locations'!$F$2:$F$32,$EP$21 + 1)</xm:f>
            <x14:dxf>
              <fill>
                <patternFill>
                  <bgColor indexed="52"/>
                </patternFill>
              </fill>
            </x14:dxf>
          </x14:cfRule>
          <xm:sqref>EW21</xm:sqref>
        </x14:conditionalFormatting>
        <x14:conditionalFormatting xmlns:xm="http://schemas.microsoft.com/office/excel/2006/main">
          <x14:cfRule type="expression" priority="865" stopIfTrue="1" id="{00000000-0000-0000-0000-000000000000}">
            <xm:f>(60 * HOUR($EX$21) + MINUTE($EX$21)) &gt;(60 * HOUR(INDEX('1.Locations'!$G$2:$G$32,$EP$21 + 1)) +MINUTE(INDEX('1.Locations'!$G$2:$G$32,$EP$21 + 1)))</xm:f>
            <x14:dxf>
              <fill>
                <patternFill>
                  <bgColor indexed="10"/>
                </patternFill>
              </fill>
            </x14:dxf>
          </x14:cfRule>
          <xm:sqref>EX21</xm:sqref>
        </x14:conditionalFormatting>
        <x14:conditionalFormatting xmlns:xm="http://schemas.microsoft.com/office/excel/2006/main">
          <x14:cfRule type="cellIs" priority="866" stopIfTrue="1" operator="lessThan" id="{00000000-0000-0000-0000-000000000000}">
            <xm:f>INDEX('1.Locations'!$F$2:$F$32,$EP$22 + 1)</xm:f>
            <x14:dxf>
              <fill>
                <patternFill>
                  <bgColor indexed="52"/>
                </patternFill>
              </fill>
            </x14:dxf>
          </x14:cfRule>
          <xm:sqref>EW22</xm:sqref>
        </x14:conditionalFormatting>
        <x14:conditionalFormatting xmlns:xm="http://schemas.microsoft.com/office/excel/2006/main">
          <x14:cfRule type="expression" priority="867" stopIfTrue="1" id="{00000000-0000-0000-0000-000000000000}">
            <xm:f>(60 * HOUR($EX$22) + MINUTE($EX$22)) &gt;(60 * HOUR(INDEX('1.Locations'!$G$2:$G$32,$EP$22 + 1)) +MINUTE(INDEX('1.Locations'!$G$2:$G$32,$EP$22 + 1)))</xm:f>
            <x14:dxf>
              <fill>
                <patternFill>
                  <bgColor indexed="10"/>
                </patternFill>
              </fill>
            </x14:dxf>
          </x14:cfRule>
          <xm:sqref>EX22</xm:sqref>
        </x14:conditionalFormatting>
        <x14:conditionalFormatting xmlns:xm="http://schemas.microsoft.com/office/excel/2006/main">
          <x14:cfRule type="cellIs" priority="868" stopIfTrue="1" operator="lessThan" id="{00000000-0000-0000-0000-000000000000}">
            <xm:f>INDEX('1.Locations'!$F$2:$F$32,$EP$23 + 1)</xm:f>
            <x14:dxf>
              <fill>
                <patternFill>
                  <bgColor indexed="52"/>
                </patternFill>
              </fill>
            </x14:dxf>
          </x14:cfRule>
          <xm:sqref>EW23</xm:sqref>
        </x14:conditionalFormatting>
        <x14:conditionalFormatting xmlns:xm="http://schemas.microsoft.com/office/excel/2006/main">
          <x14:cfRule type="expression" priority="869" stopIfTrue="1" id="{00000000-0000-0000-0000-000000000000}">
            <xm:f>(60 * HOUR($EX$23) + MINUTE($EX$23)) &gt;(60 * HOUR(INDEX('1.Locations'!$G$2:$G$32,$EP$23 + 1)) +MINUTE(INDEX('1.Locations'!$G$2:$G$32,$EP$23 + 1)))</xm:f>
            <x14:dxf>
              <fill>
                <patternFill>
                  <bgColor indexed="10"/>
                </patternFill>
              </fill>
            </x14:dxf>
          </x14:cfRule>
          <xm:sqref>EX23</xm:sqref>
        </x14:conditionalFormatting>
        <x14:conditionalFormatting xmlns:xm="http://schemas.microsoft.com/office/excel/2006/main">
          <x14:cfRule type="cellIs" priority="870" stopIfTrue="1" operator="lessThan" id="{00000000-0000-0000-0000-000000000000}">
            <xm:f>INDEX('1.Locations'!$F$2:$F$32,$EP$24 + 1)</xm:f>
            <x14:dxf>
              <fill>
                <patternFill>
                  <bgColor indexed="52"/>
                </patternFill>
              </fill>
            </x14:dxf>
          </x14:cfRule>
          <xm:sqref>EW24</xm:sqref>
        </x14:conditionalFormatting>
        <x14:conditionalFormatting xmlns:xm="http://schemas.microsoft.com/office/excel/2006/main">
          <x14:cfRule type="expression" priority="871" stopIfTrue="1" id="{00000000-0000-0000-0000-000000000000}">
            <xm:f>(60 * HOUR($EX$24) + MINUTE($EX$24)) &gt;(60 * HOUR(INDEX('1.Locations'!$G$2:$G$32,$EP$24 + 1)) +MINUTE(INDEX('1.Locations'!$G$2:$G$32,$EP$24 + 1)))</xm:f>
            <x14:dxf>
              <fill>
                <patternFill>
                  <bgColor indexed="10"/>
                </patternFill>
              </fill>
            </x14:dxf>
          </x14:cfRule>
          <xm:sqref>EX24</xm:sqref>
        </x14:conditionalFormatting>
        <x14:conditionalFormatting xmlns:xm="http://schemas.microsoft.com/office/excel/2006/main">
          <x14:cfRule type="cellIs" priority="872" stopIfTrue="1" operator="lessThan" id="{00000000-0000-0000-0000-000000000000}">
            <xm:f>INDEX('1.Locations'!$F$2:$F$32,$EP$25 + 1)</xm:f>
            <x14:dxf>
              <fill>
                <patternFill>
                  <bgColor indexed="52"/>
                </patternFill>
              </fill>
            </x14:dxf>
          </x14:cfRule>
          <xm:sqref>EW25</xm:sqref>
        </x14:conditionalFormatting>
        <x14:conditionalFormatting xmlns:xm="http://schemas.microsoft.com/office/excel/2006/main">
          <x14:cfRule type="expression" priority="873" stopIfTrue="1" id="{00000000-0000-0000-0000-000000000000}">
            <xm:f>(60 * HOUR($EX$25) + MINUTE($EX$25)) &gt;(60 * HOUR(INDEX('1.Locations'!$G$2:$G$32,$EP$25 + 1)) +MINUTE(INDEX('1.Locations'!$G$2:$G$32,$EP$25 + 1)))</xm:f>
            <x14:dxf>
              <fill>
                <patternFill>
                  <bgColor indexed="10"/>
                </patternFill>
              </fill>
            </x14:dxf>
          </x14:cfRule>
          <xm:sqref>EX25</xm:sqref>
        </x14:conditionalFormatting>
        <x14:conditionalFormatting xmlns:xm="http://schemas.microsoft.com/office/excel/2006/main">
          <x14:cfRule type="cellIs" priority="874" stopIfTrue="1" operator="lessThan" id="{00000000-0000-0000-0000-000000000000}">
            <xm:f>INDEX('1.Locations'!$F$2:$F$32,$EP$26 + 1)</xm:f>
            <x14:dxf>
              <fill>
                <patternFill>
                  <bgColor indexed="52"/>
                </patternFill>
              </fill>
            </x14:dxf>
          </x14:cfRule>
          <xm:sqref>EW26</xm:sqref>
        </x14:conditionalFormatting>
        <x14:conditionalFormatting xmlns:xm="http://schemas.microsoft.com/office/excel/2006/main">
          <x14:cfRule type="expression" priority="875" stopIfTrue="1" id="{00000000-0000-0000-0000-000000000000}">
            <xm:f>(60 * HOUR($EX$26) + MINUTE($EX$26)) &gt;(60 * HOUR(INDEX('1.Locations'!$G$2:$G$32,$EP$26 + 1)) +MINUTE(INDEX('1.Locations'!$G$2:$G$32,$EP$26 + 1)))</xm:f>
            <x14:dxf>
              <fill>
                <patternFill>
                  <bgColor indexed="10"/>
                </patternFill>
              </fill>
            </x14:dxf>
          </x14:cfRule>
          <xm:sqref>EX26</xm:sqref>
        </x14:conditionalFormatting>
        <x14:conditionalFormatting xmlns:xm="http://schemas.microsoft.com/office/excel/2006/main">
          <x14:cfRule type="cellIs" priority="876" stopIfTrue="1" operator="lessThan" id="{00000000-0000-0000-0000-000000000000}">
            <xm:f>INDEX('1.Locations'!$F$2:$F$32,$EP$27 + 1)</xm:f>
            <x14:dxf>
              <fill>
                <patternFill>
                  <bgColor indexed="52"/>
                </patternFill>
              </fill>
            </x14:dxf>
          </x14:cfRule>
          <xm:sqref>EW27</xm:sqref>
        </x14:conditionalFormatting>
        <x14:conditionalFormatting xmlns:xm="http://schemas.microsoft.com/office/excel/2006/main">
          <x14:cfRule type="expression" priority="877" stopIfTrue="1" id="{00000000-0000-0000-0000-000000000000}">
            <xm:f>(60 * HOUR($EX$27) + MINUTE($EX$27)) &gt;(60 * HOUR(INDEX('1.Locations'!$G$2:$G$32,$EP$27 + 1)) +MINUTE(INDEX('1.Locations'!$G$2:$G$32,$EP$27 + 1)))</xm:f>
            <x14:dxf>
              <fill>
                <patternFill>
                  <bgColor indexed="10"/>
                </patternFill>
              </fill>
            </x14:dxf>
          </x14:cfRule>
          <xm:sqref>EX27</xm:sqref>
        </x14:conditionalFormatting>
        <x14:conditionalFormatting xmlns:xm="http://schemas.microsoft.com/office/excel/2006/main">
          <x14:cfRule type="cellIs" priority="878" stopIfTrue="1" operator="lessThan" id="{00000000-0000-0000-0000-000000000000}">
            <xm:f>INDEX('1.Locations'!$F$2:$F$32,$EP$28 + 1)</xm:f>
            <x14:dxf>
              <fill>
                <patternFill>
                  <bgColor indexed="52"/>
                </patternFill>
              </fill>
            </x14:dxf>
          </x14:cfRule>
          <xm:sqref>EW28</xm:sqref>
        </x14:conditionalFormatting>
        <x14:conditionalFormatting xmlns:xm="http://schemas.microsoft.com/office/excel/2006/main">
          <x14:cfRule type="expression" priority="879" stopIfTrue="1" id="{00000000-0000-0000-0000-000000000000}">
            <xm:f>(60 * HOUR($EX$28) + MINUTE($EX$28)) &gt;(60 * HOUR(INDEX('1.Locations'!$G$2:$G$32,$EP$28 + 1)) +MINUTE(INDEX('1.Locations'!$G$2:$G$32,$EP$28 + 1)))</xm:f>
            <x14:dxf>
              <fill>
                <patternFill>
                  <bgColor indexed="10"/>
                </patternFill>
              </fill>
            </x14:dxf>
          </x14:cfRule>
          <xm:sqref>EX28</xm:sqref>
        </x14:conditionalFormatting>
        <x14:conditionalFormatting xmlns:xm="http://schemas.microsoft.com/office/excel/2006/main">
          <x14:cfRule type="cellIs" priority="880" stopIfTrue="1" operator="lessThan" id="{00000000-0000-0000-0000-000000000000}">
            <xm:f>INDEX('1.Locations'!$F$2:$F$32,$EP$29 + 1)</xm:f>
            <x14:dxf>
              <fill>
                <patternFill>
                  <bgColor indexed="52"/>
                </patternFill>
              </fill>
            </x14:dxf>
          </x14:cfRule>
          <xm:sqref>EW29</xm:sqref>
        </x14:conditionalFormatting>
        <x14:conditionalFormatting xmlns:xm="http://schemas.microsoft.com/office/excel/2006/main">
          <x14:cfRule type="expression" priority="881" stopIfTrue="1" id="{00000000-0000-0000-0000-000000000000}">
            <xm:f>(60 * HOUR($EX$29) + MINUTE($EX$29)) &gt;(60 * HOUR(INDEX('1.Locations'!$G$2:$G$32,$EP$29 + 1)) +MINUTE(INDEX('1.Locations'!$G$2:$G$32,$EP$29 + 1)))</xm:f>
            <x14:dxf>
              <fill>
                <patternFill>
                  <bgColor indexed="10"/>
                </patternFill>
              </fill>
            </x14:dxf>
          </x14:cfRule>
          <xm:sqref>EX29</xm:sqref>
        </x14:conditionalFormatting>
        <x14:conditionalFormatting xmlns:xm="http://schemas.microsoft.com/office/excel/2006/main">
          <x14:cfRule type="cellIs" priority="882" stopIfTrue="1" operator="lessThan" id="{00000000-0000-0000-0000-000000000000}">
            <xm:f>INDEX('1.Locations'!$F$2:$F$32,$EP$30 + 1)</xm:f>
            <x14:dxf>
              <fill>
                <patternFill>
                  <bgColor indexed="52"/>
                </patternFill>
              </fill>
            </x14:dxf>
          </x14:cfRule>
          <xm:sqref>EW30</xm:sqref>
        </x14:conditionalFormatting>
        <x14:conditionalFormatting xmlns:xm="http://schemas.microsoft.com/office/excel/2006/main">
          <x14:cfRule type="expression" priority="883" stopIfTrue="1" id="{00000000-0000-0000-0000-000000000000}">
            <xm:f>(60 * HOUR($EX$30) + MINUTE($EX$30)) &gt;(60 * HOUR(INDEX('1.Locations'!$G$2:$G$32,$EP$30 + 1)) +MINUTE(INDEX('1.Locations'!$G$2:$G$32,$EP$30 + 1)))</xm:f>
            <x14:dxf>
              <fill>
                <patternFill>
                  <bgColor indexed="10"/>
                </patternFill>
              </fill>
            </x14:dxf>
          </x14:cfRule>
          <xm:sqref>EX30</xm:sqref>
        </x14:conditionalFormatting>
        <x14:conditionalFormatting xmlns:xm="http://schemas.microsoft.com/office/excel/2006/main">
          <x14:cfRule type="cellIs" priority="884" stopIfTrue="1" operator="lessThan" id="{00000000-0000-0000-0000-000000000000}">
            <xm:f>INDEX('1.Locations'!$F$2:$F$32,$EP$31 + 1)</xm:f>
            <x14:dxf>
              <fill>
                <patternFill>
                  <bgColor indexed="52"/>
                </patternFill>
              </fill>
            </x14:dxf>
          </x14:cfRule>
          <xm:sqref>EW31</xm:sqref>
        </x14:conditionalFormatting>
        <x14:conditionalFormatting xmlns:xm="http://schemas.microsoft.com/office/excel/2006/main">
          <x14:cfRule type="expression" priority="885" stopIfTrue="1" id="{00000000-0000-0000-0000-000000000000}">
            <xm:f>(60 * HOUR($EX$31) + MINUTE($EX$31)) &gt;(60 * HOUR(INDEX('1.Locations'!$G$2:$G$32,$EP$31 + 1)) +MINUTE(INDEX('1.Locations'!$G$2:$G$32,$EP$31 + 1)))</xm:f>
            <x14:dxf>
              <fill>
                <patternFill>
                  <bgColor indexed="10"/>
                </patternFill>
              </fill>
            </x14:dxf>
          </x14:cfRule>
          <xm:sqref>EX31</xm:sqref>
        </x14:conditionalFormatting>
        <x14:conditionalFormatting xmlns:xm="http://schemas.microsoft.com/office/excel/2006/main">
          <x14:cfRule type="cellIs" priority="886" stopIfTrue="1" operator="lessThan" id="{00000000-0000-0000-0000-000000000000}">
            <xm:f>INDEX('1.Locations'!$F$2:$F$32,$EP$32 + 1)</xm:f>
            <x14:dxf>
              <fill>
                <patternFill>
                  <bgColor indexed="52"/>
                </patternFill>
              </fill>
            </x14:dxf>
          </x14:cfRule>
          <xm:sqref>EW32</xm:sqref>
        </x14:conditionalFormatting>
        <x14:conditionalFormatting xmlns:xm="http://schemas.microsoft.com/office/excel/2006/main">
          <x14:cfRule type="expression" priority="887" stopIfTrue="1" id="{00000000-0000-0000-0000-000000000000}">
            <xm:f>(60 * HOUR($EX$32) + MINUTE($EX$32)) &gt;(60 * HOUR(INDEX('1.Locations'!$G$2:$G$32,$EP$32 + 1)) +MINUTE(INDEX('1.Locations'!$G$2:$G$32,$EP$32 + 1)))</xm:f>
            <x14:dxf>
              <fill>
                <patternFill>
                  <bgColor indexed="10"/>
                </patternFill>
              </fill>
            </x14:dxf>
          </x14:cfRule>
          <xm:sqref>EX32</xm:sqref>
        </x14:conditionalFormatting>
        <x14:conditionalFormatting xmlns:xm="http://schemas.microsoft.com/office/excel/2006/main">
          <x14:cfRule type="cellIs" priority="888" stopIfTrue="1" operator="lessThan" id="{00000000-0000-0000-0000-000000000000}">
            <xm:f>INDEX('1.Locations'!$F$2:$F$32,$EP$33 + 1)</xm:f>
            <x14:dxf>
              <fill>
                <patternFill>
                  <bgColor indexed="52"/>
                </patternFill>
              </fill>
            </x14:dxf>
          </x14:cfRule>
          <xm:sqref>EW33</xm:sqref>
        </x14:conditionalFormatting>
        <x14:conditionalFormatting xmlns:xm="http://schemas.microsoft.com/office/excel/2006/main">
          <x14:cfRule type="expression" priority="889" stopIfTrue="1" id="{00000000-0000-0000-0000-000000000000}">
            <xm:f>(60 * HOUR($EX$33) + MINUTE($EX$33)) &gt;(60 * HOUR(INDEX('1.Locations'!$G$2:$G$32,$EP$33 + 1)) +MINUTE(INDEX('1.Locations'!$G$2:$G$32,$EP$33 + 1)))</xm:f>
            <x14:dxf>
              <fill>
                <patternFill>
                  <bgColor indexed="10"/>
                </patternFill>
              </fill>
            </x14:dxf>
          </x14:cfRule>
          <xm:sqref>EX33</xm:sqref>
        </x14:conditionalFormatting>
        <x14:conditionalFormatting xmlns:xm="http://schemas.microsoft.com/office/excel/2006/main">
          <x14:cfRule type="cellIs" priority="890" stopIfTrue="1" operator="lessThan" id="{00000000-0000-0000-0000-000000000000}">
            <xm:f>INDEX('1.Locations'!$F$2:$F$32,$EP$34 + 1)</xm:f>
            <x14:dxf>
              <fill>
                <patternFill>
                  <bgColor indexed="52"/>
                </patternFill>
              </fill>
            </x14:dxf>
          </x14:cfRule>
          <xm:sqref>EW34</xm:sqref>
        </x14:conditionalFormatting>
        <x14:conditionalFormatting xmlns:xm="http://schemas.microsoft.com/office/excel/2006/main">
          <x14:cfRule type="expression" priority="891" stopIfTrue="1" id="{00000000-0000-0000-0000-000000000000}">
            <xm:f>(60 * HOUR($EX$34) + MINUTE($EX$34)) &gt;(60 * HOUR(INDEX('1.Locations'!$G$2:$G$32,$EP$34 + 1)) +MINUTE(INDEX('1.Locations'!$G$2:$G$32,$EP$34 + 1)))</xm:f>
            <x14:dxf>
              <fill>
                <patternFill>
                  <bgColor indexed="10"/>
                </patternFill>
              </fill>
            </x14:dxf>
          </x14:cfRule>
          <xm:sqref>EX34</xm:sqref>
        </x14:conditionalFormatting>
        <x14:conditionalFormatting xmlns:xm="http://schemas.microsoft.com/office/excel/2006/main">
          <x14:cfRule type="cellIs" priority="892" stopIfTrue="1" operator="lessThan" id="{00000000-0000-0000-0000-000000000000}">
            <xm:f>INDEX('1.Locations'!$F$2:$F$32,$EP$35 + 1)</xm:f>
            <x14:dxf>
              <fill>
                <patternFill>
                  <bgColor indexed="52"/>
                </patternFill>
              </fill>
            </x14:dxf>
          </x14:cfRule>
          <xm:sqref>EW35</xm:sqref>
        </x14:conditionalFormatting>
        <x14:conditionalFormatting xmlns:xm="http://schemas.microsoft.com/office/excel/2006/main">
          <x14:cfRule type="expression" priority="893" stopIfTrue="1" id="{00000000-0000-0000-0000-000000000000}">
            <xm:f>(60 * HOUR($EX$35) + MINUTE($EX$35)) &gt;(60 * HOUR(INDEX('1.Locations'!$G$2:$G$32,$EP$35 + 1)) +MINUTE(INDEX('1.Locations'!$G$2:$G$32,$EP$35 + 1)))</xm:f>
            <x14:dxf>
              <fill>
                <patternFill>
                  <bgColor indexed="10"/>
                </patternFill>
              </fill>
            </x14:dxf>
          </x14:cfRule>
          <xm:sqref>EX35</xm:sqref>
        </x14:conditionalFormatting>
        <x14:conditionalFormatting xmlns:xm="http://schemas.microsoft.com/office/excel/2006/main">
          <x14:cfRule type="cellIs" priority="894" stopIfTrue="1" operator="lessThan" id="{00000000-0000-0000-0000-000000000000}">
            <xm:f>INDEX('1.Locations'!$F$2:$F$32,$EP$36 + 1)</xm:f>
            <x14:dxf>
              <fill>
                <patternFill>
                  <bgColor indexed="52"/>
                </patternFill>
              </fill>
            </x14:dxf>
          </x14:cfRule>
          <xm:sqref>EW36</xm:sqref>
        </x14:conditionalFormatting>
        <x14:conditionalFormatting xmlns:xm="http://schemas.microsoft.com/office/excel/2006/main">
          <x14:cfRule type="expression" priority="895" stopIfTrue="1" id="{00000000-0000-0000-0000-000000000000}">
            <xm:f>(60 * HOUR($EX$36) + MINUTE($EX$36)) &gt;(60 * HOUR(INDEX('1.Locations'!$G$2:$G$32,$EP$36 + 1)) +MINUTE(INDEX('1.Locations'!$G$2:$G$32,$EP$36 + 1)))</xm:f>
            <x14:dxf>
              <fill>
                <patternFill>
                  <bgColor indexed="10"/>
                </patternFill>
              </fill>
            </x14:dxf>
          </x14:cfRule>
          <xm:sqref>EX36</xm:sqref>
        </x14:conditionalFormatting>
        <x14:conditionalFormatting xmlns:xm="http://schemas.microsoft.com/office/excel/2006/main">
          <x14:cfRule type="cellIs" priority="896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ES6:ES36</xm:sqref>
        </x14:conditionalFormatting>
        <x14:conditionalFormatting xmlns:xm="http://schemas.microsoft.com/office/excel/2006/main">
          <x14:cfRule type="cellIs" priority="897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ET6:ET36</xm:sqref>
        </x14:conditionalFormatting>
        <x14:conditionalFormatting xmlns:xm="http://schemas.microsoft.com/office/excel/2006/main">
          <x14:cfRule type="cellIs" priority="898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EV6:EV36</xm:sqref>
        </x14:conditionalFormatting>
        <x14:conditionalFormatting xmlns:xm="http://schemas.microsoft.com/office/excel/2006/main">
          <x14:cfRule type="cellIs" priority="899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EY6:EY36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Warning" error="Please select a value from the list available in the selected cell." xr:uid="{00000000-0002-0000-0500-000000000000}">
          <x14:formula1>
            <xm:f>'1.Locations'!$B$2:$B$32</xm:f>
          </x14:formula1>
          <xm:sqref>EO5:EO36 EB5:EB36 DO5:DO36 DB5:DB36 CO5:CO36 CB5:CB36 BO5:BO36 BB5:BB36 AO5:AO36 AB5:AB36 O5:O36 B5:B36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topLeftCell="A4" workbookViewId="0"/>
  </sheetViews>
  <sheetFormatPr defaultRowHeight="14.2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VRP</vt:lpstr>
      <vt:lpstr>VRP Solver Console</vt:lpstr>
      <vt:lpstr>1.Locations</vt:lpstr>
      <vt:lpstr>2.Distances</vt:lpstr>
      <vt:lpstr>3.Vehicles</vt:lpstr>
      <vt:lpstr>4.Solution</vt:lpstr>
      <vt:lpstr>5.Visualization</vt:lpstr>
    </vt:vector>
  </TitlesOfParts>
  <Company>University of Southampton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Gunes Erdogan</dc:creator>
  <cp:lastModifiedBy>Paitoon Sirioran</cp:lastModifiedBy>
  <dcterms:created xsi:type="dcterms:W3CDTF">2013-07-17T23:20:08Z</dcterms:created>
  <dcterms:modified xsi:type="dcterms:W3CDTF">2020-01-15T14:11:23Z</dcterms:modified>
</cp:coreProperties>
</file>